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8_{5D9BA1F6-95CB-4E20-88F9-E9E7FA123392}" xr6:coauthVersionLast="47" xr6:coauthVersionMax="47" xr10:uidLastSave="{00000000-0000-0000-0000-000000000000}"/>
  <bookViews>
    <workbookView xWindow="-80" yWindow="-80" windowWidth="19360" windowHeight="10360" firstSheet="2" activeTab="3"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s>
  <externalReferences>
    <externalReference r:id="rId17"/>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08" i="33" l="1"/>
  <c r="L77" i="5"/>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G47" i="35" a="1"/>
  <c r="H46" i="35" a="1"/>
  <c r="H48" i="34" a="1"/>
  <c r="H46" i="34" a="1"/>
  <c r="G46" i="34" a="1"/>
  <c r="O32" i="36" a="1"/>
  <c r="D47" i="34" a="1"/>
  <c r="O32" i="34" a="1"/>
  <c r="E48" i="35" a="1"/>
  <c r="H47" i="34" a="1"/>
  <c r="O32" i="33" a="1"/>
  <c r="E48" i="34" a="1"/>
  <c r="F47" i="35" a="1"/>
  <c r="K46" i="34" a="1"/>
  <c r="D46" i="35" a="1"/>
  <c r="E86" i="34" l="1"/>
  <c r="E86" i="36"/>
  <c r="A23" i="35"/>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G100" i="34"/>
  <c r="K103" i="34"/>
  <c r="G118" i="34"/>
  <c r="F84" i="34"/>
  <c r="N84" i="34"/>
  <c r="I114" i="34"/>
  <c r="G84" i="34"/>
  <c r="O84" i="34"/>
  <c r="I120" i="34"/>
  <c r="I103" i="34"/>
  <c r="E103" i="34"/>
  <c r="E101" i="34" s="1"/>
  <c r="I115" i="34"/>
  <c r="H84" i="34"/>
  <c r="P84" i="34"/>
  <c r="J103" i="34"/>
  <c r="I84" i="34"/>
  <c r="Q84" i="34"/>
  <c r="J120" i="34"/>
  <c r="K118" i="34"/>
  <c r="E114" i="34"/>
  <c r="K84" i="34"/>
  <c r="F103" i="34"/>
  <c r="G99" i="35"/>
  <c r="G132" i="35"/>
  <c r="G85" i="35"/>
  <c r="L120" i="34"/>
  <c r="K96" i="34"/>
  <c r="G114" i="34"/>
  <c r="L90" i="34"/>
  <c r="L98" i="34"/>
  <c r="G85" i="34"/>
  <c r="L94" i="34"/>
  <c r="I90" i="34"/>
  <c r="I85" i="34"/>
  <c r="I95" i="34"/>
  <c r="G113" i="34"/>
  <c r="I91" i="34"/>
  <c r="J113" i="34"/>
  <c r="G11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E48" i="34"/>
  <c r="H6" i="34"/>
  <c r="A51" i="34"/>
  <c r="A52" i="34" s="1"/>
  <c r="A54" i="34" s="1"/>
  <c r="A55" i="34" s="1"/>
  <c r="A56" i="34" s="1"/>
  <c r="F98" i="34"/>
  <c r="F94" i="34"/>
  <c r="F90" i="34"/>
  <c r="F142" i="34"/>
  <c r="F113" i="34"/>
  <c r="F85"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E98" i="34"/>
  <c r="E94" i="34"/>
  <c r="E90" i="34"/>
  <c r="E142" i="34"/>
  <c r="F99" i="34"/>
  <c r="F95" i="34"/>
  <c r="F91" i="34"/>
  <c r="F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G120" i="34"/>
  <c r="G142" i="34"/>
  <c r="G90" i="34"/>
  <c r="G91" i="34"/>
  <c r="G92" i="34"/>
  <c r="G94" i="34"/>
  <c r="G95" i="34"/>
  <c r="G96" i="34"/>
  <c r="O32" i="33"/>
  <c r="A51" i="33"/>
  <c r="A52" i="33" s="1"/>
  <c r="A54" i="33" s="1"/>
  <c r="A55" i="33" s="1"/>
  <c r="A56" i="33" s="1"/>
  <c r="F6" i="33"/>
  <c r="A19" i="33"/>
  <c r="A24" i="33"/>
  <c r="A20" i="33"/>
  <c r="K75" i="5"/>
  <c r="L75" i="5"/>
  <c r="D56" i="35" a="1"/>
  <c r="J52" i="34" a="1"/>
  <c r="G55" i="34" a="1"/>
  <c r="F55" i="35" a="1"/>
  <c r="J50" i="34" a="1"/>
  <c r="I50" i="34" a="1"/>
  <c r="F10" i="34" a="1"/>
  <c r="E11" i="35" a="1"/>
  <c r="D52" i="35" a="1"/>
  <c r="G48" i="35" a="1"/>
  <c r="H56" i="35" a="1"/>
  <c r="E46" i="35" a="1"/>
  <c r="H51" i="34" a="1"/>
  <c r="C52" i="35" a="1"/>
  <c r="J55" i="34" a="1"/>
  <c r="E56" i="34" a="1"/>
  <c r="K47" i="34" a="1"/>
  <c r="F50" i="35" a="1"/>
  <c r="J56" i="34" a="1"/>
  <c r="K50" i="34" a="1"/>
  <c r="J46" i="34" a="1"/>
  <c r="F56" i="34" a="1"/>
  <c r="K54" i="34" a="1"/>
  <c r="J47" i="34" a="1"/>
  <c r="G51" i="34" a="1"/>
  <c r="F51" i="34" a="1"/>
  <c r="E51" i="34" a="1"/>
  <c r="D12" i="34" a="1"/>
  <c r="E51" i="35" a="1"/>
  <c r="D12" i="35" a="1"/>
  <c r="C48" i="35" a="1"/>
  <c r="D56" i="34" a="1"/>
  <c r="G11" i="34" a="1"/>
  <c r="D55" i="34" a="1"/>
  <c r="G52" i="34" a="1"/>
  <c r="G46" i="35" a="1"/>
  <c r="C10" i="35" a="1"/>
  <c r="D55" i="35" a="1"/>
  <c r="F54" i="34" a="1"/>
  <c r="H54" i="35" a="1"/>
  <c r="J54" i="34" a="1"/>
  <c r="H54" i="34" a="1"/>
  <c r="E50" i="34" a="1"/>
  <c r="H51" i="35" a="1"/>
  <c r="G50" i="34" a="1"/>
  <c r="D50" i="34" a="1"/>
  <c r="E46" i="34" a="1"/>
  <c r="E50" i="35" a="1"/>
  <c r="F52" i="34" a="1"/>
  <c r="D46" i="34" a="1"/>
  <c r="G10" i="34" a="1"/>
  <c r="I46" i="34" a="1"/>
  <c r="H56" i="34" a="1"/>
  <c r="H52" i="35" a="1"/>
  <c r="D50" i="35" a="1"/>
  <c r="H52" i="34" a="1"/>
  <c r="E47" i="34" a="1"/>
  <c r="H47" i="35" a="1"/>
  <c r="H50" i="34" a="1"/>
  <c r="O32" i="35" a="1"/>
  <c r="E56" i="35" a="1"/>
  <c r="F48" i="34" a="1"/>
  <c r="G47" i="34" a="1"/>
  <c r="F46" i="35" a="1"/>
  <c r="F52" i="35" a="1"/>
  <c r="F55" i="34" a="1"/>
  <c r="F56" i="35" a="1"/>
  <c r="E54" i="34" a="1"/>
  <c r="J51" i="34" a="1"/>
  <c r="G51" i="35" a="1"/>
  <c r="K55" i="34" a="1"/>
  <c r="F11" i="35" a="1"/>
  <c r="G10" i="35" a="1"/>
  <c r="D48" i="35" a="1"/>
  <c r="D48" i="34" a="1"/>
  <c r="G54" i="35" a="1"/>
  <c r="G56" i="35" a="1"/>
  <c r="F50" i="34" a="1"/>
  <c r="O32" i="37" a="1"/>
  <c r="G12" i="34" a="1"/>
  <c r="G56" i="34" a="1"/>
  <c r="G54" i="34" a="1"/>
  <c r="K51" i="34" a="1"/>
  <c r="D51" i="35" a="1"/>
  <c r="D52" i="34" a="1"/>
  <c r="D51" i="34" a="1"/>
  <c r="C46" i="35" a="1"/>
  <c r="H55" i="34" a="1"/>
  <c r="H48" i="35" a="1"/>
  <c r="C11" i="34" a="1"/>
  <c r="E55" i="34" a="1"/>
  <c r="J48" i="34" a="1"/>
  <c r="C56" i="35" a="1"/>
  <c r="J10" i="34" a="1"/>
  <c r="F48" i="35" a="1"/>
  <c r="H55" i="35" a="1"/>
  <c r="F51" i="35" a="1"/>
  <c r="F46" i="34" a="1"/>
  <c r="F47" i="34" a="1"/>
  <c r="C47" i="35" a="1"/>
  <c r="E55" i="35" a="1"/>
  <c r="H50" i="35" a="1"/>
  <c r="I54" i="34" a="1"/>
  <c r="E47" i="35" a="1"/>
  <c r="D54" i="35" a="1"/>
  <c r="G55" i="35" a="1"/>
  <c r="G48" i="34" a="1"/>
  <c r="F54" i="35" a="1"/>
  <c r="G52" i="35" a="1"/>
  <c r="D54" i="34" a="1"/>
  <c r="E52" i="34" a="1"/>
  <c r="D47" i="35" a="1"/>
  <c r="C50" i="35" a="1"/>
  <c r="E52" i="35" a="1"/>
  <c r="G50" i="35" a="1"/>
  <c r="C54" i="35" a="1"/>
  <c r="D46" i="34" l="1"/>
  <c r="E113" i="34"/>
  <c r="M106" i="34"/>
  <c r="P106" i="34"/>
  <c r="L108" i="34"/>
  <c r="L118" i="34" s="1"/>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J50" i="34"/>
  <c r="D51" i="34"/>
  <c r="F47" i="34"/>
  <c r="J46" i="34"/>
  <c r="F48" i="34"/>
  <c r="G47" i="34"/>
  <c r="E55" i="34"/>
  <c r="J54" i="34"/>
  <c r="G50" i="34"/>
  <c r="H51" i="34"/>
  <c r="G12" i="34"/>
  <c r="H54" i="34"/>
  <c r="F46" i="34"/>
  <c r="G56" i="34"/>
  <c r="G54" i="34"/>
  <c r="J48" i="34"/>
  <c r="K47" i="34"/>
  <c r="J10" i="34"/>
  <c r="F55" i="34"/>
  <c r="F10" i="34"/>
  <c r="D52" i="34"/>
  <c r="C11" i="34"/>
  <c r="F52" i="34"/>
  <c r="E54" i="34"/>
  <c r="J47" i="34"/>
  <c r="D48" i="34"/>
  <c r="H56" i="34"/>
  <c r="D54" i="34"/>
  <c r="I50" i="34"/>
  <c r="H52" i="34"/>
  <c r="D55" i="34"/>
  <c r="H55" i="34"/>
  <c r="G55" i="34"/>
  <c r="E51" i="34"/>
  <c r="F51" i="34"/>
  <c r="F56" i="34"/>
  <c r="I54" i="34"/>
  <c r="K51" i="34"/>
  <c r="G48" i="34"/>
  <c r="K54" i="34"/>
  <c r="E46" i="34"/>
  <c r="J55" i="34"/>
  <c r="K55" i="34"/>
  <c r="E50" i="34"/>
  <c r="G51" i="34"/>
  <c r="E52" i="34"/>
  <c r="J51" i="34"/>
  <c r="D56" i="34"/>
  <c r="E47" i="34"/>
  <c r="I46" i="34"/>
  <c r="E56" i="34"/>
  <c r="G52" i="34"/>
  <c r="F50" i="34"/>
  <c r="J52" i="34"/>
  <c r="D12" i="34"/>
  <c r="G11" i="34"/>
  <c r="D50" i="34"/>
  <c r="E117" i="34"/>
  <c r="K117" i="34"/>
  <c r="F117" i="34"/>
  <c r="A59" i="34"/>
  <c r="A60" i="34"/>
  <c r="A58" i="34"/>
  <c r="H136" i="34"/>
  <c r="I6" i="34"/>
  <c r="H75" i="34"/>
  <c r="I117" i="34"/>
  <c r="F141" i="33"/>
  <c r="G6" i="33"/>
  <c r="A58" i="33"/>
  <c r="A59" i="33"/>
  <c r="A60" i="33"/>
  <c r="N139" i="19"/>
  <c r="O139" i="19"/>
  <c r="P139" i="19"/>
  <c r="Q139" i="19"/>
  <c r="N140" i="19"/>
  <c r="O140" i="19"/>
  <c r="P140" i="19"/>
  <c r="Q140" i="19"/>
  <c r="M140" i="19"/>
  <c r="M139" i="19"/>
  <c r="L139" i="19"/>
  <c r="K139" i="19"/>
  <c r="K58" i="5"/>
  <c r="K61" i="5" s="1"/>
  <c r="C16" i="35" a="1"/>
  <c r="D19" i="35" a="1"/>
  <c r="G16" i="35" a="1"/>
  <c r="F20" i="34" a="1"/>
  <c r="I20" i="34" a="1"/>
  <c r="I19" i="34" a="1"/>
  <c r="C18" i="35" a="1"/>
  <c r="J14" i="34" a="1"/>
  <c r="K48" i="34" a="1"/>
  <c r="C15" i="35" a="1"/>
  <c r="C55" i="35" a="1"/>
  <c r="F20" i="35" a="1"/>
  <c r="E19" i="34" a="1"/>
  <c r="H14" i="34" a="1"/>
  <c r="I18" i="34" a="1"/>
  <c r="G11" i="35" a="1"/>
  <c r="H18" i="34" a="1"/>
  <c r="E14" i="35" a="1"/>
  <c r="I10" i="34" a="1"/>
  <c r="I47" i="34" a="1"/>
  <c r="F14" i="34" a="1"/>
  <c r="I11" i="34" a="1"/>
  <c r="G19" i="35" a="1"/>
  <c r="F16" i="34" a="1"/>
  <c r="E12" i="34" a="1"/>
  <c r="C10" i="34" a="1"/>
  <c r="E15" i="35" a="1"/>
  <c r="D19" i="34" a="1"/>
  <c r="C14" i="35" a="1"/>
  <c r="J19" i="34" a="1"/>
  <c r="I12" i="34" a="1"/>
  <c r="C18" i="34" a="1"/>
  <c r="I14" i="34" a="1"/>
  <c r="G20" i="34" a="1"/>
  <c r="G12" i="35" a="1"/>
  <c r="D14" i="35" a="1"/>
  <c r="E54" i="35" a="1"/>
  <c r="C19" i="35" a="1"/>
  <c r="J18" i="34" a="1"/>
  <c r="F16" i="35" a="1"/>
  <c r="G14" i="35" a="1"/>
  <c r="D10" i="34" a="1"/>
  <c r="F14" i="35" a="1"/>
  <c r="C12" i="34" a="1"/>
  <c r="E14" i="34" a="1"/>
  <c r="G15" i="34" a="1"/>
  <c r="D20" i="34" a="1"/>
  <c r="E10" i="35" a="1"/>
  <c r="G20" i="35" a="1"/>
  <c r="F18" i="34" a="1"/>
  <c r="E11" i="34" a="1"/>
  <c r="E19" i="35" a="1"/>
  <c r="C20" i="34" a="1"/>
  <c r="J11" i="34" a="1"/>
  <c r="J15" i="34" a="1"/>
  <c r="C16" i="34" a="1"/>
  <c r="C14" i="34" a="1"/>
  <c r="D18" i="34" a="1"/>
  <c r="C11" i="35" a="1"/>
  <c r="G16" i="34" a="1"/>
  <c r="F12" i="34" a="1"/>
  <c r="F19" i="35" a="1"/>
  <c r="E10" i="34" a="1"/>
  <c r="F12" i="35" a="1"/>
  <c r="D16" i="34" a="1"/>
  <c r="C51" i="35" a="1"/>
  <c r="G14" i="34" a="1"/>
  <c r="F15" i="34" a="1"/>
  <c r="F19" i="34" a="1"/>
  <c r="E20" i="35" a="1"/>
  <c r="E18" i="35" a="1"/>
  <c r="D15" i="34" a="1"/>
  <c r="D11" i="35" a="1"/>
  <c r="F10" i="35" a="1"/>
  <c r="C12" i="35" a="1"/>
  <c r="G15" i="35" a="1"/>
  <c r="D16" i="35" a="1"/>
  <c r="I15" i="34" a="1"/>
  <c r="D10" i="35" a="1"/>
  <c r="D15" i="35" a="1"/>
  <c r="E20" i="34" a="1"/>
  <c r="I48" i="34" a="1"/>
  <c r="D14" i="34" a="1"/>
  <c r="E18" i="34" a="1"/>
  <c r="F18" i="35" a="1"/>
  <c r="F15" i="35" a="1"/>
  <c r="F11" i="34" a="1"/>
  <c r="E15" i="34" a="1"/>
  <c r="C20" i="35" a="1"/>
  <c r="H10" i="34" a="1"/>
  <c r="C15" i="34" a="1"/>
  <c r="G18" i="35" a="1"/>
  <c r="E12" i="35" a="1"/>
  <c r="E16" i="34" a="1"/>
  <c r="D11" i="34" a="1"/>
  <c r="E16" i="35" a="1"/>
  <c r="C19" i="34" a="1"/>
  <c r="D20" i="35" a="1"/>
  <c r="G19" i="34" a="1"/>
  <c r="G18" i="34" a="1"/>
  <c r="I16" i="34" a="1"/>
  <c r="D75" i="34" l="1"/>
  <c r="C10" i="34"/>
  <c r="D116" i="34"/>
  <c r="J99" i="34"/>
  <c r="H103" i="34"/>
  <c r="H101" i="34" s="1"/>
  <c r="H116" i="34"/>
  <c r="H117" i="34" s="1"/>
  <c r="L142" i="34"/>
  <c r="L116" i="34"/>
  <c r="L100" i="34"/>
  <c r="D103" i="34"/>
  <c r="D101" i="34" s="1"/>
  <c r="L92" i="34"/>
  <c r="J91" i="34"/>
  <c r="L96" i="34"/>
  <c r="J86" i="35"/>
  <c r="J90" i="35" s="1"/>
  <c r="K88" i="35"/>
  <c r="K100"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I11" i="34"/>
  <c r="J11" i="34"/>
  <c r="F11" i="34"/>
  <c r="C15" i="34"/>
  <c r="C19" i="34"/>
  <c r="H14" i="34"/>
  <c r="D18" i="34"/>
  <c r="I14" i="34"/>
  <c r="I16" i="34"/>
  <c r="D11" i="34"/>
  <c r="D16" i="34"/>
  <c r="D15" i="34"/>
  <c r="F18" i="34"/>
  <c r="G15" i="34"/>
  <c r="H10" i="34"/>
  <c r="I15" i="34"/>
  <c r="D10" i="34"/>
  <c r="E15" i="34"/>
  <c r="I12" i="34"/>
  <c r="E12" i="34"/>
  <c r="I19" i="34"/>
  <c r="E14" i="34"/>
  <c r="C20" i="34"/>
  <c r="J18" i="34"/>
  <c r="C18" i="34"/>
  <c r="E16" i="34"/>
  <c r="I10" i="34"/>
  <c r="D19" i="34"/>
  <c r="F19" i="34"/>
  <c r="F16" i="34"/>
  <c r="F15" i="34"/>
  <c r="F12" i="34"/>
  <c r="F20" i="34"/>
  <c r="F14"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F58" i="34" a="1"/>
  <c r="I46" i="35" a="1"/>
  <c r="I50" i="35" a="1"/>
  <c r="H60" i="35" a="1"/>
  <c r="I59" i="34" a="1"/>
  <c r="H11" i="34" a="1"/>
  <c r="D58" i="35" a="1"/>
  <c r="J58" i="34" a="1"/>
  <c r="H12" i="34" a="1"/>
  <c r="F59" i="35" a="1"/>
  <c r="D58" i="34" a="1"/>
  <c r="E59" i="35" a="1"/>
  <c r="G60" i="35" a="1"/>
  <c r="E58" i="34" a="1"/>
  <c r="C58" i="35" a="1"/>
  <c r="F58" i="35" a="1"/>
  <c r="I56" i="34" a="1"/>
  <c r="I51" i="34" a="1"/>
  <c r="K60" i="34" a="1"/>
  <c r="E60" i="34" a="1"/>
  <c r="D59" i="35" a="1"/>
  <c r="I60" i="34" a="1"/>
  <c r="E60" i="35" a="1"/>
  <c r="J60" i="34" a="1"/>
  <c r="D60" i="34" a="1"/>
  <c r="G59" i="34" a="1"/>
  <c r="F60" i="34" a="1"/>
  <c r="H58" i="34" a="1"/>
  <c r="F59" i="34" a="1"/>
  <c r="H59" i="34" a="1"/>
  <c r="K59" i="34" a="1"/>
  <c r="I58" i="34" a="1"/>
  <c r="K56" i="34" a="1"/>
  <c r="J60" i="35" a="1"/>
  <c r="D59" i="34" a="1"/>
  <c r="C59" i="35" a="1"/>
  <c r="H59" i="35" a="1"/>
  <c r="G59" i="35" a="1"/>
  <c r="K58" i="34" a="1"/>
  <c r="G60" i="34" a="1"/>
  <c r="K52" i="34" a="1"/>
  <c r="H58" i="35" a="1"/>
  <c r="E59" i="34" a="1"/>
  <c r="E58" i="35" a="1"/>
  <c r="J59" i="34" a="1"/>
  <c r="H60" i="34" a="1"/>
  <c r="I55" i="34" a="1"/>
  <c r="F60" i="35" a="1"/>
  <c r="C60" i="35" a="1"/>
  <c r="J48" i="35" a="1"/>
  <c r="D18" i="35" a="1"/>
  <c r="G58" i="34" a="1"/>
  <c r="G58" i="35" a="1"/>
  <c r="J12" i="34" a="1"/>
  <c r="D60" i="35" a="1"/>
  <c r="I52" i="34" a="1"/>
  <c r="K92" i="35" l="1"/>
  <c r="K96" i="35"/>
  <c r="J98" i="35"/>
  <c r="J94" i="35"/>
  <c r="L117" i="34"/>
  <c r="K56" i="34"/>
  <c r="I51" i="34"/>
  <c r="K52" i="34"/>
  <c r="I75" i="34"/>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I50" i="35"/>
  <c r="F39" i="34"/>
  <c r="G39" i="35"/>
  <c r="D143" i="30"/>
  <c r="E39" i="34"/>
  <c r="F39" i="35"/>
  <c r="H60" i="35"/>
  <c r="D60" i="35"/>
  <c r="J60" i="35"/>
  <c r="E59" i="35"/>
  <c r="D59" i="35"/>
  <c r="E60" i="35"/>
  <c r="E58" i="35"/>
  <c r="F58" i="35"/>
  <c r="C58" i="35"/>
  <c r="H59" i="35"/>
  <c r="F59" i="35"/>
  <c r="G58" i="35"/>
  <c r="D58" i="35"/>
  <c r="G59" i="35"/>
  <c r="C59" i="35"/>
  <c r="C60" i="35"/>
  <c r="H58" i="35"/>
  <c r="F60" i="35"/>
  <c r="G60" i="35"/>
  <c r="I39" i="34"/>
  <c r="C39" i="35"/>
  <c r="E39" i="35"/>
  <c r="D39" i="35"/>
  <c r="H128" i="35"/>
  <c r="I6" i="35"/>
  <c r="F60" i="34"/>
  <c r="D58" i="34"/>
  <c r="F59" i="34"/>
  <c r="H59" i="34"/>
  <c r="E58" i="34"/>
  <c r="K59" i="34"/>
  <c r="I60" i="34"/>
  <c r="F58" i="34"/>
  <c r="G58" i="34"/>
  <c r="J58" i="34"/>
  <c r="G60" i="34"/>
  <c r="I58" i="34"/>
  <c r="E60" i="34"/>
  <c r="E59" i="34"/>
  <c r="K60" i="34"/>
  <c r="G59" i="34"/>
  <c r="K58" i="34"/>
  <c r="H58" i="34"/>
  <c r="H60" i="34"/>
  <c r="D60" i="34"/>
  <c r="D59" i="34"/>
  <c r="J60" i="34"/>
  <c r="I59" i="34"/>
  <c r="J5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E63" i="35" a="1"/>
  <c r="N62" i="35" a="1"/>
  <c r="E64" i="34" a="1"/>
  <c r="C68" i="35" a="1"/>
  <c r="I58" i="35" a="1"/>
  <c r="G68" i="34" a="1"/>
  <c r="G68" i="35" a="1"/>
  <c r="D66" i="35" a="1"/>
  <c r="G65" i="35" a="1"/>
  <c r="K65" i="34" a="1"/>
  <c r="H71" i="35" a="1"/>
  <c r="E24" i="34" a="1"/>
  <c r="J20" i="34" a="1"/>
  <c r="I23" i="34" a="1"/>
  <c r="J64" i="34" a="1"/>
  <c r="H63" i="35" a="1"/>
  <c r="D62" i="34" a="1"/>
  <c r="C22" i="34" a="1"/>
  <c r="I64" i="35" a="1"/>
  <c r="F71" i="35" a="1"/>
  <c r="G24" i="34" a="1"/>
  <c r="D22" i="34" a="1"/>
  <c r="D62" i="35" a="1"/>
  <c r="J56" i="35" a="1"/>
  <c r="D64" i="35" a="1"/>
  <c r="K68" i="34" a="1"/>
  <c r="I63" i="34" a="1"/>
  <c r="H20" i="34" a="1"/>
  <c r="I65" i="34" a="1"/>
  <c r="M62" i="35" a="1"/>
  <c r="G63" i="34" a="1"/>
  <c r="F23" i="35" a="1"/>
  <c r="G71" i="34" a="1"/>
  <c r="I63" i="35" a="1"/>
  <c r="K66" i="34" a="1"/>
  <c r="H66" i="34" a="1"/>
  <c r="E63" i="34" a="1"/>
  <c r="J64" i="35" a="1"/>
  <c r="H65" i="35" a="1"/>
  <c r="C22" i="35" a="1"/>
  <c r="C71" i="35" a="1"/>
  <c r="E70" i="34" a="1"/>
  <c r="H24" i="34" a="1"/>
  <c r="C64" i="34" a="1"/>
  <c r="E62" i="35" a="1"/>
  <c r="C24" i="35" a="1"/>
  <c r="D64" i="34" a="1"/>
  <c r="C63" i="34" a="1"/>
  <c r="E65" i="34" a="1"/>
  <c r="I22" i="34" a="1"/>
  <c r="D23" i="35" a="1"/>
  <c r="E65" i="35" a="1"/>
  <c r="E23" i="35" a="1"/>
  <c r="G66" i="35" a="1"/>
  <c r="N63" i="35" a="1"/>
  <c r="G64" i="35" a="1"/>
  <c r="C65" i="34" a="1"/>
  <c r="O32" i="29" a="1"/>
  <c r="J24" i="34" a="1"/>
  <c r="D68" i="34" a="1"/>
  <c r="E66" i="35" a="1"/>
  <c r="F62" i="35" a="1"/>
  <c r="F64" i="34" a="1"/>
  <c r="E24" i="35" a="1"/>
  <c r="L63" i="35" a="1"/>
  <c r="J63" i="34" a="1"/>
  <c r="K62" i="34" a="1"/>
  <c r="H23" i="34" a="1"/>
  <c r="O64" i="35" a="1"/>
  <c r="I70" i="34" a="1"/>
  <c r="F71" i="34" a="1"/>
  <c r="K63" i="34" a="1"/>
  <c r="J62" i="34" a="1"/>
  <c r="H62" i="35" a="1"/>
  <c r="H70" i="35" a="1"/>
  <c r="H10" i="35" a="1"/>
  <c r="G22" i="34" a="1"/>
  <c r="L71" i="34" a="1"/>
  <c r="F68" i="35" a="1"/>
  <c r="C24" i="34" a="1"/>
  <c r="O63" i="35" a="1"/>
  <c r="F63" i="34" a="1"/>
  <c r="G66" i="34" a="1"/>
  <c r="F70" i="35" a="1"/>
  <c r="G62" i="34" a="1"/>
  <c r="F62" i="34" a="1"/>
  <c r="K64" i="35" a="1"/>
  <c r="C64" i="35" a="1"/>
  <c r="L66" i="34" a="1"/>
  <c r="O68" i="34" a="1"/>
  <c r="J52" i="35" a="1"/>
  <c r="F24" i="34" a="1"/>
  <c r="E64" i="35" a="1"/>
  <c r="I24" i="35" a="1"/>
  <c r="C68" i="34" a="1"/>
  <c r="C70" i="35" a="1"/>
  <c r="F63" i="35" a="1"/>
  <c r="J46" i="35" a="1"/>
  <c r="F23" i="34" a="1"/>
  <c r="I64" i="34" a="1"/>
  <c r="C65" i="35" a="1"/>
  <c r="D71" i="34" a="1"/>
  <c r="E62" i="34" a="1"/>
  <c r="H70" i="34" a="1"/>
  <c r="H16" i="34" a="1"/>
  <c r="J23" i="34" a="1"/>
  <c r="H66" i="35" a="1"/>
  <c r="L68" i="34" a="1"/>
  <c r="J22" i="34" a="1"/>
  <c r="P64" i="35" a="1"/>
  <c r="K64" i="34" a="1"/>
  <c r="C23" i="35" a="1"/>
  <c r="I62" i="35" a="1"/>
  <c r="H62" i="34" a="1"/>
  <c r="J68" i="34" a="1"/>
  <c r="H71" i="34" a="1"/>
  <c r="E22" i="35" a="1"/>
  <c r="J66" i="34" a="1"/>
  <c r="D66" i="34" a="1"/>
  <c r="E71" i="35" a="1"/>
  <c r="D68" i="35" a="1"/>
  <c r="H68" i="34" a="1"/>
  <c r="G62" i="35" a="1"/>
  <c r="G70" i="35" a="1"/>
  <c r="H68" i="35" a="1"/>
  <c r="I71" i="34" a="1"/>
  <c r="L64" i="35" a="1"/>
  <c r="H14" i="35" a="1"/>
  <c r="F22" i="34" a="1"/>
  <c r="G22" i="35" a="1"/>
  <c r="E22" i="34" a="1"/>
  <c r="P63" i="35" a="1"/>
  <c r="O62" i="35" a="1"/>
  <c r="G23" i="35" a="1"/>
  <c r="E23" i="34" a="1"/>
  <c r="F66" i="35" a="1"/>
  <c r="H22" i="34" a="1"/>
  <c r="C63" i="35" a="1"/>
  <c r="D63" i="35" a="1"/>
  <c r="J63" i="35" a="1"/>
  <c r="D22" i="35" a="1"/>
  <c r="K63" i="35" a="1"/>
  <c r="J71" i="34" a="1"/>
  <c r="F68" i="34" a="1"/>
  <c r="D70" i="34" a="1"/>
  <c r="G23" i="34" a="1"/>
  <c r="I68" i="34" a="1"/>
  <c r="F24" i="35" a="1"/>
  <c r="C71" i="34" a="1"/>
  <c r="L62" i="35" a="1"/>
  <c r="F65" i="35" a="1"/>
  <c r="D71" i="35" a="1"/>
  <c r="F65" i="34" a="1"/>
  <c r="G71" i="35" a="1"/>
  <c r="I62" i="34" a="1"/>
  <c r="K46" i="35" a="1"/>
  <c r="E68" i="34" a="1"/>
  <c r="G63" i="35" a="1"/>
  <c r="C62" i="35" a="1"/>
  <c r="P62" i="35" a="1"/>
  <c r="F70" i="34" a="1"/>
  <c r="G64" i="34" a="1"/>
  <c r="D63" i="34" a="1"/>
  <c r="H15" i="34" a="1"/>
  <c r="I66" i="34" a="1"/>
  <c r="G70" i="34" a="1"/>
  <c r="I12" i="35" a="1"/>
  <c r="D24" i="35" a="1"/>
  <c r="J70" i="34" a="1"/>
  <c r="O71" i="34" a="1"/>
  <c r="J16" i="34" a="1"/>
  <c r="K58" i="35" a="1"/>
  <c r="M63" i="35" a="1"/>
  <c r="D23" i="34" a="1"/>
  <c r="E70" i="35" a="1"/>
  <c r="F22" i="35" a="1"/>
  <c r="H64" i="34" a="1"/>
  <c r="O32" i="30" a="1"/>
  <c r="N64" i="35" a="1"/>
  <c r="C66" i="35" a="1"/>
  <c r="G65" i="34" a="1"/>
  <c r="J62" i="35" a="1"/>
  <c r="G24" i="35" a="1"/>
  <c r="D70" i="35" a="1"/>
  <c r="J54" i="35" a="1"/>
  <c r="M64" i="35" a="1"/>
  <c r="H64" i="35" a="1"/>
  <c r="K62" i="35" a="1"/>
  <c r="C23" i="34" a="1"/>
  <c r="E71" i="34" a="1"/>
  <c r="K70" i="34" a="1"/>
  <c r="F66" i="34" a="1"/>
  <c r="O66" i="34" a="1"/>
  <c r="K71" i="34" a="1"/>
  <c r="F64" i="35" a="1"/>
  <c r="H65" i="34" a="1"/>
  <c r="C70" i="34" a="1"/>
  <c r="I24" i="34" a="1"/>
  <c r="I54" i="35" a="1"/>
  <c r="E66" i="34" a="1"/>
  <c r="D65" i="35" a="1"/>
  <c r="H63" i="34" a="1"/>
  <c r="C62" i="34" a="1"/>
  <c r="D24" i="34" a="1"/>
  <c r="C66" i="34" a="1"/>
  <c r="H19" i="34" a="1"/>
  <c r="E68" i="35" a="1"/>
  <c r="D65" i="34" a="1"/>
  <c r="J65" i="34" a="1"/>
  <c r="K98" i="35" l="1"/>
  <c r="K90" i="35"/>
  <c r="J56" i="35"/>
  <c r="J52" i="35"/>
  <c r="I58" i="35"/>
  <c r="I54" i="35"/>
  <c r="L90" i="35"/>
  <c r="L94" i="35"/>
  <c r="H15" i="34"/>
  <c r="J16" i="34"/>
  <c r="J20" i="34"/>
  <c r="H39" i="34"/>
  <c r="K46" i="35"/>
  <c r="J46" i="35"/>
  <c r="H10" i="35"/>
  <c r="I12" i="35"/>
  <c r="H16" i="34"/>
  <c r="H20" i="34"/>
  <c r="H19" i="34"/>
  <c r="I136" i="36"/>
  <c r="J6" i="36"/>
  <c r="K58" i="35"/>
  <c r="H14" i="35"/>
  <c r="J54"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E23" i="35"/>
  <c r="D23" i="35"/>
  <c r="M63" i="35"/>
  <c r="C66" i="35"/>
  <c r="G71" i="35"/>
  <c r="G23" i="35"/>
  <c r="F62" i="35"/>
  <c r="N62" i="35"/>
  <c r="P62" i="35"/>
  <c r="O64" i="35"/>
  <c r="H64" i="35"/>
  <c r="P63" i="35"/>
  <c r="D66" i="35"/>
  <c r="J63" i="35"/>
  <c r="F68" i="35"/>
  <c r="I24" i="35"/>
  <c r="G24" i="35"/>
  <c r="I128" i="35"/>
  <c r="J6" i="35"/>
  <c r="H71" i="34"/>
  <c r="I71" i="34"/>
  <c r="F68" i="34"/>
  <c r="C70" i="34"/>
  <c r="I66" i="34"/>
  <c r="K65" i="34"/>
  <c r="K63" i="34"/>
  <c r="G62" i="34"/>
  <c r="I23" i="34"/>
  <c r="J24" i="34"/>
  <c r="C22" i="34"/>
  <c r="I68" i="34"/>
  <c r="K70" i="34"/>
  <c r="J70" i="34"/>
  <c r="G71" i="34"/>
  <c r="F62" i="34"/>
  <c r="K64" i="34"/>
  <c r="H63" i="34"/>
  <c r="D64" i="34"/>
  <c r="C24" i="34"/>
  <c r="D24" i="34"/>
  <c r="H24" i="34"/>
  <c r="D68" i="34"/>
  <c r="E68" i="34"/>
  <c r="C71" i="34"/>
  <c r="E70" i="34"/>
  <c r="D71" i="34"/>
  <c r="D65"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G22" i="34"/>
  <c r="F24" i="34"/>
  <c r="L68" i="34"/>
  <c r="F70" i="34"/>
  <c r="G66" i="34"/>
  <c r="C63" i="34"/>
  <c r="J66" i="34"/>
  <c r="F66" i="34"/>
  <c r="C66" i="34"/>
  <c r="C23" i="34"/>
  <c r="J22" i="34"/>
  <c r="E22" i="34"/>
  <c r="G23" i="34"/>
  <c r="O68" i="34"/>
  <c r="H68" i="34"/>
  <c r="I70" i="34"/>
  <c r="G70" i="34"/>
  <c r="J71" i="34"/>
  <c r="D63" i="34"/>
  <c r="I64" i="34"/>
  <c r="K66" i="34"/>
  <c r="G63" i="34"/>
  <c r="C62" i="34"/>
  <c r="O66" i="34"/>
  <c r="L66" i="34"/>
  <c r="F23" i="34"/>
  <c r="E23" i="34"/>
  <c r="D62" i="34"/>
  <c r="E63" i="34"/>
  <c r="K68" i="34"/>
  <c r="J68" i="34"/>
  <c r="K71" i="34"/>
  <c r="H66" i="34"/>
  <c r="J63" i="34"/>
  <c r="E66" i="34"/>
  <c r="H62" i="34"/>
  <c r="J62" i="34"/>
  <c r="K62" i="34"/>
  <c r="I63" i="34"/>
  <c r="H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F28" i="34" a="1"/>
  <c r="H26" i="35" a="1"/>
  <c r="J26" i="35" a="1"/>
  <c r="C30" i="35" a="1"/>
  <c r="I34" i="34" a="1"/>
  <c r="G35" i="35" a="1"/>
  <c r="C68" i="37" a="1"/>
  <c r="F34" i="35" a="1"/>
  <c r="I16" i="35" a="1"/>
  <c r="F26" i="35" a="1"/>
  <c r="J50" i="35" a="1"/>
  <c r="N28" i="35" a="1"/>
  <c r="I29" i="34" a="1"/>
  <c r="C35" i="34" a="1"/>
  <c r="C71" i="37" a="1"/>
  <c r="D26" i="34" a="1"/>
  <c r="G28" i="34" a="1"/>
  <c r="E27" i="35" a="1"/>
  <c r="I10" i="35" a="1"/>
  <c r="J26" i="34" a="1"/>
  <c r="K50" i="35" a="1"/>
  <c r="I35" i="34" a="1"/>
  <c r="I26" i="34" a="1"/>
  <c r="I18" i="35" a="1"/>
  <c r="D34" i="35" a="1"/>
  <c r="J35" i="34" a="1"/>
  <c r="K54" i="35" a="1"/>
  <c r="F28" i="35" a="1"/>
  <c r="E28" i="34" a="1"/>
  <c r="D29" i="35" a="1"/>
  <c r="M27" i="35" a="1"/>
  <c r="M66" i="35" a="1"/>
  <c r="H22" i="35" a="1"/>
  <c r="D28" i="34" a="1"/>
  <c r="D28" i="35" a="1"/>
  <c r="C27" i="35" a="1"/>
  <c r="J22" i="35" a="1"/>
  <c r="H28" i="35" a="1"/>
  <c r="J27" i="35" a="1"/>
  <c r="N26" i="35" a="1"/>
  <c r="M26" i="35" a="1"/>
  <c r="I32" i="34" a="1"/>
  <c r="M68" i="35" a="1"/>
  <c r="I27" i="34" a="1"/>
  <c r="E35" i="35" a="1"/>
  <c r="G34" i="34" a="1"/>
  <c r="G29" i="35" a="1"/>
  <c r="I28" i="34" a="1"/>
  <c r="E30" i="35" a="1"/>
  <c r="M28" i="35" a="1"/>
  <c r="E35" i="34" a="1"/>
  <c r="C34" i="34" a="1"/>
  <c r="E30" i="34" a="1"/>
  <c r="E34" i="35" a="1"/>
  <c r="D32" i="35" a="1"/>
  <c r="I20" i="35" a="1"/>
  <c r="H27" i="34" a="1"/>
  <c r="I27" i="35" a="1"/>
  <c r="N30" i="34" a="1"/>
  <c r="F30" i="35" a="1"/>
  <c r="E26" i="35" a="1"/>
  <c r="K26" i="35" a="1"/>
  <c r="F26" i="34" a="1"/>
  <c r="H35" i="34" a="1"/>
  <c r="F27" i="35" a="1"/>
  <c r="H34" i="34" a="1"/>
  <c r="C28" i="34" a="1"/>
  <c r="F35" i="35" a="1"/>
  <c r="L26" i="35" a="1"/>
  <c r="N35" i="34" a="1"/>
  <c r="G28" i="35" a="1"/>
  <c r="H30" i="34" a="1"/>
  <c r="K30" i="34" a="1"/>
  <c r="G27" i="34" a="1"/>
  <c r="H28" i="34" a="1"/>
  <c r="C32" i="35" a="1"/>
  <c r="E26" i="34" a="1"/>
  <c r="E29" i="34" a="1"/>
  <c r="I28" i="35" a="1"/>
  <c r="L27" i="35" a="1"/>
  <c r="E27" i="34" a="1"/>
  <c r="J27" i="34" a="1"/>
  <c r="J28" i="34" a="1"/>
  <c r="C29" i="34" a="1"/>
  <c r="H32" i="34" a="1"/>
  <c r="G32" i="34" a="1"/>
  <c r="C70" i="37" a="1"/>
  <c r="F29" i="34" a="1"/>
  <c r="D26" i="35" a="1"/>
  <c r="D27" i="34" a="1"/>
  <c r="C34" i="35" a="1"/>
  <c r="C26" i="34" a="1"/>
  <c r="O27" i="35" a="1"/>
  <c r="J32" i="34" a="1"/>
  <c r="J58" i="35" a="1"/>
  <c r="D30" i="34" a="1"/>
  <c r="F32" i="34" a="1"/>
  <c r="F35" i="34" a="1"/>
  <c r="N27" i="35" a="1"/>
  <c r="K28" i="35" a="1"/>
  <c r="C27" i="34" a="1"/>
  <c r="E32" i="34" a="1"/>
  <c r="G34" i="35" a="1"/>
  <c r="L28" i="35" a="1"/>
  <c r="H27" i="35" a="1"/>
  <c r="D32" i="34" a="1"/>
  <c r="F30" i="34" a="1"/>
  <c r="H18" i="35" a="1"/>
  <c r="C26" i="35" a="1"/>
  <c r="G30" i="35" a="1"/>
  <c r="F32" i="35" a="1"/>
  <c r="G35" i="34" a="1"/>
  <c r="F27" i="34" a="1"/>
  <c r="G26" i="34" a="1"/>
  <c r="D35" i="35" a="1"/>
  <c r="J34" i="34" a="1"/>
  <c r="G29" i="34" a="1"/>
  <c r="C35" i="35" a="1"/>
  <c r="D27" i="35" a="1"/>
  <c r="G26" i="35" a="1"/>
  <c r="D34" i="34" a="1"/>
  <c r="D35" i="34" a="1"/>
  <c r="O28" i="35" a="1"/>
  <c r="C29" i="35" a="1"/>
  <c r="C30" i="34" a="1"/>
  <c r="F34" i="34" a="1"/>
  <c r="O26" i="35" a="1"/>
  <c r="D30" i="35" a="1"/>
  <c r="J30" i="34" a="1"/>
  <c r="G30" i="34" a="1"/>
  <c r="I26" i="35" a="1"/>
  <c r="E28" i="35" a="1"/>
  <c r="J29" i="34" a="1"/>
  <c r="J10" i="35" a="1"/>
  <c r="K27" i="35" a="1"/>
  <c r="K35" i="34" a="1"/>
  <c r="I30" i="34" a="1"/>
  <c r="C28" i="35" a="1"/>
  <c r="F29" i="35" a="1"/>
  <c r="E32" i="35" a="1"/>
  <c r="E34" i="34" a="1"/>
  <c r="E29" i="35" a="1"/>
  <c r="H26" i="34" a="1"/>
  <c r="D29" i="34" a="1"/>
  <c r="H29" i="34" a="1"/>
  <c r="G27" i="35" a="1"/>
  <c r="J28" i="35" a="1"/>
  <c r="M32" i="34" a="1"/>
  <c r="C32" i="34" a="1"/>
  <c r="J58" i="35" l="1"/>
  <c r="J50" i="35"/>
  <c r="I16" i="35"/>
  <c r="I20" i="35"/>
  <c r="H18" i="35"/>
  <c r="H22" i="35"/>
  <c r="K54" i="35"/>
  <c r="K50" i="35"/>
  <c r="I10" i="35"/>
  <c r="J10" i="35"/>
  <c r="C71" i="37"/>
  <c r="C70" i="37"/>
  <c r="C68" i="37"/>
  <c r="J136" i="36"/>
  <c r="K6" i="36"/>
  <c r="I18" i="35"/>
  <c r="M66" i="35"/>
  <c r="M68" i="35"/>
  <c r="J22" i="35"/>
  <c r="N116" i="35"/>
  <c r="N111" i="35"/>
  <c r="D32" i="35"/>
  <c r="G28" i="35"/>
  <c r="N26" i="35"/>
  <c r="F29" i="35"/>
  <c r="O26" i="35"/>
  <c r="E30" i="35"/>
  <c r="E29" i="35"/>
  <c r="E32" i="35"/>
  <c r="M28" i="35"/>
  <c r="G34" i="35"/>
  <c r="F26" i="35"/>
  <c r="K28" i="35"/>
  <c r="E28"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F30" i="34"/>
  <c r="H26" i="34"/>
  <c r="C35" i="34"/>
  <c r="H30" i="34"/>
  <c r="G35" i="34"/>
  <c r="H27" i="34"/>
  <c r="I35" i="34"/>
  <c r="C30" i="34"/>
  <c r="E27" i="34"/>
  <c r="G29" i="34"/>
  <c r="D34" i="34"/>
  <c r="E26" i="34"/>
  <c r="J26" i="34"/>
  <c r="J35" i="34"/>
  <c r="F27" i="34"/>
  <c r="F34" i="34"/>
  <c r="D35" i="34"/>
  <c r="D28" i="34"/>
  <c r="F35" i="34"/>
  <c r="C26" i="34"/>
  <c r="J30" i="34"/>
  <c r="H34" i="34"/>
  <c r="E34" i="34"/>
  <c r="N35" i="34"/>
  <c r="I29" i="34"/>
  <c r="C32" i="34"/>
  <c r="C28" i="34"/>
  <c r="I34" i="34"/>
  <c r="F26" i="34"/>
  <c r="I26" i="34"/>
  <c r="H32" i="34"/>
  <c r="H28" i="34"/>
  <c r="F32" i="34"/>
  <c r="E30" i="34"/>
  <c r="J32" i="34"/>
  <c r="E35" i="34"/>
  <c r="E28" i="34"/>
  <c r="F28" i="34"/>
  <c r="D26" i="34"/>
  <c r="G27" i="34"/>
  <c r="J34" i="34"/>
  <c r="J27" i="34"/>
  <c r="D29" i="34"/>
  <c r="G32" i="34"/>
  <c r="D32" i="34"/>
  <c r="G26" i="34"/>
  <c r="I32" i="34"/>
  <c r="C27" i="34"/>
  <c r="M32" i="34"/>
  <c r="I30" i="34"/>
  <c r="E29" i="34"/>
  <c r="G34" i="34"/>
  <c r="K35" i="34"/>
  <c r="D30" i="34"/>
  <c r="G28" i="34"/>
  <c r="I28" i="34"/>
  <c r="C29" i="34"/>
  <c r="J29" i="34"/>
  <c r="I27" i="34"/>
  <c r="D27" i="34"/>
  <c r="K30"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O32" i="28" a="1"/>
  <c r="I14" i="35" a="1"/>
  <c r="I22" i="35" a="1"/>
  <c r="M71" i="35" a="1"/>
  <c r="K32" i="35" a="1"/>
  <c r="J14" i="35" a="1"/>
  <c r="J18" i="35" a="1"/>
  <c r="L30" i="35" a="1"/>
  <c r="I14" i="35" l="1"/>
  <c r="I22" i="35"/>
  <c r="J14" i="35"/>
  <c r="J18" i="35"/>
  <c r="K136" i="36"/>
  <c r="L6" i="36"/>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35" i="35" a="1"/>
  <c r="L136" i="36" l="1"/>
  <c r="M6" i="36"/>
  <c r="L35" i="35"/>
  <c r="L128" i="35"/>
  <c r="M6" i="35"/>
  <c r="N136" i="34"/>
  <c r="O6" i="34"/>
  <c r="L141" i="33"/>
  <c r="M6" i="33"/>
  <c r="I141" i="30"/>
  <c r="J6" i="30"/>
  <c r="J128" i="29"/>
  <c r="K6" i="29"/>
  <c r="A58" i="28"/>
  <c r="A59" i="28"/>
  <c r="A60" i="28"/>
  <c r="G141" i="28"/>
  <c r="H6" i="28"/>
  <c r="O64" i="29" a="1"/>
  <c r="M63" i="29" a="1"/>
  <c r="D62" i="29" a="1"/>
  <c r="N64" i="29" a="1"/>
  <c r="P64" i="29" a="1"/>
  <c r="O62" i="29" a="1"/>
  <c r="F63" i="29" a="1"/>
  <c r="P62" i="29" a="1"/>
  <c r="M64" i="29" a="1"/>
  <c r="J64" i="29" a="1"/>
  <c r="G64" i="29" a="1"/>
  <c r="L63" i="29" a="1"/>
  <c r="E63" i="29" a="1"/>
  <c r="N62" i="29" a="1"/>
  <c r="K63" i="29" a="1"/>
  <c r="F64" i="29" a="1"/>
  <c r="M62" i="29" a="1"/>
  <c r="C63" i="29" a="1"/>
  <c r="I64" i="29" a="1"/>
  <c r="E62" i="29" a="1"/>
  <c r="I62" i="29" a="1"/>
  <c r="D63" i="29" a="1"/>
  <c r="K62" i="29" a="1"/>
  <c r="L64" i="29" a="1"/>
  <c r="I63" i="29" a="1"/>
  <c r="P63" i="29" a="1"/>
  <c r="F62" i="29" a="1"/>
  <c r="H62" i="29" a="1"/>
  <c r="O63" i="29" a="1"/>
  <c r="D64" i="29" a="1"/>
  <c r="J63" i="29" a="1"/>
  <c r="E64" i="29" a="1"/>
  <c r="G62" i="29" a="1"/>
  <c r="C64" i="29" a="1"/>
  <c r="H64" i="29" a="1"/>
  <c r="G63" i="29" a="1"/>
  <c r="K64" i="29" a="1"/>
  <c r="H63" i="29" a="1"/>
  <c r="C62" i="29" a="1"/>
  <c r="L62" i="29" a="1"/>
  <c r="J62" i="29" a="1"/>
  <c r="N63"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F27" i="29" a="1"/>
  <c r="E27" i="29" a="1"/>
  <c r="O28" i="29" a="1"/>
  <c r="I28" i="29" a="1"/>
  <c r="F26" i="29" a="1"/>
  <c r="H26" i="29" a="1"/>
  <c r="E26" i="29" a="1"/>
  <c r="H27" i="29" a="1"/>
  <c r="O27" i="29" a="1"/>
  <c r="E28" i="29" a="1"/>
  <c r="L27" i="29" a="1"/>
  <c r="M28" i="29" a="1"/>
  <c r="D27" i="29" a="1"/>
  <c r="J26" i="29" a="1"/>
  <c r="L26" i="29" a="1"/>
  <c r="N27" i="29" a="1"/>
  <c r="N28" i="29" a="1"/>
  <c r="K27" i="29" a="1"/>
  <c r="C28" i="29" a="1"/>
  <c r="C26" i="29" a="1"/>
  <c r="D26" i="29" a="1"/>
  <c r="J27" i="29" a="1"/>
  <c r="I27" i="29" a="1"/>
  <c r="F28" i="29" a="1"/>
  <c r="K26" i="29" a="1"/>
  <c r="G26" i="29" a="1"/>
  <c r="H28" i="29" a="1"/>
  <c r="I26" i="29" a="1"/>
  <c r="C27" i="29" a="1"/>
  <c r="O26" i="29" a="1"/>
  <c r="G27" i="29" a="1"/>
  <c r="K28" i="29" a="1"/>
  <c r="M27" i="29" a="1"/>
  <c r="J28" i="29" a="1"/>
  <c r="N26" i="29" a="1"/>
  <c r="G28" i="29" a="1"/>
  <c r="M26" i="29" a="1"/>
  <c r="D28"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P70" i="29" a="1"/>
  <c r="P48" i="29" a="1"/>
  <c r="O66" i="29" a="1"/>
  <c r="D46" i="29" a="1"/>
  <c r="O70" i="29" a="1"/>
  <c r="D48" i="29" a="1"/>
  <c r="O65"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F86" i="29"/>
  <c r="G87" i="29"/>
  <c r="Q86" i="29"/>
  <c r="F88" i="29"/>
  <c r="Q106" i="29"/>
  <c r="I87" i="29"/>
  <c r="P86" i="29"/>
  <c r="Q105" i="29"/>
  <c r="F65" i="29" a="1"/>
  <c r="H47" i="29" a="1"/>
  <c r="O48" i="29" a="1"/>
  <c r="P71" i="29" a="1"/>
  <c r="P60" i="29" a="1"/>
  <c r="H48" i="29" a="1"/>
  <c r="D60" i="29" a="1"/>
  <c r="F71" i="29" a="1"/>
  <c r="F70" i="29" a="1"/>
  <c r="F47" i="29" a="1"/>
  <c r="O68" i="30" a="1"/>
  <c r="O71" i="29" a="1"/>
  <c r="G47" i="29" a="1"/>
  <c r="P52" i="29" a="1"/>
  <c r="C48" i="29" a="1"/>
  <c r="P56" i="29" a="1"/>
  <c r="N29" i="29" a="1"/>
  <c r="E48" i="29" a="1"/>
  <c r="C10" i="29" a="1"/>
  <c r="N30" i="29" a="1"/>
  <c r="E46" i="29" a="1"/>
  <c r="D54" i="29" a="1"/>
  <c r="E47" i="29" a="1"/>
  <c r="C47" i="29" a="1"/>
  <c r="D50" i="29" a="1"/>
  <c r="F46" i="29" a="1"/>
  <c r="O46" i="29" a="1"/>
  <c r="H70" i="29" a="1"/>
  <c r="P46" i="29" a="1"/>
  <c r="D47" i="29" a="1"/>
  <c r="G48" i="29" a="1"/>
  <c r="O47" i="29" a="1"/>
  <c r="E70" i="29" a="1"/>
  <c r="E66" i="29" a="1"/>
  <c r="G66" i="29" a="1"/>
  <c r="G70" i="29" a="1"/>
  <c r="G68" i="33" a="1"/>
  <c r="O34" i="29" a="1"/>
  <c r="N70" i="29" a="1"/>
  <c r="H65" i="29" a="1"/>
  <c r="P65" i="29" a="1"/>
  <c r="M70" i="29" a="1"/>
  <c r="H46" i="29" a="1"/>
  <c r="F48" i="29" a="1"/>
  <c r="D52" i="29" a="1"/>
  <c r="C46" i="29" a="1"/>
  <c r="O12" i="29" a="1"/>
  <c r="C65" i="29" a="1"/>
  <c r="E68" i="33" a="1"/>
  <c r="C12" i="29" a="1"/>
  <c r="D58" i="29" a="1"/>
  <c r="P66" i="29" a="1"/>
  <c r="P47" i="29" a="1"/>
  <c r="N34" i="29" a="1"/>
  <c r="D56" i="29"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68" i="33" a="1"/>
  <c r="E29" i="29" a="1"/>
  <c r="G46" i="29" a="1"/>
  <c r="D11" i="29" a="1"/>
  <c r="D10" i="29" a="1"/>
  <c r="D34" i="29" a="1"/>
  <c r="P54" i="29" a="1"/>
  <c r="N11" i="29" a="1"/>
  <c r="F59" i="29" a="1"/>
  <c r="O52" i="29" a="1"/>
  <c r="O55" i="29" a="1"/>
  <c r="O35" i="29" a="1"/>
  <c r="C52" i="29" a="1"/>
  <c r="G71" i="29" a="1"/>
  <c r="D70" i="29" a="1"/>
  <c r="C66" i="29" a="1"/>
  <c r="D71" i="29" a="1"/>
  <c r="G59" i="29" a="1"/>
  <c r="G60" i="29" a="1"/>
  <c r="E50" i="29" a="1"/>
  <c r="P51" i="29" a="1"/>
  <c r="G34" i="29" a="1"/>
  <c r="F30" i="29" a="1"/>
  <c r="G52" i="29" a="1"/>
  <c r="E60" i="29" a="1"/>
  <c r="O50" i="29" a="1"/>
  <c r="E54" i="29" a="1"/>
  <c r="E51" i="29" a="1"/>
  <c r="E71" i="29" a="1"/>
  <c r="G68" i="30" a="1"/>
  <c r="O16" i="29" a="1"/>
  <c r="E11" i="29" a="1"/>
  <c r="D55" i="29" a="1"/>
  <c r="M34" i="29" a="1"/>
  <c r="P68" i="30" a="1"/>
  <c r="O51" i="29" a="1"/>
  <c r="G29" i="29" a="1"/>
  <c r="C70" i="29" a="1"/>
  <c r="N12" i="29" a="1"/>
  <c r="C14" i="29" a="1"/>
  <c r="F68" i="33" a="1"/>
  <c r="H59" i="29" a="1"/>
  <c r="F12" i="29" a="1"/>
  <c r="F34" i="29" a="1"/>
  <c r="N35" i="29" a="1"/>
  <c r="C55" i="29" a="1"/>
  <c r="H68" i="33" a="1"/>
  <c r="P59" i="29" a="1"/>
  <c r="F66" i="29" a="1"/>
  <c r="G55" i="29" a="1"/>
  <c r="F52" i="29" a="1"/>
  <c r="D59" i="29" a="1"/>
  <c r="E65" i="29" a="1"/>
  <c r="C51" i="29" a="1"/>
  <c r="G68" i="28" a="1"/>
  <c r="C60" i="29" a="1"/>
  <c r="F55" i="29" a="1"/>
  <c r="H52" i="29" a="1"/>
  <c r="N10" i="29" a="1"/>
  <c r="O56" i="29" a="1"/>
  <c r="O29" i="29" a="1"/>
  <c r="H71" i="29" a="1"/>
  <c r="O10" i="29" a="1"/>
  <c r="H60" i="29" a="1"/>
  <c r="C71" i="29" a="1"/>
  <c r="H56" i="29" a="1"/>
  <c r="H66" i="29" a="1"/>
  <c r="D12" i="29" a="1"/>
  <c r="G56" i="29" a="1"/>
  <c r="O30" i="29" a="1"/>
  <c r="E59" i="29" a="1"/>
  <c r="C11" i="29" a="1"/>
  <c r="L34" i="29" a="1"/>
  <c r="F51" i="29" a="1"/>
  <c r="F54" i="29" a="1"/>
  <c r="C56" i="29" a="1"/>
  <c r="C54" i="29" a="1"/>
  <c r="E10" i="29" a="1"/>
  <c r="O60" i="29" a="1"/>
  <c r="E12" i="29" a="1"/>
  <c r="G51" i="29" a="1"/>
  <c r="H55" i="29" a="1"/>
  <c r="E68" i="28" a="1"/>
  <c r="P50" i="29" a="1"/>
  <c r="E68" i="30" a="1"/>
  <c r="D66" i="29" a="1"/>
  <c r="F60" i="29" a="1"/>
  <c r="O58" i="29" a="1"/>
  <c r="O20" i="29" a="1"/>
  <c r="C24" i="29" a="1"/>
  <c r="E35" i="29" a="1"/>
  <c r="E56" i="29" a="1"/>
  <c r="D30" i="29" a="1"/>
  <c r="O54" i="29" a="1"/>
  <c r="F56" i="29" a="1"/>
  <c r="E34" i="29" a="1"/>
  <c r="C32" i="33" a="1"/>
  <c r="G11" i="29" a="1"/>
  <c r="F50" i="29" a="1"/>
  <c r="E55" i="29" a="1"/>
  <c r="C59" i="29" a="1"/>
  <c r="C22" i="29" a="1"/>
  <c r="P55" i="29" a="1"/>
  <c r="G10" i="29" a="1"/>
  <c r="P58" i="29" a="1"/>
  <c r="H50" i="29" a="1"/>
  <c r="E52" i="29" a="1"/>
  <c r="F58" i="29" a="1"/>
  <c r="O24" i="29" a="1"/>
  <c r="G65" i="29" a="1"/>
  <c r="G12" i="29" a="1"/>
  <c r="C20" i="29" a="1"/>
  <c r="D68" i="33" a="1"/>
  <c r="C18" i="29" a="1"/>
  <c r="H51" i="29" a="1"/>
  <c r="D51" i="29" a="1"/>
  <c r="M32" i="30" a="1"/>
  <c r="E58" i="29" a="1"/>
  <c r="O11" i="29" a="1"/>
  <c r="C50" i="29" a="1"/>
  <c r="H54" i="29" a="1"/>
  <c r="E32" i="33" a="1"/>
  <c r="O59" i="29" a="1"/>
  <c r="D65" i="29" a="1"/>
  <c r="F11" i="29" a="1"/>
  <c r="H58" i="29" a="1"/>
  <c r="C16" i="29" a="1"/>
  <c r="C58"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F24" i="29" a="1"/>
  <c r="H68" i="28" a="1"/>
  <c r="C23" i="29" a="1"/>
  <c r="N15" i="29" a="1"/>
  <c r="N24" i="29" a="1"/>
  <c r="D68" i="30" a="1"/>
  <c r="O23" i="29" a="1"/>
  <c r="D32" i="33" a="1"/>
  <c r="D14" i="29" a="1"/>
  <c r="E30" i="29" a="1"/>
  <c r="D24" i="29" a="1"/>
  <c r="G16" i="29" a="1"/>
  <c r="N32" i="30" a="1"/>
  <c r="F15" i="29" a="1"/>
  <c r="G54" i="29" a="1"/>
  <c r="D20" i="29" a="1"/>
  <c r="D35" i="29" a="1"/>
  <c r="C30" i="29" a="1"/>
  <c r="F10" i="29" a="1"/>
  <c r="N22" i="29" a="1"/>
  <c r="D16" i="29" a="1"/>
  <c r="G14" i="29" a="1"/>
  <c r="F68" i="30" a="1"/>
  <c r="G24" i="29" a="1"/>
  <c r="G35" i="29" a="1"/>
  <c r="O22" i="29" a="1"/>
  <c r="H68" i="30" a="1"/>
  <c r="C35" i="29" a="1"/>
  <c r="G19" i="29" a="1"/>
  <c r="C32" i="30" a="1"/>
  <c r="D15" i="29" a="1"/>
  <c r="E19" i="29" a="1"/>
  <c r="F29" i="29" a="1"/>
  <c r="G15" i="29" a="1"/>
  <c r="D23" i="29" a="1"/>
  <c r="N18" i="29" a="1"/>
  <c r="N14" i="29" a="1"/>
  <c r="C19" i="29" a="1"/>
  <c r="E22" i="29" a="1"/>
  <c r="G23" i="29" a="1"/>
  <c r="D19" i="29" a="1"/>
  <c r="F32" i="33" a="1"/>
  <c r="G30" i="29" a="1"/>
  <c r="E32" i="30" a="1"/>
  <c r="F35" i="29" a="1"/>
  <c r="E14" i="29" a="1"/>
  <c r="E20" i="29" a="1"/>
  <c r="D68" i="28" a="1"/>
  <c r="E24" i="29" a="1"/>
  <c r="N23" i="29" a="1"/>
  <c r="O18" i="29" a="1"/>
  <c r="F20" i="29" a="1"/>
  <c r="O14" i="29" a="1"/>
  <c r="G58" i="29" a="1"/>
  <c r="E32" i="28" a="1"/>
  <c r="D29" i="29" a="1"/>
  <c r="C15" i="29" a="1"/>
  <c r="E18" i="29" a="1"/>
  <c r="O19" i="29" a="1"/>
  <c r="F68" i="28" a="1"/>
  <c r="F16" i="29" a="1"/>
  <c r="G18" i="29" a="1"/>
  <c r="O15" i="29" a="1"/>
  <c r="C34" i="29" a="1"/>
  <c r="E16" i="29" a="1"/>
  <c r="N20" i="29" a="1"/>
  <c r="F19" i="29" a="1"/>
  <c r="N19" i="29" a="1"/>
  <c r="N16" i="29" a="1"/>
  <c r="G22" i="29" a="1"/>
  <c r="D22" i="29" a="1"/>
  <c r="D18" i="29" a="1"/>
  <c r="E15" i="29" a="1"/>
  <c r="C68" i="30" a="1"/>
  <c r="C29" i="29" a="1"/>
  <c r="F23" i="29" a="1"/>
  <c r="E23" i="29" a="1"/>
  <c r="G50" i="29" a="1"/>
  <c r="G20"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32" i="30" a="1"/>
  <c r="F32" i="28" a="1"/>
  <c r="D32" i="28" a="1"/>
  <c r="F18" i="29" a="1"/>
  <c r="F14" i="29" a="1"/>
  <c r="F22" i="29" a="1"/>
  <c r="D32" i="30"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68" i="22" a="1"/>
  <c r="C71" i="22" a="1"/>
  <c r="C70"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1" i="20" a="1"/>
  <c r="C70" i="20" a="1"/>
  <c r="C71" i="19" a="1"/>
  <c r="C70" i="19"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0" i="18" a="1"/>
  <c r="C71"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E124" i="34"/>
  <c r="H122" i="34"/>
  <c r="H123" i="34"/>
  <c r="J125" i="34"/>
  <c r="M128" i="34"/>
  <c r="J122" i="34"/>
  <c r="H124" i="34"/>
  <c r="K125" i="34"/>
  <c r="G123" i="34"/>
  <c r="P128" i="34"/>
  <c r="G122" i="34"/>
  <c r="I122" i="34"/>
  <c r="E133" i="34"/>
  <c r="L133" i="34"/>
  <c r="E125" i="34"/>
  <c r="G133" i="34"/>
  <c r="K124" i="34"/>
  <c r="I123" i="34"/>
  <c r="I125" i="34"/>
  <c r="E123" i="34"/>
  <c r="L124" i="34"/>
  <c r="F123" i="34"/>
  <c r="H128" i="34"/>
  <c r="J127" i="34"/>
  <c r="J138" i="34" s="1"/>
  <c r="I127" i="34"/>
  <c r="I138" i="34" s="1"/>
  <c r="D133" i="34"/>
  <c r="J128" i="34"/>
  <c r="E127" i="34"/>
  <c r="E138" i="34" s="1"/>
  <c r="L125" i="34"/>
  <c r="D125" i="34"/>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N110" i="35" l="1"/>
  <c r="N86" i="34"/>
  <c r="N87" i="34"/>
  <c r="N115" i="33"/>
  <c r="N88" i="35"/>
  <c r="N86" i="35"/>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M48" i="29" a="1"/>
  <c r="M70" i="35" a="1"/>
  <c r="M47" i="34" a="1"/>
  <c r="I48" i="29" a="1"/>
  <c r="I46" i="29" a="1"/>
  <c r="N48" i="29" a="1"/>
  <c r="M46" i="35" a="1"/>
  <c r="N47" i="29" a="1"/>
  <c r="M46" i="34" a="1"/>
  <c r="M48" i="35" a="1"/>
  <c r="L46" i="29" a="1"/>
  <c r="M47" i="29" a="1"/>
  <c r="M70" i="35" l="1"/>
  <c r="N105" i="35"/>
  <c r="M47" i="34"/>
  <c r="M46" i="34"/>
  <c r="N99" i="34"/>
  <c r="N114" i="34"/>
  <c r="N123" i="34" s="1"/>
  <c r="N95" i="34"/>
  <c r="N91" i="34"/>
  <c r="N98" i="34"/>
  <c r="N94" i="34"/>
  <c r="N90" i="34"/>
  <c r="N113" i="34"/>
  <c r="M46" i="35"/>
  <c r="M48" i="35"/>
  <c r="N98" i="35"/>
  <c r="N90" i="35"/>
  <c r="N94" i="35"/>
  <c r="N96" i="35"/>
  <c r="N92" i="35"/>
  <c r="N100" i="35"/>
  <c r="L88" i="29"/>
  <c r="P88" i="34"/>
  <c r="P100" i="34" s="1"/>
  <c r="Q86" i="34"/>
  <c r="Q87" i="34"/>
  <c r="Q86" i="35"/>
  <c r="Q94" i="35" s="1"/>
  <c r="N87" i="35"/>
  <c r="N132" i="35" s="1"/>
  <c r="M86" i="34"/>
  <c r="M98" i="34" s="1"/>
  <c r="P87" i="34"/>
  <c r="P99" i="34" s="1"/>
  <c r="M87" i="34"/>
  <c r="M91" i="34" s="1"/>
  <c r="O87" i="34"/>
  <c r="O95" i="34" s="1"/>
  <c r="P86" i="34"/>
  <c r="P98" i="34" s="1"/>
  <c r="N47" i="29"/>
  <c r="M47" i="29"/>
  <c r="M48" i="29"/>
  <c r="N48" i="29"/>
  <c r="O105" i="29"/>
  <c r="P86" i="35"/>
  <c r="N86" i="29"/>
  <c r="O91" i="29"/>
  <c r="O99" i="29"/>
  <c r="O95" i="29"/>
  <c r="N105" i="29"/>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K10" i="29" a="1"/>
  <c r="N65" i="29" a="1"/>
  <c r="N47" i="34" a="1"/>
  <c r="N51" i="29" a="1"/>
  <c r="L11" i="34" a="1"/>
  <c r="L58" i="29" a="1"/>
  <c r="I58" i="29" a="1"/>
  <c r="K60" i="29" a="1"/>
  <c r="H12" i="29" a="1"/>
  <c r="L51" i="34" a="1"/>
  <c r="M11" i="29" a="1"/>
  <c r="N46" i="29" a="1"/>
  <c r="L10" i="35" a="1"/>
  <c r="O48" i="34" a="1"/>
  <c r="N52" i="29" a="1"/>
  <c r="N60" i="29" a="1"/>
  <c r="M59" i="34" a="1"/>
  <c r="M59" i="29" a="1"/>
  <c r="M12" i="29" a="1"/>
  <c r="I54" i="29" a="1"/>
  <c r="M52" i="35" a="1"/>
  <c r="M58" i="34" a="1"/>
  <c r="O46" i="34" a="1"/>
  <c r="L12" i="35" a="1"/>
  <c r="M54" i="35" a="1"/>
  <c r="M58" i="35" a="1"/>
  <c r="O59" i="34" a="1"/>
  <c r="L10" i="34" a="1"/>
  <c r="H10" i="29" a="1"/>
  <c r="K56" i="29" a="1"/>
  <c r="P47" i="34" a="1"/>
  <c r="O47" i="34" a="1"/>
  <c r="M50" i="34" a="1"/>
  <c r="I52" i="29" a="1"/>
  <c r="L47" i="34" a="1"/>
  <c r="L11" i="29" a="1"/>
  <c r="N55" i="29" a="1"/>
  <c r="L46" i="34" a="1"/>
  <c r="M50" i="35" a="1"/>
  <c r="L34" i="35" a="1"/>
  <c r="K46" i="29" a="1"/>
  <c r="P54" i="35" a="1"/>
  <c r="M65" i="35" a="1"/>
  <c r="I50" i="29" a="1"/>
  <c r="M56" i="35" a="1"/>
  <c r="M55" i="29" a="1"/>
  <c r="P46" i="35" a="1"/>
  <c r="N55" i="34" a="1"/>
  <c r="M47" i="35" a="1"/>
  <c r="M56" i="29" a="1"/>
  <c r="L12" i="29" a="1"/>
  <c r="M54" i="34" a="1"/>
  <c r="M55" i="34" a="1"/>
  <c r="I60" i="29" a="1"/>
  <c r="N56" i="29" a="1"/>
  <c r="O60" i="34" a="1"/>
  <c r="K52" i="29" a="1"/>
  <c r="L50" i="29" a="1"/>
  <c r="K48" i="29" a="1"/>
  <c r="M60" i="29" a="1"/>
  <c r="P46" i="34" a="1"/>
  <c r="L58" i="34" a="1"/>
  <c r="J46" i="29" a="1"/>
  <c r="I56" i="29" a="1"/>
  <c r="N46" i="35" a="1"/>
  <c r="L47" i="29" a="1"/>
  <c r="M51" i="29" a="1"/>
  <c r="M52" i="29" a="1"/>
  <c r="O46" i="35" a="1"/>
  <c r="M51" i="34" a="1"/>
  <c r="M46" i="29" a="1"/>
  <c r="M60" i="35" a="1"/>
  <c r="N59" i="29" a="1"/>
  <c r="M65" i="29" a="1"/>
  <c r="L54" i="29" a="1"/>
  <c r="J48" i="29" a="1"/>
  <c r="O58" i="34" a="1"/>
  <c r="L34" i="35" l="1"/>
  <c r="O91" i="34"/>
  <c r="M51" i="34"/>
  <c r="M55" i="34"/>
  <c r="M50" i="34"/>
  <c r="M59" i="34"/>
  <c r="M54" i="34"/>
  <c r="L10" i="34"/>
  <c r="M58" i="34"/>
  <c r="L11" i="34"/>
  <c r="N122" i="34"/>
  <c r="M60" i="35"/>
  <c r="M56" i="35"/>
  <c r="M54" i="35"/>
  <c r="M50" i="35"/>
  <c r="M58" i="35"/>
  <c r="M52" i="35"/>
  <c r="L12" i="35"/>
  <c r="L10" i="35"/>
  <c r="N83" i="35"/>
  <c r="N117" i="35" s="1"/>
  <c r="N125" i="35" s="1"/>
  <c r="N85" i="35"/>
  <c r="Q98" i="35"/>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P46" i="35"/>
  <c r="N99" i="35"/>
  <c r="N47" i="34"/>
  <c r="L46" i="34"/>
  <c r="O46" i="34"/>
  <c r="O47" i="34"/>
  <c r="L47" i="34"/>
  <c r="O48" i="34"/>
  <c r="O86" i="34"/>
  <c r="O98" i="34" s="1"/>
  <c r="P110" i="34"/>
  <c r="P91" i="34"/>
  <c r="P90" i="34"/>
  <c r="P83" i="34"/>
  <c r="M88" i="34"/>
  <c r="M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N52" i="29"/>
  <c r="M55" i="29"/>
  <c r="M65" i="29"/>
  <c r="M59" i="29"/>
  <c r="N46" i="35"/>
  <c r="O46" i="35"/>
  <c r="N60" i="29"/>
  <c r="N55" i="34"/>
  <c r="M12" i="29"/>
  <c r="M11" i="29"/>
  <c r="M56" i="29"/>
  <c r="N46" i="29"/>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29" i="29"/>
  <c r="O90" i="35"/>
  <c r="O98" i="35"/>
  <c r="O94" i="35"/>
  <c r="P94" i="35"/>
  <c r="P90" i="35"/>
  <c r="P98" i="35"/>
  <c r="O85" i="29"/>
  <c r="O94" i="29"/>
  <c r="O132" i="29"/>
  <c r="O90" i="29"/>
  <c r="O98" i="29"/>
  <c r="O83" i="29"/>
  <c r="O106" i="29"/>
  <c r="N130" i="35"/>
  <c r="N144" i="33" s="1"/>
  <c r="N114" i="35"/>
  <c r="N121" i="35" s="1"/>
  <c r="N129" i="35"/>
  <c r="N145" i="33" s="1"/>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O50" i="34" a="1"/>
  <c r="L18" i="34" a="1"/>
  <c r="L18" i="35" a="1"/>
  <c r="M55" i="35" a="1"/>
  <c r="J50" i="29" a="1"/>
  <c r="N58" i="34" a="1"/>
  <c r="O10" i="35" a="1"/>
  <c r="N10" i="35" a="1"/>
  <c r="L24" i="29" a="1"/>
  <c r="J16" i="29" a="1"/>
  <c r="H16" i="29" a="1"/>
  <c r="K18" i="29" a="1"/>
  <c r="M19" i="34" a="1"/>
  <c r="L10" i="29" a="1"/>
  <c r="L50" i="34" a="1"/>
  <c r="N12" i="34" a="1"/>
  <c r="N58" i="35" a="1"/>
  <c r="L70" i="34" a="1"/>
  <c r="O55" i="34" a="1"/>
  <c r="N22" i="34" a="1"/>
  <c r="M20" i="29" a="1"/>
  <c r="L55" i="34" a="1"/>
  <c r="K10" i="34" a="1"/>
  <c r="L29" i="29" a="1"/>
  <c r="K22" i="29" a="1"/>
  <c r="M23" i="29" a="1"/>
  <c r="H14" i="29" a="1"/>
  <c r="M10" i="35" a="1"/>
  <c r="N10" i="34" a="1"/>
  <c r="J52" i="29" a="1"/>
  <c r="K58" i="29" a="1"/>
  <c r="L48" i="34" a="1"/>
  <c r="M16" i="29" a="1"/>
  <c r="O64" i="34" a="1"/>
  <c r="N24" i="34" a="1"/>
  <c r="O11" i="34" a="1"/>
  <c r="M50" i="29" a="1"/>
  <c r="L54" i="34" a="1"/>
  <c r="M54" i="29" a="1"/>
  <c r="H18" i="29" a="1"/>
  <c r="O70" i="34" a="1"/>
  <c r="K22" i="34" a="1"/>
  <c r="L55" i="29" a="1"/>
  <c r="N66" i="29" a="1"/>
  <c r="N54" i="35" a="1"/>
  <c r="P55" i="34" a="1"/>
  <c r="L23" i="34" a="1"/>
  <c r="M24" i="29" a="1"/>
  <c r="M51" i="35" a="1"/>
  <c r="L51" i="29" a="1"/>
  <c r="L23" i="29" a="1"/>
  <c r="O58" i="35" a="1"/>
  <c r="L22" i="34" a="1"/>
  <c r="P54" i="34" a="1"/>
  <c r="M66" i="29" a="1"/>
  <c r="L59" i="34" a="1"/>
  <c r="L62" i="34" a="1"/>
  <c r="P58" i="35" a="1"/>
  <c r="I10" i="29" a="1"/>
  <c r="L64" i="34" a="1"/>
  <c r="O51" i="34" a="1"/>
  <c r="P58" i="34" a="1"/>
  <c r="L59" i="29" a="1"/>
  <c r="M58" i="29" a="1"/>
  <c r="N51" i="34" a="1"/>
  <c r="L16" i="29" a="1"/>
  <c r="J10" i="29" a="1"/>
  <c r="O54" i="35" a="1"/>
  <c r="O10" i="34" a="1"/>
  <c r="P50" i="35" a="1"/>
  <c r="N54" i="29" a="1"/>
  <c r="L22" i="35" a="1"/>
  <c r="K54" i="29" a="1"/>
  <c r="L15" i="29" a="1"/>
  <c r="O54" i="34" a="1"/>
  <c r="H24" i="29" a="1"/>
  <c r="N23" i="34" a="1"/>
  <c r="M19" i="29" a="1"/>
  <c r="L15" i="34" a="1"/>
  <c r="H22" i="29" a="1"/>
  <c r="I12" i="29" a="1"/>
  <c r="L14" i="35" a="1"/>
  <c r="P59" i="34" a="1"/>
  <c r="L20" i="35" a="1"/>
  <c r="N50" i="29" a="1"/>
  <c r="L19" i="29" a="1"/>
  <c r="L65" i="34" a="1"/>
  <c r="P51" i="34" a="1"/>
  <c r="J12" i="29" a="1"/>
  <c r="N50" i="35" a="1"/>
  <c r="O56" i="34" a="1"/>
  <c r="L16" i="35" a="1"/>
  <c r="O62" i="34" a="1"/>
  <c r="N59" i="34" a="1"/>
  <c r="O65" i="34" a="1"/>
  <c r="J54" i="29" a="1"/>
  <c r="L24" i="35" a="1"/>
  <c r="K50" i="29" a="1"/>
  <c r="M11" i="34" a="1"/>
  <c r="J24" i="29" a="1"/>
  <c r="J56" i="29" a="1"/>
  <c r="O52" i="34" a="1"/>
  <c r="M10" i="29" a="1"/>
  <c r="L20" i="29" a="1"/>
  <c r="J58" i="29" a="1"/>
  <c r="K14" i="29" a="1"/>
  <c r="K15" i="34" a="1"/>
  <c r="J60" i="29" a="1"/>
  <c r="M29" i="29" a="1"/>
  <c r="M59" i="35" a="1"/>
  <c r="P50" i="34" a="1"/>
  <c r="L14" i="34" a="1"/>
  <c r="L11" i="35" a="1"/>
  <c r="K11" i="34" a="1"/>
  <c r="N46" i="34" a="1"/>
  <c r="M15" i="29" a="1"/>
  <c r="L19" i="34" a="1"/>
  <c r="K11" i="29" a="1"/>
  <c r="N58" i="29" a="1"/>
  <c r="O18" i="35" a="1"/>
  <c r="H20" i="29" a="1"/>
  <c r="N11" i="34" a="1"/>
  <c r="J20" i="29" a="1"/>
  <c r="L29" i="35" a="1"/>
  <c r="O50" i="35" a="1"/>
  <c r="N51" i="34" l="1"/>
  <c r="L22" i="34"/>
  <c r="L18" i="34"/>
  <c r="L23" i="34"/>
  <c r="L14" i="34"/>
  <c r="L19" i="34"/>
  <c r="L15" i="34"/>
  <c r="M83" i="34"/>
  <c r="M119" i="34" s="1"/>
  <c r="M132" i="34" s="1"/>
  <c r="M142" i="34"/>
  <c r="L16" i="35"/>
  <c r="L22" i="35"/>
  <c r="L14" i="35"/>
  <c r="L18" i="35"/>
  <c r="L20" i="35"/>
  <c r="L24" i="35"/>
  <c r="P58" i="35"/>
  <c r="M55" i="35"/>
  <c r="M51" i="35"/>
  <c r="P50" i="35"/>
  <c r="M103" i="34"/>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M19" i="34"/>
  <c r="M15" i="29"/>
  <c r="M23" i="29"/>
  <c r="O18" i="35"/>
  <c r="L29" i="29"/>
  <c r="N54" i="35"/>
  <c r="M58" i="29"/>
  <c r="L29" i="35"/>
  <c r="L16" i="29"/>
  <c r="L24" i="29"/>
  <c r="M24" i="29"/>
  <c r="L15" i="29"/>
  <c r="N58" i="29"/>
  <c r="N58" i="35"/>
  <c r="M10" i="29"/>
  <c r="M39" i="29" s="1"/>
  <c r="L19" i="29"/>
  <c r="N108" i="33"/>
  <c r="N108" i="30"/>
  <c r="N111" i="29"/>
  <c r="M75" i="29"/>
  <c r="O108" i="30"/>
  <c r="M101" i="34"/>
  <c r="O111" i="29"/>
  <c r="N144" i="30"/>
  <c r="N144" i="28"/>
  <c r="O144" i="28"/>
  <c r="O144" i="30"/>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L19" i="35" a="1"/>
  <c r="K19" i="29" a="1"/>
  <c r="N15" i="34" a="1"/>
  <c r="M10" i="34" a="1"/>
  <c r="K28" i="34" a="1"/>
  <c r="O22" i="35" a="1"/>
  <c r="I14" i="29" a="1"/>
  <c r="N18" i="35" a="1"/>
  <c r="O14" i="34" a="1"/>
  <c r="N22" i="35" a="1"/>
  <c r="L15" i="35" a="1"/>
  <c r="N54" i="34" a="1"/>
  <c r="O22" i="34" a="1"/>
  <c r="O15" i="34" a="1"/>
  <c r="N19" i="34" a="1"/>
  <c r="M22" i="29" a="1"/>
  <c r="N26" i="34" a="1"/>
  <c r="I24" i="29" a="1"/>
  <c r="M22" i="34" a="1"/>
  <c r="K12" i="34" a="1"/>
  <c r="I20" i="29" a="1"/>
  <c r="N68" i="30" a="1"/>
  <c r="L30" i="29" a="1"/>
  <c r="L18" i="29" a="1"/>
  <c r="M18" i="29" a="1"/>
  <c r="I18" i="29" a="1"/>
  <c r="N71" i="29" a="1"/>
  <c r="I16" i="29" a="1"/>
  <c r="N14" i="35" a="1"/>
  <c r="M71" i="29" a="1"/>
  <c r="K19" i="34" a="1"/>
  <c r="M14" i="29" a="1"/>
  <c r="J14" i="29" a="1"/>
  <c r="N14" i="34" a="1"/>
  <c r="M14" i="35" a="1"/>
  <c r="N16" i="34" a="1"/>
  <c r="M30" i="29" a="1"/>
  <c r="O14" i="35" a="1"/>
  <c r="K18" i="34" a="1"/>
  <c r="J22" i="29" a="1"/>
  <c r="M68" i="33" a="1"/>
  <c r="M68" i="30" a="1"/>
  <c r="N18" i="34" a="1"/>
  <c r="K26" i="34" a="1"/>
  <c r="M22" i="35" a="1"/>
  <c r="M15" i="34" a="1"/>
  <c r="O19" i="34" a="1"/>
  <c r="L52" i="34" a="1"/>
  <c r="K23" i="34" a="1"/>
  <c r="M18" i="35" a="1"/>
  <c r="L23" i="35" a="1"/>
  <c r="L60" i="34" a="1"/>
  <c r="O63" i="34" a="1"/>
  <c r="O18" i="34" a="1"/>
  <c r="L14" i="29" a="1"/>
  <c r="M23" i="34" a="1"/>
  <c r="N20" i="34" a="1"/>
  <c r="J18" i="29" a="1"/>
  <c r="K23" i="29" a="1"/>
  <c r="L22" i="29" a="1"/>
  <c r="N29" i="34" a="1"/>
  <c r="L56" i="34" a="1"/>
  <c r="K15" i="29" a="1"/>
  <c r="N28" i="34" a="1"/>
  <c r="O23" i="34" a="1"/>
  <c r="K29" i="34" a="1"/>
  <c r="I22" i="29" a="1"/>
  <c r="K34" i="34" a="1"/>
  <c r="L63" i="34" a="1"/>
  <c r="N50" i="34" a="1"/>
  <c r="K14" i="34" a="1"/>
  <c r="N34" i="34" a="1"/>
  <c r="M15" i="34" l="1"/>
  <c r="M82" i="34"/>
  <c r="O22" i="35"/>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N117" i="29"/>
  <c r="N125" i="29" s="1"/>
  <c r="R58" i="29"/>
  <c r="R10" i="29"/>
  <c r="R50" i="29"/>
  <c r="K15" i="29"/>
  <c r="I14" i="29"/>
  <c r="I18" i="29"/>
  <c r="I22" i="29"/>
  <c r="J18" i="29"/>
  <c r="I16" i="29"/>
  <c r="I24" i="29"/>
  <c r="K23" i="29"/>
  <c r="I20" i="29"/>
  <c r="J14" i="29"/>
  <c r="K19" i="29"/>
  <c r="J22" i="29"/>
  <c r="R54" i="29"/>
  <c r="M6" i="15"/>
  <c r="L136" i="15"/>
  <c r="N27" i="34" a="1"/>
  <c r="L32" i="30" a="1"/>
  <c r="K16" i="34" a="1"/>
  <c r="K20" i="34" a="1"/>
  <c r="M18" i="34" a="1"/>
  <c r="K24" i="34" a="1"/>
  <c r="L35" i="29" a="1"/>
  <c r="K32" i="33" a="1"/>
  <c r="K27" i="34" a="1"/>
  <c r="M14" i="34" a="1"/>
  <c r="K32" i="30" a="1"/>
  <c r="M35" i="29" a="1"/>
  <c r="K27" i="34" l="1"/>
  <c r="M137" i="34"/>
  <c r="K24" i="34"/>
  <c r="M18" i="34"/>
  <c r="R18" i="34" s="1"/>
  <c r="R54" i="34"/>
  <c r="R15" i="34"/>
  <c r="R23" i="34"/>
  <c r="M14" i="34"/>
  <c r="R14" i="34" s="1"/>
  <c r="K16" i="34"/>
  <c r="K20" i="34"/>
  <c r="R50" i="34"/>
  <c r="R22" i="34"/>
  <c r="R19" i="34"/>
  <c r="N27" i="34"/>
  <c r="L35" i="29"/>
  <c r="K32" i="30"/>
  <c r="L32" i="30"/>
  <c r="K32" i="33"/>
  <c r="M35" i="29"/>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D71" i="36" a="1"/>
  <c r="H65" i="36" a="1"/>
  <c r="D66" i="36" a="1"/>
  <c r="E70" i="36" a="1"/>
  <c r="D70" i="36" a="1"/>
  <c r="F62" i="36" a="1"/>
  <c r="F66" i="36" a="1"/>
  <c r="C65" i="36" a="1"/>
  <c r="C62" i="36" a="1"/>
  <c r="C71" i="36" a="1"/>
  <c r="D64" i="36" a="1"/>
  <c r="E68" i="36" a="1"/>
  <c r="D62" i="36" a="1"/>
  <c r="F64" i="36" a="1"/>
  <c r="F68" i="36" a="1"/>
  <c r="F70" i="36" a="1"/>
  <c r="C66" i="36" a="1"/>
  <c r="H47" i="36" a="1"/>
  <c r="J65" i="36" a="1"/>
  <c r="E62" i="36" a="1"/>
  <c r="H62" i="36" a="1"/>
  <c r="G62" i="36" a="1"/>
  <c r="C64" i="36" a="1"/>
  <c r="C70" i="36" a="1"/>
  <c r="F65" i="36" a="1"/>
  <c r="C68" i="36" a="1"/>
  <c r="E65" i="36" a="1"/>
  <c r="I65" i="36" a="1"/>
  <c r="G64" i="36" a="1"/>
  <c r="D65" i="36" a="1"/>
  <c r="G65" i="36" a="1"/>
  <c r="D68" i="36" a="1"/>
  <c r="H64" i="36" a="1"/>
  <c r="E66" i="36" a="1"/>
  <c r="I64" i="36" a="1"/>
  <c r="E64"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99" i="34"/>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E66" i="15" a="1"/>
  <c r="I65" i="33" a="1"/>
  <c r="I64" i="15" a="1"/>
  <c r="F71" i="36" a="1"/>
  <c r="C68" i="15" a="1"/>
  <c r="D29" i="36" a="1"/>
  <c r="C30" i="36" a="1"/>
  <c r="E70" i="33" a="1"/>
  <c r="D32" i="36" a="1"/>
  <c r="C32" i="36" a="1"/>
  <c r="F70" i="15" a="1"/>
  <c r="C62" i="37" a="1"/>
  <c r="C47" i="34" a="1"/>
  <c r="E26" i="36" a="1"/>
  <c r="C28" i="36" a="1"/>
  <c r="C65" i="33" a="1"/>
  <c r="C64" i="37" a="1"/>
  <c r="H51" i="36" a="1"/>
  <c r="D68" i="29" a="1"/>
  <c r="E64" i="15" a="1"/>
  <c r="H65" i="33" a="1"/>
  <c r="F70" i="33" a="1"/>
  <c r="H55" i="36" a="1"/>
  <c r="C66" i="37" a="1"/>
  <c r="N47" i="36" a="1"/>
  <c r="C62" i="33" a="1"/>
  <c r="F68" i="15" a="1"/>
  <c r="D66" i="33" a="1"/>
  <c r="C71" i="15" a="1"/>
  <c r="F29" i="36" a="1"/>
  <c r="G64" i="33" a="1"/>
  <c r="E66" i="33" a="1"/>
  <c r="F47" i="33" a="1"/>
  <c r="G65" i="33" a="1"/>
  <c r="H59" i="36" a="1"/>
  <c r="F65" i="15" a="1"/>
  <c r="D70" i="15" a="1"/>
  <c r="H28" i="36" a="1"/>
  <c r="D65" i="15" a="1"/>
  <c r="E71" i="15" a="1"/>
  <c r="F66" i="33" a="1"/>
  <c r="C47" i="15" a="1"/>
  <c r="C29" i="36" a="1"/>
  <c r="E46" i="15" a="1"/>
  <c r="D64" i="33" a="1"/>
  <c r="E63" i="36" a="1"/>
  <c r="I29" i="36" a="1"/>
  <c r="C68" i="29" a="1"/>
  <c r="F62" i="15" a="1"/>
  <c r="C66" i="15" a="1"/>
  <c r="D64" i="15" a="1"/>
  <c r="H70" i="36" a="1"/>
  <c r="I64" i="33" a="1"/>
  <c r="J65" i="15" a="1"/>
  <c r="H62" i="33" a="1"/>
  <c r="C70" i="33" a="1"/>
  <c r="G29" i="36" a="1"/>
  <c r="D62" i="15" a="1"/>
  <c r="G63" i="36" a="1"/>
  <c r="C59" i="34" a="1"/>
  <c r="C70" i="15" a="1"/>
  <c r="G70" i="36" a="1"/>
  <c r="N47" i="15" a="1"/>
  <c r="D63" i="36" a="1"/>
  <c r="C26" i="36" a="1"/>
  <c r="I48" i="36" a="1"/>
  <c r="H64" i="33" a="1"/>
  <c r="F62" i="33" a="1"/>
  <c r="E47" i="33" a="1"/>
  <c r="D68" i="15" a="1"/>
  <c r="F28" i="36" a="1"/>
  <c r="E68" i="29" a="1"/>
  <c r="C63" i="36" a="1"/>
  <c r="F71" i="15" a="1"/>
  <c r="F64" i="33" a="1"/>
  <c r="H63" i="36" a="1"/>
  <c r="E71" i="33" a="1"/>
  <c r="D30" i="36" a="1"/>
  <c r="E64" i="33" a="1"/>
  <c r="C34" i="36" a="1"/>
  <c r="F26" i="36" a="1"/>
  <c r="F47" i="36" a="1"/>
  <c r="D26" i="36" a="1"/>
  <c r="E30" i="36" a="1"/>
  <c r="C66" i="33" a="1"/>
  <c r="G26" i="36" a="1"/>
  <c r="D71" i="33" a="1"/>
  <c r="C47" i="36" a="1"/>
  <c r="G64" i="15" a="1"/>
  <c r="C64" i="15" a="1"/>
  <c r="F71" i="33" a="1"/>
  <c r="H65" i="15" a="1"/>
  <c r="D70" i="33" a="1"/>
  <c r="E47" i="36" a="1"/>
  <c r="C51" i="34" a="1"/>
  <c r="C64" i="33" a="1"/>
  <c r="E29" i="36" a="1"/>
  <c r="E70" i="15" a="1"/>
  <c r="C35" i="36" a="1"/>
  <c r="E46" i="33" a="1"/>
  <c r="D62" i="33" a="1"/>
  <c r="F66" i="15" a="1"/>
  <c r="I65" i="15" a="1"/>
  <c r="H62" i="15" a="1"/>
  <c r="H47" i="37" a="1"/>
  <c r="G11" i="36" a="1"/>
  <c r="C65" i="37" a="1"/>
  <c r="E34" i="36" a="1"/>
  <c r="C62" i="15" a="1"/>
  <c r="E62" i="33" a="1"/>
  <c r="F64" i="15" a="1"/>
  <c r="E28" i="36" a="1"/>
  <c r="E71" i="36" a="1"/>
  <c r="C65" i="15" a="1"/>
  <c r="G28" i="36" a="1"/>
  <c r="G62" i="15" a="1"/>
  <c r="D34" i="36" a="1"/>
  <c r="D66" i="15" a="1"/>
  <c r="D28" i="36" a="1"/>
  <c r="G62" i="33" a="1"/>
  <c r="F47" i="15" a="1"/>
  <c r="C71" i="33" a="1"/>
  <c r="E47" i="15" a="1"/>
  <c r="E68" i="15" a="1"/>
  <c r="H64" i="15" a="1"/>
  <c r="G65" i="15" a="1"/>
  <c r="H29" i="36" a="1"/>
  <c r="E46" i="36" a="1"/>
  <c r="D65" i="33" a="1"/>
  <c r="E65" i="33" a="1"/>
  <c r="D71" i="15" a="1"/>
  <c r="F68" i="29" a="1"/>
  <c r="E62" i="15" a="1"/>
  <c r="E65" i="15" a="1"/>
  <c r="F65" i="33" a="1"/>
  <c r="F63" i="36" a="1"/>
  <c r="K84" i="30" l="1"/>
  <c r="E84" i="28"/>
  <c r="D95" i="34"/>
  <c r="R95" i="34" s="1"/>
  <c r="F84" i="30"/>
  <c r="D87" i="33"/>
  <c r="D119" i="33" s="1"/>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113" i="34"/>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115" i="34"/>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6" i="33"/>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C55" i="34" a="1"/>
  <c r="H12" i="36" a="1"/>
  <c r="D66" i="28" a="1"/>
  <c r="G15" i="36" a="1"/>
  <c r="H63" i="33" a="1"/>
  <c r="E30" i="33" a="1"/>
  <c r="E65" i="28" a="1"/>
  <c r="C55" i="36" a="1"/>
  <c r="E55" i="33" a="1"/>
  <c r="C62" i="30" a="1"/>
  <c r="G23" i="36" a="1"/>
  <c r="H28" i="33" a="1"/>
  <c r="C29" i="15" a="1"/>
  <c r="C51" i="15" a="1"/>
  <c r="C35" i="15" a="1"/>
  <c r="G29" i="33" a="1"/>
  <c r="H64" i="37" a="1"/>
  <c r="E59" i="15" a="1"/>
  <c r="C46" i="34" a="1"/>
  <c r="I56" i="36" a="1"/>
  <c r="G65" i="30" a="1"/>
  <c r="E54" i="36" a="1"/>
  <c r="F26" i="15" a="1"/>
  <c r="H64" i="30" a="1"/>
  <c r="C47" i="22" a="1"/>
  <c r="I60" i="36" a="1"/>
  <c r="H62" i="37" a="1"/>
  <c r="G28" i="15" a="1"/>
  <c r="O47" i="15" a="1"/>
  <c r="D30" i="33" a="1"/>
  <c r="N55" i="15" a="1"/>
  <c r="C48" i="34" a="1"/>
  <c r="D63" i="33" a="1"/>
  <c r="F47" i="37" a="1"/>
  <c r="E27" i="36" a="1"/>
  <c r="F62" i="37" a="1"/>
  <c r="D65" i="30" a="1"/>
  <c r="N47" i="28" a="1"/>
  <c r="H63" i="15" a="1"/>
  <c r="E64" i="30" a="1"/>
  <c r="F64" i="30" a="1"/>
  <c r="E62" i="30" a="1"/>
  <c r="F70" i="30" a="1"/>
  <c r="C64" i="30" a="1"/>
  <c r="N59" i="15" a="1"/>
  <c r="H29" i="33" a="1"/>
  <c r="G48" i="36" a="1"/>
  <c r="E59" i="33" a="1"/>
  <c r="E70" i="28" a="1"/>
  <c r="D71" i="28" a="1"/>
  <c r="F59" i="33" a="1"/>
  <c r="F51" i="33" a="1"/>
  <c r="E28" i="33" a="1"/>
  <c r="N55" i="28" a="1"/>
  <c r="F66" i="30" a="1"/>
  <c r="C32" i="29" a="1"/>
  <c r="C47" i="19" a="1"/>
  <c r="N47" i="37" a="1"/>
  <c r="E46" i="28" a="1"/>
  <c r="C66" i="30" a="1"/>
  <c r="E66" i="28" a="1"/>
  <c r="E35" i="15" a="1"/>
  <c r="C30" i="33" a="1"/>
  <c r="G26" i="15" a="1"/>
  <c r="E35" i="33" a="1"/>
  <c r="D29" i="15" a="1"/>
  <c r="C47" i="33" a="1"/>
  <c r="E65" i="30" a="1"/>
  <c r="C65" i="22" a="1"/>
  <c r="I29" i="15" a="1"/>
  <c r="C71" i="30" a="1"/>
  <c r="E46" i="37" a="1"/>
  <c r="C47" i="37" a="1"/>
  <c r="F62" i="28" a="1"/>
  <c r="E66" i="30" a="1"/>
  <c r="C26" i="33" a="1"/>
  <c r="C26" i="15" a="1"/>
  <c r="D66" i="30" a="1"/>
  <c r="E28" i="15" a="1"/>
  <c r="F46" i="15" a="1"/>
  <c r="D11" i="36" a="1"/>
  <c r="C47" i="30" a="1"/>
  <c r="C34" i="15" a="1"/>
  <c r="D47" i="33" a="1"/>
  <c r="E47" i="30" a="1"/>
  <c r="D28" i="33" a="1"/>
  <c r="E26" i="15" a="1"/>
  <c r="D64" i="30" a="1"/>
  <c r="F66" i="28" a="1"/>
  <c r="F48" i="33" a="1"/>
  <c r="F55" i="15" a="1"/>
  <c r="D26" i="33" a="1"/>
  <c r="D27" i="36" a="1"/>
  <c r="D48" i="15" a="1"/>
  <c r="D32" i="29" a="1"/>
  <c r="H62" i="28" a="1"/>
  <c r="E54" i="15" a="1"/>
  <c r="E11" i="33" a="1"/>
  <c r="C63" i="37" a="1"/>
  <c r="D35" i="36" a="1"/>
  <c r="D30" i="15" a="1"/>
  <c r="E58" i="36" a="1"/>
  <c r="C63" i="15" a="1"/>
  <c r="E46" i="30" a="1"/>
  <c r="F34" i="36" a="1"/>
  <c r="C46" i="36" a="1"/>
  <c r="H64" i="28" a="1"/>
  <c r="F62" i="30" a="1"/>
  <c r="E59" i="28" a="1"/>
  <c r="G62" i="37" a="1"/>
  <c r="E62" i="28" a="1"/>
  <c r="F64" i="37" a="1"/>
  <c r="E50" i="36" a="1"/>
  <c r="D35" i="33" a="1"/>
  <c r="G63" i="33" a="1"/>
  <c r="E62" i="37" a="1"/>
  <c r="D70" i="30" a="1"/>
  <c r="C59" i="15" a="1"/>
  <c r="E51" i="36" a="1"/>
  <c r="F63" i="33" a="1"/>
  <c r="C28" i="15" a="1"/>
  <c r="C66" i="22" a="1"/>
  <c r="C48" i="15" a="1"/>
  <c r="G62" i="30" a="1"/>
  <c r="H55" i="37" a="1"/>
  <c r="C62" i="22" a="1"/>
  <c r="C46" i="15" a="1"/>
  <c r="G64" i="37" a="1"/>
  <c r="I52" i="36" a="1"/>
  <c r="C64" i="22" a="1"/>
  <c r="E63" i="37" a="1"/>
  <c r="G63" i="15" a="1"/>
  <c r="G65" i="28" a="1"/>
  <c r="E51" i="33" a="1"/>
  <c r="C35" i="33" a="1"/>
  <c r="E55" i="15" a="1"/>
  <c r="F47" i="28" a="1"/>
  <c r="F46" i="33" a="1"/>
  <c r="M11" i="36" a="1"/>
  <c r="D65" i="28" a="1"/>
  <c r="E63" i="15" a="1"/>
  <c r="D71" i="30" a="1"/>
  <c r="E50" i="15" a="1"/>
  <c r="G19" i="36" a="1"/>
  <c r="G34" i="36" a="1"/>
  <c r="E47" i="22" a="1"/>
  <c r="H28" i="15" a="1"/>
  <c r="E71" i="30" a="1"/>
  <c r="N47" i="30" a="1"/>
  <c r="F27" i="36" a="1"/>
  <c r="G27" i="36" a="1"/>
  <c r="N59" i="36" a="1"/>
  <c r="F65" i="30" a="1"/>
  <c r="I48" i="37" a="1"/>
  <c r="D10" i="33" a="1"/>
  <c r="C27" i="36" a="1"/>
  <c r="C51" i="36" a="1"/>
  <c r="G62" i="28" a="1"/>
  <c r="C59" i="36" a="1"/>
  <c r="E29" i="15" a="1"/>
  <c r="E65" i="37" a="1"/>
  <c r="J65" i="33" a="1"/>
  <c r="F48" i="15" a="1"/>
  <c r="D10" i="36" a="1"/>
  <c r="D62" i="37" a="1"/>
  <c r="C34" i="33" a="1"/>
  <c r="F59" i="15" a="1"/>
  <c r="G63" i="37" a="1"/>
  <c r="D34" i="15" a="1"/>
  <c r="F29" i="15" a="1"/>
  <c r="E30" i="15" a="1"/>
  <c r="D35" i="15" a="1"/>
  <c r="C30" i="15" a="1"/>
  <c r="D63" i="37" a="1"/>
  <c r="D28" i="15" a="1"/>
  <c r="E58" i="33" a="1"/>
  <c r="F59" i="36" a="1"/>
  <c r="F51" i="36" a="1"/>
  <c r="H29" i="15" a="1"/>
  <c r="F51" i="15" a="1"/>
  <c r="E58" i="15" a="1"/>
  <c r="C47" i="18" a="1"/>
  <c r="E11" i="15" a="1"/>
  <c r="J65" i="30" a="1"/>
  <c r="H65" i="37" a="1"/>
  <c r="G64" i="28" a="1"/>
  <c r="E70" i="30" a="1"/>
  <c r="D62" i="30" a="1"/>
  <c r="M11" i="15" a="1"/>
  <c r="F48" i="36" a="1"/>
  <c r="F70" i="28" a="1"/>
  <c r="E47" i="37" a="1"/>
  <c r="E34" i="15" a="1"/>
  <c r="C47" i="20" a="1"/>
  <c r="F55" i="36" a="1"/>
  <c r="D65" i="37" a="1"/>
  <c r="C29" i="33" a="1"/>
  <c r="C32" i="15" a="1"/>
  <c r="D29" i="33" a="1"/>
  <c r="E64" i="28" a="1"/>
  <c r="E64" i="37" a="1"/>
  <c r="F63" i="37" a="1"/>
  <c r="E71" i="28" a="1"/>
  <c r="D32" i="15" a="1"/>
  <c r="E59" i="36" a="1"/>
  <c r="F71" i="30" a="1"/>
  <c r="F64" i="28" a="1"/>
  <c r="O47" i="36" a="1"/>
  <c r="D63" i="15" a="1"/>
  <c r="E48" i="36" a="1"/>
  <c r="I48" i="15" a="1"/>
  <c r="D10" i="15" a="1"/>
  <c r="C48" i="36" a="1"/>
  <c r="D34" i="33" a="1"/>
  <c r="F65" i="37" a="1"/>
  <c r="N51" i="36" a="1"/>
  <c r="G48" i="15" a="1"/>
  <c r="G65" i="37" a="1"/>
  <c r="H63" i="37" a="1"/>
  <c r="D47" i="36" a="1"/>
  <c r="G28" i="33" a="1"/>
  <c r="N51" i="15" a="1"/>
  <c r="D64" i="37" a="1"/>
  <c r="F65" i="28" a="1"/>
  <c r="D47" i="15" a="1"/>
  <c r="F55" i="33" a="1"/>
  <c r="D64" i="28" a="1"/>
  <c r="C65" i="30" a="1"/>
  <c r="G11" i="37" a="1"/>
  <c r="F28" i="33" a="1"/>
  <c r="E63" i="33" a="1"/>
  <c r="E48" i="15" a="1"/>
  <c r="C70" i="30" a="1"/>
  <c r="G29" i="15" a="1"/>
  <c r="E51" i="15" a="1"/>
  <c r="E26" i="33" a="1"/>
  <c r="H59" i="37" a="1"/>
  <c r="D48" i="36" a="1"/>
  <c r="I65" i="28" a="1"/>
  <c r="D11" i="15" a="1"/>
  <c r="F63" i="15" a="1"/>
  <c r="F29" i="33" a="1"/>
  <c r="E55" i="36" a="1"/>
  <c r="G64" i="30" a="1"/>
  <c r="F47" i="30" a="1"/>
  <c r="E34" i="33" a="1"/>
  <c r="F28" i="15" a="1"/>
  <c r="F26" i="33" a="1"/>
  <c r="F71" i="28" a="1"/>
  <c r="E29" i="33" a="1"/>
  <c r="E47" i="28" a="1"/>
  <c r="I65" i="30" a="1"/>
  <c r="E50" i="33" a="1"/>
  <c r="F46" i="36" a="1"/>
  <c r="E54" i="33" a="1"/>
  <c r="H65" i="28" a="1"/>
  <c r="H51" i="37" a="1"/>
  <c r="H65" i="30" a="1"/>
  <c r="H62" i="30" a="1"/>
  <c r="E35" i="36" a="1"/>
  <c r="G26" i="33" a="1"/>
  <c r="D48" i="33" a="1"/>
  <c r="G48" i="33" a="1"/>
  <c r="C28" i="33" a="1"/>
  <c r="D11" i="33" a="1"/>
  <c r="I64" i="28" a="1"/>
  <c r="I64" i="30" a="1"/>
  <c r="E11" i="36" a="1"/>
  <c r="C46" i="33" a="1"/>
  <c r="I47" i="36" a="1"/>
  <c r="D26" i="15" a="1"/>
  <c r="D62" i="28" a="1"/>
  <c r="C55" i="15" a="1"/>
  <c r="D70" i="28" a="1"/>
  <c r="N55" i="36" a="1"/>
  <c r="D95" i="33" l="1"/>
  <c r="D99" i="33"/>
  <c r="D91" i="33"/>
  <c r="D100" i="34"/>
  <c r="D83" i="34"/>
  <c r="D119" i="34" s="1"/>
  <c r="D132" i="34" s="1"/>
  <c r="D142" i="34"/>
  <c r="D128" i="33"/>
  <c r="R84" i="28"/>
  <c r="C47" i="33"/>
  <c r="C55" i="34"/>
  <c r="G149" i="33"/>
  <c r="D92" i="34"/>
  <c r="D98" i="34"/>
  <c r="D96" i="34"/>
  <c r="D90" i="34"/>
  <c r="D94" i="34"/>
  <c r="R94" i="34" s="1"/>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E96" i="22" s="1"/>
  <c r="D101" i="37"/>
  <c r="H120" i="37"/>
  <c r="H133" i="37" s="1"/>
  <c r="H116" i="37"/>
  <c r="E121" i="28"/>
  <c r="E130" i="28" s="1"/>
  <c r="D35" i="33"/>
  <c r="E35" i="33"/>
  <c r="C35" i="33"/>
  <c r="R98" i="34"/>
  <c r="R90" i="34"/>
  <c r="F88" i="33"/>
  <c r="D47" i="33"/>
  <c r="C28" i="33"/>
  <c r="G29" i="33"/>
  <c r="D63" i="33"/>
  <c r="G63" i="33"/>
  <c r="E50" i="33"/>
  <c r="J65" i="33"/>
  <c r="D29" i="33"/>
  <c r="H29" i="33"/>
  <c r="E54" i="33"/>
  <c r="F59" i="33"/>
  <c r="E59" i="33"/>
  <c r="H28" i="33"/>
  <c r="D48" i="33"/>
  <c r="E58" i="33"/>
  <c r="J65" i="30"/>
  <c r="C34" i="33"/>
  <c r="D26" i="33"/>
  <c r="C46" i="33"/>
  <c r="C26" i="33"/>
  <c r="D10" i="33"/>
  <c r="D30" i="33"/>
  <c r="E28" i="33"/>
  <c r="E26" i="33"/>
  <c r="G48" i="33"/>
  <c r="D11" i="33"/>
  <c r="F46" i="33"/>
  <c r="E63" i="33"/>
  <c r="F55" i="33"/>
  <c r="E55" i="33"/>
  <c r="F26" i="33"/>
  <c r="E29" i="33"/>
  <c r="E34" i="33"/>
  <c r="G28" i="33"/>
  <c r="D34" i="33"/>
  <c r="F48" i="33"/>
  <c r="E51" i="33"/>
  <c r="E30" i="33"/>
  <c r="E11" i="33"/>
  <c r="C29" i="33"/>
  <c r="H63" i="33"/>
  <c r="F63" i="33"/>
  <c r="F51" i="33"/>
  <c r="G26" i="33"/>
  <c r="D28" i="33"/>
  <c r="C30" i="33"/>
  <c r="F28" i="33"/>
  <c r="F29" i="33"/>
  <c r="E91" i="33"/>
  <c r="E99" i="33"/>
  <c r="E119" i="33"/>
  <c r="E95" i="33"/>
  <c r="I130" i="30"/>
  <c r="H101" i="33"/>
  <c r="D130" i="30"/>
  <c r="E120" i="33"/>
  <c r="E100" i="33"/>
  <c r="E92" i="33"/>
  <c r="E96" i="33"/>
  <c r="E101" i="33"/>
  <c r="D118"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F122" i="15"/>
  <c r="F127" i="33" s="1"/>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G27" i="33" a="1"/>
  <c r="M23" i="15" a="1"/>
  <c r="C46" i="22" a="1"/>
  <c r="D22" i="33" a="1"/>
  <c r="D48" i="30" a="1"/>
  <c r="O51" i="15" a="1"/>
  <c r="C51" i="18" a="1"/>
  <c r="D56" i="15" a="1"/>
  <c r="O55" i="15" a="1"/>
  <c r="O47" i="37" a="1"/>
  <c r="N11" i="15" a="1"/>
  <c r="D30" i="28" a="1"/>
  <c r="L47" i="15" a="1"/>
  <c r="C66" i="20" a="1"/>
  <c r="D47" i="19" a="1"/>
  <c r="D28" i="28" a="1"/>
  <c r="E27" i="33" a="1"/>
  <c r="C63" i="18" a="1"/>
  <c r="F56" i="36" a="1"/>
  <c r="F46" i="30" a="1"/>
  <c r="E48" i="37" a="1"/>
  <c r="C52" i="34" a="1"/>
  <c r="G48" i="30" a="1"/>
  <c r="H28" i="28" a="1"/>
  <c r="G47" i="15" a="1"/>
  <c r="N59" i="37" a="1"/>
  <c r="C11" i="36" a="1"/>
  <c r="N51" i="37" a="1"/>
  <c r="H48" i="33" a="1"/>
  <c r="E28" i="30" a="1"/>
  <c r="F48" i="37" a="1"/>
  <c r="C62" i="18" a="1"/>
  <c r="H12" i="15" a="1"/>
  <c r="G56" i="15" a="1"/>
  <c r="D29" i="28" a="1"/>
  <c r="O59" i="36" a="1"/>
  <c r="D26" i="28" a="1"/>
  <c r="C66" i="19" a="1"/>
  <c r="D26" i="30" a="1"/>
  <c r="C12" i="15" a="1"/>
  <c r="G23" i="37" a="1"/>
  <c r="G19" i="37" a="1"/>
  <c r="F58" i="15" a="1"/>
  <c r="E12" i="15" a="1"/>
  <c r="F26" i="30" a="1"/>
  <c r="G28" i="37" a="1"/>
  <c r="G60" i="28" a="1"/>
  <c r="E12" i="33" a="1"/>
  <c r="F54" i="36" a="1"/>
  <c r="F60" i="15" a="1"/>
  <c r="C51" i="22" a="1"/>
  <c r="E54" i="28" a="1"/>
  <c r="E63" i="28" a="1"/>
  <c r="C51" i="30" a="1"/>
  <c r="G48" i="37" a="1"/>
  <c r="I68" i="36" a="1"/>
  <c r="M11" i="30" a="1"/>
  <c r="D60" i="28" a="1"/>
  <c r="D47" i="30" a="1"/>
  <c r="E27" i="37" a="1"/>
  <c r="F58" i="33" a="1"/>
  <c r="C12" i="33" a="1"/>
  <c r="F46" i="28" a="1"/>
  <c r="I59" i="36" a="1"/>
  <c r="E15" i="33" a="1"/>
  <c r="C48" i="30" a="1"/>
  <c r="F54" i="28" a="1"/>
  <c r="E50" i="30" a="1"/>
  <c r="E56" i="15" a="1"/>
  <c r="D18" i="36" a="1"/>
  <c r="I46" i="36" a="1"/>
  <c r="C54" i="15" a="1"/>
  <c r="G27" i="15" a="1"/>
  <c r="G52" i="36" a="1"/>
  <c r="D11" i="28" a="1"/>
  <c r="D46" i="15" a="1"/>
  <c r="I55" i="36" a="1"/>
  <c r="C65" i="19" a="1"/>
  <c r="C50" i="15" a="1"/>
  <c r="D59" i="33" a="1"/>
  <c r="I48" i="30" a="1"/>
  <c r="E34" i="28" a="1"/>
  <c r="C46" i="37" a="1"/>
  <c r="H24" i="36" a="1"/>
  <c r="C29" i="30" a="1"/>
  <c r="O47" i="30" a="1"/>
  <c r="C58" i="33" a="1"/>
  <c r="E60" i="36" a="1"/>
  <c r="N59" i="28" a="1"/>
  <c r="G52" i="15" a="1"/>
  <c r="C11" i="15" a="1"/>
  <c r="M11" i="37" a="1"/>
  <c r="F27" i="15" a="1"/>
  <c r="G28" i="28" a="1"/>
  <c r="H20" i="36" a="1"/>
  <c r="F27" i="33" a="1"/>
  <c r="F52" i="33" a="1"/>
  <c r="E10" i="36" a="1"/>
  <c r="D60" i="36" a="1"/>
  <c r="D23" i="33" a="1"/>
  <c r="D29" i="37" a="1"/>
  <c r="F56" i="15" a="1"/>
  <c r="H48" i="36" a="1"/>
  <c r="F60" i="33" a="1"/>
  <c r="I29" i="33" a="1"/>
  <c r="H16" i="36" a="1"/>
  <c r="E59" i="30" a="1"/>
  <c r="E58" i="28" a="1"/>
  <c r="I66" i="36" a="1"/>
  <c r="E10" i="33" a="1"/>
  <c r="G29" i="28" a="1"/>
  <c r="H47" i="33" a="1"/>
  <c r="C46" i="30" a="1"/>
  <c r="D22" i="36" a="1"/>
  <c r="H63" i="30" a="1"/>
  <c r="C28" i="30" a="1"/>
  <c r="G48" i="28" a="1"/>
  <c r="F28" i="28" a="1"/>
  <c r="D52" i="36" a="1"/>
  <c r="N55" i="37" a="1"/>
  <c r="I63" i="33" a="1"/>
  <c r="C51" i="19" a="1"/>
  <c r="D48" i="22" a="1"/>
  <c r="F51" i="37" a="1"/>
  <c r="H12" i="37" a="1"/>
  <c r="F59" i="28" a="1"/>
  <c r="G46" i="36" a="1"/>
  <c r="D63" i="30" a="1"/>
  <c r="E29" i="28" a="1"/>
  <c r="C26" i="37" a="1"/>
  <c r="G56" i="36" a="1"/>
  <c r="E51" i="30" a="1"/>
  <c r="C51" i="37" a="1"/>
  <c r="C54" i="36" a="1"/>
  <c r="E19" i="33" a="1"/>
  <c r="F58" i="36" a="1"/>
  <c r="D55" i="33" a="1"/>
  <c r="D10" i="37" a="1"/>
  <c r="C30" i="30" a="1"/>
  <c r="E26" i="37" a="1"/>
  <c r="F26" i="28" a="1"/>
  <c r="G28" i="30" a="1"/>
  <c r="D60" i="33" a="1"/>
  <c r="C48" i="19" a="1"/>
  <c r="F50" i="15" a="1"/>
  <c r="D51" i="15" a="1"/>
  <c r="D15" i="15" a="1"/>
  <c r="F27" i="37" a="1"/>
  <c r="D52" i="33" a="1"/>
  <c r="C56" i="15" a="1"/>
  <c r="N11" i="36" a="1"/>
  <c r="E50" i="37" a="1"/>
  <c r="L47" i="36" a="1"/>
  <c r="E19" i="36" a="1"/>
  <c r="E10" i="15" a="1"/>
  <c r="H29" i="28" a="1"/>
  <c r="D48" i="20" a="1"/>
  <c r="H47" i="15" a="1"/>
  <c r="M19" i="28" a="1"/>
  <c r="I48" i="28" a="1"/>
  <c r="N55" i="30" a="1"/>
  <c r="I62" i="36" a="1"/>
  <c r="O47" i="28" a="1"/>
  <c r="G63" i="30" a="1"/>
  <c r="F50" i="36" a="1"/>
  <c r="G26" i="37" a="1"/>
  <c r="C63" i="33" a="1"/>
  <c r="N51" i="30" a="1"/>
  <c r="N59" i="30" a="1"/>
  <c r="I60" i="15" a="1"/>
  <c r="F56" i="33" a="1"/>
  <c r="E15" i="15" a="1"/>
  <c r="G52" i="33" a="1"/>
  <c r="E63" i="30" a="1"/>
  <c r="C63" i="30" a="1"/>
  <c r="F51" i="30" a="1"/>
  <c r="E52" i="15" a="1"/>
  <c r="E50" i="28" a="1"/>
  <c r="C52" i="15" a="1"/>
  <c r="I47" i="37" a="1"/>
  <c r="D29" i="30" a="1"/>
  <c r="C62" i="19" a="1"/>
  <c r="C46" i="20" a="1"/>
  <c r="C59" i="19" a="1"/>
  <c r="F28" i="37" a="1"/>
  <c r="C48" i="18" a="1"/>
  <c r="C58" i="34" a="1"/>
  <c r="C51" i="33" a="1"/>
  <c r="C48" i="22" a="1"/>
  <c r="C58" i="15" a="1"/>
  <c r="H46" i="15" a="1"/>
  <c r="D60" i="15" a="1"/>
  <c r="G26" i="30" a="1"/>
  <c r="C48" i="37" a="1"/>
  <c r="D26" i="37" a="1"/>
  <c r="C46" i="18" a="1"/>
  <c r="C54" i="33" a="1"/>
  <c r="D46" i="36" a="1"/>
  <c r="C55" i="19" a="1"/>
  <c r="F54" i="33" a="1"/>
  <c r="G47" i="33" a="1"/>
  <c r="F63" i="30" a="1"/>
  <c r="F48" i="28" a="1"/>
  <c r="D12" i="36" a="1"/>
  <c r="I46" i="15" a="1"/>
  <c r="I63" i="15" a="1"/>
  <c r="F29" i="37" a="1"/>
  <c r="D10" i="30" a="1"/>
  <c r="D48" i="37" a="1"/>
  <c r="G15" i="37" a="1"/>
  <c r="F12" i="15" a="1"/>
  <c r="D27" i="15" a="1"/>
  <c r="C54" i="34" a="1"/>
  <c r="D23" i="15" a="1"/>
  <c r="D11" i="22" a="1"/>
  <c r="E54" i="37" a="1"/>
  <c r="G26" i="28" a="1"/>
  <c r="C59" i="18" a="1"/>
  <c r="F51" i="28" a="1"/>
  <c r="E52" i="36" a="1"/>
  <c r="C50" i="33" a="1"/>
  <c r="C29" i="37" a="1"/>
  <c r="G56" i="33" a="1"/>
  <c r="C26" i="30" a="1"/>
  <c r="G47" i="36" a="1"/>
  <c r="G68" i="36" a="1"/>
  <c r="D56" i="33" a="1"/>
  <c r="H29" i="30" a="1"/>
  <c r="C55" i="30" a="1"/>
  <c r="D63" i="28" a="1"/>
  <c r="D15" i="36" a="1"/>
  <c r="D27" i="37" a="1"/>
  <c r="I60" i="37" a="1"/>
  <c r="C28" i="37" a="1"/>
  <c r="F46" i="37" a="1"/>
  <c r="E58" i="37" a="1"/>
  <c r="C60" i="34" a="1"/>
  <c r="E11" i="30" a="1"/>
  <c r="C55" i="22" a="1"/>
  <c r="F29" i="28" a="1"/>
  <c r="D14" i="15" a="1"/>
  <c r="D48" i="28" a="1"/>
  <c r="D28" i="30" a="1"/>
  <c r="E27" i="15" a="1"/>
  <c r="H46" i="33" a="1"/>
  <c r="F28" i="30" a="1"/>
  <c r="F47" i="22" a="1"/>
  <c r="D59" i="36" a="1"/>
  <c r="C12" i="36" a="1"/>
  <c r="D51" i="33" a="1"/>
  <c r="D55" i="36" a="1"/>
  <c r="D11" i="37" a="1"/>
  <c r="C65" i="18" a="1"/>
  <c r="I60" i="28" a="1"/>
  <c r="E48" i="28" a="1"/>
  <c r="G46" i="15" a="1"/>
  <c r="E58" i="30" a="1"/>
  <c r="E26" i="30" a="1"/>
  <c r="H63" i="28" a="1"/>
  <c r="F50" i="33" a="1"/>
  <c r="E55" i="37" a="1"/>
  <c r="C58" i="36" a="1"/>
  <c r="I56" i="37" a="1"/>
  <c r="C62" i="20" a="1"/>
  <c r="C59" i="33" a="1"/>
  <c r="M15" i="15" a="1"/>
  <c r="M11" i="28" a="1"/>
  <c r="F55" i="30" a="1"/>
  <c r="C34" i="30" a="1"/>
  <c r="J65" i="28" a="1"/>
  <c r="O59" i="15" a="1"/>
  <c r="G60" i="15" a="1"/>
  <c r="G29" i="37" a="1"/>
  <c r="D19" i="33" a="1"/>
  <c r="E51" i="22" a="1"/>
  <c r="C55" i="33" a="1"/>
  <c r="F54" i="15" a="1"/>
  <c r="H28" i="30" a="1"/>
  <c r="I51" i="36" a="1"/>
  <c r="C59" i="30" a="1"/>
  <c r="E48" i="33" a="1"/>
  <c r="E55" i="30" a="1"/>
  <c r="E34" i="30" a="1"/>
  <c r="H11" i="36" a="1"/>
  <c r="D30" i="30" a="1"/>
  <c r="E11" i="37" a="1"/>
  <c r="D11" i="30" a="1"/>
  <c r="D14" i="33" a="1"/>
  <c r="C59" i="37" a="1"/>
  <c r="C60" i="15" a="1"/>
  <c r="C50" i="36" a="1"/>
  <c r="M19" i="15" a="1"/>
  <c r="D52" i="15" a="1"/>
  <c r="D59" i="15" a="1"/>
  <c r="C60" i="36" a="1"/>
  <c r="C64" i="18" a="1"/>
  <c r="H46" i="36" a="1"/>
  <c r="E59" i="22" a="1"/>
  <c r="C56" i="34" a="1"/>
  <c r="E15" i="36" a="1"/>
  <c r="E28" i="28" a="1"/>
  <c r="E23" i="33" a="1"/>
  <c r="M23" i="36" a="1"/>
  <c r="D47" i="28" a="1"/>
  <c r="I52" i="37" a="1"/>
  <c r="C59" i="22" a="1"/>
  <c r="C48" i="33" a="1"/>
  <c r="D23" i="36" a="1"/>
  <c r="C27" i="37" a="1"/>
  <c r="D35" i="28" a="1"/>
  <c r="C48" i="20" a="1"/>
  <c r="C66" i="18" a="1"/>
  <c r="F26" i="37" a="1"/>
  <c r="D34" i="28" a="1"/>
  <c r="D15" i="33" a="1"/>
  <c r="E29" i="30" a="1"/>
  <c r="D22" i="15" a="1"/>
  <c r="D56" i="22" a="1"/>
  <c r="C11" i="33" a="1"/>
  <c r="C64" i="19" a="1"/>
  <c r="E55" i="22" a="1"/>
  <c r="D47" i="18" a="1"/>
  <c r="D56" i="36" a="1"/>
  <c r="G60" i="36" a="1"/>
  <c r="E29" i="37" a="1"/>
  <c r="F63" i="28" a="1"/>
  <c r="F55" i="28" a="1"/>
  <c r="F59" i="30" a="1"/>
  <c r="E23" i="36" a="1"/>
  <c r="G63" i="28" a="1"/>
  <c r="E12" i="36" a="1"/>
  <c r="G27" i="37" a="1"/>
  <c r="F12" i="33" a="1"/>
  <c r="D27" i="33" a="1"/>
  <c r="G29" i="30" a="1"/>
  <c r="E48" i="22" a="1"/>
  <c r="F52" i="36" a="1"/>
  <c r="E55" i="28" a="1"/>
  <c r="C56" i="36" a="1"/>
  <c r="E11" i="28" a="1"/>
  <c r="D28" i="37" a="1"/>
  <c r="O55" i="36" a="1"/>
  <c r="E48" i="30" a="1"/>
  <c r="I62" i="15" a="1"/>
  <c r="D18" i="33" a="1"/>
  <c r="I46" i="33" a="1"/>
  <c r="D47" i="22" a="1"/>
  <c r="C63" i="22" a="1"/>
  <c r="F12" i="36" a="1"/>
  <c r="C65" i="20" a="1"/>
  <c r="D19" i="36" a="1"/>
  <c r="E51" i="28" a="1"/>
  <c r="C64" i="20" a="1"/>
  <c r="I52" i="15" a="1"/>
  <c r="I70" i="36" a="1"/>
  <c r="E26" i="28" a="1"/>
  <c r="N51" i="28" a="1"/>
  <c r="C55" i="18" a="1"/>
  <c r="E59" i="37" a="1"/>
  <c r="C56" i="22" a="1"/>
  <c r="E56" i="36" a="1"/>
  <c r="I56" i="15" a="1"/>
  <c r="D19" i="15" a="1"/>
  <c r="F59" i="37" a="1"/>
  <c r="E51" i="37" a="1"/>
  <c r="C46" i="19" a="1"/>
  <c r="M19" i="36" a="1"/>
  <c r="D51" i="36" a="1"/>
  <c r="E23" i="15" a="1"/>
  <c r="C63" i="20" a="1"/>
  <c r="C63" i="19" a="1"/>
  <c r="F52" i="15" a="1"/>
  <c r="E19" i="15" a="1"/>
  <c r="E28" i="37" a="1"/>
  <c r="C27" i="15" a="1"/>
  <c r="C60" i="18" a="1"/>
  <c r="M15" i="36" a="1"/>
  <c r="I29" i="30" a="1"/>
  <c r="D47" i="37" a="1"/>
  <c r="C55" i="37" a="1"/>
  <c r="E35" i="30" a="1"/>
  <c r="H48" i="15" a="1"/>
  <c r="G60" i="33" a="1"/>
  <c r="C35" i="30" a="1"/>
  <c r="E54" i="30" a="1"/>
  <c r="F29" i="30" a="1"/>
  <c r="F55" i="37" a="1"/>
  <c r="D23" i="28" a="1"/>
  <c r="D18" i="15" a="1"/>
  <c r="E30" i="30" a="1"/>
  <c r="C27" i="33" a="1"/>
  <c r="D12" i="15" a="1"/>
  <c r="E30" i="28" a="1"/>
  <c r="E35" i="28" a="1"/>
  <c r="D35" i="30" a="1"/>
  <c r="F60" i="36" a="1"/>
  <c r="F48" i="30" a="1"/>
  <c r="D34" i="30" a="1"/>
  <c r="C52" i="36" a="1"/>
  <c r="C50" i="34" a="1"/>
  <c r="G46" i="33" a="1"/>
  <c r="O51" i="36" a="1"/>
  <c r="D55" i="15" a="1"/>
  <c r="H68" i="36" a="1"/>
  <c r="D10" i="28" a="1"/>
  <c r="E60" i="15" a="1"/>
  <c r="D14" i="36" a="1"/>
  <c r="D82" i="34" l="1"/>
  <c r="C55" i="33"/>
  <c r="D83" i="33"/>
  <c r="D124" i="33" s="1"/>
  <c r="D137" i="33" s="1"/>
  <c r="D96" i="33"/>
  <c r="C59" i="33"/>
  <c r="C51" i="33"/>
  <c r="C60" i="34"/>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94" i="22" s="1"/>
  <c r="E131" i="36"/>
  <c r="F131" i="36" s="1"/>
  <c r="G131" i="36" s="1"/>
  <c r="H131" i="36" s="1"/>
  <c r="I131" i="36" s="1"/>
  <c r="J131" i="36" s="1"/>
  <c r="E86" i="37"/>
  <c r="E131" i="37" s="1"/>
  <c r="E113" i="36"/>
  <c r="E83" i="36"/>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E27" i="33"/>
  <c r="D15" i="33"/>
  <c r="E23" i="33"/>
  <c r="G47" i="33"/>
  <c r="F58" i="33"/>
  <c r="G27" i="33"/>
  <c r="D19" i="33"/>
  <c r="D18"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F129" i="30"/>
  <c r="H119" i="33"/>
  <c r="H95" i="33"/>
  <c r="H91" i="33"/>
  <c r="H99" i="33"/>
  <c r="P128" i="30"/>
  <c r="G127" i="30"/>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G54" i="15" a="1"/>
  <c r="I52" i="30" a="1"/>
  <c r="H48" i="30" a="1"/>
  <c r="G58" i="36" a="1"/>
  <c r="F11" i="36" a="1"/>
  <c r="D22" i="37" a="1"/>
  <c r="I58" i="33" a="1"/>
  <c r="F52" i="28" a="1"/>
  <c r="C24" i="15" a="1"/>
  <c r="G51" i="36" a="1"/>
  <c r="D55" i="30" a="1"/>
  <c r="H27" i="15" a="1"/>
  <c r="O55" i="37" a="1"/>
  <c r="I66" i="15" a="1"/>
  <c r="C10" i="15" a="1"/>
  <c r="C11" i="30" a="1"/>
  <c r="H46" i="28" a="1"/>
  <c r="H71" i="33" a="1"/>
  <c r="I56" i="30" a="1"/>
  <c r="D52" i="22" a="1"/>
  <c r="C15" i="33" a="1"/>
  <c r="E60" i="37" a="1"/>
  <c r="D18" i="30" a="1"/>
  <c r="E22" i="15" a="1"/>
  <c r="H34" i="36" a="1"/>
  <c r="D55" i="22" a="1"/>
  <c r="E56" i="33" a="1"/>
  <c r="E14" i="15" a="1"/>
  <c r="G70" i="15" a="1"/>
  <c r="D56" i="37" a="1"/>
  <c r="G66" i="36" a="1"/>
  <c r="E24" i="36" a="1"/>
  <c r="M19" i="30" a="1"/>
  <c r="F16" i="33" a="1"/>
  <c r="F27" i="30" a="1"/>
  <c r="O59" i="37" a="1"/>
  <c r="I62" i="30" a="1"/>
  <c r="D50" i="33" a="1"/>
  <c r="G70" i="33" a="1"/>
  <c r="C56" i="20" a="1"/>
  <c r="G56" i="28" a="1"/>
  <c r="H52" i="33" a="1"/>
  <c r="F16" i="36" a="1"/>
  <c r="L55" i="36" a="1"/>
  <c r="C52" i="33" a="1"/>
  <c r="F16" i="15" a="1"/>
  <c r="G52" i="28" a="1"/>
  <c r="H27" i="33" a="1"/>
  <c r="G71" i="33" a="1"/>
  <c r="K11" i="36" a="1"/>
  <c r="D24" i="36" a="1"/>
  <c r="D55" i="19" a="1"/>
  <c r="F12" i="30" a="1"/>
  <c r="H59" i="33" a="1"/>
  <c r="G55" i="33" a="1"/>
  <c r="M23" i="37" a="1"/>
  <c r="C19" i="15" a="1"/>
  <c r="E20" i="15" a="1"/>
  <c r="F56" i="37" a="1"/>
  <c r="E22" i="36" a="1"/>
  <c r="D24" i="15" a="1"/>
  <c r="C27" i="30" a="1"/>
  <c r="H24" i="28" a="1"/>
  <c r="F60" i="28" a="1"/>
  <c r="G46" i="28" a="1"/>
  <c r="G56" i="30" a="1"/>
  <c r="C54" i="30" a="1"/>
  <c r="F24" i="28" a="1"/>
  <c r="F24" i="36" a="1"/>
  <c r="F20" i="36" a="1"/>
  <c r="N23" i="36" a="1"/>
  <c r="E19" i="37" a="1"/>
  <c r="O51" i="28" a="1"/>
  <c r="E15" i="28" a="1"/>
  <c r="G59" i="33" a="1"/>
  <c r="H23" i="36" a="1"/>
  <c r="D46" i="30" a="1"/>
  <c r="G51" i="15" a="1"/>
  <c r="D19" i="28" a="1"/>
  <c r="I46" i="37" a="1"/>
  <c r="H60" i="15" a="1"/>
  <c r="C52" i="19" a="1"/>
  <c r="E56" i="30" a="1"/>
  <c r="D46" i="22" a="1"/>
  <c r="D58" i="36" a="1"/>
  <c r="F48" i="22" a="1"/>
  <c r="I58" i="36" a="1"/>
  <c r="H10" i="15" a="1"/>
  <c r="E10" i="37" a="1"/>
  <c r="C68" i="18" a="1"/>
  <c r="C56" i="37" a="1"/>
  <c r="H48" i="28" a="1"/>
  <c r="H11" i="37" a="1"/>
  <c r="H58" i="36" a="1"/>
  <c r="C56" i="33" a="1"/>
  <c r="D14" i="37" a="1"/>
  <c r="F32" i="36" a="1"/>
  <c r="I50" i="33" a="1"/>
  <c r="G50" i="15" a="1"/>
  <c r="N11" i="30" a="1"/>
  <c r="M15" i="28" a="1"/>
  <c r="D51" i="18" a="1"/>
  <c r="H52" i="15" a="1"/>
  <c r="D55" i="37" a="1"/>
  <c r="G10" i="15" a="1"/>
  <c r="D15" i="28" a="1"/>
  <c r="C68" i="19" a="1"/>
  <c r="H19" i="36" a="1"/>
  <c r="D20" i="15" a="1"/>
  <c r="C11" i="19" a="1"/>
  <c r="E46" i="22" a="1"/>
  <c r="D59" i="28" a="1"/>
  <c r="I52" i="28" a="1"/>
  <c r="D14" i="30" a="1"/>
  <c r="H20" i="15" a="1"/>
  <c r="E12" i="28" a="1"/>
  <c r="L47" i="30" a="1"/>
  <c r="G60" i="30" a="1"/>
  <c r="E18" i="36" a="1"/>
  <c r="E18" i="28" a="1"/>
  <c r="C11" i="37" a="1"/>
  <c r="F54" i="30" a="1"/>
  <c r="I58" i="15" a="1"/>
  <c r="G54" i="36" a="1"/>
  <c r="G50" i="36" a="1"/>
  <c r="H47" i="28" a="1"/>
  <c r="C24" i="33" a="1"/>
  <c r="G52" i="30" a="1"/>
  <c r="H16" i="15" a="1"/>
  <c r="D27" i="28" a="1"/>
  <c r="D56" i="28" a="1"/>
  <c r="C52" i="18" a="1"/>
  <c r="H59" i="15" a="1"/>
  <c r="F52" i="30" a="1"/>
  <c r="F24" i="15" a="1"/>
  <c r="H58" i="33" a="1"/>
  <c r="L51" i="36" a="1"/>
  <c r="E22" i="33" a="1"/>
  <c r="F24" i="33" a="1"/>
  <c r="N23" i="15" a="1"/>
  <c r="L47" i="28" a="1"/>
  <c r="I54" i="36" a="1"/>
  <c r="G56" i="37" a="1"/>
  <c r="E15" i="37" a="1"/>
  <c r="C20" i="15" a="1"/>
  <c r="H12" i="28" a="1"/>
  <c r="F50" i="37" a="1"/>
  <c r="I54" i="28" a="1"/>
  <c r="D16" i="15" a="1"/>
  <c r="F12" i="28" a="1"/>
  <c r="L47" i="37" a="1"/>
  <c r="H51" i="33" a="1"/>
  <c r="D51" i="30" a="1"/>
  <c r="G68" i="29" a="1"/>
  <c r="D12" i="37" a="1"/>
  <c r="E19" i="30" a="1"/>
  <c r="I51" i="37" a="1"/>
  <c r="E18" i="33" a="1"/>
  <c r="E24" i="33" a="1"/>
  <c r="I29" i="28" a="1"/>
  <c r="E52" i="30" a="1"/>
  <c r="D56" i="20" a="1"/>
  <c r="I46" i="30" a="1"/>
  <c r="D52" i="20" a="1"/>
  <c r="D18" i="37" a="1"/>
  <c r="E60" i="30" a="1"/>
  <c r="H50" i="15" a="1"/>
  <c r="D55" i="18" a="1"/>
  <c r="H60" i="36" a="1"/>
  <c r="H68" i="29" a="1"/>
  <c r="I66" i="33" a="1"/>
  <c r="D59" i="18" a="1"/>
  <c r="C60" i="33" a="1"/>
  <c r="H56" i="33" a="1"/>
  <c r="E56" i="28" a="1"/>
  <c r="D54" i="36" a="1"/>
  <c r="D46" i="28" a="1"/>
  <c r="D15" i="37" a="1"/>
  <c r="G68" i="15" a="1"/>
  <c r="E48" i="20" a="1"/>
  <c r="I62" i="33" a="1"/>
  <c r="E18" i="15" a="1"/>
  <c r="F50" i="30" a="1"/>
  <c r="H56" i="36" a="1"/>
  <c r="D46" i="18" a="1"/>
  <c r="E12" i="30" a="1"/>
  <c r="C52" i="30" a="1"/>
  <c r="H50" i="33" a="1"/>
  <c r="F27" i="28" a="1"/>
  <c r="G58" i="33" a="1"/>
  <c r="C52" i="22" a="1"/>
  <c r="C16" i="15" a="1"/>
  <c r="D52" i="19" a="1"/>
  <c r="D48" i="19" a="1"/>
  <c r="C58" i="19" a="1"/>
  <c r="G55" i="36" a="1"/>
  <c r="D60" i="20" a="1"/>
  <c r="E55" i="19" a="1"/>
  <c r="D12" i="28" a="1"/>
  <c r="G51" i="33" a="1"/>
  <c r="E19" i="28" a="1"/>
  <c r="H60" i="33" a="1"/>
  <c r="D51" i="37" a="1"/>
  <c r="E56" i="37" a="1"/>
  <c r="C23" i="15" a="1"/>
  <c r="H12" i="30" a="1"/>
  <c r="H70" i="33" a="1"/>
  <c r="E20" i="33" a="1"/>
  <c r="F20" i="15" a="1"/>
  <c r="F48" i="20" a="1"/>
  <c r="F58" i="30" a="1"/>
  <c r="H10" i="33" a="1"/>
  <c r="E23" i="28" a="1"/>
  <c r="C58" i="22" a="1"/>
  <c r="O55" i="28" a="1"/>
  <c r="H47" i="30" a="1"/>
  <c r="H66" i="36" a="1"/>
  <c r="D48" i="18" a="1"/>
  <c r="D12" i="22" a="1"/>
  <c r="O59" i="28" a="1"/>
  <c r="H54" i="28" a="1"/>
  <c r="C60" i="19" a="1"/>
  <c r="G12" i="36" a="1"/>
  <c r="F11" i="33" a="1"/>
  <c r="G52" i="37" a="1"/>
  <c r="C20" i="36" a="1"/>
  <c r="F56" i="28" a="1"/>
  <c r="G11" i="33" a="1"/>
  <c r="E56" i="22" a="1"/>
  <c r="G10" i="33" a="1"/>
  <c r="H55" i="15" a="1"/>
  <c r="G47" i="28" a="1"/>
  <c r="I70" i="15" a="1"/>
  <c r="M15" i="37" a="1"/>
  <c r="H54" i="33" a="1"/>
  <c r="F58" i="37" a="1"/>
  <c r="C54" i="22" a="1"/>
  <c r="C68" i="20" a="1"/>
  <c r="F10" i="15" a="1"/>
  <c r="H48" i="37" a="1"/>
  <c r="C54" i="18" a="1"/>
  <c r="H52" i="36" a="1"/>
  <c r="C52" i="37" a="1"/>
  <c r="C12" i="37" a="1"/>
  <c r="H15" i="36" a="1"/>
  <c r="E24" i="15" a="1"/>
  <c r="D19" i="30" a="1"/>
  <c r="E52" i="33" a="1"/>
  <c r="C16" i="36" a="1"/>
  <c r="C50" i="30" a="1"/>
  <c r="E47" i="18" a="1"/>
  <c r="F51" i="22" a="1"/>
  <c r="D19" i="37" a="1"/>
  <c r="F52" i="37" a="1"/>
  <c r="C56" i="18" a="1"/>
  <c r="I54" i="33" a="1"/>
  <c r="E16" i="15" a="1"/>
  <c r="E11" i="22" a="1"/>
  <c r="G27" i="28" a="1"/>
  <c r="C56" i="30" a="1"/>
  <c r="N15" i="36" a="1"/>
  <c r="H50" i="36" a="1"/>
  <c r="G46" i="30" a="1"/>
  <c r="C11" i="22" a="1"/>
  <c r="C12" i="22" a="1"/>
  <c r="O51" i="30" a="1"/>
  <c r="C19" i="36" a="1"/>
  <c r="M15" i="30" a="1"/>
  <c r="G55" i="15" a="1"/>
  <c r="M19" i="37" a="1"/>
  <c r="N11" i="37" a="1"/>
  <c r="E27" i="28" a="1"/>
  <c r="C24" i="36" a="1"/>
  <c r="I54" i="15" a="1"/>
  <c r="I62" i="28" a="1"/>
  <c r="H46" i="37" a="1"/>
  <c r="E60" i="33" a="1"/>
  <c r="I50" i="15" a="1"/>
  <c r="C50" i="37" a="1"/>
  <c r="H24" i="37" a="1"/>
  <c r="D22" i="30" a="1"/>
  <c r="D56" i="30" a="1"/>
  <c r="D60" i="22" a="1"/>
  <c r="H20" i="37" a="1"/>
  <c r="H55" i="33" a="1"/>
  <c r="D59" i="37" a="1"/>
  <c r="D54" i="15" a="1"/>
  <c r="H68" i="15" a="1"/>
  <c r="G54" i="33" a="1"/>
  <c r="E20" i="36" a="1"/>
  <c r="K11" i="15" a="1"/>
  <c r="D52" i="30" a="1"/>
  <c r="H46" i="30" a="1"/>
  <c r="D19" i="22" a="1"/>
  <c r="N19" i="15" a="1"/>
  <c r="H56" i="15" a="1"/>
  <c r="C60" i="30" a="1"/>
  <c r="G59" i="36" a="1"/>
  <c r="D14" i="28" a="1"/>
  <c r="O59" i="30" a="1"/>
  <c r="M23" i="28" a="1"/>
  <c r="D27" i="30" a="1"/>
  <c r="G27" i="30" a="1"/>
  <c r="D56" i="19" a="1"/>
  <c r="D23" i="37" a="1"/>
  <c r="D22" i="28" a="1"/>
  <c r="D23" i="30" a="1"/>
  <c r="D16" i="36" a="1"/>
  <c r="H26" i="15" a="1"/>
  <c r="G59" i="15" a="1"/>
  <c r="D50" i="36" a="1"/>
  <c r="G58" i="15" a="1"/>
  <c r="H70" i="15" a="1"/>
  <c r="C54" i="37" a="1"/>
  <c r="F20" i="33" a="1"/>
  <c r="E60" i="28" a="1"/>
  <c r="D52" i="28" a="1"/>
  <c r="G12" i="33" a="1"/>
  <c r="D58" i="15" a="1"/>
  <c r="M23" i="30" a="1"/>
  <c r="F12" i="37" a="1"/>
  <c r="I50" i="36" a="1"/>
  <c r="C12" i="30" a="1"/>
  <c r="G60" i="37" a="1"/>
  <c r="C12" i="20" a="1"/>
  <c r="E15" i="30" a="1"/>
  <c r="I59" i="37" a="1"/>
  <c r="D59" i="19" a="1"/>
  <c r="D51" i="28" a="1"/>
  <c r="E14" i="33" a="1"/>
  <c r="F10" i="36" a="1"/>
  <c r="L59" i="36" a="1"/>
  <c r="F60" i="30" a="1"/>
  <c r="E16" i="36" a="1"/>
  <c r="C50" i="22" a="1"/>
  <c r="I60" i="30" a="1"/>
  <c r="F55" i="22" a="1"/>
  <c r="N19" i="36" a="1"/>
  <c r="I63" i="36" a="1"/>
  <c r="G10" i="36" a="1"/>
  <c r="G51" i="28" a="1"/>
  <c r="O55" i="30" a="1"/>
  <c r="D46" i="37" a="1"/>
  <c r="G32" i="36" a="1"/>
  <c r="H10" i="36" a="1"/>
  <c r="D54" i="22" a="1"/>
  <c r="F56" i="30" a="1"/>
  <c r="G47" i="37" a="1"/>
  <c r="C54" i="19" a="1"/>
  <c r="G47" i="30" a="1"/>
  <c r="C15" i="36" a="1"/>
  <c r="F50" i="28" a="1"/>
  <c r="C10" i="36" a="1"/>
  <c r="D20" i="36" a="1"/>
  <c r="C58" i="18" a="1"/>
  <c r="E16" i="33" a="1"/>
  <c r="C50" i="18" a="1"/>
  <c r="I63" i="30" a="1"/>
  <c r="E10" i="30" a="1"/>
  <c r="I55" i="37" a="1"/>
  <c r="E12" i="37" a="1"/>
  <c r="D18" i="28" a="1"/>
  <c r="H16" i="37" a="1"/>
  <c r="N11" i="28" a="1"/>
  <c r="D50" i="15" a="1"/>
  <c r="C58" i="37" a="1"/>
  <c r="E27" i="30" a="1"/>
  <c r="I46" i="28" a="1"/>
  <c r="F10" i="33" a="1"/>
  <c r="C60" i="22" a="1"/>
  <c r="E23" i="37" a="1"/>
  <c r="D59" i="30" a="1"/>
  <c r="E52" i="22" a="1"/>
  <c r="D59" i="22" a="1"/>
  <c r="C60" i="20" a="1"/>
  <c r="G47" i="22" a="1"/>
  <c r="F60" i="37" a="1"/>
  <c r="E23" i="30" a="1"/>
  <c r="L59" i="15" a="1"/>
  <c r="C15" i="15" a="1"/>
  <c r="C20" i="22" a="1"/>
  <c r="H26" i="36" a="1"/>
  <c r="G12" i="15" a="1"/>
  <c r="C60" i="37" a="1"/>
  <c r="F59" i="22" a="1"/>
  <c r="C52" i="20" a="1"/>
  <c r="G46" i="37" a="1"/>
  <c r="L55" i="15" a="1"/>
  <c r="D46" i="33" a="1"/>
  <c r="H54" i="15" a="1"/>
  <c r="L51" i="15" a="1"/>
  <c r="I63" i="28" a="1"/>
  <c r="C23" i="33" a="1"/>
  <c r="D60" i="30" a="1"/>
  <c r="D52" i="37" a="1"/>
  <c r="D55" i="28" a="1"/>
  <c r="D15" i="22" a="1"/>
  <c r="E47" i="19" a="1"/>
  <c r="G11" i="15" a="1"/>
  <c r="F54" i="37" a="1"/>
  <c r="E32" i="36" a="1"/>
  <c r="H30" i="36" a="1"/>
  <c r="D51" i="22" a="1"/>
  <c r="C56" i="19" a="1"/>
  <c r="E52" i="28" a="1"/>
  <c r="C16" i="33" a="1"/>
  <c r="E10" i="28" a="1"/>
  <c r="E14" i="36" a="1"/>
  <c r="H54" i="36" a="1"/>
  <c r="H51" i="15" a="1"/>
  <c r="C58" i="30" a="1"/>
  <c r="D15" i="30" a="1"/>
  <c r="D12" i="30" a="1"/>
  <c r="D60" i="37" a="1"/>
  <c r="F11" i="15" a="1"/>
  <c r="H24" i="15" a="1"/>
  <c r="E52" i="37" a="1"/>
  <c r="C50" i="19" a="1"/>
  <c r="C19" i="33" a="1"/>
  <c r="N15" i="15" a="1"/>
  <c r="F58" i="28" a="1"/>
  <c r="C23" i="36" a="1"/>
  <c r="H58" i="15" a="1"/>
  <c r="D51" i="19" a="1"/>
  <c r="D46" i="19" a="1"/>
  <c r="O51" i="37" a="1"/>
  <c r="C11" i="18" a="1"/>
  <c r="G50" i="33" a="1"/>
  <c r="I56" i="28" a="1"/>
  <c r="C20" i="33" a="1"/>
  <c r="D12" i="33" a="1"/>
  <c r="E60" i="22" a="1"/>
  <c r="D23" i="22" a="1"/>
  <c r="E105" i="19" l="1"/>
  <c r="E131" i="19"/>
  <c r="D82" i="33"/>
  <c r="C56" i="33"/>
  <c r="I62" i="30"/>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G59"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F20" i="33"/>
  <c r="C23" i="33"/>
  <c r="H60" i="33"/>
  <c r="H58" i="33"/>
  <c r="I54" i="33"/>
  <c r="G11" i="33"/>
  <c r="C15" i="33"/>
  <c r="C16" i="33"/>
  <c r="G70" i="33"/>
  <c r="H52" i="33"/>
  <c r="G50"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G20" i="33" a="1"/>
  <c r="C19" i="30" a="1"/>
  <c r="C22" i="15" a="1"/>
  <c r="F56" i="22" a="1"/>
  <c r="H10" i="28" a="1"/>
  <c r="H50" i="30" a="1"/>
  <c r="H56" i="37" a="1"/>
  <c r="H50" i="37" a="1"/>
  <c r="C15" i="19" a="1"/>
  <c r="F16" i="28" a="1"/>
  <c r="N15" i="30" a="1"/>
  <c r="G30" i="36" a="1"/>
  <c r="F16" i="37" a="1"/>
  <c r="I58" i="30" a="1"/>
  <c r="H16" i="30" a="1"/>
  <c r="D65" i="18" a="1"/>
  <c r="H22" i="15" a="1"/>
  <c r="F14" i="15" a="1"/>
  <c r="D63" i="19" a="1"/>
  <c r="D63" i="18" a="1"/>
  <c r="D50" i="22" a="1"/>
  <c r="I50" i="30" a="1"/>
  <c r="D60" i="19" a="1"/>
  <c r="G48" i="20" a="1"/>
  <c r="G18" i="36" a="1"/>
  <c r="E16" i="30" a="1"/>
  <c r="C20" i="20" a="1"/>
  <c r="D10" i="22" a="1"/>
  <c r="H66" i="33" a="1"/>
  <c r="D63" i="22" a="1"/>
  <c r="H54" i="37" a="1"/>
  <c r="F59" i="18" a="1"/>
  <c r="I54" i="37" a="1"/>
  <c r="F24" i="37" a="1"/>
  <c r="L51" i="37" a="1"/>
  <c r="H26" i="30" a="1"/>
  <c r="F16" i="30" a="1"/>
  <c r="G14" i="15" a="1"/>
  <c r="N15" i="37" a="1"/>
  <c r="H60" i="30" a="1"/>
  <c r="C24" i="30" a="1"/>
  <c r="H56" i="28" a="1"/>
  <c r="F34" i="15" a="1"/>
  <c r="H16" i="28" a="1"/>
  <c r="D20" i="33" a="1"/>
  <c r="C16" i="30" a="1"/>
  <c r="D24" i="37" a="1"/>
  <c r="F60" i="22" a="1"/>
  <c r="E54" i="22" a="1"/>
  <c r="C15" i="37" a="1"/>
  <c r="K23" i="15" a="1"/>
  <c r="N23" i="30" a="1"/>
  <c r="E51" i="19" a="1"/>
  <c r="E58" i="22" a="1"/>
  <c r="H24" i="30" a="1"/>
  <c r="G71" i="36" a="1"/>
  <c r="F34" i="33" a="1"/>
  <c r="G58" i="37" a="1"/>
  <c r="G50" i="28" a="1"/>
  <c r="L59" i="30" a="1"/>
  <c r="E16" i="37" a="1"/>
  <c r="C16" i="20" a="1"/>
  <c r="H59" i="30" a="1"/>
  <c r="H47" i="22" a="1"/>
  <c r="H19" i="37" a="1"/>
  <c r="H14" i="33" a="1"/>
  <c r="H18" i="33" a="1"/>
  <c r="F19" i="33" a="1"/>
  <c r="L55" i="37" a="1"/>
  <c r="D58" i="18" a="1"/>
  <c r="E59" i="19" a="1"/>
  <c r="H30" i="15" a="1"/>
  <c r="G24" i="33" a="1"/>
  <c r="D52" i="18" a="1"/>
  <c r="G12" i="28" a="1"/>
  <c r="D20" i="30" a="1"/>
  <c r="C14" i="36" a="1"/>
  <c r="D58" i="37" a="1"/>
  <c r="G54" i="30" a="1"/>
  <c r="D64" i="22" a="1"/>
  <c r="C10" i="33" a="1"/>
  <c r="G54" i="28" a="1"/>
  <c r="G20" i="15" a="1"/>
  <c r="C16" i="19" a="1"/>
  <c r="G59" i="37" a="1"/>
  <c r="G71" i="15" a="1"/>
  <c r="G10" i="30" a="1"/>
  <c r="H58" i="37" a="1"/>
  <c r="L55" i="28" a="1"/>
  <c r="F15" i="33" a="1"/>
  <c r="H71" i="15" a="1"/>
  <c r="I71" i="36" a="1"/>
  <c r="G51" i="37" a="1"/>
  <c r="G16" i="33" a="1"/>
  <c r="F32" i="15" a="1"/>
  <c r="F23" i="15" a="1"/>
  <c r="D66" i="19" a="1"/>
  <c r="H59" i="28" a="1"/>
  <c r="D16" i="30" a="1"/>
  <c r="C23" i="19" a="1"/>
  <c r="H22" i="36" a="1"/>
  <c r="D62" i="18" a="1"/>
  <c r="F60" i="20" a="1"/>
  <c r="H14" i="15" a="1"/>
  <c r="G71" i="28" a="1"/>
  <c r="F32" i="29" a="1"/>
  <c r="F30" i="36" a="1"/>
  <c r="D50" i="28" a="1"/>
  <c r="E12" i="20" a="1"/>
  <c r="C14" i="33" a="1"/>
  <c r="L59" i="37" a="1"/>
  <c r="E15" i="22" a="1"/>
  <c r="H70" i="30" a="1"/>
  <c r="H51" i="30" a="1"/>
  <c r="F11" i="22" a="1"/>
  <c r="E32" i="29" a="1"/>
  <c r="G50" i="30" a="1"/>
  <c r="I71" i="15" a="1"/>
  <c r="G59" i="22" a="1"/>
  <c r="G58" i="28" a="1"/>
  <c r="F46" i="22" a="1"/>
  <c r="H20" i="30" a="1"/>
  <c r="G71" i="30" a="1"/>
  <c r="C24" i="20" a="1"/>
  <c r="D24" i="22" a="1"/>
  <c r="H58" i="28" a="1"/>
  <c r="C18" i="15" a="1"/>
  <c r="C15" i="30" a="1"/>
  <c r="D24" i="30" a="1"/>
  <c r="D20" i="37" a="1"/>
  <c r="I54" i="30" a="1"/>
  <c r="E14" i="37" a="1"/>
  <c r="G15" i="33" a="1"/>
  <c r="E55" i="18" a="1"/>
  <c r="D50" i="30" a="1"/>
  <c r="I64" i="37" a="1"/>
  <c r="D20" i="22" a="1"/>
  <c r="G66" i="37" a="1"/>
  <c r="K15" i="15" a="1"/>
  <c r="C23" i="30" a="1"/>
  <c r="D62" i="19" a="1"/>
  <c r="C10" i="37" a="1"/>
  <c r="C23" i="22" a="1"/>
  <c r="K23" i="36" a="1"/>
  <c r="H10" i="37" a="1"/>
  <c r="F22" i="33" a="1"/>
  <c r="C24" i="22" a="1"/>
  <c r="D64" i="19" a="1"/>
  <c r="D11" i="18" a="1"/>
  <c r="I50" i="37" a="1"/>
  <c r="F15" i="36" a="1"/>
  <c r="G23" i="33" a="1"/>
  <c r="I62" i="37" a="1"/>
  <c r="F15" i="28" a="1"/>
  <c r="D16" i="33" a="1"/>
  <c r="H51" i="28" a="1"/>
  <c r="N19" i="30" a="1"/>
  <c r="E70" i="37" a="1"/>
  <c r="E46" i="18" a="1"/>
  <c r="G59" i="28" a="1"/>
  <c r="H54" i="30" a="1"/>
  <c r="E22" i="28" a="1"/>
  <c r="H58" i="30" a="1"/>
  <c r="C19" i="18" a="1"/>
  <c r="C10" i="30" a="1"/>
  <c r="E23" i="22" a="1"/>
  <c r="E20" i="30" a="1"/>
  <c r="G24" i="36" a="1"/>
  <c r="D24" i="28" a="1"/>
  <c r="I63" i="37" a="1"/>
  <c r="G22" i="33" a="1"/>
  <c r="G20" i="36" a="1"/>
  <c r="L55" i="30" a="1"/>
  <c r="D12" i="20" a="1"/>
  <c r="F24" i="30" a="1"/>
  <c r="E24" i="30" a="1"/>
  <c r="D56" i="18" a="1"/>
  <c r="H60" i="37" a="1"/>
  <c r="K11" i="30" a="1"/>
  <c r="G55" i="30" a="1"/>
  <c r="E12" i="22" a="1"/>
  <c r="C15" i="22" a="1"/>
  <c r="D20" i="28" a="1"/>
  <c r="E46" i="19" a="1"/>
  <c r="D62" i="22" a="1"/>
  <c r="N23" i="37" a="1"/>
  <c r="F11" i="28" a="1"/>
  <c r="H14" i="36" a="1"/>
  <c r="H20" i="28" a="1"/>
  <c r="D65" i="22" a="1"/>
  <c r="H23" i="37" a="1"/>
  <c r="D11" i="19" a="1"/>
  <c r="G34" i="33" a="1"/>
  <c r="D50" i="19" a="1"/>
  <c r="G14" i="36" a="1"/>
  <c r="G34" i="15" a="1"/>
  <c r="F52" i="22" a="1"/>
  <c r="D58" i="22" a="1"/>
  <c r="G15" i="15" a="1"/>
  <c r="H59" i="22" a="1"/>
  <c r="D24" i="33" a="1"/>
  <c r="E18" i="37" a="1"/>
  <c r="E14" i="30" a="1"/>
  <c r="E19" i="22" a="1"/>
  <c r="G16" i="36" a="1"/>
  <c r="D16" i="22" a="1"/>
  <c r="C15" i="18" a="1"/>
  <c r="E59" i="18" a="1"/>
  <c r="H34" i="15" a="1"/>
  <c r="F20" i="30" a="1"/>
  <c r="I66" i="30" a="1"/>
  <c r="G58" i="30" a="1"/>
  <c r="C10" i="18" a="1"/>
  <c r="E16" i="28" a="1"/>
  <c r="E24" i="28" a="1"/>
  <c r="H27" i="36" a="1"/>
  <c r="F70" i="37" a="1"/>
  <c r="I50" i="28" a="1"/>
  <c r="D58" i="33" a="1"/>
  <c r="F23" i="33" a="1"/>
  <c r="G23" i="15" a="1"/>
  <c r="E52" i="20" a="1"/>
  <c r="E68" i="37" a="1"/>
  <c r="G24" i="15" a="1"/>
  <c r="F35" i="33" a="1"/>
  <c r="C10" i="19" a="1"/>
  <c r="K11" i="28" a="1"/>
  <c r="C23" i="18" a="1"/>
  <c r="E50" i="22" a="1"/>
  <c r="D54" i="37" a="1"/>
  <c r="D16" i="37" a="1"/>
  <c r="E51" i="18" a="1"/>
  <c r="G51" i="22" a="1"/>
  <c r="H27" i="28" a="1"/>
  <c r="H71" i="30" a="1"/>
  <c r="H30" i="33" a="1"/>
  <c r="C18" i="36" a="1"/>
  <c r="G19" i="33" a="1"/>
  <c r="H18" i="28" a="1"/>
  <c r="L51" i="28" a="1"/>
  <c r="H70" i="28" a="1"/>
  <c r="E48" i="19" a="1"/>
  <c r="H15" i="37" a="1"/>
  <c r="H66" i="15" a="1"/>
  <c r="C23" i="37" a="1"/>
  <c r="G48" i="22" a="1"/>
  <c r="H56" i="30" a="1"/>
  <c r="G10" i="37" a="1"/>
  <c r="G55" i="22" a="1"/>
  <c r="H27" i="30" a="1"/>
  <c r="H18" i="36" a="1"/>
  <c r="H71" i="28" a="1"/>
  <c r="G59" i="30" a="1"/>
  <c r="D58" i="28" a="1"/>
  <c r="G55" i="37" a="1"/>
  <c r="E56" i="20" a="1"/>
  <c r="K11" i="37" a="1"/>
  <c r="G16" i="15" a="1"/>
  <c r="E14" i="28" a="1"/>
  <c r="D54" i="33" a="1"/>
  <c r="E71" i="37" a="1"/>
  <c r="G50" i="37" a="1"/>
  <c r="G19" i="15" a="1"/>
  <c r="E32" i="15" a="1"/>
  <c r="F14" i="33" a="1"/>
  <c r="G55" i="28" a="1"/>
  <c r="H26" i="33" a="1"/>
  <c r="G14" i="33" a="1"/>
  <c r="F10" i="28" a="1"/>
  <c r="C24" i="37" a="1"/>
  <c r="H50" i="28" a="1"/>
  <c r="K15" i="36" a="1"/>
  <c r="G54" i="37" a="1"/>
  <c r="C20" i="19" a="1"/>
  <c r="D66" i="18" a="1"/>
  <c r="D54" i="18" a="1"/>
  <c r="G18" i="15" a="1"/>
  <c r="F22" i="36" a="1"/>
  <c r="G70" i="30" a="1"/>
  <c r="D64" i="18" a="1"/>
  <c r="F47" i="19" a="1"/>
  <c r="G35" i="33" a="1"/>
  <c r="C19" i="19" a="1"/>
  <c r="N15" i="28" a="1"/>
  <c r="H55" i="30" a="1"/>
  <c r="C16" i="22" a="1"/>
  <c r="F10" i="30" a="1"/>
  <c r="D50" i="18" a="1"/>
  <c r="F71" i="37" a="1"/>
  <c r="D19" i="19" a="1"/>
  <c r="D54" i="30" a="1"/>
  <c r="I58" i="37" a="1"/>
  <c r="H10" i="30" a="1"/>
  <c r="K19" i="15" a="1"/>
  <c r="G66" i="33" a="1"/>
  <c r="F14" i="36" a="1"/>
  <c r="C12" i="18" a="1"/>
  <c r="H60" i="28" a="1"/>
  <c r="G10" i="28" a="1"/>
  <c r="N23" i="28" a="1"/>
  <c r="C18" i="22" a="1"/>
  <c r="D54" i="19" a="1"/>
  <c r="F15" i="15" a="1"/>
  <c r="E22" i="37" a="1"/>
  <c r="N19" i="37" a="1"/>
  <c r="G12" i="37" a="1"/>
  <c r="N19" i="28" a="1"/>
  <c r="I66" i="28" a="1"/>
  <c r="F19" i="15" a="1"/>
  <c r="F11" i="37" a="1"/>
  <c r="C10" i="22" a="1"/>
  <c r="F20" i="37" a="1"/>
  <c r="G70" i="28" a="1"/>
  <c r="C14" i="15" a="1"/>
  <c r="F18" i="36" a="1"/>
  <c r="F18" i="33" a="1"/>
  <c r="G66" i="15" a="1"/>
  <c r="F68" i="37" a="1"/>
  <c r="D60" i="18" a="1"/>
  <c r="L51" i="30" a="1"/>
  <c r="D65" i="19" a="1"/>
  <c r="F10" i="37" a="1"/>
  <c r="E22" i="30" a="1"/>
  <c r="E60" i="20" a="1"/>
  <c r="D50" i="37" a="1"/>
  <c r="F20" i="28" a="1"/>
  <c r="F11" i="30" a="1"/>
  <c r="G18" i="33" a="1"/>
  <c r="I65" i="37" a="1"/>
  <c r="C20" i="37" a="1"/>
  <c r="E66" i="37" a="1"/>
  <c r="H22" i="33" a="1"/>
  <c r="D58" i="19" a="1"/>
  <c r="C22" i="36" a="1"/>
  <c r="G11" i="28" a="1"/>
  <c r="F23" i="36" a="1"/>
  <c r="I58" i="28" a="1"/>
  <c r="C20" i="30" a="1"/>
  <c r="H52" i="37" a="1"/>
  <c r="G12" i="30" a="1"/>
  <c r="D58" i="30" a="1"/>
  <c r="H26" i="28" a="1"/>
  <c r="F18" i="15" a="1"/>
  <c r="H55" i="28" a="1"/>
  <c r="E20" i="28" a="1"/>
  <c r="E24" i="37" a="1"/>
  <c r="F22" i="15" a="1"/>
  <c r="F56" i="20" a="1"/>
  <c r="C12" i="19" a="1"/>
  <c r="H52" i="30" a="1"/>
  <c r="C19" i="22" a="1"/>
  <c r="E48" i="18" a="1"/>
  <c r="K19" i="36" a="1"/>
  <c r="D54" i="28" a="1"/>
  <c r="G51" i="30" a="1"/>
  <c r="G18" i="28" a="1"/>
  <c r="H52" i="28" a="1"/>
  <c r="C16" i="37" a="1"/>
  <c r="F47" i="18" a="1"/>
  <c r="L59" i="28" a="1"/>
  <c r="H71" i="36" a="1"/>
  <c r="E18" i="30" a="1"/>
  <c r="G11" i="30" a="1"/>
  <c r="C19" i="37" a="1"/>
  <c r="D16" i="28" a="1"/>
  <c r="F52" i="20" a="1"/>
  <c r="H18" i="15" a="1"/>
  <c r="G22" i="36" a="1"/>
  <c r="G22" i="15" a="1"/>
  <c r="E20" i="37" a="1"/>
  <c r="F66" i="37" a="1"/>
  <c r="F19" i="36" a="1"/>
  <c r="F106" i="20" l="1"/>
  <c r="F104" i="20"/>
  <c r="H86" i="20"/>
  <c r="I86" i="20" s="1"/>
  <c r="J86" i="20" s="1"/>
  <c r="J104"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29" i="36"/>
  <c r="J137" i="36"/>
  <c r="H122" i="37"/>
  <c r="H126" i="37" s="1"/>
  <c r="H129" i="37" s="1"/>
  <c r="H117" i="37"/>
  <c r="F118" i="37"/>
  <c r="F128" i="37" s="1"/>
  <c r="I137" i="36"/>
  <c r="I129" i="36"/>
  <c r="E122" i="37"/>
  <c r="E126" i="37" s="1"/>
  <c r="E129" i="37" s="1"/>
  <c r="E117" i="37"/>
  <c r="J122" i="37"/>
  <c r="I122" i="37"/>
  <c r="I126" i="37" s="1"/>
  <c r="I129" i="37" s="1"/>
  <c r="I117" i="37"/>
  <c r="G45" i="37"/>
  <c r="F39" i="36"/>
  <c r="J120" i="37"/>
  <c r="J133" i="37" s="1"/>
  <c r="J116" i="37"/>
  <c r="J117" i="37" s="1"/>
  <c r="H104" i="20"/>
  <c r="H103" i="20"/>
  <c r="D45" i="37"/>
  <c r="H82" i="33"/>
  <c r="H135" i="33" s="1"/>
  <c r="J101" i="37"/>
  <c r="E9" i="37"/>
  <c r="I82" i="33"/>
  <c r="I135" i="33" s="1"/>
  <c r="J84" i="37"/>
  <c r="J110" i="37"/>
  <c r="J108" i="37"/>
  <c r="J106" i="37"/>
  <c r="E82" i="37"/>
  <c r="F82" i="37" s="1"/>
  <c r="G82" i="37" s="1"/>
  <c r="H82" i="37" s="1"/>
  <c r="I82" i="37" s="1"/>
  <c r="J82" i="37" s="1"/>
  <c r="E111" i="37"/>
  <c r="E106" i="37"/>
  <c r="E108" i="37"/>
  <c r="E110" i="37"/>
  <c r="E84" i="37"/>
  <c r="E130" i="37" s="1"/>
  <c r="H129" i="36"/>
  <c r="H137" i="36"/>
  <c r="E137" i="36"/>
  <c r="E129" i="36"/>
  <c r="H106" i="20"/>
  <c r="I103"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G142" i="30"/>
  <c r="D16" i="33"/>
  <c r="D20" i="33"/>
  <c r="F35" i="33"/>
  <c r="G35" i="33"/>
  <c r="E134" i="33"/>
  <c r="I114" i="33"/>
  <c r="G134" i="33"/>
  <c r="G66" i="33"/>
  <c r="H18" i="33"/>
  <c r="H30" i="33"/>
  <c r="F22" i="33"/>
  <c r="F14" i="33"/>
  <c r="G22" i="33"/>
  <c r="H22" i="33"/>
  <c r="F19" i="33"/>
  <c r="G18" i="33"/>
  <c r="G16" i="33"/>
  <c r="G24" i="33"/>
  <c r="G23" i="33"/>
  <c r="G20" i="33"/>
  <c r="F34" i="33"/>
  <c r="F18" i="33"/>
  <c r="G15" i="33"/>
  <c r="F23" i="33"/>
  <c r="H66" i="33"/>
  <c r="G34" i="33"/>
  <c r="G14"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D68" i="18" a="1"/>
  <c r="F46" i="19" a="1"/>
  <c r="C24" i="19" a="1"/>
  <c r="K23" i="37" a="1"/>
  <c r="C18" i="19" a="1"/>
  <c r="G18" i="30" a="1"/>
  <c r="H18" i="30" a="1"/>
  <c r="H66" i="30" a="1"/>
  <c r="F35" i="28" a="1"/>
  <c r="H22" i="28" a="1"/>
  <c r="D70" i="22" a="1"/>
  <c r="G24" i="37" a="1"/>
  <c r="C27" i="22" a="1"/>
  <c r="E68" i="22" a="1"/>
  <c r="D24" i="20" a="1"/>
  <c r="G30" i="15" a="1"/>
  <c r="F14" i="28" a="1"/>
  <c r="E54" i="18" a="1"/>
  <c r="F50" i="22" a="1"/>
  <c r="C30" i="19" a="1"/>
  <c r="E66" i="18" a="1"/>
  <c r="F19" i="37" a="1"/>
  <c r="D32" i="37" a="1"/>
  <c r="E35" i="37" a="1"/>
  <c r="E62" i="18" a="1"/>
  <c r="F18" i="30" a="1"/>
  <c r="G23" i="28" a="1"/>
  <c r="E50" i="19" a="1"/>
  <c r="E63" i="22" a="1"/>
  <c r="G46" i="19" a="1"/>
  <c r="C32" i="37" a="1"/>
  <c r="F19" i="22" a="1"/>
  <c r="D70" i="19" a="1"/>
  <c r="C28" i="19" a="1"/>
  <c r="H66" i="37" a="1"/>
  <c r="F54" i="22" a="1"/>
  <c r="E65" i="18" a="1"/>
  <c r="E30" i="37" a="1"/>
  <c r="H26" i="37" a="1"/>
  <c r="G20" i="28" a="1"/>
  <c r="E54" i="19" a="1"/>
  <c r="D15" i="18" a="1"/>
  <c r="E64" i="22" a="1"/>
  <c r="F12" i="22" a="1"/>
  <c r="G47" i="18" a="1"/>
  <c r="F59" i="19" a="1"/>
  <c r="F48" i="19" a="1"/>
  <c r="G20" i="37" a="1"/>
  <c r="C22" i="37" a="1"/>
  <c r="F35" i="15" a="1"/>
  <c r="D22" i="22" a="1"/>
  <c r="E62" i="22" a="1"/>
  <c r="F23" i="30" a="1"/>
  <c r="C14" i="18" a="1"/>
  <c r="H30" i="28" a="1"/>
  <c r="C18" i="30" a="1"/>
  <c r="C18" i="37" a="1"/>
  <c r="F48" i="18" a="1"/>
  <c r="G30" i="33" a="1"/>
  <c r="D68" i="22" a="1"/>
  <c r="G14" i="28" a="1"/>
  <c r="H47" i="19" a="1"/>
  <c r="G51" i="18" a="1"/>
  <c r="G35" i="30" a="1"/>
  <c r="G35" i="28" a="1"/>
  <c r="G60" i="22" a="1"/>
  <c r="C29" i="18" a="1"/>
  <c r="E24" i="22" a="1"/>
  <c r="C30" i="18" a="1"/>
  <c r="K15" i="37" a="1"/>
  <c r="E63" i="19" a="1"/>
  <c r="C24" i="18" a="1"/>
  <c r="G14" i="30" a="1"/>
  <c r="E65" i="19" a="1"/>
  <c r="G35" i="36" a="1"/>
  <c r="F34" i="30" a="1"/>
  <c r="H48" i="20" a="1"/>
  <c r="F18" i="28" a="1"/>
  <c r="C22" i="22" a="1"/>
  <c r="H71" i="37" a="1"/>
  <c r="I66" i="37" a="1"/>
  <c r="E56" i="19" a="1"/>
  <c r="D70" i="37" a="1"/>
  <c r="I68" i="37" a="1"/>
  <c r="C22" i="19" a="1"/>
  <c r="G20" i="30" a="1"/>
  <c r="C27" i="18" a="1"/>
  <c r="D15" i="19" a="1"/>
  <c r="E20" i="20" a="1"/>
  <c r="K19" i="30" a="1"/>
  <c r="E50" i="18" a="1"/>
  <c r="C27" i="19" a="1"/>
  <c r="D66" i="37" a="1"/>
  <c r="F51" i="18" a="1"/>
  <c r="C16" i="18" a="1"/>
  <c r="E11" i="18" a="1"/>
  <c r="D34" i="37" a="1"/>
  <c r="E60" i="19" a="1"/>
  <c r="D10" i="19" a="1"/>
  <c r="G56" i="20" a="1"/>
  <c r="C26" i="19" a="1"/>
  <c r="G16" i="30" a="1"/>
  <c r="E24" i="20" a="1"/>
  <c r="H22" i="30" a="1"/>
  <c r="C22" i="30" a="1"/>
  <c r="F18" i="37" a="1"/>
  <c r="E64" i="19" a="1"/>
  <c r="G35" i="15" a="1"/>
  <c r="H29" i="37" a="1"/>
  <c r="F35" i="30" a="1"/>
  <c r="K15" i="30" a="1"/>
  <c r="G71" i="37" a="1"/>
  <c r="F55" i="19" a="1"/>
  <c r="H18" i="37" a="1"/>
  <c r="G16" i="28" a="1"/>
  <c r="G23" i="30" a="1"/>
  <c r="F35" i="36" a="1"/>
  <c r="G66" i="28" a="1"/>
  <c r="G56" i="22" a="1"/>
  <c r="D20" i="20" a="1"/>
  <c r="G48" i="19" a="1"/>
  <c r="C28" i="18" a="1"/>
  <c r="K19" i="28" a="1"/>
  <c r="D30" i="37" a="1"/>
  <c r="F19" i="28" a="1"/>
  <c r="E58" i="19" a="1"/>
  <c r="H68" i="37" a="1"/>
  <c r="E20" i="22" a="1"/>
  <c r="E60" i="18" a="1"/>
  <c r="H48" i="22" a="1"/>
  <c r="D18" i="22" a="1"/>
  <c r="G15" i="28" a="1"/>
  <c r="D71" i="19" a="1"/>
  <c r="F30" i="33" a="1"/>
  <c r="D68" i="19" a="1"/>
  <c r="D23" i="18" a="1"/>
  <c r="G66" i="30" a="1"/>
  <c r="D68" i="37" a="1"/>
  <c r="F14" i="37" a="1"/>
  <c r="F30" i="15" a="1"/>
  <c r="I71" i="37" a="1"/>
  <c r="G34" i="30" a="1"/>
  <c r="H30" i="30" a="1"/>
  <c r="F51" i="19" a="1"/>
  <c r="G68" i="37" a="1"/>
  <c r="C29" i="19" a="1"/>
  <c r="G16" i="37" a="1"/>
  <c r="F12" i="20" a="1"/>
  <c r="G14" i="37" a="1"/>
  <c r="F14" i="30" a="1"/>
  <c r="H70" i="37" a="1"/>
  <c r="G18" i="37" a="1"/>
  <c r="E62" i="19" a="1"/>
  <c r="E70" i="22" a="1"/>
  <c r="D23" i="19" a="1"/>
  <c r="C29" i="22" a="1"/>
  <c r="C22" i="18" a="1"/>
  <c r="G24" i="28" a="1"/>
  <c r="F55" i="18" a="1"/>
  <c r="F23" i="28" a="1"/>
  <c r="H55" i="22" a="1"/>
  <c r="G70" i="37" a="1"/>
  <c r="E66" i="19" a="1"/>
  <c r="D14" i="22" a="1"/>
  <c r="G22" i="30" a="1"/>
  <c r="D10" i="18" a="1"/>
  <c r="G46" i="22" a="1"/>
  <c r="E56" i="18" a="1"/>
  <c r="G19" i="28" a="1"/>
  <c r="G23" i="22" a="1"/>
  <c r="C28" i="22" a="1"/>
  <c r="F19" i="30" a="1"/>
  <c r="C18" i="33" a="1"/>
  <c r="D16" i="20" a="1"/>
  <c r="D71" i="22" a="1"/>
  <c r="C18" i="18" a="1"/>
  <c r="G11" i="22" a="1"/>
  <c r="D12" i="19" a="1"/>
  <c r="H28" i="37" a="1"/>
  <c r="D12" i="18" a="1"/>
  <c r="H35" i="15" a="1"/>
  <c r="E16" i="22" a="1"/>
  <c r="K23" i="28" a="1"/>
  <c r="G47" i="19" a="1"/>
  <c r="F15" i="30" a="1"/>
  <c r="D71" i="18" a="1"/>
  <c r="E71" i="22" a="1"/>
  <c r="H14" i="37" a="1"/>
  <c r="C14" i="30" a="1"/>
  <c r="I70" i="37" a="1"/>
  <c r="E11" i="19" a="1"/>
  <c r="F30" i="37" a="1"/>
  <c r="G34" i="28" a="1"/>
  <c r="F46" i="18" a="1"/>
  <c r="H14" i="28" a="1"/>
  <c r="G22" i="28" a="1"/>
  <c r="E65" i="22" a="1"/>
  <c r="C22" i="33" a="1"/>
  <c r="F34" i="28" a="1"/>
  <c r="C20" i="18" a="1"/>
  <c r="G60" i="20" a="1"/>
  <c r="C26" i="22" a="1"/>
  <c r="F15" i="22" a="1"/>
  <c r="G52" i="20" a="1"/>
  <c r="F22" i="30" a="1"/>
  <c r="G46" i="18" a="1"/>
  <c r="K23" i="30" a="1"/>
  <c r="E64" i="18" a="1"/>
  <c r="K19" i="37" a="1"/>
  <c r="G52" i="22" a="1"/>
  <c r="E16" i="20" a="1"/>
  <c r="C26" i="18" a="1"/>
  <c r="D70" i="18" a="1"/>
  <c r="F15" i="37" a="1"/>
  <c r="H51" i="22" a="1"/>
  <c r="D66" i="22" a="1"/>
  <c r="D35" i="37" a="1"/>
  <c r="F58" i="22" a="1"/>
  <c r="E10" i="22" a="1"/>
  <c r="D71" i="37" a="1"/>
  <c r="E52" i="19" a="1"/>
  <c r="G15" i="30" a="1"/>
  <c r="K15" i="28" a="1"/>
  <c r="E63" i="18" a="1"/>
  <c r="G22" i="37" a="1"/>
  <c r="F23" i="22" a="1"/>
  <c r="H66" i="28" a="1"/>
  <c r="G24" i="30" a="1"/>
  <c r="E66" i="22" a="1"/>
  <c r="E58" i="18" a="1"/>
  <c r="F22" i="37" a="1"/>
  <c r="E52" i="18" a="1"/>
  <c r="H14" i="30" a="1"/>
  <c r="H35" i="36" a="1"/>
  <c r="E34" i="37" a="1"/>
  <c r="F22" i="28" a="1"/>
  <c r="D19" i="18" a="1"/>
  <c r="F23" i="37" a="1"/>
  <c r="C14" i="37" a="1"/>
  <c r="H27" i="37" a="1"/>
  <c r="G19" i="30" a="1"/>
  <c r="E23" i="18" a="1"/>
  <c r="H22" i="37" a="1"/>
  <c r="C14" i="19" a="1"/>
  <c r="C14" i="22" a="1"/>
  <c r="J102" i="20" l="1"/>
  <c r="I102" i="20"/>
  <c r="J106" i="20"/>
  <c r="J105" i="20"/>
  <c r="I105" i="20"/>
  <c r="H105" i="20"/>
  <c r="I104" i="20"/>
  <c r="H102" i="20"/>
  <c r="J103" i="20"/>
  <c r="I106" i="20"/>
  <c r="C22" i="33"/>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D22" i="19" a="1"/>
  <c r="F15" i="18" a="1"/>
  <c r="E18" i="22" a="1"/>
  <c r="G12" i="20" a="1"/>
  <c r="H60" i="20" a="1"/>
  <c r="D27" i="18" a="1"/>
  <c r="D34" i="22" a="1"/>
  <c r="G64" i="19" a="1"/>
  <c r="F12" i="19" a="1"/>
  <c r="G62" i="19" a="1"/>
  <c r="F24" i="22" a="1"/>
  <c r="F32" i="37" a="1"/>
  <c r="G59" i="18" a="1"/>
  <c r="C34" i="22" a="1"/>
  <c r="I46" i="22" a="1"/>
  <c r="D29" i="19" a="1"/>
  <c r="E68" i="19" a="1"/>
  <c r="F62" i="22" a="1"/>
  <c r="C32" i="22" a="1"/>
  <c r="F71" i="22" a="1"/>
  <c r="D16" i="18" a="1"/>
  <c r="E10" i="19" a="1"/>
  <c r="F54" i="18" a="1"/>
  <c r="G58" i="22" a="1"/>
  <c r="E23" i="19" a="1"/>
  <c r="C35" i="18" a="1"/>
  <c r="F56" i="19" a="1"/>
  <c r="G15" i="22" a="1"/>
  <c r="G54" i="19" a="1"/>
  <c r="G58" i="18" a="1"/>
  <c r="D24" i="18" a="1"/>
  <c r="E19" i="19" a="1"/>
  <c r="G50" i="18" a="1"/>
  <c r="E15" i="18" a="1"/>
  <c r="D26" i="19" a="1"/>
  <c r="C35" i="22" a="1"/>
  <c r="G54" i="22" a="1"/>
  <c r="F34" i="37" a="1"/>
  <c r="D26" i="22" a="1"/>
  <c r="I48" i="22" a="1"/>
  <c r="H30" i="37" a="1"/>
  <c r="H34" i="37" a="1"/>
  <c r="C30" i="22" a="1"/>
  <c r="C34" i="37" a="1"/>
  <c r="E14" i="22" a="1"/>
  <c r="G30" i="37" a="1"/>
  <c r="D22" i="18" a="1"/>
  <c r="F56" i="18" a="1"/>
  <c r="D28" i="22" a="1"/>
  <c r="G59" i="19" a="1"/>
  <c r="F66" i="22" a="1"/>
  <c r="H35" i="37" a="1"/>
  <c r="G30" i="30" a="1"/>
  <c r="D29" i="18" a="1"/>
  <c r="F20" i="20" a="1"/>
  <c r="F63" i="22" a="1"/>
  <c r="F35" i="37" a="1"/>
  <c r="F65" i="19" a="1"/>
  <c r="F11" i="18" a="1"/>
  <c r="H46" i="18" a="1"/>
  <c r="H46" i="19" a="1"/>
  <c r="G50" i="19" a="1"/>
  <c r="C35" i="37" a="1"/>
  <c r="E12" i="19" a="1"/>
  <c r="G58" i="19" a="1"/>
  <c r="D24" i="19" a="1"/>
  <c r="F58" i="19" a="1"/>
  <c r="H59" i="19" a="1"/>
  <c r="C34" i="19" a="1"/>
  <c r="H48" i="19" a="1"/>
  <c r="F50" i="18" a="1"/>
  <c r="F52" i="19" a="1"/>
  <c r="E70" i="19" a="1"/>
  <c r="H52" i="20" a="1"/>
  <c r="C35" i="19" a="1"/>
  <c r="H60" i="22" a="1"/>
  <c r="G60" i="19" a="1"/>
  <c r="D27" i="19" a="1"/>
  <c r="E70" i="18" a="1"/>
  <c r="F10" i="19" a="1"/>
  <c r="F16" i="22" a="1"/>
  <c r="C30" i="37" a="1"/>
  <c r="F60" i="19" a="1"/>
  <c r="D35" i="22" a="1"/>
  <c r="H55" i="19" a="1"/>
  <c r="D18" i="18" a="1"/>
  <c r="F64" i="19" a="1"/>
  <c r="F52" i="18" a="1"/>
  <c r="G48" i="18" a="1"/>
  <c r="G65" i="19" a="1"/>
  <c r="G35" i="37" a="1"/>
  <c r="D29" i="22" a="1"/>
  <c r="G11" i="19" a="1"/>
  <c r="F70" i="22" a="1"/>
  <c r="G55" i="19" a="1"/>
  <c r="F62" i="18" a="1"/>
  <c r="F64" i="22" a="1"/>
  <c r="G34" i="37" a="1"/>
  <c r="F10" i="22" a="1"/>
  <c r="G52" i="19" a="1"/>
  <c r="H47" i="18" a="1"/>
  <c r="H56" i="22" a="1"/>
  <c r="D30" i="19" a="1"/>
  <c r="G51" i="19" a="1"/>
  <c r="F66" i="19" a="1"/>
  <c r="F54" i="19" a="1"/>
  <c r="F11" i="19" a="1"/>
  <c r="G54" i="18" a="1"/>
  <c r="E10" i="18" a="1"/>
  <c r="H46" i="22" a="1"/>
  <c r="E71" i="19" a="1"/>
  <c r="C34" i="18" a="1"/>
  <c r="H51" i="19" a="1"/>
  <c r="H52" i="22" a="1"/>
  <c r="D14" i="19" a="1"/>
  <c r="E32" i="37" a="1"/>
  <c r="E22" i="22" a="1"/>
  <c r="G19" i="22" a="1"/>
  <c r="F58" i="18" a="1"/>
  <c r="F10" i="18" a="1"/>
  <c r="F65" i="22" a="1"/>
  <c r="G50" i="22" a="1"/>
  <c r="D26" i="18" a="1"/>
  <c r="F60" i="18" a="1"/>
  <c r="F63" i="19" a="1"/>
  <c r="F20" i="22" a="1"/>
  <c r="F24" i="20" a="1"/>
  <c r="D14" i="18" a="1"/>
  <c r="D20" i="19" a="1"/>
  <c r="F66" i="18" a="1"/>
  <c r="D28" i="18" a="1"/>
  <c r="H56" i="20" a="1"/>
  <c r="E68" i="18" a="1"/>
  <c r="G32" i="37" a="1"/>
  <c r="E71" i="18" a="1"/>
  <c r="I48" i="20" a="1"/>
  <c r="E19" i="18" a="1"/>
  <c r="D28" i="19" a="1"/>
  <c r="E15" i="19" a="1"/>
  <c r="G30" i="28" a="1"/>
  <c r="D18" i="19" a="1"/>
  <c r="D30" i="18" a="1"/>
  <c r="F68" i="22" a="1"/>
  <c r="F62" i="19" a="1"/>
  <c r="G63" i="19" a="1"/>
  <c r="F50" i="19" a="1"/>
  <c r="G56" i="19" a="1"/>
  <c r="F64" i="18" a="1"/>
  <c r="F63" i="18" a="1"/>
  <c r="D16" i="19" a="1"/>
  <c r="F16" i="20" a="1"/>
  <c r="F65" i="18" a="1"/>
  <c r="E12" i="18" a="1"/>
  <c r="G55" i="18" a="1"/>
  <c r="D27" i="22" a="1"/>
  <c r="D30" i="22" a="1"/>
  <c r="F30" i="28" a="1"/>
  <c r="D20" i="18" a="1"/>
  <c r="G12" i="22" a="1"/>
  <c r="F30" i="30"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H60" i="19" a="1"/>
  <c r="E27" i="22" a="1"/>
  <c r="E29" i="19" a="1"/>
  <c r="G10" i="19" a="1"/>
  <c r="E20" i="18" a="1"/>
  <c r="H12" i="22" a="1"/>
  <c r="H64" i="19" a="1"/>
  <c r="F71" i="19" a="1"/>
  <c r="G10" i="22" a="1"/>
  <c r="E34" i="22" a="1"/>
  <c r="H50" i="18" a="1"/>
  <c r="F27" i="19" a="1"/>
  <c r="I60" i="22" a="1"/>
  <c r="G65" i="18" a="1"/>
  <c r="G19" i="19" a="1"/>
  <c r="I56" i="20" a="1"/>
  <c r="F29" i="19" a="1"/>
  <c r="G63" i="18" a="1"/>
  <c r="F19" i="19" a="1"/>
  <c r="G71" i="22" a="1"/>
  <c r="F14" i="18" a="1"/>
  <c r="G11" i="18" a="1"/>
  <c r="E28" i="22" a="1"/>
  <c r="E26" i="18" a="1"/>
  <c r="E16" i="18" a="1"/>
  <c r="H58" i="18" a="1"/>
  <c r="F24" i="19" a="1"/>
  <c r="G65" i="22" a="1"/>
  <c r="I58" i="22" a="1"/>
  <c r="H52" i="19" a="1"/>
  <c r="F14" i="22" a="1"/>
  <c r="H56" i="19" a="1"/>
  <c r="H10" i="22" a="1"/>
  <c r="H55" i="18" a="1"/>
  <c r="I56" i="22" a="1"/>
  <c r="G15" i="19" a="1"/>
  <c r="H50" i="19" a="1"/>
  <c r="G66" i="19" a="1"/>
  <c r="H54" i="19" a="1"/>
  <c r="G16" i="22" a="1"/>
  <c r="F23" i="18" a="1"/>
  <c r="G70" i="22" a="1"/>
  <c r="G24" i="20" a="1"/>
  <c r="G12" i="19" a="1"/>
  <c r="C32" i="18" a="1"/>
  <c r="D34" i="19" a="1"/>
  <c r="F22" i="18" a="1"/>
  <c r="F18" i="19" a="1"/>
  <c r="F70" i="18" a="1"/>
  <c r="E30" i="22" a="1"/>
  <c r="E16" i="19" a="1"/>
  <c r="I52" i="20" a="1"/>
  <c r="F19" i="18" a="1"/>
  <c r="E30" i="18" a="1"/>
  <c r="F71" i="18" a="1"/>
  <c r="F70" i="19" a="1"/>
  <c r="G60" i="18" a="1"/>
  <c r="H65" i="19" a="1"/>
  <c r="E26" i="19" a="1"/>
  <c r="F28" i="19" a="1"/>
  <c r="H59" i="18" a="1"/>
  <c r="G56" i="18" a="1"/>
  <c r="D34" i="18" a="1"/>
  <c r="F12" i="18" a="1"/>
  <c r="I46" i="19" a="1"/>
  <c r="E29" i="22" a="1"/>
  <c r="D35" i="19" a="1"/>
  <c r="I52" i="22" a="1"/>
  <c r="E27" i="18" a="1"/>
  <c r="G66" i="18" a="1"/>
  <c r="E22" i="18" a="1"/>
  <c r="H54" i="18" a="1"/>
  <c r="E14" i="19" a="1"/>
  <c r="G62" i="18" a="1"/>
  <c r="E14" i="18" a="1"/>
  <c r="G64" i="18" a="1"/>
  <c r="G20" i="20" a="1"/>
  <c r="F26" i="19" a="1"/>
  <c r="G63" i="22" a="1"/>
  <c r="E18" i="18" a="1"/>
  <c r="D35" i="18" a="1"/>
  <c r="F68" i="18" a="1"/>
  <c r="I54" i="22" a="1"/>
  <c r="H54" i="22" a="1"/>
  <c r="E35" i="22" a="1"/>
  <c r="F23" i="19" a="1"/>
  <c r="F18" i="18" a="1"/>
  <c r="I48" i="19" a="1"/>
  <c r="E20" i="19" a="1"/>
  <c r="E24" i="18" a="1"/>
  <c r="H62" i="19" a="1"/>
  <c r="G24" i="22" a="1"/>
  <c r="E28" i="18" a="1"/>
  <c r="F20" i="19" a="1"/>
  <c r="G68" i="19" a="1"/>
  <c r="I50" i="18" a="1"/>
  <c r="C32" i="19" a="1"/>
  <c r="G62" i="22" a="1"/>
  <c r="F68" i="19" a="1"/>
  <c r="F18" i="22" a="1"/>
  <c r="I56" i="19" a="1"/>
  <c r="H50" i="22" a="1"/>
  <c r="H51" i="18" a="1"/>
  <c r="G64" i="22" a="1"/>
  <c r="H58" i="19" a="1"/>
  <c r="H12" i="20" a="1"/>
  <c r="H63" i="19" a="1"/>
  <c r="E28" i="19" a="1"/>
  <c r="F15" i="19" a="1"/>
  <c r="I60" i="20" a="1"/>
  <c r="G23" i="19" a="1"/>
  <c r="E27" i="19" a="1"/>
  <c r="I46" i="18" a="1"/>
  <c r="F16" i="19" a="1"/>
  <c r="G10" i="18" a="1"/>
  <c r="G52" i="18" a="1"/>
  <c r="D32" i="22" a="1"/>
  <c r="F14" i="19" a="1"/>
  <c r="E22" i="19" a="1"/>
  <c r="H48" i="18" a="1"/>
  <c r="G71" i="19" a="1"/>
  <c r="E30" i="19" a="1"/>
  <c r="E29" i="18" a="1"/>
  <c r="G68" i="22" a="1"/>
  <c r="E26" i="22" a="1"/>
  <c r="F22" i="19" a="1"/>
  <c r="E24" i="19" a="1"/>
  <c r="G70" i="19" a="1"/>
  <c r="H58" i="22" a="1"/>
  <c r="G16" i="20" a="1"/>
  <c r="I50" i="22" a="1"/>
  <c r="G66" i="22" a="1"/>
  <c r="G20" i="22" a="1"/>
  <c r="F22" i="22" a="1"/>
  <c r="E18"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H65" i="18" a="1"/>
  <c r="H14" i="22" a="1"/>
  <c r="G16" i="19" a="1"/>
  <c r="G14" i="22" a="1"/>
  <c r="F34" i="19" a="1"/>
  <c r="H63" i="22" a="1"/>
  <c r="H71" i="19" a="1"/>
  <c r="E35" i="18" a="1"/>
  <c r="I52" i="19" a="1"/>
  <c r="G24" i="19" a="1"/>
  <c r="H24" i="22" a="1"/>
  <c r="G18" i="22" a="1"/>
  <c r="H24" i="20" a="1"/>
  <c r="H20" i="20" a="1"/>
  <c r="H62" i="22" a="1"/>
  <c r="H12" i="19" a="1"/>
  <c r="H22" i="22" a="1"/>
  <c r="H66" i="22" a="1"/>
  <c r="H20" i="22" a="1"/>
  <c r="F27" i="22" a="1"/>
  <c r="H71" i="22" a="1"/>
  <c r="I50" i="19" a="1"/>
  <c r="E35" i="19" a="1"/>
  <c r="G68" i="18" a="1"/>
  <c r="F20" i="18" a="1"/>
  <c r="F30" i="22" a="1"/>
  <c r="I60" i="19" a="1"/>
  <c r="H56" i="18" a="1"/>
  <c r="D32" i="19" a="1"/>
  <c r="G18" i="19" a="1"/>
  <c r="H66" i="18" a="1"/>
  <c r="G22" i="18" a="1"/>
  <c r="G14" i="19" a="1"/>
  <c r="H20" i="19" a="1"/>
  <c r="G14" i="18" a="1"/>
  <c r="H63" i="18" a="1"/>
  <c r="H66" i="19" a="1"/>
  <c r="G28" i="19" a="1"/>
  <c r="E34" i="18" a="1"/>
  <c r="G70" i="18" a="1"/>
  <c r="G12" i="18" a="1"/>
  <c r="E32" i="22" a="1"/>
  <c r="H68" i="18" a="1"/>
  <c r="H10" i="19" a="1"/>
  <c r="F30" i="18" a="1"/>
  <c r="G27" i="19" a="1"/>
  <c r="H65" i="22" a="1"/>
  <c r="G15" i="18" a="1"/>
  <c r="E34" i="19" a="1"/>
  <c r="H16" i="20" a="1"/>
  <c r="H52" i="18" a="1"/>
  <c r="F35" i="19" a="1"/>
  <c r="F26" i="22" a="1"/>
  <c r="H10" i="18" a="1"/>
  <c r="F29" i="18" a="1"/>
  <c r="H68" i="19" a="1"/>
  <c r="F16" i="18" a="1"/>
  <c r="H14" i="18" a="1"/>
  <c r="H62" i="18" a="1"/>
  <c r="H18" i="22" a="1"/>
  <c r="I58" i="18" a="1"/>
  <c r="F28" i="18" a="1"/>
  <c r="G26" i="19" a="1"/>
  <c r="G71" i="18" a="1"/>
  <c r="G19" i="18" a="1"/>
  <c r="F29" i="22" a="1"/>
  <c r="H64" i="22" a="1"/>
  <c r="F30" i="19" a="1"/>
  <c r="H60" i="18" a="1"/>
  <c r="H71" i="18" a="1"/>
  <c r="D32" i="18" a="1"/>
  <c r="I48" i="18" a="1"/>
  <c r="G22" i="22" a="1"/>
  <c r="F34" i="22" a="1"/>
  <c r="F24" i="18" a="1"/>
  <c r="G23" i="18" a="1"/>
  <c r="F27" i="18" a="1"/>
  <c r="F35" i="22" a="1"/>
  <c r="G22" i="19" a="1"/>
  <c r="H64" i="18" a="1"/>
  <c r="H16" i="22" a="1"/>
  <c r="H70" i="18" a="1"/>
  <c r="H70" i="19" a="1"/>
  <c r="G18" i="18" a="1"/>
  <c r="H68" i="22" a="1"/>
  <c r="H70" i="22" a="1"/>
  <c r="I58" i="19" a="1"/>
  <c r="G20" i="19" a="1"/>
  <c r="I54" i="18" a="1"/>
  <c r="F28" i="22" a="1"/>
  <c r="I54" i="19" a="1"/>
  <c r="F26" i="18" a="1"/>
  <c r="E32" i="19" a="1"/>
  <c r="G29" i="19"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G28" i="18" a="1"/>
  <c r="H18" i="18" a="1"/>
  <c r="H24" i="19" a="1"/>
  <c r="H18" i="19" a="1"/>
  <c r="F32" i="18" a="1"/>
  <c r="F35" i="18" a="1"/>
  <c r="F32" i="22" a="1"/>
  <c r="G35" i="18" a="1"/>
  <c r="G34" i="18" a="1"/>
  <c r="G26" i="22" a="1"/>
  <c r="G27" i="18" a="1"/>
  <c r="I52" i="18" a="1"/>
  <c r="H14" i="19" a="1"/>
  <c r="G30" i="18" a="1"/>
  <c r="F32" i="19" a="1"/>
  <c r="H22" i="19" a="1"/>
  <c r="G27" i="22" a="1"/>
  <c r="H16" i="19" a="1"/>
  <c r="I62" i="22" a="1"/>
  <c r="G24" i="18" a="1"/>
  <c r="G16" i="18" a="1"/>
  <c r="G29" i="18" a="1"/>
  <c r="E32" i="18" a="1"/>
  <c r="I64" i="22" a="1"/>
  <c r="I63" i="22" a="1"/>
  <c r="G20" i="18" a="1"/>
  <c r="I60" i="18" a="1"/>
  <c r="H12" i="18" a="1"/>
  <c r="H22" i="18" a="1"/>
  <c r="G26" i="18" a="1"/>
  <c r="G35" i="19" a="1"/>
  <c r="I65" i="22" a="1"/>
  <c r="G35" i="22" a="1"/>
  <c r="F34" i="18" a="1"/>
  <c r="G30" i="19" a="1"/>
  <c r="I56" i="18" a="1"/>
  <c r="G34" i="22" a="1"/>
  <c r="G29" i="22" a="1"/>
  <c r="G30" i="22" a="1"/>
  <c r="G34" i="19" a="1"/>
  <c r="G28"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16" i="18" a="1"/>
  <c r="H28" i="22" a="1"/>
  <c r="H26" i="22" a="1"/>
  <c r="H27" i="22" a="1"/>
  <c r="H20" i="18" a="1"/>
  <c r="H29" i="22" a="1"/>
  <c r="H24" i="18"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P104" i="36" l="1"/>
  <c r="P110" i="36"/>
  <c r="N104" i="15"/>
  <c r="M104" i="36"/>
  <c r="K87" i="36"/>
  <c r="M105" i="36"/>
  <c r="M102" i="36"/>
  <c r="P88" i="36"/>
  <c r="M110" i="36"/>
  <c r="M88" i="36"/>
  <c r="L70" i="36" a="1"/>
  <c r="L65" i="36" a="1"/>
  <c r="L62" i="36" a="1"/>
  <c r="L48" i="36" a="1"/>
  <c r="J47" i="36" a="1"/>
  <c r="O64" i="36" a="1"/>
  <c r="O70" i="36" a="1"/>
  <c r="M64" i="28" a="1"/>
  <c r="L64" i="36" a="1"/>
  <c r="M64" i="15" a="1"/>
  <c r="O48" i="36" a="1"/>
  <c r="L65" i="36" l="1"/>
  <c r="L48" i="36"/>
  <c r="L64" i="36"/>
  <c r="L70" i="36"/>
  <c r="O64" i="36"/>
  <c r="L62" i="36"/>
  <c r="O48" i="36"/>
  <c r="J47" i="36"/>
  <c r="O70"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64" i="28"/>
  <c r="O110" i="15"/>
  <c r="P110" i="15"/>
  <c r="P113" i="33" s="1"/>
  <c r="M105" i="15"/>
  <c r="Q102" i="15"/>
  <c r="P86" i="15"/>
  <c r="P86" i="33" s="1"/>
  <c r="L88" i="15"/>
  <c r="M110" i="15"/>
  <c r="M113" i="33" s="1"/>
  <c r="N86" i="15"/>
  <c r="N86" i="33" s="1"/>
  <c r="M86" i="15"/>
  <c r="Q110" i="15"/>
  <c r="P88" i="15"/>
  <c r="K88" i="15"/>
  <c r="K88" i="33" s="1"/>
  <c r="M102" i="15"/>
  <c r="O104" i="15"/>
  <c r="O104" i="33" s="1"/>
  <c r="L86" i="15"/>
  <c r="L86" i="33" s="1"/>
  <c r="L104" i="36"/>
  <c r="K102" i="36"/>
  <c r="O105" i="15"/>
  <c r="O105" i="33" s="1"/>
  <c r="K108" i="36"/>
  <c r="Q105" i="15"/>
  <c r="P102" i="36"/>
  <c r="L110" i="36"/>
  <c r="L87" i="36"/>
  <c r="M64" i="15"/>
  <c r="K28" i="36" a="1"/>
  <c r="L65" i="28" a="1"/>
  <c r="L28" i="28" a="1"/>
  <c r="L62" i="28" a="1"/>
  <c r="M47" i="36" a="1"/>
  <c r="M47" i="15" a="1"/>
  <c r="M64" i="30" a="1"/>
  <c r="L46" i="15" a="1"/>
  <c r="O46" i="15" a="1"/>
  <c r="J68" i="36" a="1"/>
  <c r="N64" i="15" a="1"/>
  <c r="O46" i="33" a="1"/>
  <c r="N28" i="36" a="1"/>
  <c r="K70" i="36" a="1"/>
  <c r="L46" i="36" a="1"/>
  <c r="L65" i="15" a="1"/>
  <c r="L64" i="15" a="1"/>
  <c r="L63" i="36" a="1"/>
  <c r="K48" i="15" a="1"/>
  <c r="L52" i="36" a="1"/>
  <c r="P64" i="28" a="1"/>
  <c r="K46" i="15" a="1"/>
  <c r="N65" i="28" a="1"/>
  <c r="P65" i="28" a="1"/>
  <c r="O65" i="36" a="1"/>
  <c r="M47" i="33" a="1"/>
  <c r="L28" i="15" a="1"/>
  <c r="O52" i="36" a="1"/>
  <c r="P47" i="36" a="1"/>
  <c r="L48" i="37" a="1"/>
  <c r="M46" i="36" a="1"/>
  <c r="L56" i="36" a="1"/>
  <c r="L62" i="15" a="1"/>
  <c r="L64" i="28" a="1"/>
  <c r="J48" i="36" a="1"/>
  <c r="J48" i="33" a="1"/>
  <c r="K48" i="36" a="1"/>
  <c r="O48" i="15" a="1"/>
  <c r="O46" i="36" a="1"/>
  <c r="P62" i="28" a="1"/>
  <c r="J62" i="36" a="1"/>
  <c r="K34" i="36" a="1"/>
  <c r="N65" i="15" a="1"/>
  <c r="M46" i="33" a="1"/>
  <c r="K64" i="36" a="1"/>
  <c r="J48" i="15" a="1"/>
  <c r="O56" i="36" a="1"/>
  <c r="K29" i="36" a="1"/>
  <c r="I11" i="36" a="1"/>
  <c r="K65" i="28" a="1"/>
  <c r="N12" i="36" a="1"/>
  <c r="K26" i="36" a="1"/>
  <c r="O60" i="36" a="1"/>
  <c r="K12" i="36" a="1"/>
  <c r="K46" i="36" a="1"/>
  <c r="L60" i="36" a="1"/>
  <c r="K46" i="33" a="1"/>
  <c r="J59" i="36" a="1"/>
  <c r="J51" i="36" a="1"/>
  <c r="O48" i="37" a="1"/>
  <c r="O64" i="28" a="1"/>
  <c r="P65" i="15" a="1"/>
  <c r="N64" i="28" a="1"/>
  <c r="M46" i="15" a="1"/>
  <c r="K47" i="36" a="1"/>
  <c r="O64" i="15" a="1"/>
  <c r="P62" i="15" a="1"/>
  <c r="J47" i="37" a="1"/>
  <c r="N34" i="36" a="1"/>
  <c r="J55" i="36" a="1"/>
  <c r="O62" i="36" a="1"/>
  <c r="L87" i="20" l="1"/>
  <c r="M87" i="20" s="1"/>
  <c r="N87" i="20" s="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46" i="33"/>
  <c r="J48" i="33"/>
  <c r="M47" i="33"/>
  <c r="O46" i="33"/>
  <c r="K46" i="33"/>
  <c r="M64" i="30"/>
  <c r="N118" i="33"/>
  <c r="N90" i="33"/>
  <c r="N98" i="33"/>
  <c r="N94" i="33"/>
  <c r="P113" i="30"/>
  <c r="M113" i="30"/>
  <c r="O113" i="30"/>
  <c r="K100" i="33"/>
  <c r="K120" i="33"/>
  <c r="K96" i="33"/>
  <c r="K92" i="33"/>
  <c r="M104" i="30"/>
  <c r="Q113" i="30"/>
  <c r="P104" i="30"/>
  <c r="N99" i="33"/>
  <c r="N119" i="33"/>
  <c r="N91" i="33"/>
  <c r="N95" i="33"/>
  <c r="O105" i="30"/>
  <c r="P94" i="33"/>
  <c r="P98" i="33"/>
  <c r="P90" i="33"/>
  <c r="P118" i="33"/>
  <c r="L98" i="33"/>
  <c r="L118" i="33"/>
  <c r="L90" i="33"/>
  <c r="L94" i="33"/>
  <c r="Q104" i="30"/>
  <c r="Q105" i="30"/>
  <c r="O104" i="30"/>
  <c r="M105" i="30"/>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90" i="22"/>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0" i="22"/>
  <c r="N94" i="15"/>
  <c r="N90" i="15"/>
  <c r="N98" i="15"/>
  <c r="M113" i="15"/>
  <c r="P85" i="15"/>
  <c r="M90" i="15"/>
  <c r="M94" i="15"/>
  <c r="M98" i="15"/>
  <c r="O48" i="15"/>
  <c r="L46" i="15"/>
  <c r="M46" i="15"/>
  <c r="O46" i="15"/>
  <c r="M106" i="36"/>
  <c r="M111" i="36"/>
  <c r="L108" i="36"/>
  <c r="L106" i="36"/>
  <c r="O108" i="29"/>
  <c r="M108" i="36"/>
  <c r="K68" i="36" a="1"/>
  <c r="O58" i="36" a="1"/>
  <c r="K55" i="36" a="1"/>
  <c r="P60" i="15" a="1"/>
  <c r="O62" i="28" a="1"/>
  <c r="J48" i="18" a="1"/>
  <c r="O46" i="28" a="1"/>
  <c r="L65" i="37" a="1"/>
  <c r="O28" i="28" a="1"/>
  <c r="N62" i="15" a="1"/>
  <c r="M51" i="36" a="1"/>
  <c r="I19" i="36" a="1"/>
  <c r="M65" i="15" a="1"/>
  <c r="K66" i="36" a="1"/>
  <c r="K65" i="30" a="1"/>
  <c r="N65" i="33" a="1"/>
  <c r="K54" i="15" a="1"/>
  <c r="K51" i="36" a="1"/>
  <c r="N62" i="28" a="1"/>
  <c r="M46" i="28" a="1"/>
  <c r="P46" i="33" a="1"/>
  <c r="P65" i="30" a="1"/>
  <c r="O71" i="36" a="1"/>
  <c r="I12" i="33" a="1"/>
  <c r="M54" i="33" a="1"/>
  <c r="M59" i="36" a="1"/>
  <c r="P64" i="15" a="1"/>
  <c r="L46" i="22" a="1"/>
  <c r="L71" i="36" a="1"/>
  <c r="L54" i="36" a="1"/>
  <c r="O50" i="36" a="1"/>
  <c r="J55" i="37" a="1"/>
  <c r="K50" i="28" a="1"/>
  <c r="K65" i="36" a="1"/>
  <c r="J10" i="36" a="1"/>
  <c r="O29" i="28" a="1"/>
  <c r="M29" i="28" a="1"/>
  <c r="K46" i="22" a="1"/>
  <c r="N29" i="36" a="1"/>
  <c r="N48" i="15" a="1"/>
  <c r="L64" i="37" a="1"/>
  <c r="O26" i="15" a="1"/>
  <c r="O54" i="15" a="1"/>
  <c r="P46" i="15" a="1"/>
  <c r="I12" i="36" a="1"/>
  <c r="L65" i="30" a="1"/>
  <c r="M50" i="22" a="1"/>
  <c r="K46" i="37" a="1"/>
  <c r="K47" i="37" a="1"/>
  <c r="J48" i="28" a="1"/>
  <c r="O50" i="33" a="1"/>
  <c r="L50" i="15" a="1"/>
  <c r="L50" i="36" a="1"/>
  <c r="N28" i="15" a="1"/>
  <c r="K24" i="36" a="1"/>
  <c r="N64" i="30" a="1"/>
  <c r="L46" i="30" a="1"/>
  <c r="N46" i="36" a="1"/>
  <c r="M55" i="33" a="1"/>
  <c r="J10" i="15" a="1"/>
  <c r="M58" i="36" a="1"/>
  <c r="L60" i="37" a="1"/>
  <c r="N68" i="29" a="1"/>
  <c r="J62" i="28" a="1"/>
  <c r="P63" i="15" a="1"/>
  <c r="P64" i="30" a="1"/>
  <c r="O56" i="15" a="1"/>
  <c r="N10" i="33" a="1"/>
  <c r="J59" i="37" a="1"/>
  <c r="L63" i="37" a="1"/>
  <c r="I26" i="36" a="1"/>
  <c r="M58" i="33" a="1"/>
  <c r="J46" i="33" a="1"/>
  <c r="N28" i="28" a="1"/>
  <c r="L66" i="36" a="1"/>
  <c r="K64" i="28" a="1"/>
  <c r="O58" i="15" a="1"/>
  <c r="J34" i="36" a="1"/>
  <c r="K26" i="15" a="1"/>
  <c r="K58" i="36" a="1"/>
  <c r="P47" i="15" a="1"/>
  <c r="M59" i="15" a="1"/>
  <c r="K58" i="33" a="1"/>
  <c r="L50" i="22" a="1"/>
  <c r="K52" i="28" a="1"/>
  <c r="L62" i="37" a="1"/>
  <c r="M28" i="15" a="1"/>
  <c r="K10" i="36" a="1"/>
  <c r="M54" i="36" a="1"/>
  <c r="J12" i="36" a="1"/>
  <c r="O60" i="15" a="1"/>
  <c r="K60" i="15" a="1"/>
  <c r="L63" i="15" a="1"/>
  <c r="M47" i="30" a="1"/>
  <c r="L58" i="36" a="1"/>
  <c r="K48" i="37" a="1"/>
  <c r="J52" i="33" a="1"/>
  <c r="K52" i="36" a="1"/>
  <c r="K54" i="33" a="1"/>
  <c r="J48" i="19" a="1"/>
  <c r="O54" i="36" a="1"/>
  <c r="J66" i="36" a="1"/>
  <c r="K48" i="28" a="1"/>
  <c r="L58" i="15" a="1"/>
  <c r="N26" i="36" a="1"/>
  <c r="K65" i="15" a="1"/>
  <c r="K48" i="19" a="1"/>
  <c r="L47" i="22" a="1"/>
  <c r="M46" i="22" a="1"/>
  <c r="M55" i="15" a="1"/>
  <c r="L11" i="36" a="1"/>
  <c r="L11" i="15" a="1"/>
  <c r="M58" i="28" a="1"/>
  <c r="J11" i="36" a="1"/>
  <c r="O58" i="28" a="1"/>
  <c r="N12" i="37" a="1"/>
  <c r="K12" i="37" a="1"/>
  <c r="K50" i="15" a="1"/>
  <c r="M51" i="33" a="1"/>
  <c r="O46" i="30" a="1"/>
  <c r="K60" i="36" a="1"/>
  <c r="K46" i="28" a="1"/>
  <c r="N65" i="30" a="1"/>
  <c r="K28" i="28" a="1"/>
  <c r="J64" i="36" a="1"/>
  <c r="K16" i="36" a="1"/>
  <c r="K50" i="36" a="1"/>
  <c r="K29" i="28" a="1"/>
  <c r="P59" i="36" a="1"/>
  <c r="K52" i="15" a="1"/>
  <c r="K62" i="28" a="1"/>
  <c r="M55" i="28" a="1"/>
  <c r="K46" i="30" a="1"/>
  <c r="J63" i="36" a="1"/>
  <c r="L63" i="28" a="1"/>
  <c r="K56" i="15" a="1"/>
  <c r="M59" i="33" a="1"/>
  <c r="K27" i="36" a="1"/>
  <c r="O48" i="30" a="1"/>
  <c r="O66" i="36" a="1"/>
  <c r="H32" i="36" a="1"/>
  <c r="P48" i="15" a="1"/>
  <c r="O52" i="37" a="1"/>
  <c r="J10" i="33" a="1"/>
  <c r="J56" i="33" a="1"/>
  <c r="J60" i="33" a="1"/>
  <c r="J56" i="15" a="1"/>
  <c r="L10" i="36" a="1"/>
  <c r="I15" i="36" a="1"/>
  <c r="J12" i="15" a="1"/>
  <c r="M47" i="37" a="1"/>
  <c r="O60" i="37" a="1"/>
  <c r="O58" i="33" a="1"/>
  <c r="K56" i="36" a="1"/>
  <c r="M50" i="33" a="1"/>
  <c r="I11" i="37" a="1"/>
  <c r="L46" i="28" a="1"/>
  <c r="K48" i="22" a="1"/>
  <c r="M50" i="36" a="1"/>
  <c r="K20" i="36" a="1"/>
  <c r="O50" i="15" a="1"/>
  <c r="J28" i="36" a="1"/>
  <c r="L52" i="37" a="1"/>
  <c r="L50" i="28" a="1"/>
  <c r="L11" i="33" a="1"/>
  <c r="O29" i="15" a="1"/>
  <c r="J71" i="36" a="1"/>
  <c r="J70" i="36" a="1"/>
  <c r="M55" i="36" a="1"/>
  <c r="J46" i="15" a="1"/>
  <c r="M47" i="28" a="1"/>
  <c r="I12" i="15" a="1"/>
  <c r="J51" i="37" a="1"/>
  <c r="K54" i="36" a="1"/>
  <c r="K10" i="15" a="1"/>
  <c r="O11" i="36" a="1"/>
  <c r="P46" i="36" a="1"/>
  <c r="M46" i="30" a="1"/>
  <c r="J29" i="28" a="1"/>
  <c r="N10" i="36" a="1"/>
  <c r="M28" i="28" a="1"/>
  <c r="M29" i="15" a="1"/>
  <c r="N64" i="33" a="1"/>
  <c r="M58" i="15" a="1"/>
  <c r="L10" i="15" a="1"/>
  <c r="L56" i="37" a="1"/>
  <c r="O52" i="15" a="1"/>
  <c r="N12" i="15" a="1"/>
  <c r="I23" i="36" a="1"/>
  <c r="L64" i="30" a="1"/>
  <c r="J46" i="36" a="1"/>
  <c r="N46" i="15" a="1"/>
  <c r="O63" i="36" a="1"/>
  <c r="O56" i="37" a="1"/>
  <c r="O54" i="33" a="1"/>
  <c r="K50" i="33" a="1"/>
  <c r="P63" i="28" a="1"/>
  <c r="K58" i="15" a="1"/>
  <c r="L28" i="30" a="1"/>
  <c r="O48" i="22" a="1"/>
  <c r="P62" i="30" a="1"/>
  <c r="J48" i="22" a="1"/>
  <c r="J62" i="15" a="1"/>
  <c r="P55" i="36" a="1"/>
  <c r="O65" i="28" a="1"/>
  <c r="J60" i="15" a="1"/>
  <c r="J60" i="36" a="1"/>
  <c r="O26" i="28" a="1"/>
  <c r="L10" i="33" a="1"/>
  <c r="N16" i="36" a="1"/>
  <c r="J48" i="37" a="1"/>
  <c r="N10" i="15" a="1"/>
  <c r="K28" i="15" a="1"/>
  <c r="J48" i="20" a="1"/>
  <c r="P51" i="36" a="1"/>
  <c r="M50" i="15" a="1"/>
  <c r="J56" i="36" a="1"/>
  <c r="M46" i="37" a="1"/>
  <c r="O62" i="15" a="1"/>
  <c r="P47" i="37" a="1"/>
  <c r="J52" i="15" a="1"/>
  <c r="K26" i="28" a="1"/>
  <c r="K71" i="36" a="1"/>
  <c r="N46" i="33" a="1"/>
  <c r="M54" i="15" a="1"/>
  <c r="M65" i="28" a="1"/>
  <c r="J48" i="30" a="1"/>
  <c r="L54" i="15" a="1"/>
  <c r="L46" i="37" a="1"/>
  <c r="M51" i="15" a="1"/>
  <c r="L62" i="30" a="1"/>
  <c r="K50" i="22" a="1"/>
  <c r="N20" i="36" a="1"/>
  <c r="L68" i="36" a="1"/>
  <c r="O64" i="30" a="1"/>
  <c r="K59" i="36" a="1"/>
  <c r="O46" i="37" a="1"/>
  <c r="O65" i="15" a="1"/>
  <c r="J52" i="36" a="1"/>
  <c r="N24" i="36" a="1"/>
  <c r="K29" i="15" a="1"/>
  <c r="K64" i="15" a="1"/>
  <c r="K48" i="30"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J60" i="33"/>
  <c r="P64" i="30"/>
  <c r="K58" i="33"/>
  <c r="O50" i="33"/>
  <c r="M59" i="33"/>
  <c r="N10" i="33"/>
  <c r="O58" i="33"/>
  <c r="L11" i="33"/>
  <c r="P46" i="33"/>
  <c r="L65" i="30"/>
  <c r="O54" i="33"/>
  <c r="O64" i="30"/>
  <c r="L28" i="30"/>
  <c r="N64" i="33"/>
  <c r="K54" i="33"/>
  <c r="N65" i="33"/>
  <c r="I12" i="33"/>
  <c r="N46" i="33"/>
  <c r="N64" i="30"/>
  <c r="K65" i="30"/>
  <c r="K50" i="33"/>
  <c r="N65" i="30"/>
  <c r="J52" i="33"/>
  <c r="M54" i="33"/>
  <c r="M55" i="33"/>
  <c r="J56" i="33"/>
  <c r="M58" i="33"/>
  <c r="P65" i="30"/>
  <c r="M51" i="33"/>
  <c r="L64" i="30"/>
  <c r="M50" i="33"/>
  <c r="J10" i="33"/>
  <c r="L10" i="33"/>
  <c r="K98" i="33"/>
  <c r="K94" i="33"/>
  <c r="K90" i="33"/>
  <c r="K118" i="33"/>
  <c r="L104" i="30"/>
  <c r="O102" i="30"/>
  <c r="O121" i="30" s="1"/>
  <c r="M130" i="30"/>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N29" i="15" a="1"/>
  <c r="J20" i="15" a="1"/>
  <c r="N24" i="15" a="1"/>
  <c r="L58" i="30" a="1"/>
  <c r="J18" i="15" a="1"/>
  <c r="K27" i="28" a="1"/>
  <c r="L15" i="36" a="1"/>
  <c r="O50" i="28" a="1"/>
  <c r="L59" i="22" a="1"/>
  <c r="N54" i="33" a="1"/>
  <c r="P71" i="30" a="1"/>
  <c r="P68" i="29" a="1"/>
  <c r="K54" i="37" a="1"/>
  <c r="O64" i="37" a="1"/>
  <c r="L19" i="33" a="1"/>
  <c r="K26" i="30" a="1"/>
  <c r="I10" i="36" a="1"/>
  <c r="K70" i="15" a="1"/>
  <c r="M65" i="30" a="1"/>
  <c r="J28" i="15" a="1"/>
  <c r="N26" i="28" a="1"/>
  <c r="K27" i="15" a="1"/>
  <c r="I12" i="18" a="1"/>
  <c r="O27" i="15" a="1"/>
  <c r="K60" i="19" a="1"/>
  <c r="P68" i="15" a="1"/>
  <c r="P50" i="15" a="1"/>
  <c r="I16" i="15" a="1"/>
  <c r="J65" i="37" a="1"/>
  <c r="L50" i="37" a="1"/>
  <c r="P50" i="36" a="1"/>
  <c r="N63" i="33" a="1"/>
  <c r="J24" i="36" a="1"/>
  <c r="N26" i="15" a="1"/>
  <c r="I12" i="28" a="1"/>
  <c r="L66" i="28" a="1"/>
  <c r="P63" i="30" a="1"/>
  <c r="L70" i="15" a="1"/>
  <c r="J52" i="18" a="1"/>
  <c r="N46" i="30" a="1"/>
  <c r="J54" i="33" a="1"/>
  <c r="O15" i="36" a="1"/>
  <c r="M12" i="15" a="1"/>
  <c r="N46" i="28" a="1"/>
  <c r="L54" i="30" a="1"/>
  <c r="K29" i="30" a="1"/>
  <c r="J63" i="15" a="1"/>
  <c r="L32" i="29" a="1"/>
  <c r="O63" i="37" a="1"/>
  <c r="L51" i="22" a="1"/>
  <c r="O56" i="30" a="1"/>
  <c r="O19" i="36" a="1"/>
  <c r="J46" i="30" a="1"/>
  <c r="K71" i="15" a="1"/>
  <c r="P46" i="22" a="1"/>
  <c r="K58" i="22" a="1"/>
  <c r="K16" i="37" a="1"/>
  <c r="J54" i="15" a="1"/>
  <c r="M54" i="37" a="1"/>
  <c r="J20" i="36" a="1"/>
  <c r="O46" i="22" a="1"/>
  <c r="K27" i="37" a="1"/>
  <c r="N63" i="28" a="1"/>
  <c r="N10" i="30" a="1"/>
  <c r="K55" i="37" a="1"/>
  <c r="N58" i="36" a="1"/>
  <c r="N29" i="28" a="1"/>
  <c r="L50" i="30" a="1"/>
  <c r="I12" i="20" a="1"/>
  <c r="P48" i="30" a="1"/>
  <c r="K10" i="22" a="1"/>
  <c r="J18" i="33" a="1"/>
  <c r="J52" i="28" a="1"/>
  <c r="L58" i="22" a="1"/>
  <c r="L22" i="33" a="1"/>
  <c r="L11" i="37" a="1"/>
  <c r="O10" i="33" a="1"/>
  <c r="I34" i="36" a="1"/>
  <c r="M54" i="30" a="1"/>
  <c r="L66" i="37" a="1"/>
  <c r="K66" i="28" a="1"/>
  <c r="P46" i="30" a="1"/>
  <c r="J56" i="28" a="1"/>
  <c r="N68" i="15" a="1"/>
  <c r="L58" i="37" a="1"/>
  <c r="L19" i="15" a="1"/>
  <c r="K11" i="22" a="1"/>
  <c r="P54" i="36" a="1"/>
  <c r="J14" i="15" a="1"/>
  <c r="P59" i="37" a="1"/>
  <c r="P46" i="37" a="1"/>
  <c r="J50" i="15" a="1"/>
  <c r="N22" i="33" a="1"/>
  <c r="J12" i="30" a="1"/>
  <c r="J60" i="30" a="1"/>
  <c r="O10" i="15" a="1"/>
  <c r="J12" i="37" a="1"/>
  <c r="J62" i="30" a="1"/>
  <c r="M26" i="28" a="1"/>
  <c r="K48" i="18" a="1"/>
  <c r="O70" i="33" a="1"/>
  <c r="I26" i="15" a="1"/>
  <c r="O62" i="30" a="1"/>
  <c r="J58" i="36" a="1"/>
  <c r="O71" i="37" a="1"/>
  <c r="J16" i="36" a="1"/>
  <c r="I12" i="37" a="1"/>
  <c r="M10" i="33" a="1"/>
  <c r="K60" i="22" a="1"/>
  <c r="L58" i="28" a="1"/>
  <c r="J12" i="19" a="1"/>
  <c r="O11" i="37" a="1"/>
  <c r="K30" i="36" a="1"/>
  <c r="K56" i="28" a="1"/>
  <c r="P58" i="33" a="1"/>
  <c r="K64" i="33" a="1"/>
  <c r="J58" i="33" a="1"/>
  <c r="J56" i="22" a="1"/>
  <c r="N63" i="15" a="1"/>
  <c r="N71" i="30" a="1"/>
  <c r="I32" i="36" a="1"/>
  <c r="K14" i="36" a="1"/>
  <c r="J46" i="19" a="1"/>
  <c r="O52" i="30" a="1"/>
  <c r="L15" i="15" a="1"/>
  <c r="J66" i="28" a="1"/>
  <c r="O68" i="15" a="1"/>
  <c r="L14" i="22" a="1"/>
  <c r="L11" i="30" a="1"/>
  <c r="N70" i="15" a="1"/>
  <c r="J54" i="36" a="1"/>
  <c r="O65" i="37" a="1"/>
  <c r="J29" i="30" a="1"/>
  <c r="K56" i="22" a="1"/>
  <c r="K10" i="28" a="1"/>
  <c r="K28" i="30" a="1"/>
  <c r="N62" i="30" a="1"/>
  <c r="P54" i="15" a="1"/>
  <c r="I10" i="15" a="1"/>
  <c r="K54" i="22" a="1"/>
  <c r="J14" i="33" a="1"/>
  <c r="J29" i="36" a="1"/>
  <c r="L23" i="33" a="1"/>
  <c r="L29" i="15" a="1"/>
  <c r="L23" i="15" a="1"/>
  <c r="K62" i="15" a="1"/>
  <c r="N20" i="15" a="1"/>
  <c r="J32" i="36" a="1"/>
  <c r="L29" i="28" a="1"/>
  <c r="I16" i="36" a="1"/>
  <c r="K10" i="37" a="1"/>
  <c r="J60" i="20" a="1"/>
  <c r="N12" i="22" a="1"/>
  <c r="J60" i="18" a="1"/>
  <c r="O28" i="15" a="1"/>
  <c r="K14" i="28" a="1"/>
  <c r="K14" i="15" a="1"/>
  <c r="I10" i="33" a="1"/>
  <c r="N28" i="30" a="1"/>
  <c r="M28" i="30" a="1"/>
  <c r="J14" i="28" a="1"/>
  <c r="I24" i="15" a="1"/>
  <c r="J62" i="37" a="1"/>
  <c r="I15" i="37" a="1"/>
  <c r="M55" i="30" a="1"/>
  <c r="N16" i="37" a="1"/>
  <c r="J19" i="36" a="1"/>
  <c r="N14" i="33" a="1"/>
  <c r="I16" i="33" a="1"/>
  <c r="J11" i="37" a="1"/>
  <c r="N71" i="15" a="1"/>
  <c r="N46" i="37" a="1"/>
  <c r="N60" i="15" a="1"/>
  <c r="J63" i="37" a="1"/>
  <c r="J56" i="30" a="1"/>
  <c r="N50" i="15" a="1"/>
  <c r="P46" i="28" a="1"/>
  <c r="J23" i="36" a="1"/>
  <c r="K52" i="19" a="1"/>
  <c r="P58" i="28" a="1"/>
  <c r="L71" i="15" a="1"/>
  <c r="J64" i="37" a="1"/>
  <c r="N24" i="37" a="1"/>
  <c r="J60" i="22" a="1"/>
  <c r="N56" i="15" a="1"/>
  <c r="L19" i="36" a="1"/>
  <c r="M59" i="37" a="1"/>
  <c r="N58" i="15" a="1"/>
  <c r="P58" i="15" a="1"/>
  <c r="K60" i="28" a="1"/>
  <c r="J52" i="22" a="1"/>
  <c r="P51" i="15" a="1"/>
  <c r="O70" i="15" a="1"/>
  <c r="J56" i="37" a="1"/>
  <c r="N18" i="33" a="1"/>
  <c r="N22" i="36" a="1"/>
  <c r="I27" i="36" a="1"/>
  <c r="J56" i="20" a="1"/>
  <c r="L22" i="36" a="1"/>
  <c r="K50" i="30" a="1"/>
  <c r="M54" i="28" a="1"/>
  <c r="L14" i="36" a="1"/>
  <c r="J18" i="36" a="1"/>
  <c r="L18" i="36" a="1"/>
  <c r="J28" i="28" a="1"/>
  <c r="N20" i="37" a="1"/>
  <c r="K28" i="37" a="1"/>
  <c r="M51" i="28" a="1"/>
  <c r="P47" i="28" a="1"/>
  <c r="M29" i="33" a="1"/>
  <c r="K35" i="36" a="1"/>
  <c r="L23" i="36" a="1"/>
  <c r="I24" i="36" a="1"/>
  <c r="P58" i="36" a="1"/>
  <c r="O56" i="22" a="1"/>
  <c r="J10" i="22" a="1"/>
  <c r="K58" i="28" a="1"/>
  <c r="N58" i="33" a="1"/>
  <c r="K56" i="30" a="1"/>
  <c r="K60" i="30" a="1"/>
  <c r="O63" i="28" a="1"/>
  <c r="K64" i="30" a="1"/>
  <c r="J52" i="19" a="1"/>
  <c r="L10" i="28" a="1"/>
  <c r="P70" i="15" a="1"/>
  <c r="I23" i="37" a="1"/>
  <c r="J71" i="15" a="1"/>
  <c r="N16" i="15" a="1"/>
  <c r="O60" i="30" a="1"/>
  <c r="N22" i="15" a="1"/>
  <c r="J10" i="28" a="1"/>
  <c r="M50" i="30" a="1"/>
  <c r="P55" i="15" a="1"/>
  <c r="L54" i="28" a="1"/>
  <c r="K22" i="36" a="1"/>
  <c r="M51" i="30" a="1"/>
  <c r="O54" i="28" a="1"/>
  <c r="M26" i="15" a="1"/>
  <c r="N50" i="36" a="1"/>
  <c r="J66" i="15" a="1"/>
  <c r="O68" i="29" a="1"/>
  <c r="N18" i="15" a="1"/>
  <c r="O24" i="15" a="1"/>
  <c r="O11" i="15" a="1"/>
  <c r="I12" i="19" a="1"/>
  <c r="I26" i="28" a="1"/>
  <c r="K60" i="37" a="1"/>
  <c r="O60" i="22" a="1"/>
  <c r="N12" i="30" a="1"/>
  <c r="P66" i="15" a="1"/>
  <c r="I28" i="36" a="1"/>
  <c r="O68" i="36" a="1"/>
  <c r="L15" i="33" a="1"/>
  <c r="M59" i="28" a="1"/>
  <c r="J60" i="37" a="1"/>
  <c r="I24" i="33" a="1"/>
  <c r="I20" i="33" a="1"/>
  <c r="P71" i="15" a="1"/>
  <c r="J14" i="22" a="1"/>
  <c r="N14" i="36" a="1"/>
  <c r="O12" i="15" a="1"/>
  <c r="J10" i="37" a="1"/>
  <c r="J46" i="28" a="1"/>
  <c r="K50" i="37" a="1"/>
  <c r="J16" i="15" a="1"/>
  <c r="K62" i="30" a="1"/>
  <c r="L18" i="15" a="1"/>
  <c r="J22" i="15" a="1"/>
  <c r="N27" i="36" a="1"/>
  <c r="J64" i="15" a="1"/>
  <c r="K24" i="37" a="1"/>
  <c r="J52" i="30" a="1"/>
  <c r="M54" i="22" a="1"/>
  <c r="P51" i="37" a="1"/>
  <c r="L10" i="37" a="1"/>
  <c r="N18" i="36" a="1"/>
  <c r="K56" i="37" a="1"/>
  <c r="P66" i="28" a="1"/>
  <c r="P47" i="30" a="1"/>
  <c r="O66" i="15" a="1"/>
  <c r="O58" i="30" a="1"/>
  <c r="M50" i="37" a="1"/>
  <c r="P54" i="33" a="1"/>
  <c r="L22" i="28" a="1"/>
  <c r="O54" i="30" a="1"/>
  <c r="J56" i="19" a="1"/>
  <c r="N46" i="22" a="1"/>
  <c r="I12" i="30" a="1"/>
  <c r="K18" i="15" a="1"/>
  <c r="J50" i="28" a="1"/>
  <c r="O26" i="30" a="1"/>
  <c r="L66" i="15" a="1"/>
  <c r="K54" i="28" a="1"/>
  <c r="N52" i="15" a="1"/>
  <c r="I30" i="36" a="1"/>
  <c r="N50" i="33" a="1"/>
  <c r="O29" i="30" a="1"/>
  <c r="J52" i="20" a="1"/>
  <c r="J62" i="33" a="1"/>
  <c r="O65" i="30" a="1"/>
  <c r="P56" i="15" a="1"/>
  <c r="M47" i="22" a="1"/>
  <c r="J12" i="28" a="1"/>
  <c r="L11" i="28" a="1"/>
  <c r="M50" i="28" a="1"/>
  <c r="L19" i="28" a="1"/>
  <c r="J70" i="15" a="1"/>
  <c r="K29" i="37" a="1"/>
  <c r="J46" i="18" a="1"/>
  <c r="J22" i="36" a="1"/>
  <c r="J10" i="30" a="1"/>
  <c r="M55" i="37" a="1"/>
  <c r="L14" i="15" a="1"/>
  <c r="J29" i="15" a="1"/>
  <c r="J16" i="28" a="1"/>
  <c r="L10" i="30" a="1"/>
  <c r="L55" i="22" a="1"/>
  <c r="K56" i="20" a="1"/>
  <c r="L63" i="30" a="1"/>
  <c r="M10" i="36" a="1"/>
  <c r="J26" i="28" a="1"/>
  <c r="M28" i="33" a="1"/>
  <c r="L54" i="37" a="1"/>
  <c r="I20" i="36" a="1"/>
  <c r="K56" i="19" a="1"/>
  <c r="J46" i="37" a="1"/>
  <c r="K58" i="37" a="1"/>
  <c r="L54" i="22" a="1"/>
  <c r="O50" i="37" a="1"/>
  <c r="K63" i="28" a="1"/>
  <c r="N54" i="15" a="1"/>
  <c r="M51" i="37" a="1"/>
  <c r="J22" i="33" a="1"/>
  <c r="J60" i="28" a="1"/>
  <c r="O63" i="15" a="1"/>
  <c r="K10" i="30" a="1"/>
  <c r="N30" i="36" a="1"/>
  <c r="O50" i="30" a="1"/>
  <c r="J12" i="22" a="1"/>
  <c r="K66" i="15" a="1"/>
  <c r="K51" i="37" a="1"/>
  <c r="J30" i="36" a="1"/>
  <c r="K65" i="33" a="1"/>
  <c r="J46" i="22" a="1"/>
  <c r="J50" i="33" a="1"/>
  <c r="J24" i="15" a="1"/>
  <c r="N62" i="33" a="1"/>
  <c r="J58" i="15" a="1"/>
  <c r="I35" i="36" a="1"/>
  <c r="O28" i="30" a="1"/>
  <c r="L10" i="22" a="1"/>
  <c r="M10" i="15" a="1"/>
  <c r="J60" i="19" a="1"/>
  <c r="K52" i="22" a="1"/>
  <c r="J35" i="36" a="1"/>
  <c r="J63" i="28" a="1"/>
  <c r="K52" i="30" a="1"/>
  <c r="J64" i="28" a="1"/>
  <c r="M29" i="30" a="1"/>
  <c r="N10" i="28" a="1"/>
  <c r="K62" i="36" a="1"/>
  <c r="K22" i="15" a="1"/>
  <c r="I20" i="15" a="1"/>
  <c r="K52" i="37" a="1"/>
  <c r="M59" i="30" a="1"/>
  <c r="O62" i="37" a="1"/>
  <c r="K26" i="37" a="1"/>
  <c r="K18" i="36" a="1"/>
  <c r="O10" i="36" a="1"/>
  <c r="O52" i="22" a="1"/>
  <c r="N10" i="37" a="1"/>
  <c r="K58" i="30" a="1"/>
  <c r="J15" i="36" a="1"/>
  <c r="O23" i="36" a="1"/>
  <c r="K54" i="30" a="1"/>
  <c r="M58" i="37" a="1"/>
  <c r="L18" i="33" a="1"/>
  <c r="K20" i="37" a="1"/>
  <c r="I19" i="37" a="1"/>
  <c r="K59" i="37" a="1"/>
  <c r="J56" i="18" a="1"/>
  <c r="N35" i="36" a="1"/>
  <c r="O58" i="37" a="1"/>
  <c r="J50" i="36" a="1"/>
  <c r="N14" i="15" a="1"/>
  <c r="O71" i="15" a="1"/>
  <c r="P55" i="37" a="1"/>
  <c r="N54" i="36" a="1"/>
  <c r="P55" i="28" a="1"/>
  <c r="M58" i="30" a="1"/>
  <c r="N22" i="28" a="1"/>
  <c r="J14" i="36" a="1"/>
  <c r="L22" i="15" a="1"/>
  <c r="O27" i="28" a="1"/>
  <c r="J52" i="37" a="1"/>
  <c r="P56" i="30" a="1"/>
  <c r="P50" i="33" a="1"/>
  <c r="K14" i="22" a="1"/>
  <c r="P59" i="15" a="1"/>
  <c r="M58" i="22" a="1"/>
  <c r="O54" i="37" a="1"/>
  <c r="P52" i="15" a="1"/>
  <c r="I12" i="22" a="1"/>
  <c r="L14" i="33" a="1"/>
  <c r="O66" i="28" a="1"/>
  <c r="N54" i="28" a="1"/>
  <c r="N48" i="30" a="1"/>
  <c r="K48" i="20" a="1"/>
  <c r="P52" i="15" l="1"/>
  <c r="P56" i="15"/>
  <c r="Q116" i="29"/>
  <c r="L116" i="15"/>
  <c r="L125" i="15" s="1"/>
  <c r="L130" i="33" s="1"/>
  <c r="L120" i="15"/>
  <c r="L133" i="15" s="1"/>
  <c r="L103" i="15"/>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J14" i="33"/>
  <c r="J18" i="33"/>
  <c r="K29" i="30"/>
  <c r="N63" i="33"/>
  <c r="N50" i="33"/>
  <c r="K64" i="33"/>
  <c r="J29" i="30"/>
  <c r="N54" i="33"/>
  <c r="M65" i="30"/>
  <c r="K64" i="30"/>
  <c r="M28" i="30"/>
  <c r="M28" i="33"/>
  <c r="O10" i="33"/>
  <c r="O62" i="30"/>
  <c r="L14" i="33"/>
  <c r="L22" i="33"/>
  <c r="M10" i="33"/>
  <c r="O70" i="33"/>
  <c r="O65" i="30"/>
  <c r="J50" i="33"/>
  <c r="I20" i="33"/>
  <c r="L18" i="33"/>
  <c r="L23" i="33"/>
  <c r="I24" i="33"/>
  <c r="P50" i="33"/>
  <c r="J54" i="33"/>
  <c r="K28" i="30"/>
  <c r="I16" i="33"/>
  <c r="N28" i="30"/>
  <c r="N14" i="33"/>
  <c r="N58" i="33"/>
  <c r="J62" i="33"/>
  <c r="P54" i="33"/>
  <c r="K62" i="30"/>
  <c r="L15" i="33"/>
  <c r="L19" i="33"/>
  <c r="M29" i="30"/>
  <c r="M29" i="33"/>
  <c r="N18" i="33"/>
  <c r="J22" i="33"/>
  <c r="J62" i="30"/>
  <c r="P58" i="33"/>
  <c r="N62" i="33"/>
  <c r="O29" i="30"/>
  <c r="N22" i="33"/>
  <c r="O28" i="30"/>
  <c r="I10" i="33"/>
  <c r="Q128" i="30"/>
  <c r="O130" i="30"/>
  <c r="M106" i="30"/>
  <c r="O101" i="33"/>
  <c r="K130" i="30"/>
  <c r="O129" i="30"/>
  <c r="K104" i="30"/>
  <c r="R104" i="30" s="1"/>
  <c r="P106" i="30"/>
  <c r="O114" i="30"/>
  <c r="P123" i="33"/>
  <c r="P133" i="33" s="1"/>
  <c r="M127" i="30"/>
  <c r="L114" i="30"/>
  <c r="L130" i="30"/>
  <c r="Q106" i="30"/>
  <c r="K114" i="30"/>
  <c r="K106" i="30"/>
  <c r="K103" i="30"/>
  <c r="K121" i="33"/>
  <c r="K125" i="33"/>
  <c r="K138" i="33" s="1"/>
  <c r="P130" i="30"/>
  <c r="P131" i="33"/>
  <c r="Q114" i="30"/>
  <c r="L106" i="30"/>
  <c r="O125" i="33"/>
  <c r="O138" i="33" s="1"/>
  <c r="O121"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L103" i="30"/>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M16" i="15" a="1"/>
  <c r="M51" i="22" a="1"/>
  <c r="J58" i="37" a="1"/>
  <c r="M20" i="15" a="1"/>
  <c r="K63" i="30" a="1"/>
  <c r="I24" i="22" a="1"/>
  <c r="K23" i="22" a="1"/>
  <c r="K18" i="37" a="1"/>
  <c r="L23" i="30" a="1"/>
  <c r="N54" i="37" a="1"/>
  <c r="I35" i="15" a="1"/>
  <c r="O22" i="28" a="1"/>
  <c r="O66" i="30" a="1"/>
  <c r="J54" i="30" a="1"/>
  <c r="I16" i="30" a="1"/>
  <c r="J14" i="30" a="1"/>
  <c r="O10" i="37" a="1"/>
  <c r="J26" i="15" a="1"/>
  <c r="J64" i="22" a="1"/>
  <c r="O18" i="33" a="1"/>
  <c r="K15" i="22" a="1"/>
  <c r="I24" i="30" a="1"/>
  <c r="J20" i="22" a="1"/>
  <c r="L14" i="28" a="1"/>
  <c r="I24" i="18" a="1"/>
  <c r="I18" i="15" a="1"/>
  <c r="J20" i="30" a="1"/>
  <c r="L22" i="37" a="1"/>
  <c r="M22" i="33" a="1"/>
  <c r="I22" i="33" a="1"/>
  <c r="J12" i="20" a="1"/>
  <c r="P58" i="22" a="1"/>
  <c r="I14" i="33" a="1"/>
  <c r="K19" i="22" a="1"/>
  <c r="K60" i="20" a="1"/>
  <c r="I16" i="22" a="1"/>
  <c r="N32" i="15" a="1"/>
  <c r="J18" i="30" a="1"/>
  <c r="O22" i="33" a="1"/>
  <c r="K62" i="33" a="1"/>
  <c r="L71" i="37" a="1"/>
  <c r="I16" i="20" a="1"/>
  <c r="P51" i="30" a="1"/>
  <c r="P51" i="28" a="1"/>
  <c r="N16" i="30" a="1"/>
  <c r="N54" i="22" a="1"/>
  <c r="K56" i="18" a="1"/>
  <c r="N30" i="28" a="1"/>
  <c r="O10" i="28" a="1"/>
  <c r="L14" i="30" a="1"/>
  <c r="I34" i="15" a="1"/>
  <c r="J22" i="28" a="1"/>
  <c r="N20" i="30" a="1"/>
  <c r="P54" i="28" a="1"/>
  <c r="K66" i="33" a="1"/>
  <c r="J23" i="37" a="1"/>
  <c r="M18" i="28" a="1"/>
  <c r="N60" i="30" a="1"/>
  <c r="I20" i="30" a="1"/>
  <c r="O15" i="15" a="1"/>
  <c r="N34" i="33" a="1"/>
  <c r="O12" i="30" a="1"/>
  <c r="N66" i="15" a="1"/>
  <c r="J24" i="28" a="1"/>
  <c r="N58" i="37" a="1"/>
  <c r="N47" i="22" a="1"/>
  <c r="J24" i="30" a="1"/>
  <c r="K30" i="37" a="1"/>
  <c r="M24" i="15" a="1"/>
  <c r="O54" i="22" a="1"/>
  <c r="I16" i="19" a="1"/>
  <c r="I20" i="28" a="1"/>
  <c r="N14" i="28" a="1"/>
  <c r="I26" i="37" a="1"/>
  <c r="L19" i="37" a="1"/>
  <c r="M34" i="15" a="1"/>
  <c r="J58" i="18" a="1"/>
  <c r="J50" i="30" a="1"/>
  <c r="O19" i="37" a="1"/>
  <c r="L22" i="30" a="1"/>
  <c r="J26" i="30" a="1"/>
  <c r="N63" i="30" a="1"/>
  <c r="O30" i="15" a="1"/>
  <c r="L29" i="30" a="1"/>
  <c r="L18" i="22" a="1"/>
  <c r="L18" i="28" a="1"/>
  <c r="K66" i="30" a="1"/>
  <c r="N52" i="30" a="1"/>
  <c r="I14" i="36" a="1"/>
  <c r="O63" i="30" a="1"/>
  <c r="I24" i="19" a="1"/>
  <c r="K27" i="30" a="1"/>
  <c r="J64" i="33" a="1"/>
  <c r="O70" i="30" a="1"/>
  <c r="K63" i="36" a="1"/>
  <c r="I16" i="28" a="1"/>
  <c r="I16" i="37" a="1"/>
  <c r="J63" i="22" a="1"/>
  <c r="O20" i="15" a="1"/>
  <c r="I24" i="28" a="1"/>
  <c r="O10" i="22" a="1"/>
  <c r="J20" i="37" a="1"/>
  <c r="P50" i="22" a="1"/>
  <c r="N22" i="30" a="1"/>
  <c r="I20" i="37" a="1"/>
  <c r="I28" i="37" a="1"/>
  <c r="K22" i="30" a="1"/>
  <c r="M26" i="30" a="1"/>
  <c r="J12" i="18" a="1"/>
  <c r="L18" i="37" a="1"/>
  <c r="K68" i="37" a="1"/>
  <c r="I20" i="22" a="1"/>
  <c r="J27" i="28" a="1"/>
  <c r="J35" i="15" a="1"/>
  <c r="M18" i="36" a="1"/>
  <c r="J15" i="37" a="1"/>
  <c r="N54" i="30" a="1"/>
  <c r="N22" i="37" a="1"/>
  <c r="N50" i="37" a="1"/>
  <c r="K14" i="30" a="1"/>
  <c r="P66" i="30" a="1"/>
  <c r="K35" i="15" a="1"/>
  <c r="J63" i="30" a="1"/>
  <c r="L18" i="30" a="1"/>
  <c r="O14" i="33" a="1"/>
  <c r="L15" i="28" a="1"/>
  <c r="P50" i="28" a="1"/>
  <c r="I18" i="36" a="1"/>
  <c r="K22" i="37" a="1"/>
  <c r="L23" i="37" a="1"/>
  <c r="K22" i="22" a="1"/>
  <c r="N16" i="22" a="1"/>
  <c r="M27" i="33" a="1"/>
  <c r="L70" i="37" a="1"/>
  <c r="J20" i="19" a="1"/>
  <c r="O11" i="30" a="1"/>
  <c r="I10" i="37" a="1"/>
  <c r="L23" i="28" a="1"/>
  <c r="I24" i="37" a="1"/>
  <c r="J29" i="33" a="1"/>
  <c r="M35" i="15" a="1"/>
  <c r="M10" i="30" a="1"/>
  <c r="J24" i="19" a="1"/>
  <c r="M18" i="15" a="1"/>
  <c r="J54" i="19" a="1"/>
  <c r="K34" i="15" a="1"/>
  <c r="I20" i="19" a="1"/>
  <c r="O34" i="15" a="1"/>
  <c r="P54" i="22" a="1"/>
  <c r="I14" i="15" a="1"/>
  <c r="L66" i="30" a="1"/>
  <c r="M32" i="29" a="1"/>
  <c r="J14" i="37" a="1"/>
  <c r="O68" i="37" a="1"/>
  <c r="K70" i="37" a="1"/>
  <c r="M32" i="15" a="1"/>
  <c r="M10" i="28" a="1"/>
  <c r="J20" i="28" a="1"/>
  <c r="P55" i="30" a="1"/>
  <c r="J65" i="22" a="1"/>
  <c r="O27" i="30" a="1"/>
  <c r="J50" i="19" a="1"/>
  <c r="J26" i="36" a="1"/>
  <c r="I10" i="19" a="1"/>
  <c r="O18" i="36" a="1"/>
  <c r="N27" i="28" a="1"/>
  <c r="O30" i="28" a="1"/>
  <c r="J58" i="22" a="1"/>
  <c r="J18" i="28" a="1"/>
  <c r="O50" i="22" a="1"/>
  <c r="J28" i="33" a="1"/>
  <c r="N14" i="37" a="1"/>
  <c r="O14" i="36" a="1"/>
  <c r="L32" i="15" a="1"/>
  <c r="J16" i="30" a="1"/>
  <c r="I30" i="15" a="1"/>
  <c r="J62" i="22" a="1"/>
  <c r="L22" i="22" a="1"/>
  <c r="P59" i="28" a="1"/>
  <c r="J50" i="37" a="1"/>
  <c r="M55" i="22" a="1"/>
  <c r="I10" i="22" a="1"/>
  <c r="O35" i="15" a="1"/>
  <c r="K18" i="30" a="1"/>
  <c r="O23" i="37" a="1"/>
  <c r="P60" i="30" a="1"/>
  <c r="N35" i="37" a="1"/>
  <c r="M27" i="15" a="1"/>
  <c r="M26" i="33" a="1"/>
  <c r="K46" i="18" a="1"/>
  <c r="I30" i="28" a="1"/>
  <c r="P70" i="30" a="1"/>
  <c r="N50" i="22" a="1"/>
  <c r="J22" i="37" a="1"/>
  <c r="P52" i="30" a="1"/>
  <c r="N50" i="30" a="1"/>
  <c r="O14" i="15" a="1"/>
  <c r="K18" i="28" a="1"/>
  <c r="N66" i="28" a="1"/>
  <c r="O20" i="30" a="1"/>
  <c r="L11" i="22" a="1"/>
  <c r="J66" i="30" a="1"/>
  <c r="O10" i="30" a="1"/>
  <c r="O71" i="30" a="1"/>
  <c r="N24" i="22" a="1"/>
  <c r="N18" i="30" a="1"/>
  <c r="N56" i="30" a="1"/>
  <c r="N27" i="37" a="1"/>
  <c r="J22" i="30" a="1"/>
  <c r="N20" i="22" a="1"/>
  <c r="J24" i="37" a="1"/>
  <c r="I28" i="28" a="1"/>
  <c r="P58" i="37" a="1"/>
  <c r="J54" i="18" a="1"/>
  <c r="N50" i="28" a="1"/>
  <c r="N70" i="30" a="1"/>
  <c r="J54" i="22" a="1"/>
  <c r="I16" i="18" a="1"/>
  <c r="L63" i="22" a="1"/>
  <c r="N32" i="29" a="1"/>
  <c r="O70" i="37" a="1"/>
  <c r="N58" i="30" a="1"/>
  <c r="O35" i="30" a="1"/>
  <c r="I18" i="33" a="1"/>
  <c r="J50" i="22" a="1"/>
  <c r="N58" i="28" a="1"/>
  <c r="J50" i="18" a="1"/>
  <c r="O18" i="15" a="1"/>
  <c r="N27" i="15" a="1"/>
  <c r="O22" i="36" a="1"/>
  <c r="J34" i="15" a="1"/>
  <c r="N28" i="37" a="1"/>
  <c r="J66" i="33" a="1"/>
  <c r="K71" i="37" a="1"/>
  <c r="N24" i="30" a="1"/>
  <c r="I27" i="37" a="1"/>
  <c r="L68" i="37" a="1"/>
  <c r="M10" i="22" a="1"/>
  <c r="I10" i="18" a="1"/>
  <c r="M14" i="15" a="1"/>
  <c r="N18" i="28" a="1"/>
  <c r="P50" i="30" a="1"/>
  <c r="J63" i="33" a="1"/>
  <c r="J54" i="37" a="1"/>
  <c r="P50" i="37" a="1"/>
  <c r="I20" i="20" a="1"/>
  <c r="K18" i="22" a="1"/>
  <c r="N29" i="37" a="1"/>
  <c r="J30" i="28" a="1"/>
  <c r="K66" i="37" a="1"/>
  <c r="J30" i="15" a="1"/>
  <c r="I27" i="28" a="1"/>
  <c r="M10" i="37" a="1"/>
  <c r="L15" i="37" a="1"/>
  <c r="L65" i="22" a="1"/>
  <c r="I26" i="30" a="1"/>
  <c r="J19" i="37" a="1"/>
  <c r="M35" i="30" a="1"/>
  <c r="K46" i="19" a="1"/>
  <c r="N26" i="30" a="1"/>
  <c r="M22" i="36" a="1"/>
  <c r="P59" i="30" a="1"/>
  <c r="O19" i="28" a="1"/>
  <c r="O15" i="37" a="1"/>
  <c r="J18" i="37" a="1"/>
  <c r="O16" i="15" a="1"/>
  <c r="I28" i="15" a="1"/>
  <c r="O22" i="15" a="1"/>
  <c r="N10" i="22" a="1"/>
  <c r="M14" i="33" a="1"/>
  <c r="J18" i="22" a="1"/>
  <c r="K30" i="28" a="1"/>
  <c r="L62" i="22" a="1"/>
  <c r="L19" i="30" a="1"/>
  <c r="J16" i="37" a="1"/>
  <c r="N29" i="30" a="1"/>
  <c r="J58" i="30" a="1"/>
  <c r="N58" i="22" a="1"/>
  <c r="L14" i="37" a="1"/>
  <c r="N35" i="15" a="1"/>
  <c r="I26" i="33" a="1"/>
  <c r="P54" i="37" a="1"/>
  <c r="K63" i="15" a="1"/>
  <c r="O66" i="37" a="1"/>
  <c r="M18" i="33" a="1"/>
  <c r="N34" i="15" a="1"/>
  <c r="N18" i="37" a="1"/>
  <c r="I22" i="36" a="1"/>
  <c r="O58" i="22" a="1"/>
  <c r="O19" i="15" a="1"/>
  <c r="K22" i="28" a="1"/>
  <c r="M27" i="28" a="1"/>
  <c r="O23" i="15" a="1"/>
  <c r="I22" i="15" a="1"/>
  <c r="J16" i="19" a="1"/>
  <c r="J58" i="28" a="1"/>
  <c r="K60" i="18" a="1"/>
  <c r="L64" i="22" a="1"/>
  <c r="N14" i="30" a="1"/>
  <c r="I14" i="28" a="1"/>
  <c r="K14" i="37" a="1"/>
  <c r="I29" i="37" a="1"/>
  <c r="M59" i="22" a="1"/>
  <c r="N26" i="37" a="1"/>
  <c r="I20" i="18" a="1"/>
  <c r="J64" i="30" a="1"/>
  <c r="M32" i="36" a="1"/>
  <c r="J58" i="19" a="1"/>
  <c r="P54" i="30" a="1"/>
  <c r="K30" i="15" a="1"/>
  <c r="M22" i="15" a="1"/>
  <c r="M14" i="36" a="1"/>
  <c r="I10" i="30" a="1"/>
  <c r="P58" i="30" a="1"/>
  <c r="J22" i="22" a="1"/>
  <c r="N30" i="15" a="1"/>
  <c r="J16" i="22" a="1"/>
  <c r="K52" i="18" a="1"/>
  <c r="J54" i="28" a="1"/>
  <c r="M12" i="30" a="1"/>
  <c r="J28" i="30" a="1"/>
  <c r="I27" i="15" a="1"/>
  <c r="J24" i="22" a="1"/>
  <c r="K52" i="20" a="1"/>
  <c r="I10" i="28" a="1"/>
  <c r="I24" i="20" a="1"/>
  <c r="J20" i="20" a="1"/>
  <c r="L15" i="30" a="1"/>
  <c r="O11" i="28"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O124" i="30"/>
  <c r="O137" i="30" s="1"/>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I18" i="18" a="1"/>
  <c r="M27" i="30" a="1"/>
  <c r="M30" i="28" a="1"/>
  <c r="O22" i="22" a="1"/>
  <c r="L46" i="18" a="1"/>
  <c r="J26" i="33" a="1"/>
  <c r="L19" i="22" a="1"/>
  <c r="K65" i="22" a="1"/>
  <c r="I18" i="19" a="1"/>
  <c r="J24" i="20" a="1"/>
  <c r="O18" i="30" a="1"/>
  <c r="I14" i="18" a="1"/>
  <c r="O34" i="30" a="1"/>
  <c r="J27" i="15" a="1"/>
  <c r="I22" i="30" a="1"/>
  <c r="M22" i="28" a="1"/>
  <c r="J30" i="33" a="1"/>
  <c r="O24" i="30" a="1"/>
  <c r="K29" i="22" a="1"/>
  <c r="K26" i="22" a="1"/>
  <c r="M34" i="30" a="1"/>
  <c r="K62" i="37" a="1"/>
  <c r="L15" i="22" a="1"/>
  <c r="K27" i="22" a="1"/>
  <c r="J20" i="18" a="1"/>
  <c r="O16" i="30" a="1"/>
  <c r="M18" i="22" a="1"/>
  <c r="M18" i="37" a="1"/>
  <c r="M14" i="37" a="1"/>
  <c r="O15" i="28" a="1"/>
  <c r="O14" i="30" a="1"/>
  <c r="I28" i="22" a="1"/>
  <c r="N27" i="30" a="1"/>
  <c r="K58" i="18" a="1"/>
  <c r="I26" i="22" a="1"/>
  <c r="N14" i="22" a="1"/>
  <c r="I22" i="28" a="1"/>
  <c r="J10" i="19" a="1"/>
  <c r="O47" i="22" a="1"/>
  <c r="K63" i="37" a="1"/>
  <c r="I22" i="37" a="1"/>
  <c r="J10" i="18" a="1"/>
  <c r="M32" i="37" a="1"/>
  <c r="M24" i="30" a="1"/>
  <c r="M20" i="30" a="1"/>
  <c r="M16" i="30" a="1"/>
  <c r="N55" i="22" a="1"/>
  <c r="O23" i="30" a="1"/>
  <c r="J30" i="37" a="1"/>
  <c r="M14" i="28" a="1"/>
  <c r="J34" i="37" a="1"/>
  <c r="J68" i="37" a="1"/>
  <c r="O18" i="28" a="1"/>
  <c r="I32" i="37" a="1"/>
  <c r="L46" i="19" a="1"/>
  <c r="I18" i="22" a="1"/>
  <c r="I28" i="30" a="1"/>
  <c r="N22" i="22" a="1"/>
  <c r="M22" i="22" a="1"/>
  <c r="K30" i="30" a="1"/>
  <c r="O22" i="37" a="1"/>
  <c r="K28" i="22" a="1"/>
  <c r="O14" i="37" a="1"/>
  <c r="J66" i="37" a="1"/>
  <c r="I22" i="19" a="1"/>
  <c r="K34" i="37" a="1"/>
  <c r="I27" i="22" a="1"/>
  <c r="N30" i="37" a="1"/>
  <c r="I14" i="22" a="1"/>
  <c r="I18" i="28" a="1"/>
  <c r="J70" i="37" a="1"/>
  <c r="I30" i="33" a="1"/>
  <c r="O18" i="37" a="1"/>
  <c r="O14" i="22" a="1"/>
  <c r="J16" i="20" a="1"/>
  <c r="O18" i="22" a="1"/>
  <c r="I28" i="33" a="1"/>
  <c r="O30" i="30" a="1"/>
  <c r="N30" i="30" a="1"/>
  <c r="I22" i="18" a="1"/>
  <c r="I14" i="30" a="1"/>
  <c r="K58" i="19" a="1"/>
  <c r="J71" i="37" a="1"/>
  <c r="J24" i="18" a="1"/>
  <c r="N34" i="37" a="1"/>
  <c r="I18" i="37" a="1"/>
  <c r="N35" i="30" a="1"/>
  <c r="M11" i="22" a="1"/>
  <c r="M46" i="18" a="1"/>
  <c r="N59" i="22" a="1"/>
  <c r="J32" i="37" a="1"/>
  <c r="K63" i="22" a="1"/>
  <c r="J35" i="37" a="1"/>
  <c r="N51" i="22" a="1"/>
  <c r="K64" i="22" a="1"/>
  <c r="K54" i="18" a="1"/>
  <c r="O23" i="28" a="1"/>
  <c r="M14" i="30" a="1"/>
  <c r="K64" i="37" a="1"/>
  <c r="M30" i="15" a="1"/>
  <c r="K63" i="33" a="1"/>
  <c r="N18" i="22" a="1"/>
  <c r="K62" i="22" a="1"/>
  <c r="I30" i="30" a="1"/>
  <c r="K65" i="37" a="1"/>
  <c r="J30" i="30" a="1"/>
  <c r="O14" i="28" a="1"/>
  <c r="N66" i="30" a="1"/>
  <c r="I27" i="33" a="1"/>
  <c r="I14" i="37" a="1"/>
  <c r="N66" i="33" a="1"/>
  <c r="M22" i="30" a="1"/>
  <c r="K54" i="19" a="1"/>
  <c r="I22" i="22" a="1"/>
  <c r="I29" i="22" a="1"/>
  <c r="L23" i="22" a="1"/>
  <c r="J16" i="18" a="1"/>
  <c r="I14" i="19" a="1"/>
  <c r="N34" i="30" a="1"/>
  <c r="I18" i="30" a="1"/>
  <c r="K35" i="37" a="1"/>
  <c r="J27" i="36" a="1"/>
  <c r="M14" i="22" a="1"/>
  <c r="O15" i="30" a="1"/>
  <c r="M18" i="30" a="1"/>
  <c r="O22" i="30" a="1"/>
  <c r="K50" i="18" a="1"/>
  <c r="K50" i="19" a="1"/>
  <c r="M22" i="37" a="1"/>
  <c r="J27" i="30" a="1"/>
  <c r="I27" i="30" a="1"/>
  <c r="O19" i="30"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P142" i="30"/>
  <c r="N30" i="30"/>
  <c r="I27" i="30"/>
  <c r="K30" i="30"/>
  <c r="I30" i="33"/>
  <c r="N66" i="33"/>
  <c r="I30" i="30"/>
  <c r="I28" i="33"/>
  <c r="O30" i="30"/>
  <c r="N66" i="30"/>
  <c r="J30" i="30"/>
  <c r="I28" i="30"/>
  <c r="R28" i="30" s="1"/>
  <c r="I27" i="33"/>
  <c r="J30"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L58" i="18" a="1"/>
  <c r="M50" i="19" a="1"/>
  <c r="P47" i="22" a="1"/>
  <c r="L54" i="19" a="1"/>
  <c r="N46" i="19" a="1"/>
  <c r="M15" i="22" a="1"/>
  <c r="J26" i="37" a="1"/>
  <c r="K10" i="19" a="1"/>
  <c r="H32" i="37" a="1"/>
  <c r="M30" i="33" a="1"/>
  <c r="L10" i="18" a="1"/>
  <c r="J29" i="22" a="1"/>
  <c r="M58" i="18" a="1"/>
  <c r="J27" i="37" a="1"/>
  <c r="M23" i="22" a="1"/>
  <c r="I30" i="37" a="1"/>
  <c r="J18" i="19" a="1"/>
  <c r="O55" i="22" a="1"/>
  <c r="M19" i="22" a="1"/>
  <c r="K10" i="18" a="1"/>
  <c r="J22" i="18" a="1"/>
  <c r="J14" i="19" a="1"/>
  <c r="M54" i="18" a="1"/>
  <c r="N11" i="22" a="1"/>
  <c r="J27" i="33" a="1"/>
  <c r="M58" i="19" a="1"/>
  <c r="M30" i="30" a="1"/>
  <c r="O59" i="22" a="1"/>
  <c r="N46" i="18" a="1"/>
  <c r="J14" i="18" a="1"/>
  <c r="L54" i="18" a="1"/>
  <c r="J18" i="18" a="1"/>
  <c r="I35" i="37" a="1"/>
  <c r="J27" i="22" a="1"/>
  <c r="J22" i="19" a="1"/>
  <c r="J29" i="37" a="1"/>
  <c r="L50" i="18" a="1"/>
  <c r="J28" i="22" a="1"/>
  <c r="I34" i="37" a="1"/>
  <c r="M46" i="19" a="1"/>
  <c r="M50" i="18" a="1"/>
  <c r="J26" i="22" a="1"/>
  <c r="O46" i="18" a="1"/>
  <c r="L58" i="19" a="1"/>
  <c r="M54" i="19" a="1"/>
  <c r="O51" i="22" a="1"/>
  <c r="L50" i="19" a="1"/>
  <c r="J28" i="37"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O68" i="22" a="1"/>
  <c r="N54" i="18" a="1"/>
  <c r="N10" i="18" a="1"/>
  <c r="K22" i="19" a="1"/>
  <c r="K18" i="18" a="1"/>
  <c r="O65" i="22" a="1"/>
  <c r="P59" i="22" a="1"/>
  <c r="L14" i="18" a="1"/>
  <c r="O50" i="18" a="1"/>
  <c r="P55" i="22" a="1"/>
  <c r="O58" i="18" a="1"/>
  <c r="O66" i="22" a="1"/>
  <c r="M10" i="18" a="1"/>
  <c r="O62" i="22" a="1"/>
  <c r="O63" i="22" a="1"/>
  <c r="P51" i="22" a="1"/>
  <c r="L22" i="18" a="1"/>
  <c r="L18" i="19" a="1"/>
  <c r="N54" i="19" a="1"/>
  <c r="K22" i="18" a="1"/>
  <c r="P46" i="18" a="1"/>
  <c r="L18" i="18" a="1"/>
  <c r="O70" i="22" a="1"/>
  <c r="L14" i="19" a="1"/>
  <c r="O54" i="18" a="1"/>
  <c r="M10" i="19" a="1"/>
  <c r="N23" i="22" a="1"/>
  <c r="K14" i="18" a="1"/>
  <c r="N58" i="18" a="1"/>
  <c r="K14" i="19" a="1"/>
  <c r="N50" i="18" a="1"/>
  <c r="N58" i="19" a="1"/>
  <c r="O71" i="22" a="1"/>
  <c r="N19" i="22" a="1"/>
  <c r="N50" i="19" a="1"/>
  <c r="N15" i="22" a="1"/>
  <c r="O46" i="19" a="1"/>
  <c r="O64" i="22" a="1"/>
  <c r="O11" i="22" a="1"/>
  <c r="L22" i="19" a="1"/>
  <c r="K18" i="19" a="1"/>
  <c r="L10" i="19"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N34" i="22" a="1"/>
  <c r="O15" i="22" a="1"/>
  <c r="N10" i="19" a="1"/>
  <c r="N35" i="22" a="1"/>
  <c r="M18" i="19" a="1"/>
  <c r="N29" i="22" a="1"/>
  <c r="P54" i="18" a="1"/>
  <c r="M22" i="19" a="1"/>
  <c r="M32" i="22" a="1"/>
  <c r="O23" i="22" a="1"/>
  <c r="N18" i="18" a="1"/>
  <c r="P50" i="18" a="1"/>
  <c r="P58" i="18" a="1"/>
  <c r="O19" i="22" a="1"/>
  <c r="N27" i="22" a="1"/>
  <c r="P46" i="19" a="1"/>
  <c r="N14" i="18" a="1"/>
  <c r="N28" i="22" a="1"/>
  <c r="N26" i="22" a="1"/>
  <c r="O58" i="19" a="1"/>
  <c r="M18" i="18" a="1"/>
  <c r="M22" i="18" a="1"/>
  <c r="O10" i="18" a="1"/>
  <c r="O50" i="19" a="1"/>
  <c r="M14" i="18" a="1"/>
  <c r="O54" i="19" a="1"/>
  <c r="N30" i="22" a="1"/>
  <c r="N22" i="18" a="1"/>
  <c r="M14" i="19"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N22" i="19" a="1"/>
  <c r="P54" i="19" a="1"/>
  <c r="N14" i="19" a="1"/>
  <c r="O18" i="18" a="1"/>
  <c r="O10" i="19" a="1"/>
  <c r="P58" i="19" a="1"/>
  <c r="O22" i="18" a="1"/>
  <c r="O14" i="18" a="1"/>
  <c r="P50" i="19" a="1"/>
  <c r="N18" i="19"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22" i="19" a="1"/>
  <c r="O18" i="19" a="1"/>
  <c r="O14" i="19" l="1"/>
  <c r="R14" i="19" s="1"/>
  <c r="O22" i="19"/>
  <c r="R22" i="19" s="1"/>
  <c r="O18" i="19"/>
  <c r="R18" i="19" s="1"/>
  <c r="R58" i="19"/>
  <c r="R50" i="19"/>
  <c r="R54" i="19"/>
  <c r="D47" i="20" a="1"/>
  <c r="D47" i="20" l="1"/>
  <c r="E114" i="20"/>
  <c r="E123" i="20" s="1"/>
  <c r="E91" i="20"/>
  <c r="E95" i="20"/>
  <c r="E99" i="20"/>
  <c r="D51" i="20" a="1"/>
  <c r="F47" i="20" a="1"/>
  <c r="C11" i="20" a="1"/>
  <c r="D59" i="20" a="1"/>
  <c r="D55" i="20" a="1"/>
  <c r="E47" i="20" a="1"/>
  <c r="D46"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G47" i="20" a="1"/>
  <c r="E46" i="20" a="1"/>
  <c r="D65" i="20" a="1"/>
  <c r="H47" i="20" a="1"/>
  <c r="D62" i="20" a="1"/>
  <c r="D63" i="20" a="1"/>
  <c r="D58" i="20" a="1"/>
  <c r="C10" i="20" a="1"/>
  <c r="F51" i="20" a="1"/>
  <c r="D50" i="20" a="1"/>
  <c r="F59" i="20" a="1"/>
  <c r="E11" i="20" a="1"/>
  <c r="C15" i="20" a="1"/>
  <c r="D64" i="20" a="1"/>
  <c r="E55" i="20" a="1"/>
  <c r="D11" i="20" a="1"/>
  <c r="F55" i="20" a="1"/>
  <c r="E51" i="20" a="1"/>
  <c r="E59" i="20" a="1"/>
  <c r="C23" i="20" a="1"/>
  <c r="D66" i="20" a="1"/>
  <c r="C19" i="20" a="1"/>
  <c r="D54"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E54" i="20" a="1"/>
  <c r="F11" i="20" a="1"/>
  <c r="F63" i="20" a="1"/>
  <c r="E19" i="20" a="1"/>
  <c r="E64" i="20" a="1"/>
  <c r="D23" i="20" a="1"/>
  <c r="F64" i="20" a="1"/>
  <c r="F62" i="20" a="1"/>
  <c r="F46" i="20" a="1"/>
  <c r="D19" i="20" a="1"/>
  <c r="D10" i="20" a="1"/>
  <c r="C27" i="20" a="1"/>
  <c r="D15" i="20" a="1"/>
  <c r="H59" i="20" a="1"/>
  <c r="E15" i="20" a="1"/>
  <c r="F50" i="20" a="1"/>
  <c r="E62" i="20" a="1"/>
  <c r="C30" i="20" a="1"/>
  <c r="C29" i="20" a="1"/>
  <c r="D71" i="20" a="1"/>
  <c r="C18" i="20" a="1"/>
  <c r="E23" i="20" a="1"/>
  <c r="G11" i="20" a="1"/>
  <c r="E50" i="20" a="1"/>
  <c r="D70" i="20" a="1"/>
  <c r="D68" i="20" a="1"/>
  <c r="H55" i="20" a="1"/>
  <c r="C26" i="20" a="1"/>
  <c r="G55" i="20" a="1"/>
  <c r="H51" i="20" a="1"/>
  <c r="G46" i="20" a="1"/>
  <c r="E63" i="20" a="1"/>
  <c r="E66" i="20" a="1"/>
  <c r="F66" i="20" a="1"/>
  <c r="F58" i="20" a="1"/>
  <c r="G59" i="20" a="1"/>
  <c r="C22" i="20" a="1"/>
  <c r="E58" i="20" a="1"/>
  <c r="F54" i="20" a="1"/>
  <c r="F65" i="20" a="1"/>
  <c r="C14" i="20" a="1"/>
  <c r="E65" i="20" a="1"/>
  <c r="G51" i="20" a="1"/>
  <c r="C28"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F19" i="20" a="1"/>
  <c r="E68" i="20" a="1"/>
  <c r="G65" i="20" a="1"/>
  <c r="E70" i="20" a="1"/>
  <c r="E26" i="20" a="1"/>
  <c r="D18" i="20" a="1"/>
  <c r="D29" i="20" a="1"/>
  <c r="D27" i="20" a="1"/>
  <c r="C34" i="20" a="1"/>
  <c r="H46" i="20" a="1"/>
  <c r="E28" i="20" a="1"/>
  <c r="D14" i="20" a="1"/>
  <c r="E18" i="20" a="1"/>
  <c r="E71" i="20" a="1"/>
  <c r="G19" i="20" a="1"/>
  <c r="D28" i="20" a="1"/>
  <c r="G54" i="20" a="1"/>
  <c r="H63" i="20" a="1"/>
  <c r="G23" i="20" a="1"/>
  <c r="D26" i="20" a="1"/>
  <c r="G64" i="20" a="1"/>
  <c r="F71" i="20" a="1"/>
  <c r="F68" i="20" a="1"/>
  <c r="G15" i="20" a="1"/>
  <c r="F23" i="20" a="1"/>
  <c r="D22" i="20" a="1"/>
  <c r="E27" i="20" a="1"/>
  <c r="G58" i="20" a="1"/>
  <c r="G63" i="20" a="1"/>
  <c r="F15" i="20" a="1"/>
  <c r="F10" i="20" a="1"/>
  <c r="C35" i="20" a="1"/>
  <c r="G50" i="20" a="1"/>
  <c r="D30" i="20" a="1"/>
  <c r="E14" i="20" a="1"/>
  <c r="E22" i="20" a="1"/>
  <c r="E29" i="20" a="1"/>
  <c r="G62" i="20" a="1"/>
  <c r="G66" i="20" a="1"/>
  <c r="F70" i="20" a="1"/>
  <c r="E30"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D34" i="20" a="1"/>
  <c r="D35" i="20" a="1"/>
  <c r="G71" i="20" a="1"/>
  <c r="F28" i="20" a="1"/>
  <c r="G27" i="20" a="1"/>
  <c r="I46" i="20" a="1"/>
  <c r="F29" i="20" a="1"/>
  <c r="F26" i="20" a="1"/>
  <c r="H54" i="20" a="1"/>
  <c r="H58" i="20" a="1"/>
  <c r="G68" i="20" a="1"/>
  <c r="H65" i="20" a="1"/>
  <c r="E34" i="20" a="1"/>
  <c r="D32" i="20" a="1"/>
  <c r="G70" i="20" a="1"/>
  <c r="H66" i="20" a="1"/>
  <c r="G10" i="20" a="1"/>
  <c r="H64" i="20" a="1"/>
  <c r="H62" i="20" a="1"/>
  <c r="H50" i="20" a="1"/>
  <c r="E35" i="20" a="1"/>
  <c r="F27" i="20" a="1"/>
  <c r="C32" i="20" a="1"/>
  <c r="F30" i="20" a="1"/>
  <c r="F18" i="20" a="1"/>
  <c r="F14" i="20" a="1"/>
  <c r="F22"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I58" i="20" a="1"/>
  <c r="G18" i="20" a="1"/>
  <c r="I54" i="20" a="1"/>
  <c r="F34" i="20" a="1"/>
  <c r="G29" i="20" a="1"/>
  <c r="I50" i="20" a="1"/>
  <c r="G30" i="20" a="1"/>
  <c r="H71" i="20" a="1"/>
  <c r="H10" i="20" a="1"/>
  <c r="G28" i="20" a="1"/>
  <c r="H68" i="20" a="1"/>
  <c r="G22" i="20" a="1"/>
  <c r="H70" i="20" a="1"/>
  <c r="G26" i="20" a="1"/>
  <c r="G14" i="20" a="1"/>
  <c r="F35" i="20" a="1"/>
  <c r="E32" i="20" a="1"/>
  <c r="J46"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H22" i="20" a="1"/>
  <c r="H14" i="20" a="1"/>
  <c r="F32" i="20" a="1"/>
  <c r="I10" i="20" a="1"/>
  <c r="G34" i="20" a="1"/>
  <c r="J58" i="20" a="1"/>
  <c r="H18" i="20" a="1"/>
  <c r="J54" i="20" a="1"/>
  <c r="G35" i="20" a="1"/>
  <c r="J50" i="20" a="1"/>
  <c r="K46" i="20" a="1"/>
  <c r="G34" i="20" l="1"/>
  <c r="L131" i="20"/>
  <c r="L98" i="20"/>
  <c r="L113" i="20"/>
  <c r="L90" i="20"/>
  <c r="L94" i="20"/>
  <c r="K46" i="20"/>
  <c r="J54" i="20"/>
  <c r="J50" i="20"/>
  <c r="J58" i="20"/>
  <c r="F32" i="20"/>
  <c r="I10" i="20"/>
  <c r="H22" i="20"/>
  <c r="H14" i="20"/>
  <c r="G35" i="20"/>
  <c r="H18" i="20"/>
  <c r="I18" i="20" a="1"/>
  <c r="I22" i="20" a="1"/>
  <c r="K50" i="20" a="1"/>
  <c r="J10" i="20" a="1"/>
  <c r="K58" i="20" a="1"/>
  <c r="L46" i="20" a="1"/>
  <c r="I14" i="20" a="1"/>
  <c r="K54" i="20" a="1"/>
  <c r="M131" i="20" l="1"/>
  <c r="L122" i="20"/>
  <c r="K58" i="20"/>
  <c r="M94" i="20"/>
  <c r="M90" i="20"/>
  <c r="L46" i="20"/>
  <c r="K54" i="20"/>
  <c r="K50" i="20"/>
  <c r="M98" i="20"/>
  <c r="M113" i="20"/>
  <c r="J10" i="20"/>
  <c r="I18" i="20"/>
  <c r="I22" i="20"/>
  <c r="I14" i="20"/>
  <c r="J18" i="20" a="1"/>
  <c r="J14" i="20" a="1"/>
  <c r="L54" i="20" a="1"/>
  <c r="J22" i="20" a="1"/>
  <c r="L58" i="20" a="1"/>
  <c r="M46" i="20" a="1"/>
  <c r="L50" i="20" a="1"/>
  <c r="K10" i="20" a="1"/>
  <c r="M122" i="20" l="1"/>
  <c r="J22" i="20"/>
  <c r="O90" i="20"/>
  <c r="L54" i="20"/>
  <c r="N98" i="20"/>
  <c r="L50" i="20"/>
  <c r="J14" i="20"/>
  <c r="L58" i="20"/>
  <c r="M46" i="20"/>
  <c r="J18" i="20"/>
  <c r="K10" i="20"/>
  <c r="N90" i="20"/>
  <c r="N113" i="20"/>
  <c r="N94" i="20"/>
  <c r="M50" i="20" a="1"/>
  <c r="M58" i="20" a="1"/>
  <c r="K18" i="20" a="1"/>
  <c r="K22" i="20" a="1"/>
  <c r="M54" i="20" a="1"/>
  <c r="L10" i="20" a="1"/>
  <c r="K14" i="20" a="1"/>
  <c r="N46" i="20" a="1"/>
  <c r="N50" i="20" a="1"/>
  <c r="N122" i="20" l="1"/>
  <c r="O113" i="20"/>
  <c r="O98" i="20"/>
  <c r="P90" i="20"/>
  <c r="O94" i="20"/>
  <c r="N46" i="20"/>
  <c r="M58" i="20"/>
  <c r="K18" i="20"/>
  <c r="K14" i="20"/>
  <c r="M50" i="20"/>
  <c r="L10" i="20"/>
  <c r="M54" i="20"/>
  <c r="K22" i="20"/>
  <c r="N50" i="20"/>
  <c r="L18" i="20" a="1"/>
  <c r="L14" i="20" a="1"/>
  <c r="O50" i="20" a="1"/>
  <c r="N54" i="20" a="1"/>
  <c r="O46" i="20" a="1"/>
  <c r="L22" i="20" a="1"/>
  <c r="M14" i="20" a="1"/>
  <c r="N58" i="20" a="1"/>
  <c r="M10" i="20" a="1"/>
  <c r="O122" i="20" l="1"/>
  <c r="P113" i="20"/>
  <c r="Q90" i="20"/>
  <c r="P94" i="20"/>
  <c r="N54" i="20"/>
  <c r="O46" i="20"/>
  <c r="N58" i="20"/>
  <c r="P98" i="20"/>
  <c r="M10" i="20"/>
  <c r="L22" i="20"/>
  <c r="L18" i="20"/>
  <c r="L14" i="20"/>
  <c r="O50" i="20"/>
  <c r="M14" i="20"/>
  <c r="N10" i="20" a="1"/>
  <c r="O54" i="20" a="1"/>
  <c r="O58" i="20" a="1"/>
  <c r="M18" i="20" a="1"/>
  <c r="N14" i="20" a="1"/>
  <c r="P46" i="20" a="1"/>
  <c r="P50" i="20" a="1"/>
  <c r="M22" i="20" a="1"/>
  <c r="P122" i="20" l="1"/>
  <c r="Q98" i="20"/>
  <c r="R98" i="20" s="1"/>
  <c r="Q94" i="20"/>
  <c r="R94" i="20" s="1"/>
  <c r="R86" i="20"/>
  <c r="Q113" i="20"/>
  <c r="P46" i="20"/>
  <c r="O54" i="20"/>
  <c r="O58" i="20"/>
  <c r="M22" i="20"/>
  <c r="N10" i="20"/>
  <c r="M18" i="20"/>
  <c r="N14" i="20"/>
  <c r="P50" i="20"/>
  <c r="R90" i="20"/>
  <c r="P54" i="20" a="1"/>
  <c r="O10" i="20" a="1"/>
  <c r="P58" i="20" a="1"/>
  <c r="N18" i="20" a="1"/>
  <c r="O14" i="20" a="1"/>
  <c r="N22" i="20" a="1"/>
  <c r="Q122" i="20" l="1"/>
  <c r="P58" i="20"/>
  <c r="R58" i="20" s="1"/>
  <c r="P54" i="20"/>
  <c r="R54" i="20" s="1"/>
  <c r="R46" i="20"/>
  <c r="O10" i="20"/>
  <c r="N18" i="20"/>
  <c r="N22" i="20"/>
  <c r="O14" i="20"/>
  <c r="R14" i="20" s="1"/>
  <c r="R50" i="20"/>
  <c r="O18" i="20" a="1"/>
  <c r="O22" i="20" a="1"/>
  <c r="R10" i="20" l="1"/>
  <c r="O22" i="20"/>
  <c r="R22" i="20" s="1"/>
  <c r="O18" i="20"/>
  <c r="R18" i="20" s="1"/>
  <c r="R113" i="28" l="1"/>
  <c r="N110" i="15"/>
  <c r="N113" i="30" l="1"/>
  <c r="R113" i="30" s="1"/>
  <c r="R110" i="15"/>
  <c r="N102" i="15" l="1"/>
  <c r="M62" i="28" a="1"/>
  <c r="M62" i="15" a="1"/>
  <c r="N120" i="15" l="1"/>
  <c r="N133" i="15" s="1"/>
  <c r="N102" i="30"/>
  <c r="M62" i="15"/>
  <c r="M62" i="28"/>
  <c r="R102" i="15"/>
  <c r="N116" i="15"/>
  <c r="N125" i="15" s="1"/>
  <c r="N103" i="15"/>
  <c r="R102" i="28"/>
  <c r="N121" i="28"/>
  <c r="N130" i="28" s="1"/>
  <c r="L26" i="28" a="1"/>
  <c r="M63" i="28" a="1"/>
  <c r="M62" i="30" a="1"/>
  <c r="M63" i="15" a="1"/>
  <c r="L26" i="15" a="1"/>
  <c r="N103" i="30" l="1"/>
  <c r="R103" i="30" s="1"/>
  <c r="N130" i="30"/>
  <c r="M62" i="30"/>
  <c r="N125" i="30"/>
  <c r="N138" i="30" s="1"/>
  <c r="N121" i="30"/>
  <c r="R102" i="30"/>
  <c r="N101" i="30"/>
  <c r="R101" i="30" s="1"/>
  <c r="M63" i="15"/>
  <c r="L26" i="28"/>
  <c r="R26" i="28" s="1"/>
  <c r="M63" i="28"/>
  <c r="L26" i="15"/>
  <c r="R26" i="15" s="1"/>
  <c r="R103" i="15"/>
  <c r="N101" i="15"/>
  <c r="R101" i="15" s="1"/>
  <c r="R62" i="28"/>
  <c r="N101" i="28"/>
  <c r="R101" i="28" s="1"/>
  <c r="R103" i="28"/>
  <c r="R62" i="15"/>
  <c r="L26" i="30" a="1"/>
  <c r="L27" i="28" a="1"/>
  <c r="L27" i="15" a="1"/>
  <c r="M63" i="30" a="1"/>
  <c r="M63" i="30" l="1"/>
  <c r="L26" i="30"/>
  <c r="R26" i="30" s="1"/>
  <c r="R62" i="30"/>
  <c r="L27" i="28"/>
  <c r="R27" i="28" s="1"/>
  <c r="L27" i="15"/>
  <c r="R27" i="15" s="1"/>
  <c r="S103" i="28"/>
  <c r="S105" i="28"/>
  <c r="S104" i="28"/>
  <c r="L27" i="30" a="1"/>
  <c r="L27" i="30" l="1"/>
  <c r="R27" i="30" s="1"/>
  <c r="N88" i="15" l="1"/>
  <c r="M48" i="15" a="1"/>
  <c r="N88" i="30" l="1"/>
  <c r="N100" i="30" s="1"/>
  <c r="M48" i="15"/>
  <c r="N142" i="15"/>
  <c r="N85" i="15"/>
  <c r="N115" i="15"/>
  <c r="N96" i="15"/>
  <c r="N100" i="15"/>
  <c r="N92" i="15"/>
  <c r="N83" i="15"/>
  <c r="M60" i="30" a="1"/>
  <c r="M48" i="30" a="1"/>
  <c r="M60" i="15" a="1"/>
  <c r="M56" i="15" a="1"/>
  <c r="L12" i="15" a="1"/>
  <c r="M52" i="15" a="1"/>
  <c r="N108" i="29" l="1"/>
  <c r="N83" i="30"/>
  <c r="N85" i="30"/>
  <c r="N92" i="30"/>
  <c r="N96" i="30"/>
  <c r="N120" i="30"/>
  <c r="N122" i="30" s="1"/>
  <c r="N132" i="30" s="1"/>
  <c r="M48" i="30"/>
  <c r="M60" i="30"/>
  <c r="N116" i="29"/>
  <c r="N111" i="30"/>
  <c r="M52" i="15"/>
  <c r="M56" i="15"/>
  <c r="M60" i="15"/>
  <c r="L12" i="15"/>
  <c r="N108" i="15"/>
  <c r="N117" i="15"/>
  <c r="N127" i="15" s="1"/>
  <c r="N138" i="15" s="1"/>
  <c r="N124" i="15"/>
  <c r="R114" i="28"/>
  <c r="N111" i="15"/>
  <c r="M75" i="15"/>
  <c r="N106" i="15"/>
  <c r="L16" i="15" a="1"/>
  <c r="M68" i="15" a="1"/>
  <c r="M66" i="28" a="1"/>
  <c r="M70" i="15" a="1"/>
  <c r="L24" i="15" a="1"/>
  <c r="L12" i="30" a="1"/>
  <c r="L24" i="30" a="1"/>
  <c r="M71" i="15" a="1"/>
  <c r="M66" i="15" a="1"/>
  <c r="M56" i="30" a="1"/>
  <c r="M71" i="30" a="1"/>
  <c r="M68" i="29" a="1"/>
  <c r="L20" i="15" a="1"/>
  <c r="M52" i="30" a="1"/>
  <c r="M68" i="29" l="1"/>
  <c r="N111" i="33"/>
  <c r="N129" i="30"/>
  <c r="N131" i="30" s="1"/>
  <c r="N134" i="30" s="1"/>
  <c r="N106" i="30"/>
  <c r="R106" i="30" s="1"/>
  <c r="N110" i="30"/>
  <c r="N123" i="30" s="1"/>
  <c r="N133" i="30" s="1"/>
  <c r="N114" i="30"/>
  <c r="R114" i="30" s="1"/>
  <c r="M52" i="30"/>
  <c r="M56" i="30"/>
  <c r="M75" i="30"/>
  <c r="L12" i="30"/>
  <c r="L39" i="30" s="1"/>
  <c r="M71" i="30"/>
  <c r="L24" i="30"/>
  <c r="N126" i="15"/>
  <c r="N129" i="15" s="1"/>
  <c r="M71" i="15"/>
  <c r="M68" i="15"/>
  <c r="N143" i="30"/>
  <c r="L24" i="15"/>
  <c r="M70" i="15"/>
  <c r="M66" i="15"/>
  <c r="M66" i="28"/>
  <c r="L20" i="15"/>
  <c r="L16" i="15"/>
  <c r="L39" i="15"/>
  <c r="N118" i="15"/>
  <c r="N128" i="15" s="1"/>
  <c r="R106" i="15"/>
  <c r="R106" i="28"/>
  <c r="R111" i="15"/>
  <c r="N119" i="15"/>
  <c r="N132" i="15" s="1"/>
  <c r="M71" i="33" a="1"/>
  <c r="L35" i="15" a="1"/>
  <c r="L35" i="30" a="1"/>
  <c r="K32" i="29" a="1"/>
  <c r="L30" i="28" a="1"/>
  <c r="M66" i="30" a="1"/>
  <c r="L34" i="15" a="1"/>
  <c r="L16" i="30" a="1"/>
  <c r="L20" i="30" a="1"/>
  <c r="M70" i="30" a="1"/>
  <c r="K32" i="15" a="1"/>
  <c r="L30" i="15" a="1"/>
  <c r="M71" i="33" l="1"/>
  <c r="K32" i="29"/>
  <c r="M70" i="30"/>
  <c r="M66" i="30"/>
  <c r="R66" i="30" s="1"/>
  <c r="N124" i="30"/>
  <c r="N137" i="30" s="1"/>
  <c r="L16" i="30"/>
  <c r="L20" i="30"/>
  <c r="L35" i="30"/>
  <c r="N142" i="30"/>
  <c r="N137" i="15"/>
  <c r="K32" i="15"/>
  <c r="L35" i="15"/>
  <c r="R35" i="15" s="1"/>
  <c r="R71" i="15"/>
  <c r="L34" i="15"/>
  <c r="R34" i="15" s="1"/>
  <c r="L30" i="28"/>
  <c r="R30" i="28" s="1"/>
  <c r="L30" i="15"/>
  <c r="R30" i="15" s="1"/>
  <c r="R70" i="15"/>
  <c r="R66" i="28"/>
  <c r="R66" i="15"/>
  <c r="L34" i="30" a="1"/>
  <c r="L30" i="30" a="1"/>
  <c r="L35" i="33" a="1"/>
  <c r="L35" i="33" l="1"/>
  <c r="L30" i="30"/>
  <c r="R30" i="30" s="1"/>
  <c r="L34" i="30"/>
  <c r="M110" i="29" l="1"/>
  <c r="L110" i="29"/>
  <c r="K70" i="29" a="1"/>
  <c r="L70" i="29" a="1"/>
  <c r="K70" i="29" l="1"/>
  <c r="L70" i="29"/>
  <c r="L115" i="30"/>
  <c r="M115" i="30"/>
  <c r="K34" i="29" a="1"/>
  <c r="J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65" i="29" a="1"/>
  <c r="J47" i="29" a="1"/>
  <c r="J47" i="15"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J59" i="15" a="1"/>
  <c r="J59" i="29" a="1"/>
  <c r="J51" i="15" a="1"/>
  <c r="I11" i="15" a="1"/>
  <c r="J55" i="29" a="1"/>
  <c r="I29" i="29" a="1"/>
  <c r="J55" i="15" a="1"/>
  <c r="J47" i="30" a="1"/>
  <c r="J47" i="22" a="1"/>
  <c r="J51" i="29" a="1"/>
  <c r="I11" i="29"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I15" i="29" a="1"/>
  <c r="J55" i="30" a="1"/>
  <c r="J55" i="22" a="1"/>
  <c r="I19" i="29" a="1"/>
  <c r="J59" i="22" a="1"/>
  <c r="I23" i="29" a="1"/>
  <c r="J51" i="30" a="1"/>
  <c r="I23" i="15" a="1"/>
  <c r="I15" i="15" a="1"/>
  <c r="J59" i="30" a="1"/>
  <c r="I19" i="15" a="1"/>
  <c r="I11" i="30" a="1"/>
  <c r="J51" i="22" a="1"/>
  <c r="I11" i="22"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23" i="22" a="1"/>
  <c r="I19" i="30" a="1"/>
  <c r="I19" i="22" a="1"/>
  <c r="J70" i="22" a="1"/>
  <c r="J66" i="22" a="1"/>
  <c r="I23" i="30" a="1"/>
  <c r="I15" i="22" a="1"/>
  <c r="J71" i="22" a="1"/>
  <c r="I15"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J29" i="29" a="1"/>
  <c r="K47" i="15" a="1"/>
  <c r="K47" i="29" a="1"/>
  <c r="K47" i="29" l="1"/>
  <c r="K47" i="15"/>
  <c r="J29" i="29"/>
  <c r="L144" i="28"/>
  <c r="L144" i="30"/>
  <c r="L99" i="29"/>
  <c r="L85" i="29"/>
  <c r="L132" i="29"/>
  <c r="L83" i="29"/>
  <c r="L95" i="29"/>
  <c r="L91" i="29"/>
  <c r="L85" i="15"/>
  <c r="L142" i="15"/>
  <c r="L99" i="15"/>
  <c r="L91" i="15"/>
  <c r="L95" i="15"/>
  <c r="L87" i="30"/>
  <c r="L114" i="15"/>
  <c r="L83" i="15"/>
  <c r="K55" i="29" a="1"/>
  <c r="J11" i="15" a="1"/>
  <c r="K47" i="22" a="1"/>
  <c r="J11" i="29" a="1"/>
  <c r="K51" i="29" a="1"/>
  <c r="K59" i="15" a="1"/>
  <c r="K51" i="15" a="1"/>
  <c r="K59" i="29" a="1"/>
  <c r="K47" i="30" a="1"/>
  <c r="K55" i="15"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J15" i="29" a="1"/>
  <c r="K51" i="22" a="1"/>
  <c r="J19" i="29" a="1"/>
  <c r="K68" i="15" a="1"/>
  <c r="K70" i="33" a="1"/>
  <c r="K66" i="29" a="1"/>
  <c r="J11" i="22" a="1"/>
  <c r="K55" i="30" a="1"/>
  <c r="K68" i="29" a="1"/>
  <c r="K59" i="22" a="1"/>
  <c r="K51" i="30" a="1"/>
  <c r="K55" i="22" a="1"/>
  <c r="J23" i="15" a="1"/>
  <c r="J11" i="30" a="1"/>
  <c r="J19" i="15" a="1"/>
  <c r="J15" i="15" a="1"/>
  <c r="K59" i="30" a="1"/>
  <c r="J23" i="29"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K71" i="29" a="1"/>
  <c r="K68" i="22" a="1"/>
  <c r="J30" i="29" a="1"/>
  <c r="I32" i="29" a="1"/>
  <c r="K70" i="22" a="1"/>
  <c r="J23" i="22" a="1"/>
  <c r="K71" i="22" a="1"/>
  <c r="K68" i="30" a="1"/>
  <c r="J19" i="22" a="1"/>
  <c r="J34" i="33" a="1"/>
  <c r="K71" i="30" a="1"/>
  <c r="J23" i="30" a="1"/>
  <c r="K66" i="22" a="1"/>
  <c r="K70" i="30" a="1"/>
  <c r="I32" i="15" a="1"/>
  <c r="J15" i="22" a="1"/>
  <c r="J19" i="30" a="1"/>
  <c r="J15" i="30"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J34" i="22" a="1"/>
  <c r="I32" i="30" a="1"/>
  <c r="J35" i="22" a="1"/>
  <c r="J34" i="30" a="1"/>
  <c r="I32" i="22" a="1"/>
  <c r="J35" i="30" a="1"/>
  <c r="J30" i="22" a="1"/>
  <c r="J35" i="29"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L56" i="29" a="1"/>
  <c r="L52" i="29" a="1"/>
  <c r="K29" i="29" a="1"/>
  <c r="L48" i="29" a="1"/>
  <c r="L60" i="29" a="1"/>
  <c r="L48" i="15"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M144" i="28"/>
  <c r="M144" i="30"/>
  <c r="M119" i="15"/>
  <c r="M132" i="15" s="1"/>
  <c r="R100" i="29"/>
  <c r="L48" i="20" a="1"/>
  <c r="K20" i="29" a="1"/>
  <c r="L48" i="18" a="1"/>
  <c r="L52" i="30" a="1"/>
  <c r="K24" i="29" a="1"/>
  <c r="L56" i="15" a="1"/>
  <c r="L66" i="29" a="1"/>
  <c r="K12" i="29" a="1"/>
  <c r="L52" i="15" a="1"/>
  <c r="L48" i="30" a="1"/>
  <c r="L48" i="22" a="1"/>
  <c r="K16" i="29" a="1"/>
  <c r="K12" i="15" a="1"/>
  <c r="L60" i="15" a="1"/>
  <c r="L48" i="19" a="1"/>
  <c r="R48" i="29" l="1"/>
  <c r="M96" i="30"/>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L68" i="29" a="1"/>
  <c r="L56" i="18" a="1"/>
  <c r="K12" i="18" a="1"/>
  <c r="L60" i="20" a="1"/>
  <c r="L52" i="18" a="1"/>
  <c r="L70" i="33" a="1"/>
  <c r="L56" i="30" a="1"/>
  <c r="L52" i="22" a="1"/>
  <c r="K12" i="20" a="1"/>
  <c r="K12" i="22" a="1"/>
  <c r="L56" i="22" a="1"/>
  <c r="L56" i="20" a="1"/>
  <c r="K20" i="15" a="1"/>
  <c r="L60" i="30" a="1"/>
  <c r="M48" i="18" a="1"/>
  <c r="L68" i="30" a="1"/>
  <c r="L60" i="18" a="1"/>
  <c r="K16" i="15" a="1"/>
  <c r="K16" i="30" a="1"/>
  <c r="L52" i="20" a="1"/>
  <c r="L71" i="29" a="1"/>
  <c r="K30" i="29" a="1"/>
  <c r="L68" i="15" a="1"/>
  <c r="L60" i="22" a="1"/>
  <c r="L52" i="19" a="1"/>
  <c r="K24" i="15" a="1"/>
  <c r="L56" i="19" a="1"/>
  <c r="K12" i="19" a="1"/>
  <c r="L60" i="19" a="1"/>
  <c r="K12" i="30"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K24" i="15"/>
  <c r="R24" i="15" s="1"/>
  <c r="L60" i="22"/>
  <c r="L60" i="18"/>
  <c r="L56" i="19"/>
  <c r="K12" i="22"/>
  <c r="K9" i="22" s="1"/>
  <c r="L52" i="18"/>
  <c r="K12" i="18"/>
  <c r="L52" i="22"/>
  <c r="M48" i="18"/>
  <c r="K12" i="30"/>
  <c r="R12" i="30" s="1"/>
  <c r="K16" i="15"/>
  <c r="R16" i="15" s="1"/>
  <c r="K12" i="19"/>
  <c r="L56" i="18"/>
  <c r="L60" i="19"/>
  <c r="K20" i="15"/>
  <c r="R20" i="15" s="1"/>
  <c r="K12" i="20"/>
  <c r="R12" i="15"/>
  <c r="L68" i="30"/>
  <c r="L68" i="15"/>
  <c r="L68" i="29"/>
  <c r="K30" i="29"/>
  <c r="K16" i="30"/>
  <c r="R16" i="30" s="1"/>
  <c r="L71" i="29"/>
  <c r="M118" i="15"/>
  <c r="M128" i="15" s="1"/>
  <c r="M110" i="30"/>
  <c r="M116" i="29"/>
  <c r="M111" i="30"/>
  <c r="M129" i="15"/>
  <c r="M137" i="15"/>
  <c r="M142" i="30"/>
  <c r="M134" i="30"/>
  <c r="R52" i="30"/>
  <c r="M116" i="30"/>
  <c r="M117" i="29"/>
  <c r="M125" i="29" s="1"/>
  <c r="K20" i="18" a="1"/>
  <c r="N52" i="18" a="1"/>
  <c r="K16" i="20" a="1"/>
  <c r="M52" i="18" a="1"/>
  <c r="L12" i="18" a="1"/>
  <c r="K16" i="18" a="1"/>
  <c r="L70" i="30" a="1"/>
  <c r="L70" i="22" a="1"/>
  <c r="L71" i="22" a="1"/>
  <c r="N48" i="18" a="1"/>
  <c r="M60" i="18" a="1"/>
  <c r="K16" i="19" a="1"/>
  <c r="M56" i="18" a="1"/>
  <c r="J32" i="29" a="1"/>
  <c r="L71" i="30" a="1"/>
  <c r="K34" i="33" a="1"/>
  <c r="L66" i="22" a="1"/>
  <c r="J32" i="30" a="1"/>
  <c r="K35" i="29" a="1"/>
  <c r="K24" i="30" a="1"/>
  <c r="J32" i="15" a="1"/>
  <c r="K20" i="22" a="1"/>
  <c r="K24" i="22" a="1"/>
  <c r="K24" i="18" a="1"/>
  <c r="K20" i="19" a="1"/>
  <c r="L68" i="22" a="1"/>
  <c r="K16" i="22" a="1"/>
  <c r="K20" i="30" a="1"/>
  <c r="K20" i="20" a="1"/>
  <c r="K24" i="19" a="1"/>
  <c r="K24" i="20"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K20" i="18"/>
  <c r="K20" i="19"/>
  <c r="K24" i="18"/>
  <c r="K16" i="22"/>
  <c r="K24" i="22"/>
  <c r="K16" i="18"/>
  <c r="L68" i="22"/>
  <c r="J32" i="15"/>
  <c r="N52" i="18"/>
  <c r="L70" i="30"/>
  <c r="J32" i="29"/>
  <c r="L71" i="30"/>
  <c r="K35" i="29"/>
  <c r="J32" i="30"/>
  <c r="M118" i="22"/>
  <c r="M128" i="22" s="1"/>
  <c r="M123" i="30"/>
  <c r="M133" i="30" s="1"/>
  <c r="K30" i="22" a="1"/>
  <c r="K34" i="22" a="1"/>
  <c r="N56" i="18" a="1"/>
  <c r="K35" i="22" a="1"/>
  <c r="L24" i="18" a="1"/>
  <c r="K35" i="30" a="1"/>
  <c r="K34" i="30" a="1"/>
  <c r="O52" i="18" a="1"/>
  <c r="M16" i="18" a="1"/>
  <c r="N60" i="18" a="1"/>
  <c r="J32" i="22" a="1"/>
  <c r="L16" i="18" a="1"/>
  <c r="O48" i="18" a="1"/>
  <c r="M12" i="18" a="1"/>
  <c r="L20" i="18" a="1"/>
  <c r="K30" i="22" l="1"/>
  <c r="P100" i="18"/>
  <c r="P96" i="18"/>
  <c r="P115" i="18"/>
  <c r="P124" i="18" s="1"/>
  <c r="N60" i="18"/>
  <c r="N56" i="18"/>
  <c r="O48" i="18"/>
  <c r="Q88" i="18"/>
  <c r="L20" i="18"/>
  <c r="M12" i="18"/>
  <c r="K35" i="22"/>
  <c r="K34" i="22"/>
  <c r="L16" i="18"/>
  <c r="L24" i="18"/>
  <c r="K35" i="30"/>
  <c r="K34" i="30"/>
  <c r="M16" i="18"/>
  <c r="O52" i="18"/>
  <c r="J32" i="22"/>
  <c r="N16" i="18" a="1"/>
  <c r="O56" i="18" a="1"/>
  <c r="M20" i="18" a="1"/>
  <c r="M24" i="18" a="1"/>
  <c r="P48" i="18" a="1"/>
  <c r="O60" i="18" a="1"/>
  <c r="N12" i="18" a="1"/>
  <c r="O60" i="18" l="1"/>
  <c r="O56" i="18"/>
  <c r="M24" i="18"/>
  <c r="P48" i="18"/>
  <c r="N12" i="18"/>
  <c r="M20" i="18"/>
  <c r="Q115" i="18"/>
  <c r="Q124" i="18" s="1"/>
  <c r="Q92" i="18"/>
  <c r="Q100" i="18"/>
  <c r="R88" i="18"/>
  <c r="Q96" i="18"/>
  <c r="N16" i="18"/>
  <c r="P56" i="18" a="1"/>
  <c r="N20" i="18" a="1"/>
  <c r="N24" i="18" a="1"/>
  <c r="P52" i="18" a="1"/>
  <c r="P60" i="18" a="1"/>
  <c r="O12" i="18" a="1"/>
  <c r="N24" i="18" l="1"/>
  <c r="N20" i="18"/>
  <c r="P56" i="18"/>
  <c r="P60" i="18"/>
  <c r="P52" i="18"/>
  <c r="O12" i="18"/>
  <c r="R12" i="18" s="1"/>
  <c r="R96" i="18"/>
  <c r="R100" i="18"/>
  <c r="R92" i="18"/>
  <c r="R48" i="18"/>
  <c r="O24" i="18" a="1"/>
  <c r="O16" i="18" a="1"/>
  <c r="O20" i="18" a="1"/>
  <c r="O16" i="18" l="1"/>
  <c r="R16" i="18" s="1"/>
  <c r="O24" i="18"/>
  <c r="R24" i="18" s="1"/>
  <c r="O20" i="18"/>
  <c r="R20" i="18" s="1"/>
  <c r="R52" i="18"/>
  <c r="R60" i="18"/>
  <c r="R56" i="18"/>
  <c r="K108" i="15" l="1"/>
  <c r="K110" i="33" s="1"/>
  <c r="K108" i="29"/>
  <c r="K106" i="29"/>
  <c r="J66" i="29" a="1"/>
  <c r="J70" i="33" a="1"/>
  <c r="J68" i="29" a="1"/>
  <c r="J68" i="15" a="1"/>
  <c r="J70" i="33" l="1"/>
  <c r="K123" i="33"/>
  <c r="K133" i="33" s="1"/>
  <c r="J68" i="29"/>
  <c r="J68" i="15"/>
  <c r="J66" i="29"/>
  <c r="K111" i="29"/>
  <c r="K116" i="29"/>
  <c r="K111" i="30"/>
  <c r="K111" i="28"/>
  <c r="K118" i="15"/>
  <c r="K128" i="15" s="1"/>
  <c r="K110" i="30"/>
  <c r="K108" i="30"/>
  <c r="K108" i="28"/>
  <c r="H32" i="29" a="1"/>
  <c r="J68" i="22" a="1"/>
  <c r="J70" i="30" a="1"/>
  <c r="J68" i="28" a="1"/>
  <c r="J71" i="28" a="1"/>
  <c r="H32" i="15" a="1"/>
  <c r="J71" i="29" a="1"/>
  <c r="I30" i="29" a="1"/>
  <c r="J68" i="30" a="1"/>
  <c r="I34" i="33" a="1"/>
  <c r="J71" i="30"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H32" i="30" a="1"/>
  <c r="H32" i="22" a="1"/>
  <c r="K68" i="28" a="1"/>
  <c r="I47" i="15" a="1"/>
  <c r="I65" i="29" a="1"/>
  <c r="I47" i="29" a="1"/>
  <c r="I35" i="30" a="1"/>
  <c r="I35" i="29" a="1"/>
  <c r="K71" i="28" a="1"/>
  <c r="H32" i="28" a="1"/>
  <c r="I35" i="28" a="1"/>
  <c r="I34" i="30"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I55" i="15" a="1"/>
  <c r="I47" i="19" a="1"/>
  <c r="I47" i="28" a="1"/>
  <c r="I59" i="29" a="1"/>
  <c r="I66" i="19" a="1"/>
  <c r="L71" i="28" a="1"/>
  <c r="I47" i="30" a="1"/>
  <c r="I47" i="20" a="1"/>
  <c r="J35" i="28" a="1"/>
  <c r="I51" i="29" a="1"/>
  <c r="I32" i="28" a="1"/>
  <c r="I51" i="15" a="1"/>
  <c r="I55" i="29" a="1"/>
  <c r="I47" i="22" a="1"/>
  <c r="L68" i="28" a="1"/>
  <c r="I62" i="20" a="1"/>
  <c r="H11" i="15" a="1"/>
  <c r="H29" i="29" a="1"/>
  <c r="H11" i="29" a="1"/>
  <c r="I59" i="15" a="1"/>
  <c r="I47" i="18"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65" i="19" a="1"/>
  <c r="H19" i="15" a="1"/>
  <c r="I63" i="18" a="1"/>
  <c r="J47" i="19" a="1"/>
  <c r="H30" i="19" a="1"/>
  <c r="I55" i="20" a="1"/>
  <c r="I68" i="15" a="1"/>
  <c r="I55" i="22" a="1"/>
  <c r="I68" i="29" a="1"/>
  <c r="H11" i="22" a="1"/>
  <c r="H11" i="30" a="1"/>
  <c r="I51" i="19" a="1"/>
  <c r="M68" i="28" a="1"/>
  <c r="I63" i="20" a="1"/>
  <c r="I59" i="22" a="1"/>
  <c r="I55" i="30" a="1"/>
  <c r="I66" i="18" a="1"/>
  <c r="H23" i="29" a="1"/>
  <c r="H19" i="29" a="1"/>
  <c r="I66" i="29" a="1"/>
  <c r="I64" i="20" a="1"/>
  <c r="J47" i="20" a="1"/>
  <c r="I64" i="19" a="1"/>
  <c r="I65" i="18" a="1"/>
  <c r="I51" i="18" a="1"/>
  <c r="M71" i="28" a="1"/>
  <c r="I55" i="19" a="1"/>
  <c r="I59" i="28" a="1"/>
  <c r="I64" i="18" a="1"/>
  <c r="I55" i="18" a="1"/>
  <c r="I59" i="19" a="1"/>
  <c r="J32" i="28" a="1"/>
  <c r="I59" i="30" a="1"/>
  <c r="L47" i="20" a="1"/>
  <c r="I51" i="28" a="1"/>
  <c r="I63" i="19" a="1"/>
  <c r="I51" i="22" a="1"/>
  <c r="J47" i="18" a="1"/>
  <c r="I55" i="28" a="1"/>
  <c r="H11" i="28" a="1"/>
  <c r="H23" i="15" a="1"/>
  <c r="H26" i="20" a="1"/>
  <c r="I62" i="18" a="1"/>
  <c r="I59" i="20" a="1"/>
  <c r="I59" i="18" a="1"/>
  <c r="I62" i="19" a="1"/>
  <c r="H11" i="20" a="1"/>
  <c r="I51" i="30" a="1"/>
  <c r="H15" i="29" a="1"/>
  <c r="K47" i="20" a="1"/>
  <c r="H11" i="19" a="1"/>
  <c r="I51" i="20" a="1"/>
  <c r="I66" i="20" a="1"/>
  <c r="K35" i="28" a="1"/>
  <c r="H15" i="15" a="1"/>
  <c r="I65" i="20" a="1"/>
  <c r="H11" i="18" a="1"/>
  <c r="I71" i="18"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H23" i="22" a="1"/>
  <c r="L63" i="20" a="1"/>
  <c r="K55" i="20" a="1"/>
  <c r="J64" i="18" a="1"/>
  <c r="H19" i="22" a="1"/>
  <c r="J66" i="18" a="1"/>
  <c r="I71" i="30" a="1"/>
  <c r="I70" i="22" a="1"/>
  <c r="I70" i="28" a="1"/>
  <c r="G32" i="29" a="1"/>
  <c r="I71" i="22" a="1"/>
  <c r="L66" i="20" a="1"/>
  <c r="J55" i="18" a="1"/>
  <c r="J51" i="19" a="1"/>
  <c r="I71" i="28" a="1"/>
  <c r="I71" i="19" a="1"/>
  <c r="H30" i="18" a="1"/>
  <c r="J66" i="19" a="1"/>
  <c r="K62" i="20" a="1"/>
  <c r="M47" i="20" a="1"/>
  <c r="H26" i="18" a="1"/>
  <c r="H15" i="19" a="1"/>
  <c r="K66" i="20" a="1"/>
  <c r="H28" i="19" a="1"/>
  <c r="J11" i="20" a="1"/>
  <c r="L64" i="20" a="1"/>
  <c r="J63" i="18" a="1"/>
  <c r="K47" i="19" a="1"/>
  <c r="J62" i="18" a="1"/>
  <c r="J62" i="19" a="1"/>
  <c r="H30" i="20" a="1"/>
  <c r="I71" i="20" a="1"/>
  <c r="I11" i="20" a="1"/>
  <c r="H19" i="18" a="1"/>
  <c r="J65" i="19" a="1"/>
  <c r="I70" i="33" a="1"/>
  <c r="I68" i="30" a="1"/>
  <c r="J64" i="20" a="1"/>
  <c r="H27" i="18" a="1"/>
  <c r="J59" i="20" a="1"/>
  <c r="K51" i="20" a="1"/>
  <c r="L65" i="20" a="1"/>
  <c r="H28" i="18" a="1"/>
  <c r="J63" i="20" a="1"/>
  <c r="I71" i="29" a="1"/>
  <c r="I66" i="22" a="1"/>
  <c r="I68" i="18" a="1"/>
  <c r="J51" i="20" a="1"/>
  <c r="H27" i="19" a="1"/>
  <c r="J62" i="20" a="1"/>
  <c r="H19" i="30" a="1"/>
  <c r="J66" i="20" a="1"/>
  <c r="H15" i="30" a="1"/>
  <c r="N68" i="28" a="1"/>
  <c r="K47" i="18" a="1"/>
  <c r="I70" i="18" a="1"/>
  <c r="L35" i="28" a="1"/>
  <c r="I68" i="19" a="1"/>
  <c r="J51" i="18" a="1"/>
  <c r="I11" i="19" a="1"/>
  <c r="H23" i="18" a="1"/>
  <c r="K65" i="20" a="1"/>
  <c r="H15" i="18" a="1"/>
  <c r="I68" i="22" a="1"/>
  <c r="I70" i="30" a="1"/>
  <c r="N47" i="20" a="1"/>
  <c r="H29" i="19" a="1"/>
  <c r="H23" i="19" a="1"/>
  <c r="H23" i="30" a="1"/>
  <c r="H35" i="18" a="1"/>
  <c r="I11" i="18" a="1"/>
  <c r="J59" i="18" a="1"/>
  <c r="H19" i="20" a="1"/>
  <c r="J65" i="20" a="1"/>
  <c r="J64" i="19" a="1"/>
  <c r="I68" i="20" a="1"/>
  <c r="K32" i="28" a="1"/>
  <c r="H29" i="18" a="1"/>
  <c r="I70" i="20" a="1"/>
  <c r="H27" i="20" a="1"/>
  <c r="L62" i="20" a="1"/>
  <c r="H30" i="29" a="1"/>
  <c r="J59" i="19" a="1"/>
  <c r="K59" i="20" a="1"/>
  <c r="H26" i="19" a="1"/>
  <c r="K63" i="20" a="1"/>
  <c r="K11" i="20" a="1"/>
  <c r="H19" i="28" a="1"/>
  <c r="L51" i="20" a="1"/>
  <c r="I70" i="19" a="1"/>
  <c r="J55" i="20" a="1"/>
  <c r="J63" i="19" a="1"/>
  <c r="H29" i="20" a="1"/>
  <c r="L59" i="20" a="1"/>
  <c r="J55" i="19" a="1"/>
  <c r="H15" i="28" a="1"/>
  <c r="H23" i="28" a="1"/>
  <c r="H15" i="20" a="1"/>
  <c r="H15" i="22" a="1"/>
  <c r="J65" i="18" a="1"/>
  <c r="H23" i="20" a="1"/>
  <c r="K64" i="20" a="1"/>
  <c r="G32" i="15" a="1"/>
  <c r="I68" i="28" a="1"/>
  <c r="N71" i="28" a="1"/>
  <c r="H19" i="19" a="1"/>
  <c r="L55" i="20" a="1"/>
  <c r="H28" i="20"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J123" i="30"/>
  <c r="J133" i="30" s="1"/>
  <c r="R110" i="30"/>
  <c r="K123" i="20"/>
  <c r="K82" i="19"/>
  <c r="K84" i="19"/>
  <c r="K130" i="19" s="1"/>
  <c r="M123" i="20"/>
  <c r="H39" i="28"/>
  <c r="H39" i="30"/>
  <c r="R11" i="30"/>
  <c r="R39" i="30" s="1"/>
  <c r="J45" i="18"/>
  <c r="J118" i="20"/>
  <c r="J128" i="20" s="1"/>
  <c r="N99" i="20"/>
  <c r="N95" i="20"/>
  <c r="N91" i="20"/>
  <c r="N114"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L70" i="20" a="1"/>
  <c r="P47" i="20" a="1"/>
  <c r="O71" i="28" a="1"/>
  <c r="L68" i="20" a="1"/>
  <c r="J68" i="18" a="1"/>
  <c r="I23" i="20" a="1"/>
  <c r="G32" i="20" a="1"/>
  <c r="K64" i="18" a="1"/>
  <c r="H35" i="28" a="1"/>
  <c r="J30" i="20" a="1"/>
  <c r="K23" i="20" a="1"/>
  <c r="I30" i="20" a="1"/>
  <c r="I23" i="19" a="1"/>
  <c r="J28" i="20" a="1"/>
  <c r="G32" i="18" a="1"/>
  <c r="I29" i="18" a="1"/>
  <c r="I19" i="19" a="1"/>
  <c r="N55" i="20" a="1"/>
  <c r="I19" i="20" a="1"/>
  <c r="K63" i="18" a="1"/>
  <c r="H35" i="19" a="1"/>
  <c r="J71" i="20" a="1"/>
  <c r="G32" i="28" a="1"/>
  <c r="J11" i="18" a="1"/>
  <c r="K51" i="19" a="1"/>
  <c r="G32" i="30" a="1"/>
  <c r="K19" i="20" a="1"/>
  <c r="O68" i="28" a="1"/>
  <c r="J29" i="20" a="1"/>
  <c r="K66" i="18" a="1"/>
  <c r="M59" i="20" a="1"/>
  <c r="J11" i="19" a="1"/>
  <c r="K64" i="19" a="1"/>
  <c r="K55" i="18" a="1"/>
  <c r="I26" i="18" a="1"/>
  <c r="J68" i="20" a="1"/>
  <c r="M11" i="20" a="1"/>
  <c r="L71" i="20" a="1"/>
  <c r="N59" i="20" a="1"/>
  <c r="I19" i="18" a="1"/>
  <c r="K26" i="20" a="1"/>
  <c r="G32" i="22" a="1"/>
  <c r="H35" i="30" a="1"/>
  <c r="K59" i="18" a="1"/>
  <c r="K30" i="20" a="1"/>
  <c r="I28" i="18" a="1"/>
  <c r="K62" i="19" a="1"/>
  <c r="H35" i="22" a="1"/>
  <c r="J70" i="28" a="1"/>
  <c r="J71" i="18" a="1"/>
  <c r="N47" i="19" a="1"/>
  <c r="H34" i="19" a="1"/>
  <c r="H30" i="22" a="1"/>
  <c r="H34" i="30" a="1"/>
  <c r="H34" i="22" a="1"/>
  <c r="K70" i="20" a="1"/>
  <c r="O47" i="20" a="1"/>
  <c r="M35" i="28" a="1"/>
  <c r="I29" i="19" a="1"/>
  <c r="J71" i="19" a="1"/>
  <c r="G32" i="19" a="1"/>
  <c r="H34" i="18" a="1"/>
  <c r="I28" i="19" a="1"/>
  <c r="I23" i="18" a="1"/>
  <c r="I26" i="19" a="1"/>
  <c r="L47" i="18" a="1"/>
  <c r="I15" i="18" a="1"/>
  <c r="J26" i="20" a="1"/>
  <c r="J15" i="20" a="1"/>
  <c r="J70" i="19" a="1"/>
  <c r="K63" i="19" a="1"/>
  <c r="I29" i="20" a="1"/>
  <c r="K62" i="18" a="1"/>
  <c r="J68" i="19" a="1"/>
  <c r="K68" i="20" a="1"/>
  <c r="K71" i="20" a="1"/>
  <c r="L47" i="19" a="1"/>
  <c r="I15" i="19" a="1"/>
  <c r="K29" i="20" a="1"/>
  <c r="H34" i="33" a="1"/>
  <c r="K27" i="20" a="1"/>
  <c r="H35" i="29" a="1"/>
  <c r="K28" i="20" a="1"/>
  <c r="K55" i="19" a="1"/>
  <c r="I28" i="20" a="1"/>
  <c r="I27" i="18" a="1"/>
  <c r="H34" i="20" a="1"/>
  <c r="M47" i="19" a="1"/>
  <c r="L11" i="20" a="1"/>
  <c r="K65" i="18" a="1"/>
  <c r="K15" i="20" a="1"/>
  <c r="N51" i="20" a="1"/>
  <c r="J70" i="20" a="1"/>
  <c r="J19" i="20" a="1"/>
  <c r="I27" i="20" a="1"/>
  <c r="I26" i="20" a="1"/>
  <c r="I30" i="18" a="1"/>
  <c r="J70" i="18" a="1"/>
  <c r="I27" i="19" a="1"/>
  <c r="L32" i="28" a="1"/>
  <c r="H35" i="20" a="1"/>
  <c r="K65" i="19" a="1"/>
  <c r="J47" i="28" a="1"/>
  <c r="K59" i="19" a="1"/>
  <c r="M51" i="20" a="1"/>
  <c r="J23" i="20" a="1"/>
  <c r="I30" i="19" a="1"/>
  <c r="I15" i="20" a="1"/>
  <c r="M55" i="20" a="1"/>
  <c r="J27" i="20" a="1"/>
  <c r="K66" i="19" a="1"/>
  <c r="K51" i="18" a="1"/>
  <c r="H34" i="28" a="1"/>
  <c r="M131" i="18" l="1"/>
  <c r="H35" i="19"/>
  <c r="L110" i="19"/>
  <c r="L111" i="19"/>
  <c r="L108" i="19"/>
  <c r="H35" i="20"/>
  <c r="H34" i="18"/>
  <c r="H34" i="20"/>
  <c r="H34" i="33"/>
  <c r="G32" i="18"/>
  <c r="H34" i="19"/>
  <c r="L119" i="20"/>
  <c r="L132" i="20" s="1"/>
  <c r="K119" i="19"/>
  <c r="K132" i="19" s="1"/>
  <c r="K117" i="20"/>
  <c r="K127" i="20" s="1"/>
  <c r="K126" i="20"/>
  <c r="K129" i="20" s="1"/>
  <c r="M130" i="20"/>
  <c r="K119" i="20"/>
  <c r="K132" i="20" s="1"/>
  <c r="K126" i="19"/>
  <c r="K129" i="19" s="1"/>
  <c r="K117" i="19"/>
  <c r="K127" i="19" s="1"/>
  <c r="N47" i="19"/>
  <c r="N59" i="20"/>
  <c r="K65" i="19"/>
  <c r="O47" i="20"/>
  <c r="I27" i="19"/>
  <c r="J28" i="20"/>
  <c r="H34" i="28"/>
  <c r="I27" i="20"/>
  <c r="I28" i="18"/>
  <c r="H35" i="29"/>
  <c r="R35" i="29" s="1"/>
  <c r="K29" i="20"/>
  <c r="I28" i="19"/>
  <c r="J68" i="18"/>
  <c r="J70" i="28"/>
  <c r="M55" i="20"/>
  <c r="K64" i="19"/>
  <c r="I15" i="18"/>
  <c r="L32" i="28"/>
  <c r="I26" i="18"/>
  <c r="H34" i="30"/>
  <c r="R34" i="30" s="1"/>
  <c r="I29" i="19"/>
  <c r="I15" i="20"/>
  <c r="J71" i="18"/>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J68" i="19"/>
  <c r="L47" i="19"/>
  <c r="K51" i="19"/>
  <c r="J26" i="20"/>
  <c r="I23" i="19"/>
  <c r="J27" i="20"/>
  <c r="G32" i="20"/>
  <c r="I19" i="20"/>
  <c r="I30" i="18"/>
  <c r="M35" i="28"/>
  <c r="K64" i="18"/>
  <c r="K63" i="18"/>
  <c r="L70" i="20"/>
  <c r="J70" i="20"/>
  <c r="L47" i="18"/>
  <c r="K51" i="18"/>
  <c r="P47"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91" i="19"/>
  <c r="N99" i="19"/>
  <c r="N95" i="19"/>
  <c r="N114" i="19"/>
  <c r="M117" i="20"/>
  <c r="M127" i="20" s="1"/>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L116" i="19"/>
  <c r="L125" i="19" s="1"/>
  <c r="L120" i="19"/>
  <c r="L133" i="19" s="1"/>
  <c r="K85" i="28"/>
  <c r="K146" i="28"/>
  <c r="K119" i="28"/>
  <c r="K91" i="28"/>
  <c r="K95" i="28"/>
  <c r="K99" i="28"/>
  <c r="L118" i="20"/>
  <c r="L128" i="20" s="1"/>
  <c r="K45" i="19"/>
  <c r="R71" i="30"/>
  <c r="R68" i="30"/>
  <c r="L55" i="18" a="1"/>
  <c r="P68" i="28" a="1"/>
  <c r="P59" i="20" a="1"/>
  <c r="I11" i="28" a="1"/>
  <c r="J30" i="19" a="1"/>
  <c r="O11" i="20" a="1"/>
  <c r="M51" i="19" a="1"/>
  <c r="O51" i="20" a="1"/>
  <c r="J59" i="28" a="1"/>
  <c r="J28" i="19" a="1"/>
  <c r="I35" i="20" a="1"/>
  <c r="H32" i="18" a="1"/>
  <c r="J23" i="19" a="1"/>
  <c r="J51" i="28" a="1"/>
  <c r="I35" i="19" a="1"/>
  <c r="L65" i="18" a="1"/>
  <c r="M15" i="20" a="1"/>
  <c r="K35" i="20" a="1"/>
  <c r="L66" i="19" a="1"/>
  <c r="L66" i="18" a="1"/>
  <c r="J15" i="19" a="1"/>
  <c r="J26" i="19" a="1"/>
  <c r="L11" i="19" a="1"/>
  <c r="J30" i="18" a="1"/>
  <c r="J19" i="18" a="1"/>
  <c r="H32" i="19" a="1"/>
  <c r="L62" i="19" a="1"/>
  <c r="I34" i="20" a="1"/>
  <c r="L62" i="18" a="1"/>
  <c r="H32" i="20" a="1"/>
  <c r="J27" i="18" a="1"/>
  <c r="K68" i="18" a="1"/>
  <c r="L59" i="18" a="1"/>
  <c r="K11" i="18" a="1"/>
  <c r="P71" i="28" a="1"/>
  <c r="L63" i="18" a="1"/>
  <c r="L65" i="19" a="1"/>
  <c r="J29" i="19" a="1"/>
  <c r="I35" i="18" a="1"/>
  <c r="J29" i="18" a="1"/>
  <c r="O47" i="19" a="1"/>
  <c r="I34" i="28" a="1"/>
  <c r="M32" i="28" a="1"/>
  <c r="K70" i="18" a="1"/>
  <c r="L55" i="19" a="1"/>
  <c r="K34" i="20" a="1"/>
  <c r="P55" i="20" a="1"/>
  <c r="K70" i="19" a="1"/>
  <c r="J55" i="28" a="1"/>
  <c r="N11" i="20" a="1"/>
  <c r="K71" i="18" a="1"/>
  <c r="L51" i="18" a="1"/>
  <c r="L64" i="18" a="1"/>
  <c r="M47" i="18" a="1"/>
  <c r="J23" i="18" a="1"/>
  <c r="J32" i="20" a="1"/>
  <c r="L23" i="20" a="1"/>
  <c r="K47" i="28" a="1"/>
  <c r="J27" i="19" a="1"/>
  <c r="J19" i="19" a="1"/>
  <c r="N51" i="19" a="1"/>
  <c r="N59" i="19" a="1"/>
  <c r="K11" i="19" a="1"/>
  <c r="L59" i="19" a="1"/>
  <c r="K70" i="28" a="1"/>
  <c r="O55" i="20" a="1"/>
  <c r="M59" i="19" a="1"/>
  <c r="M11" i="19" a="1"/>
  <c r="K68" i="19" a="1"/>
  <c r="L15" i="20" a="1"/>
  <c r="J28" i="18" a="1"/>
  <c r="J26" i="18" a="1"/>
  <c r="L63" i="19" a="1"/>
  <c r="O59" i="20" a="1"/>
  <c r="L51" i="19" a="1"/>
  <c r="M55" i="19" a="1"/>
  <c r="J15" i="18" a="1"/>
  <c r="K71" i="19" a="1"/>
  <c r="J34" i="20" a="1"/>
  <c r="I34" i="18" a="1"/>
  <c r="J35" i="20" a="1"/>
  <c r="L64" i="19" a="1"/>
  <c r="I34" i="19" a="1"/>
  <c r="M23" i="20" a="1"/>
  <c r="N35" i="28" a="1"/>
  <c r="L19" i="20" a="1"/>
  <c r="I32" i="20" a="1"/>
  <c r="N55" i="19" a="1"/>
  <c r="P51" i="20" a="1"/>
  <c r="M19" i="20" a="1"/>
  <c r="N131" i="18" l="1"/>
  <c r="L136" i="28"/>
  <c r="M110" i="19"/>
  <c r="M111" i="19"/>
  <c r="M108" i="19"/>
  <c r="R91" i="20"/>
  <c r="R47" i="20"/>
  <c r="R99" i="20"/>
  <c r="R95" i="20"/>
  <c r="L119" i="18"/>
  <c r="L132" i="18" s="1"/>
  <c r="K70" i="19"/>
  <c r="L64" i="18"/>
  <c r="L59" i="18"/>
  <c r="L62" i="19"/>
  <c r="M59" i="19"/>
  <c r="J19" i="18"/>
  <c r="J23" i="18"/>
  <c r="O11" i="20"/>
  <c r="L23" i="20"/>
  <c r="L19" i="20"/>
  <c r="K68" i="19"/>
  <c r="P71" i="28"/>
  <c r="L63" i="18"/>
  <c r="L65" i="19"/>
  <c r="O55" i="20"/>
  <c r="J30" i="18"/>
  <c r="I35" i="20"/>
  <c r="J34" i="20"/>
  <c r="J15" i="18"/>
  <c r="H32" i="19"/>
  <c r="L11" i="19"/>
  <c r="I34" i="28"/>
  <c r="L66" i="19"/>
  <c r="O47" i="19"/>
  <c r="J26" i="18"/>
  <c r="N35" i="28"/>
  <c r="K11" i="18"/>
  <c r="K9" i="18" s="1"/>
  <c r="I34" i="18"/>
  <c r="H32" i="18"/>
  <c r="K71" i="19"/>
  <c r="K47" i="28"/>
  <c r="R47" i="28" s="1"/>
  <c r="L65" i="18"/>
  <c r="M51" i="19"/>
  <c r="N51" i="19"/>
  <c r="I32" i="20"/>
  <c r="J35" i="20"/>
  <c r="J23" i="19"/>
  <c r="I34" i="20"/>
  <c r="M32" i="28"/>
  <c r="J29" i="18"/>
  <c r="N11" i="20"/>
  <c r="J59" i="28"/>
  <c r="P68" i="28"/>
  <c r="K70" i="18"/>
  <c r="N59" i="19"/>
  <c r="I11" i="28"/>
  <c r="J27" i="19"/>
  <c r="J30" i="19"/>
  <c r="K34" i="20"/>
  <c r="H32" i="20"/>
  <c r="J32" i="20"/>
  <c r="J29" i="19"/>
  <c r="L66" i="18"/>
  <c r="J55" i="28"/>
  <c r="P51" i="20"/>
  <c r="L51" i="19"/>
  <c r="M55" i="19"/>
  <c r="K71" i="18"/>
  <c r="N55" i="19"/>
  <c r="J26" i="19"/>
  <c r="J27" i="18"/>
  <c r="K35" i="20"/>
  <c r="M19" i="20"/>
  <c r="M23" i="20"/>
  <c r="J51" i="28"/>
  <c r="P55" i="20"/>
  <c r="M47" i="18"/>
  <c r="L51" i="18"/>
  <c r="L63" i="19"/>
  <c r="L55" i="19"/>
  <c r="K68" i="18"/>
  <c r="O59" i="20"/>
  <c r="I34" i="19"/>
  <c r="I35" i="19"/>
  <c r="J28" i="18"/>
  <c r="J15" i="19"/>
  <c r="J19" i="19"/>
  <c r="J28" i="19"/>
  <c r="P59" i="20"/>
  <c r="L62" i="18"/>
  <c r="L55" i="18"/>
  <c r="L64" i="19"/>
  <c r="L59" i="19"/>
  <c r="K70" i="28"/>
  <c r="O51" i="20"/>
  <c r="L15" i="20"/>
  <c r="K11" i="19"/>
  <c r="K9" i="19" s="1"/>
  <c r="M15" i="20"/>
  <c r="I35" i="18"/>
  <c r="M11" i="19"/>
  <c r="M120" i="19"/>
  <c r="M133" i="19" s="1"/>
  <c r="M116" i="19"/>
  <c r="M125" i="19" s="1"/>
  <c r="L126" i="19"/>
  <c r="L129" i="19" s="1"/>
  <c r="L118" i="19"/>
  <c r="L128" i="19" s="1"/>
  <c r="R111" i="28"/>
  <c r="Q123" i="20"/>
  <c r="M101" i="18"/>
  <c r="L117" i="19"/>
  <c r="L127" i="19" s="1"/>
  <c r="O123" i="19"/>
  <c r="P91" i="19"/>
  <c r="P99" i="19"/>
  <c r="P114" i="19"/>
  <c r="P95" i="19"/>
  <c r="P123" i="20"/>
  <c r="L45" i="18"/>
  <c r="L146" i="28"/>
  <c r="L85" i="28"/>
  <c r="L99" i="28"/>
  <c r="R99" i="28" s="1"/>
  <c r="L91" i="28"/>
  <c r="R91" i="28" s="1"/>
  <c r="L95" i="28"/>
  <c r="R95" i="28" s="1"/>
  <c r="L119" i="28"/>
  <c r="L119" i="19"/>
  <c r="L132" i="19" s="1"/>
  <c r="M123" i="19"/>
  <c r="M124" i="28"/>
  <c r="M137" i="28" s="1"/>
  <c r="M88" i="28"/>
  <c r="N83" i="28"/>
  <c r="M82" i="28"/>
  <c r="M135" i="28" s="1"/>
  <c r="M123" i="18"/>
  <c r="M82" i="19"/>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K122" i="28"/>
  <c r="K132" i="28" s="1"/>
  <c r="K143" i="28" s="1"/>
  <c r="K128" i="28"/>
  <c r="K131" i="28" s="1"/>
  <c r="M120" i="18"/>
  <c r="M133" i="18" s="1"/>
  <c r="M116" i="18"/>
  <c r="M125" i="18" s="1"/>
  <c r="L117" i="18"/>
  <c r="L127" i="18" s="1"/>
  <c r="L123" i="28"/>
  <c r="L133" i="28" s="1"/>
  <c r="M110" i="28"/>
  <c r="L45" i="19"/>
  <c r="K28" i="18" a="1"/>
  <c r="M23" i="19" a="1"/>
  <c r="K27" i="18" a="1"/>
  <c r="L68" i="19" a="1"/>
  <c r="N47" i="18" a="1"/>
  <c r="J11" i="28" a="1"/>
  <c r="I15" i="28" a="1"/>
  <c r="J34" i="28" a="1"/>
  <c r="M64" i="18" a="1"/>
  <c r="M15" i="19" a="1"/>
  <c r="L15" i="19" a="1"/>
  <c r="O51" i="19" a="1"/>
  <c r="K29" i="18" a="1"/>
  <c r="O35" i="28" a="1"/>
  <c r="P47" i="19" a="1"/>
  <c r="K26" i="18" a="1"/>
  <c r="L71" i="19" a="1"/>
  <c r="K30" i="19" a="1"/>
  <c r="N15" i="20" a="1"/>
  <c r="K29" i="19" a="1"/>
  <c r="K19" i="18" a="1"/>
  <c r="K23" i="18" a="1"/>
  <c r="K26" i="19" a="1"/>
  <c r="L48" i="28" a="1"/>
  <c r="M59" i="18" a="1"/>
  <c r="O59" i="19" a="1"/>
  <c r="M63" i="18" a="1"/>
  <c r="M65" i="18" a="1"/>
  <c r="O23" i="20" a="1"/>
  <c r="K28" i="19" a="1"/>
  <c r="I19" i="28" a="1"/>
  <c r="I32" i="18" a="1"/>
  <c r="M19" i="19" a="1"/>
  <c r="J34" i="18" a="1"/>
  <c r="L70" i="18" a="1"/>
  <c r="N23" i="20" a="1"/>
  <c r="L71" i="18" a="1"/>
  <c r="M62" i="18" a="1"/>
  <c r="N11" i="19" a="1"/>
  <c r="I23" i="28" a="1"/>
  <c r="J34" i="19" a="1"/>
  <c r="L70" i="28" a="1"/>
  <c r="K19" i="19" a="1"/>
  <c r="L23" i="19" a="1"/>
  <c r="M66" i="18" a="1"/>
  <c r="I32" i="19" a="1"/>
  <c r="N32" i="28" a="1"/>
  <c r="O19" i="20" a="1"/>
  <c r="L11" i="18" a="1"/>
  <c r="O55" i="19" a="1"/>
  <c r="N19" i="20" a="1"/>
  <c r="K15" i="18" a="1"/>
  <c r="M55" i="18" a="1"/>
  <c r="K55" i="28" a="1"/>
  <c r="K23" i="19" a="1"/>
  <c r="K30" i="18" a="1"/>
  <c r="O15" i="20" a="1"/>
  <c r="K15" i="19" a="1"/>
  <c r="L68" i="18" a="1"/>
  <c r="L70" i="19" a="1"/>
  <c r="K51" i="28" a="1"/>
  <c r="J35" i="19" a="1"/>
  <c r="K27" i="19" a="1"/>
  <c r="L19" i="19" a="1"/>
  <c r="M51" i="18" a="1"/>
  <c r="J35" i="18" a="1"/>
  <c r="K59" i="28" a="1"/>
  <c r="M136" i="28" l="1"/>
  <c r="O131" i="18"/>
  <c r="M130" i="19"/>
  <c r="R55" i="20"/>
  <c r="R11" i="20"/>
  <c r="R59" i="20"/>
  <c r="R51" i="20"/>
  <c r="M126" i="19"/>
  <c r="M129" i="19" s="1"/>
  <c r="M117" i="19"/>
  <c r="M127" i="19" s="1"/>
  <c r="M63" i="18"/>
  <c r="L70" i="18"/>
  <c r="L71" i="19"/>
  <c r="K23" i="19"/>
  <c r="I32" i="18"/>
  <c r="I15" i="28"/>
  <c r="M19" i="19"/>
  <c r="K30" i="18"/>
  <c r="M23" i="19"/>
  <c r="K30" i="19"/>
  <c r="I32" i="19"/>
  <c r="M64" i="18"/>
  <c r="K28" i="19"/>
  <c r="L15" i="19"/>
  <c r="N19" i="20"/>
  <c r="L70" i="28"/>
  <c r="M66" i="18"/>
  <c r="K55" i="28"/>
  <c r="R55" i="28" s="1"/>
  <c r="O59" i="19"/>
  <c r="K19" i="18"/>
  <c r="J35" i="18"/>
  <c r="J34" i="18"/>
  <c r="K29" i="18"/>
  <c r="L23" i="19"/>
  <c r="N47" i="18"/>
  <c r="M62" i="18"/>
  <c r="K51" i="28"/>
  <c r="R51" i="28" s="1"/>
  <c r="N15" i="20"/>
  <c r="K26" i="18"/>
  <c r="K19" i="19"/>
  <c r="L19" i="19"/>
  <c r="K26" i="19"/>
  <c r="K59" i="28"/>
  <c r="R59" i="28" s="1"/>
  <c r="O51" i="19"/>
  <c r="J34" i="28"/>
  <c r="O23" i="20"/>
  <c r="K27" i="19"/>
  <c r="N32" i="28"/>
  <c r="R32" i="28" s="1"/>
  <c r="J11" i="28"/>
  <c r="J39" i="28" s="1"/>
  <c r="K29" i="19"/>
  <c r="K23" i="18"/>
  <c r="M51" i="18"/>
  <c r="P47" i="19"/>
  <c r="R47" i="19" s="1"/>
  <c r="M65" i="18"/>
  <c r="K15" i="18"/>
  <c r="K15" i="19"/>
  <c r="J35" i="19"/>
  <c r="K27" i="18"/>
  <c r="K28" i="18"/>
  <c r="M55" i="18"/>
  <c r="L68" i="18"/>
  <c r="L68" i="19"/>
  <c r="L48" i="28"/>
  <c r="O55" i="19"/>
  <c r="L11" i="18"/>
  <c r="O15" i="20"/>
  <c r="I23" i="28"/>
  <c r="M15" i="19"/>
  <c r="N11" i="19"/>
  <c r="M59" i="18"/>
  <c r="L71" i="18"/>
  <c r="L70" i="19"/>
  <c r="N23" i="20"/>
  <c r="O19" i="20"/>
  <c r="I19" i="28"/>
  <c r="O35" i="28"/>
  <c r="R35" i="28" s="1"/>
  <c r="J34" i="19"/>
  <c r="N101" i="18"/>
  <c r="M130" i="18"/>
  <c r="L122" i="28"/>
  <c r="L132" i="28" s="1"/>
  <c r="L143" i="28" s="1"/>
  <c r="L128" i="28"/>
  <c r="L131" i="28" s="1"/>
  <c r="M123" i="28"/>
  <c r="M133" i="28" s="1"/>
  <c r="N110" i="28"/>
  <c r="M119" i="18"/>
  <c r="M132" i="18" s="1"/>
  <c r="M119" i="19"/>
  <c r="M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M45" i="18"/>
  <c r="P123" i="19"/>
  <c r="I39" i="28"/>
  <c r="R71" i="28"/>
  <c r="J32" i="18" a="1"/>
  <c r="N55" i="18" a="1"/>
  <c r="M11" i="18" a="1"/>
  <c r="L30" i="18" a="1"/>
  <c r="J19" i="28" a="1"/>
  <c r="L27" i="18" a="1"/>
  <c r="P59" i="19" a="1"/>
  <c r="O47" i="18" a="1"/>
  <c r="N63" i="18" a="1"/>
  <c r="N23" i="19" a="1"/>
  <c r="M71" i="18" a="1"/>
  <c r="M48" i="28" a="1"/>
  <c r="N15" i="19" a="1"/>
  <c r="N19" i="19" a="1"/>
  <c r="O11" i="19" a="1"/>
  <c r="L15" i="18" a="1"/>
  <c r="K35" i="19" a="1"/>
  <c r="P47" i="18" a="1"/>
  <c r="L26" i="18" a="1"/>
  <c r="L56" i="28" a="1"/>
  <c r="N65" i="18" a="1"/>
  <c r="L19" i="18" a="1"/>
  <c r="K12" i="28" a="1"/>
  <c r="N59" i="18" a="1"/>
  <c r="P51" i="19" a="1"/>
  <c r="N64" i="18" a="1"/>
  <c r="K34" i="19" a="1"/>
  <c r="J15" i="28" a="1"/>
  <c r="N62" i="18" a="1"/>
  <c r="L60" i="28" a="1"/>
  <c r="L28" i="18" a="1"/>
  <c r="K34" i="18" a="1"/>
  <c r="L23" i="18" a="1"/>
  <c r="J23" i="28" a="1"/>
  <c r="P55" i="19" a="1"/>
  <c r="M70" i="28" a="1"/>
  <c r="J32" i="19" a="1"/>
  <c r="K35" i="18" a="1"/>
  <c r="M68" i="18" a="1"/>
  <c r="N66" i="18" a="1"/>
  <c r="K34" i="28" a="1"/>
  <c r="L52" i="28" a="1"/>
  <c r="M70" i="18" a="1"/>
  <c r="N51" i="18" a="1"/>
  <c r="L29" i="18"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L30" i="18"/>
  <c r="N65" i="18"/>
  <c r="L56" i="28"/>
  <c r="N51" i="18"/>
  <c r="K12" i="28"/>
  <c r="L29" i="18"/>
  <c r="K34" i="28"/>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M19" i="18" a="1"/>
  <c r="N71" i="18" a="1"/>
  <c r="L35" i="18" a="1"/>
  <c r="M29" i="18" a="1"/>
  <c r="L34" i="28" a="1"/>
  <c r="O23" i="19" a="1"/>
  <c r="P51" i="18" a="1"/>
  <c r="L34" i="18" a="1"/>
  <c r="N48" i="28" a="1"/>
  <c r="M26" i="18" a="1"/>
  <c r="O64" i="18" a="1"/>
  <c r="O55" i="18" a="1"/>
  <c r="P65" i="18" a="1"/>
  <c r="O65" i="18" a="1"/>
  <c r="O66" i="18" a="1"/>
  <c r="M30" i="18" a="1"/>
  <c r="P62" i="18" a="1"/>
  <c r="O15" i="19" a="1"/>
  <c r="N11" i="18" a="1"/>
  <c r="K32" i="18" a="1"/>
  <c r="O19" i="19" a="1"/>
  <c r="M23" i="18" a="1"/>
  <c r="P59" i="18" a="1"/>
  <c r="M52" i="28" a="1"/>
  <c r="O59" i="18" a="1"/>
  <c r="M28" i="18" a="1"/>
  <c r="N68" i="18" a="1"/>
  <c r="P66" i="18" a="1"/>
  <c r="O11" i="18" a="1"/>
  <c r="P63" i="18" a="1"/>
  <c r="O63" i="18" a="1"/>
  <c r="M27" i="18" a="1"/>
  <c r="P55" i="18" a="1"/>
  <c r="O62" i="18" a="1"/>
  <c r="M15" i="18" a="1"/>
  <c r="M60" i="28" a="1"/>
  <c r="P64" i="18" a="1"/>
  <c r="K24" i="28" a="1"/>
  <c r="K20" i="28" a="1"/>
  <c r="O51" i="18" a="1"/>
  <c r="K16" i="28" a="1"/>
  <c r="N70" i="28" a="1"/>
  <c r="N70" i="18" a="1"/>
  <c r="M56" i="28" a="1"/>
  <c r="L12" i="2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M34" i="28" a="1"/>
  <c r="P71" i="18" a="1"/>
  <c r="N60" i="28" a="1"/>
  <c r="N56" i="28" a="1"/>
  <c r="N52" i="28" a="1"/>
  <c r="N23" i="18" a="1"/>
  <c r="O29" i="18" a="1"/>
  <c r="O48" i="28" a="1"/>
  <c r="N26" i="18" a="1"/>
  <c r="N28" i="18" a="1"/>
  <c r="M12" i="28" a="1"/>
  <c r="O19" i="18" a="1"/>
  <c r="O26" i="18" a="1"/>
  <c r="L16" i="28" a="1"/>
  <c r="N27" i="18" a="1"/>
  <c r="N30" i="18" a="1"/>
  <c r="N19" i="18" a="1"/>
  <c r="O28" i="18" a="1"/>
  <c r="N29" i="18" a="1"/>
  <c r="O27" i="18" a="1"/>
  <c r="O68" i="18" a="1"/>
  <c r="O71" i="18" a="1"/>
  <c r="P68" i="18" a="1"/>
  <c r="L32" i="18" a="1"/>
  <c r="P70" i="18" a="1"/>
  <c r="N15" i="18" a="1"/>
  <c r="O30" i="18" a="1"/>
  <c r="L24" i="28" a="1"/>
  <c r="O70" i="28" a="1"/>
  <c r="O70" i="18" a="1"/>
  <c r="O23" i="18" a="1"/>
  <c r="M34" i="18" a="1"/>
  <c r="M35" i="18" a="1"/>
  <c r="L20" i="28" a="1"/>
  <c r="O15"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P70" i="28" a="1"/>
  <c r="N34" i="18" a="1"/>
  <c r="O35" i="18" a="1"/>
  <c r="N35" i="18" a="1"/>
  <c r="P48" i="28" a="1"/>
  <c r="N34" i="28" a="1"/>
  <c r="O56" i="28" a="1"/>
  <c r="M32" i="18" a="1"/>
  <c r="O34" i="18" a="1"/>
  <c r="N12" i="28" a="1"/>
  <c r="O60" i="28" a="1"/>
  <c r="M24" i="28" a="1"/>
  <c r="N32" i="18" a="1"/>
  <c r="M20" i="28" a="1"/>
  <c r="M16" i="2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O34" i="28" a="1"/>
  <c r="P52" i="28" a="1"/>
  <c r="P56" i="28" a="1"/>
  <c r="N16" i="28" a="1"/>
  <c r="N24" i="28" a="1"/>
  <c r="P60" i="28" a="1"/>
  <c r="N20" i="28" a="1"/>
  <c r="O12"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16" i="28" a="1"/>
  <c r="O24" i="28" a="1"/>
  <c r="O20" i="28" a="1"/>
  <c r="R12" i="28" l="1"/>
  <c r="R39" i="28" s="1"/>
  <c r="O24" i="28"/>
  <c r="R24" i="28" s="1"/>
  <c r="O16" i="28"/>
  <c r="R16" i="28" s="1"/>
  <c r="O20" i="28"/>
  <c r="R20" i="28" s="1"/>
  <c r="R60" i="28"/>
  <c r="R56" i="28"/>
  <c r="Q142" i="28"/>
  <c r="Q134" i="28"/>
  <c r="L88" i="35" l="1"/>
  <c r="M110" i="35"/>
  <c r="L105" i="35"/>
  <c r="P108" i="35"/>
  <c r="O88" i="35"/>
  <c r="O108" i="35"/>
  <c r="Q108" i="35"/>
  <c r="K108" i="35"/>
  <c r="L108" i="35"/>
  <c r="L111" i="35"/>
  <c r="M108" i="35"/>
  <c r="J108" i="35"/>
  <c r="M106" i="35"/>
  <c r="J106" i="35"/>
  <c r="L106" i="35"/>
  <c r="L110" i="35"/>
  <c r="K48" i="35" a="1"/>
  <c r="L68" i="35" a="1"/>
  <c r="N48" i="35" a="1"/>
  <c r="K65" i="35" a="1"/>
  <c r="I68" i="35" a="1"/>
  <c r="P68" i="35" a="1"/>
  <c r="N68" i="35" a="1"/>
  <c r="K71" i="35" a="1"/>
  <c r="J68" i="35" a="1"/>
  <c r="L70" i="35" a="1"/>
  <c r="I66" i="35" a="1"/>
  <c r="K68" i="35" a="1"/>
  <c r="L66" i="35" a="1"/>
  <c r="K70" i="35" a="1"/>
  <c r="O68" i="35" a="1"/>
  <c r="K66" i="35" a="1"/>
  <c r="K48" i="35" l="1"/>
  <c r="L92" i="35"/>
  <c r="L100" i="35"/>
  <c r="L96" i="35"/>
  <c r="L88" i="33"/>
  <c r="M87" i="35"/>
  <c r="M86" i="35"/>
  <c r="O87" i="35"/>
  <c r="O85" i="35" s="1"/>
  <c r="J87" i="35"/>
  <c r="J91" i="35" s="1"/>
  <c r="L87" i="35"/>
  <c r="L87" i="33" s="1"/>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99" i="35"/>
  <c r="O83" i="35"/>
  <c r="O132" i="35"/>
  <c r="M116" i="35"/>
  <c r="M111" i="33"/>
  <c r="Q111" i="33"/>
  <c r="Q116" i="35"/>
  <c r="J87" i="33"/>
  <c r="P110" i="35"/>
  <c r="M108" i="33"/>
  <c r="L116" i="33"/>
  <c r="J110" i="35"/>
  <c r="L129" i="35"/>
  <c r="L145" i="33" s="1"/>
  <c r="L130" i="35"/>
  <c r="L144" i="33" s="1"/>
  <c r="L107" i="33"/>
  <c r="L113" i="35"/>
  <c r="L120" i="35" s="1"/>
  <c r="L114" i="35"/>
  <c r="L121" i="35" s="1"/>
  <c r="K106" i="35"/>
  <c r="Q110" i="35"/>
  <c r="J116" i="35"/>
  <c r="J111" i="33"/>
  <c r="R108" i="35"/>
  <c r="L116" i="35"/>
  <c r="L111" i="33"/>
  <c r="O111" i="33"/>
  <c r="O116" i="35"/>
  <c r="O100" i="35"/>
  <c r="O96" i="35"/>
  <c r="O92" i="35"/>
  <c r="I32" i="35" a="1"/>
  <c r="J35" i="35" a="1"/>
  <c r="O70" i="35" a="1"/>
  <c r="K71" i="33" a="1"/>
  <c r="K48" i="33" a="1"/>
  <c r="P66" i="35" a="1"/>
  <c r="N70" i="35" a="1"/>
  <c r="I47" i="35" a="1"/>
  <c r="P70" i="35" a="1"/>
  <c r="J12" i="35" a="1"/>
  <c r="K60" i="35" a="1"/>
  <c r="J71" i="33" a="1"/>
  <c r="J30" i="35" a="1"/>
  <c r="O71" i="33" a="1"/>
  <c r="N52" i="35" a="1"/>
  <c r="M32" i="35" a="1"/>
  <c r="I47" i="33" a="1"/>
  <c r="H32" i="35" a="1"/>
  <c r="G32" i="35" a="1"/>
  <c r="N32" i="35" a="1"/>
  <c r="P60" i="35" a="1"/>
  <c r="K47" i="33" a="1"/>
  <c r="I68" i="33" a="1"/>
  <c r="N71" i="33" a="1"/>
  <c r="K34" i="35" a="1"/>
  <c r="N60" i="35" a="1"/>
  <c r="K68" i="33" a="1"/>
  <c r="N47" i="35" a="1"/>
  <c r="J29" i="35" a="1"/>
  <c r="L68" i="33" a="1"/>
  <c r="P48" i="35" a="1"/>
  <c r="J70" i="35" a="1"/>
  <c r="I71" i="33" a="1"/>
  <c r="K47" i="35" a="1"/>
  <c r="H30" i="35" a="1"/>
  <c r="L32" i="35" a="1"/>
  <c r="L47" i="35" a="1"/>
  <c r="I51" i="35" a="1"/>
  <c r="K30" i="35" a="1"/>
  <c r="O66" i="35" a="1"/>
  <c r="N66" i="35" a="1"/>
  <c r="J66" i="35" a="1"/>
  <c r="M12" i="35" a="1"/>
  <c r="K52" i="35" a="1"/>
  <c r="J34" i="35" a="1"/>
  <c r="N56" i="35" a="1"/>
  <c r="L71" i="33" a="1"/>
  <c r="L46" i="35" a="1"/>
  <c r="K56" i="35" a="1"/>
  <c r="J32" i="35" a="1"/>
  <c r="N59" i="35" a="1"/>
  <c r="I70" i="35" a="1"/>
  <c r="P71" i="33" a="1"/>
  <c r="O87" i="33" l="1"/>
  <c r="O95" i="35"/>
  <c r="L149" i="33"/>
  <c r="J95" i="35"/>
  <c r="J99" i="35"/>
  <c r="L99" i="35"/>
  <c r="L91" i="35"/>
  <c r="O91" i="35"/>
  <c r="L83" i="35"/>
  <c r="L85" i="35"/>
  <c r="L132" i="35"/>
  <c r="L95" i="35"/>
  <c r="L46" i="35"/>
  <c r="L47" i="35"/>
  <c r="K48" i="33"/>
  <c r="K56" i="35"/>
  <c r="K60" i="35"/>
  <c r="K52" i="35"/>
  <c r="J12" i="35"/>
  <c r="M90" i="35"/>
  <c r="M98" i="35"/>
  <c r="M94" i="35"/>
  <c r="R86" i="35"/>
  <c r="M86" i="33"/>
  <c r="M91" i="35"/>
  <c r="M99" i="35"/>
  <c r="M95" i="35"/>
  <c r="M87" i="33"/>
  <c r="L96" i="33"/>
  <c r="L120" i="33"/>
  <c r="L92" i="33"/>
  <c r="L100" i="33"/>
  <c r="L151" i="33"/>
  <c r="Q92" i="35"/>
  <c r="Q96" i="35"/>
  <c r="P48" i="35"/>
  <c r="K47" i="35"/>
  <c r="K75" i="35" s="1"/>
  <c r="I47" i="35"/>
  <c r="N47" i="35"/>
  <c r="N75" i="35" s="1"/>
  <c r="Q87" i="35"/>
  <c r="Q85" i="35" s="1"/>
  <c r="P88" i="35"/>
  <c r="P92" i="35" s="1"/>
  <c r="M88" i="35"/>
  <c r="M88" i="33" s="1"/>
  <c r="P87" i="35"/>
  <c r="P99" i="35" s="1"/>
  <c r="J88" i="35"/>
  <c r="J96" i="35" s="1"/>
  <c r="K87" i="35"/>
  <c r="K99" i="35" s="1"/>
  <c r="J111" i="35"/>
  <c r="J116" i="33" s="1"/>
  <c r="O66" i="35"/>
  <c r="O71" i="33"/>
  <c r="M32" i="35"/>
  <c r="P111" i="35"/>
  <c r="P108" i="33"/>
  <c r="I47" i="33"/>
  <c r="J70" i="35"/>
  <c r="N70" i="35"/>
  <c r="I32" i="35"/>
  <c r="J32" i="35"/>
  <c r="G32" i="35"/>
  <c r="J30" i="35"/>
  <c r="N71" i="33"/>
  <c r="J66" i="35"/>
  <c r="I70" i="35"/>
  <c r="I51" i="35"/>
  <c r="N59" i="35"/>
  <c r="N66" i="35"/>
  <c r="P60" i="35"/>
  <c r="P66" i="35"/>
  <c r="J29" i="35"/>
  <c r="K34" i="35"/>
  <c r="N60" i="35"/>
  <c r="K71" i="33"/>
  <c r="K68" i="33"/>
  <c r="J35" i="35"/>
  <c r="H32" i="35"/>
  <c r="K47" i="33"/>
  <c r="L68" i="33"/>
  <c r="I68" i="33"/>
  <c r="K30" i="35"/>
  <c r="N52" i="35"/>
  <c r="P70" i="35"/>
  <c r="P71" i="33"/>
  <c r="J71" i="33"/>
  <c r="M12" i="35"/>
  <c r="H30" i="35"/>
  <c r="N56" i="35"/>
  <c r="I71" i="33"/>
  <c r="O70" i="35"/>
  <c r="L71" i="33"/>
  <c r="L32" i="35"/>
  <c r="N32" i="35"/>
  <c r="J34" i="35"/>
  <c r="K105" i="35"/>
  <c r="J99" i="33"/>
  <c r="J91" i="33"/>
  <c r="J119" i="33"/>
  <c r="J95" i="33"/>
  <c r="K115" i="33"/>
  <c r="O115" i="33"/>
  <c r="L117" i="35"/>
  <c r="L125" i="35" s="1"/>
  <c r="R68" i="35"/>
  <c r="Q105" i="35"/>
  <c r="Q129" i="35" s="1"/>
  <c r="Q145" i="33" s="1"/>
  <c r="K111" i="35"/>
  <c r="K108" i="33"/>
  <c r="J115" i="33"/>
  <c r="R110" i="35"/>
  <c r="O108" i="33"/>
  <c r="Q108" i="33"/>
  <c r="P105" i="35"/>
  <c r="O91" i="33"/>
  <c r="O95" i="33"/>
  <c r="O119" i="33"/>
  <c r="O99" i="33"/>
  <c r="R106" i="35"/>
  <c r="O111" i="35"/>
  <c r="Q111" i="35"/>
  <c r="J105" i="35"/>
  <c r="L95" i="33"/>
  <c r="L83" i="33"/>
  <c r="L124" i="33" s="1"/>
  <c r="L137" i="33" s="1"/>
  <c r="L119" i="33"/>
  <c r="L99" i="33"/>
  <c r="L91" i="33"/>
  <c r="L85" i="33"/>
  <c r="M105" i="35"/>
  <c r="M111" i="35"/>
  <c r="Q115" i="33"/>
  <c r="O105" i="35"/>
  <c r="R111" i="33"/>
  <c r="P115" i="33"/>
  <c r="K55" i="33" a="1"/>
  <c r="P52" i="35" a="1"/>
  <c r="I65" i="35" a="1"/>
  <c r="O68" i="33" a="1"/>
  <c r="K11" i="35" a="1"/>
  <c r="O59" i="35" a="1"/>
  <c r="J20" i="35" a="1"/>
  <c r="J16" i="35" a="1"/>
  <c r="I59" i="35" a="1"/>
  <c r="M23" i="35" a="1"/>
  <c r="K56" i="33" a="1"/>
  <c r="I56" i="35" a="1"/>
  <c r="L54" i="35" a="1"/>
  <c r="I55" i="35" a="1"/>
  <c r="J32" i="33" a="1"/>
  <c r="L65" i="35" a="1"/>
  <c r="O48" i="35" a="1"/>
  <c r="P71" i="35" a="1"/>
  <c r="M30" i="35" a="1"/>
  <c r="K35" i="33" a="1"/>
  <c r="J12" i="33" a="1"/>
  <c r="N68" i="33" a="1"/>
  <c r="N59" i="33" a="1"/>
  <c r="O24" i="35" a="1"/>
  <c r="O34" i="35" a="1"/>
  <c r="M20" i="35" a="1"/>
  <c r="O12" i="35" a="1"/>
  <c r="N51" i="35" a="1"/>
  <c r="L50" i="35" a="1"/>
  <c r="J47" i="35" a="1"/>
  <c r="N47" i="33" a="1"/>
  <c r="H35" i="33" a="1"/>
  <c r="I48" i="35" a="1"/>
  <c r="M35" i="33" a="1"/>
  <c r="K60" i="33" a="1"/>
  <c r="K51" i="35" a="1"/>
  <c r="N34" i="35" a="1"/>
  <c r="N35" i="33" a="1"/>
  <c r="L48" i="33" a="1"/>
  <c r="O35" i="33" a="1"/>
  <c r="G32" i="33" a="1"/>
  <c r="J24" i="35" a="1"/>
  <c r="H11" i="35" a="1"/>
  <c r="P68" i="33" a="1"/>
  <c r="N71" i="35" a="1"/>
  <c r="N55" i="33" a="1"/>
  <c r="J35" i="33" a="1"/>
  <c r="N51" i="33" a="1"/>
  <c r="K59" i="33" a="1"/>
  <c r="L55" i="35" a="1"/>
  <c r="M11" i="35" a="1"/>
  <c r="L51" i="35" a="1"/>
  <c r="H15" i="35" a="1"/>
  <c r="M16" i="35" a="1"/>
  <c r="O52" i="35" a="1"/>
  <c r="I32" i="33" a="1"/>
  <c r="L47" i="33" a="1"/>
  <c r="K52" i="33" a="1"/>
  <c r="I34" i="35" a="1"/>
  <c r="O47" i="35" a="1"/>
  <c r="O65" i="35" a="1"/>
  <c r="J11" i="35" a="1"/>
  <c r="O71" i="35" a="1"/>
  <c r="J11" i="33" a="1"/>
  <c r="H34" i="35" a="1"/>
  <c r="L71" i="35" a="1"/>
  <c r="I30" i="35" a="1"/>
  <c r="P56" i="35" a="1"/>
  <c r="K51" i="33" a="1"/>
  <c r="I51" i="33" a="1"/>
  <c r="K10" i="35" a="1"/>
  <c r="N65" i="35" a="1"/>
  <c r="O30" i="35" a="1"/>
  <c r="M34" i="35" a="1"/>
  <c r="L59" i="35" a="1"/>
  <c r="J59" i="35" a="1"/>
  <c r="I59" i="33" a="1"/>
  <c r="I55" i="33" a="1"/>
  <c r="L58" i="35" a="1"/>
  <c r="L46" i="33" a="1"/>
  <c r="N30" i="35" a="1"/>
  <c r="J71" i="35" a="1"/>
  <c r="P47" i="35" a="1"/>
  <c r="P65" i="35" a="1"/>
  <c r="M24" i="35" a="1"/>
  <c r="N55" i="35" a="1"/>
  <c r="K59" i="35" a="1"/>
  <c r="K55" i="35" a="1"/>
  <c r="J65" i="35" a="1"/>
  <c r="H11" i="33" a="1"/>
  <c r="L48" i="35" a="1"/>
  <c r="J68" i="33" a="1"/>
  <c r="I35" i="33" a="1"/>
  <c r="I71" i="35" a="1"/>
  <c r="N55" i="35" l="1"/>
  <c r="N47" i="33"/>
  <c r="I59" i="35"/>
  <c r="I55" i="35"/>
  <c r="K132" i="35"/>
  <c r="P88" i="33"/>
  <c r="K83" i="35"/>
  <c r="K85" i="35"/>
  <c r="K91" i="35"/>
  <c r="K87" i="33"/>
  <c r="K51" i="35"/>
  <c r="K59" i="35"/>
  <c r="K95" i="35"/>
  <c r="M100" i="35"/>
  <c r="N51" i="35"/>
  <c r="L122" i="33"/>
  <c r="L132" i="33" s="1"/>
  <c r="P91" i="35"/>
  <c r="M149" i="33"/>
  <c r="K55" i="35"/>
  <c r="M85" i="35"/>
  <c r="M83" i="35"/>
  <c r="L47" i="33"/>
  <c r="L50" i="35"/>
  <c r="L55" i="35"/>
  <c r="L59" i="35"/>
  <c r="J16" i="35"/>
  <c r="L51" i="35"/>
  <c r="J24" i="35"/>
  <c r="K60" i="33"/>
  <c r="L46" i="33"/>
  <c r="J20" i="35"/>
  <c r="K52" i="33"/>
  <c r="J12" i="33"/>
  <c r="L54" i="35"/>
  <c r="K11" i="35"/>
  <c r="K56" i="33"/>
  <c r="L58" i="35"/>
  <c r="K10" i="35"/>
  <c r="R10" i="35" s="1"/>
  <c r="M119" i="33"/>
  <c r="M99" i="33"/>
  <c r="M91" i="33"/>
  <c r="M95" i="33"/>
  <c r="R90" i="35"/>
  <c r="M90" i="33"/>
  <c r="M118" i="33"/>
  <c r="M94" i="33"/>
  <c r="M98" i="33"/>
  <c r="R86" i="33"/>
  <c r="M132" i="35"/>
  <c r="M96" i="35"/>
  <c r="R94" i="35"/>
  <c r="M92" i="35"/>
  <c r="R98" i="35"/>
  <c r="R46" i="35"/>
  <c r="J151" i="33"/>
  <c r="Q83" i="35"/>
  <c r="J88" i="33"/>
  <c r="J149" i="33" s="1"/>
  <c r="Q132" i="35"/>
  <c r="R88" i="35"/>
  <c r="Q95" i="35"/>
  <c r="J92" i="35"/>
  <c r="R92" i="35" s="1"/>
  <c r="Q91" i="35"/>
  <c r="J100" i="35"/>
  <c r="Q87" i="33"/>
  <c r="Q91" i="33" s="1"/>
  <c r="J132" i="35"/>
  <c r="P96" i="35"/>
  <c r="P85" i="35"/>
  <c r="Q99" i="35"/>
  <c r="R99" i="35" s="1"/>
  <c r="P56" i="35"/>
  <c r="P52" i="35"/>
  <c r="P95" i="35"/>
  <c r="P87" i="33"/>
  <c r="P95" i="33" s="1"/>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I71" i="35"/>
  <c r="O71" i="35"/>
  <c r="O68" i="33"/>
  <c r="N35" i="33"/>
  <c r="N30" i="35"/>
  <c r="P116" i="33"/>
  <c r="P151" i="33" s="1"/>
  <c r="R66" i="35"/>
  <c r="K59" i="33"/>
  <c r="N71" i="35"/>
  <c r="N51" i="33"/>
  <c r="J59" i="35"/>
  <c r="J68" i="33"/>
  <c r="H35" i="33"/>
  <c r="O34" i="35"/>
  <c r="J32" i="33"/>
  <c r="M23" i="35"/>
  <c r="J65" i="35"/>
  <c r="M20" i="35"/>
  <c r="J11" i="33"/>
  <c r="J35" i="33"/>
  <c r="H15" i="35"/>
  <c r="M34" i="35"/>
  <c r="O65" i="35"/>
  <c r="J71" i="35"/>
  <c r="L48" i="33"/>
  <c r="O52" i="35"/>
  <c r="M16" i="35"/>
  <c r="M24" i="35"/>
  <c r="H34" i="35"/>
  <c r="N65" i="35"/>
  <c r="K55" i="33"/>
  <c r="P68" i="33"/>
  <c r="I30" i="35"/>
  <c r="I34" i="35"/>
  <c r="L71" i="35"/>
  <c r="L65" i="35"/>
  <c r="N68" i="33"/>
  <c r="P65" i="35"/>
  <c r="I55" i="33"/>
  <c r="I32" i="33"/>
  <c r="M35" i="33"/>
  <c r="O59" i="35"/>
  <c r="I65" i="35"/>
  <c r="N59" i="33"/>
  <c r="K35" i="33"/>
  <c r="I35" i="33"/>
  <c r="G32" i="33"/>
  <c r="O30" i="35"/>
  <c r="H11" i="33"/>
  <c r="I56" i="35"/>
  <c r="I51" i="33"/>
  <c r="N34" i="35"/>
  <c r="O24" i="35"/>
  <c r="K51" i="33"/>
  <c r="P71" i="35"/>
  <c r="N55" i="33"/>
  <c r="I59" i="33"/>
  <c r="O35" i="33"/>
  <c r="M30" i="35"/>
  <c r="O116" i="33"/>
  <c r="O117" i="35"/>
  <c r="O125" i="35" s="1"/>
  <c r="R71" i="33"/>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107" i="33"/>
  <c r="J130" i="35"/>
  <c r="J144" i="33" s="1"/>
  <c r="J114" i="35"/>
  <c r="J121" i="35" s="1"/>
  <c r="R105" i="35"/>
  <c r="J113" i="35"/>
  <c r="J120" i="35" s="1"/>
  <c r="J129" i="35"/>
  <c r="J145" i="33" s="1"/>
  <c r="R108" i="33"/>
  <c r="K85" i="33"/>
  <c r="R111" i="35"/>
  <c r="Q116" i="33"/>
  <c r="R115" i="33"/>
  <c r="L60" i="33" a="1"/>
  <c r="H32" i="33" a="1"/>
  <c r="J15" i="33" a="1"/>
  <c r="P59" i="35" a="1"/>
  <c r="H20" i="35" a="1"/>
  <c r="J51" i="35" a="1"/>
  <c r="M19" i="33" a="1"/>
  <c r="O60" i="35" a="1"/>
  <c r="K18" i="35" a="1"/>
  <c r="N32" i="33" a="1"/>
  <c r="K14" i="35" a="1"/>
  <c r="O29" i="35" a="1"/>
  <c r="L59" i="33" a="1"/>
  <c r="H23" i="35" a="1"/>
  <c r="M15" i="35" a="1"/>
  <c r="O16" i="35" a="1"/>
  <c r="I11" i="35" a="1"/>
  <c r="L50" i="33" a="1"/>
  <c r="O60" i="33" a="1"/>
  <c r="N16" i="35" a="1"/>
  <c r="I23" i="35" a="1"/>
  <c r="K35" i="35" a="1"/>
  <c r="L51" i="33" a="1"/>
  <c r="O48" i="33" a="1"/>
  <c r="H12" i="35" a="1"/>
  <c r="J23" i="33" a="1"/>
  <c r="I35" i="35" a="1"/>
  <c r="O56" i="35" a="1"/>
  <c r="N23" i="35" a="1"/>
  <c r="L52" i="35" a="1"/>
  <c r="N12" i="35" a="1"/>
  <c r="K23" i="35" a="1"/>
  <c r="P55" i="35" a="1"/>
  <c r="I48" i="33" a="1"/>
  <c r="K10" i="33" a="1"/>
  <c r="L52" i="33" a="1"/>
  <c r="M29" i="35" a="1"/>
  <c r="K15" i="35" a="1"/>
  <c r="J23" i="35" a="1"/>
  <c r="H29" i="35" a="1"/>
  <c r="P47" i="33" a="1"/>
  <c r="O51" i="35" a="1"/>
  <c r="L55" i="33" a="1"/>
  <c r="K12" i="33" a="1"/>
  <c r="J19" i="35" a="1"/>
  <c r="J47" i="33" a="1"/>
  <c r="K29" i="35" a="1"/>
  <c r="O47" i="33" a="1"/>
  <c r="H23" i="33" a="1"/>
  <c r="M19" i="35" a="1"/>
  <c r="K11" i="33" a="1"/>
  <c r="J55" i="35" a="1"/>
  <c r="N35" i="35" a="1"/>
  <c r="K12" i="35" a="1"/>
  <c r="L54" i="33" a="1"/>
  <c r="O55" i="33" a="1"/>
  <c r="O55" i="35" a="1"/>
  <c r="O56" i="33" a="1"/>
  <c r="L56" i="35" a="1"/>
  <c r="H19" i="35" a="1"/>
  <c r="P51" i="33" a="1"/>
  <c r="M23" i="33" a="1"/>
  <c r="N11" i="35" a="1"/>
  <c r="M15" i="33" a="1"/>
  <c r="J19" i="33" a="1"/>
  <c r="I29" i="35" a="1"/>
  <c r="M35" i="35" a="1"/>
  <c r="J24" i="33" a="1"/>
  <c r="L58" i="33" a="1"/>
  <c r="H15" i="33" a="1"/>
  <c r="I52" i="35" a="1"/>
  <c r="O52" i="33" a="1"/>
  <c r="I60" i="35" a="1"/>
  <c r="O11" i="35" a="1"/>
  <c r="L56" i="33" a="1"/>
  <c r="J20" i="33" a="1"/>
  <c r="H35" i="35" a="1"/>
  <c r="P51" i="35" a="1"/>
  <c r="M11" i="33" a="1"/>
  <c r="O20" i="35" a="1"/>
  <c r="K19" i="35" a="1"/>
  <c r="J15" i="35" a="1"/>
  <c r="M32" i="33" a="1"/>
  <c r="J16" i="33" a="1"/>
  <c r="N29" i="35" a="1"/>
  <c r="L60" i="35" a="1"/>
  <c r="K22" i="35" a="1"/>
  <c r="H19" i="33" a="1"/>
  <c r="L32" i="33" a="1"/>
  <c r="O35" i="35" a="1"/>
  <c r="M11" i="33" l="1"/>
  <c r="M19" i="35"/>
  <c r="R100" i="35"/>
  <c r="P119" i="33"/>
  <c r="R96" i="35"/>
  <c r="R91" i="35"/>
  <c r="P91" i="33"/>
  <c r="J47" i="33"/>
  <c r="J75" i="33" s="1"/>
  <c r="O48" i="33"/>
  <c r="J51" i="35"/>
  <c r="H19" i="35"/>
  <c r="H23" i="35"/>
  <c r="K149" i="33"/>
  <c r="L150" i="33" s="1"/>
  <c r="K95" i="33"/>
  <c r="K119" i="33"/>
  <c r="K122" i="33" s="1"/>
  <c r="K132" i="33" s="1"/>
  <c r="K91" i="33"/>
  <c r="K83" i="33"/>
  <c r="K124" i="33" s="1"/>
  <c r="K137" i="33" s="1"/>
  <c r="K99" i="33"/>
  <c r="Q119" i="33"/>
  <c r="Q99" i="33"/>
  <c r="L60" i="35"/>
  <c r="J55" i="35"/>
  <c r="J23" i="35"/>
  <c r="J15" i="35"/>
  <c r="Q95" i="33"/>
  <c r="P99" i="33"/>
  <c r="J120" i="33"/>
  <c r="J122" i="33" s="1"/>
  <c r="J132" i="33" s="1"/>
  <c r="J92" i="33"/>
  <c r="P85" i="33"/>
  <c r="J100" i="33"/>
  <c r="P83" i="33"/>
  <c r="P124" i="33" s="1"/>
  <c r="P137" i="33" s="1"/>
  <c r="J96" i="33"/>
  <c r="R95" i="35"/>
  <c r="J39" i="33"/>
  <c r="P82" i="35"/>
  <c r="P123" i="35" s="1"/>
  <c r="O51" i="35"/>
  <c r="M15" i="35"/>
  <c r="M117" i="35"/>
  <c r="M125" i="35" s="1"/>
  <c r="J136" i="33"/>
  <c r="K136" i="33" s="1"/>
  <c r="L136" i="33" s="1"/>
  <c r="M136" i="33" s="1"/>
  <c r="J19" i="35"/>
  <c r="J83" i="33"/>
  <c r="J124" i="33" s="1"/>
  <c r="J137" i="33" s="1"/>
  <c r="K22" i="35"/>
  <c r="R22" i="35" s="1"/>
  <c r="J24" i="33"/>
  <c r="L52" i="35"/>
  <c r="L50" i="33"/>
  <c r="J20" i="33"/>
  <c r="K15" i="35"/>
  <c r="L56" i="35"/>
  <c r="L55" i="33"/>
  <c r="K18" i="35"/>
  <c r="R18" i="35" s="1"/>
  <c r="L51" i="33"/>
  <c r="K23" i="35"/>
  <c r="L59" i="33"/>
  <c r="J16" i="33"/>
  <c r="K19" i="35"/>
  <c r="L58" i="33"/>
  <c r="K14" i="35"/>
  <c r="R14" i="35" s="1"/>
  <c r="L54" i="33"/>
  <c r="K10" i="33"/>
  <c r="R10" i="33" s="1"/>
  <c r="K11" i="33"/>
  <c r="R58" i="35"/>
  <c r="R90" i="33"/>
  <c r="R54" i="35"/>
  <c r="L82" i="35"/>
  <c r="L123" i="35" s="1"/>
  <c r="R98" i="33"/>
  <c r="R50" i="35"/>
  <c r="R94" i="33"/>
  <c r="R46" i="33"/>
  <c r="R132" i="35"/>
  <c r="I60" i="35"/>
  <c r="P51" i="35"/>
  <c r="I52" i="35"/>
  <c r="P55" i="35"/>
  <c r="I48" i="33"/>
  <c r="P47" i="33"/>
  <c r="J85" i="33"/>
  <c r="O56" i="35"/>
  <c r="R87" i="33"/>
  <c r="P149" i="33"/>
  <c r="R85" i="35"/>
  <c r="P59" i="35"/>
  <c r="R59" i="35" s="1"/>
  <c r="O75" i="35"/>
  <c r="O47" i="33"/>
  <c r="O55" i="35"/>
  <c r="O16" i="35"/>
  <c r="O20" i="35"/>
  <c r="Q82" i="35"/>
  <c r="Q123" i="35" s="1"/>
  <c r="R123" i="35" s="1"/>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R68" i="33"/>
  <c r="R71" i="35"/>
  <c r="R107" i="33"/>
  <c r="R95" i="33"/>
  <c r="R34" i="35"/>
  <c r="R30" i="35"/>
  <c r="H23" i="33"/>
  <c r="I29" i="35"/>
  <c r="N23" i="35"/>
  <c r="H29" i="35"/>
  <c r="L60" i="33"/>
  <c r="H19" i="33"/>
  <c r="P51" i="33"/>
  <c r="O55" i="33"/>
  <c r="L56" i="33"/>
  <c r="O56" i="33"/>
  <c r="O29" i="35"/>
  <c r="H32" i="33"/>
  <c r="N29" i="35"/>
  <c r="O60" i="33"/>
  <c r="M19" i="33"/>
  <c r="L32" i="33"/>
  <c r="N32" i="33"/>
  <c r="N16" i="35"/>
  <c r="I23" i="35"/>
  <c r="O52" i="33"/>
  <c r="O35" i="35"/>
  <c r="K29" i="35"/>
  <c r="J19" i="33"/>
  <c r="K12" i="33"/>
  <c r="M15" i="33"/>
  <c r="J15" i="33"/>
  <c r="H15" i="33"/>
  <c r="K35" i="35"/>
  <c r="M35" i="35"/>
  <c r="H20" i="35"/>
  <c r="L52" i="33"/>
  <c r="M23" i="33"/>
  <c r="M29" i="35"/>
  <c r="I35" i="35"/>
  <c r="J23" i="33"/>
  <c r="R65" i="35"/>
  <c r="R91" i="33"/>
  <c r="L75" i="33"/>
  <c r="L82" i="33"/>
  <c r="R35" i="33"/>
  <c r="I56" i="33" a="1"/>
  <c r="I60" i="33" a="1"/>
  <c r="I52" i="33" a="1"/>
  <c r="N20" i="33" a="1"/>
  <c r="N16" i="33" a="1"/>
  <c r="K22" i="33" a="1"/>
  <c r="K24" i="33" a="1"/>
  <c r="N19" i="33" a="1"/>
  <c r="I11" i="33" a="1"/>
  <c r="N19" i="35" a="1"/>
  <c r="H12" i="33" a="1"/>
  <c r="O51" i="33" a="1"/>
  <c r="K23" i="33" a="1"/>
  <c r="J55" i="33" a="1"/>
  <c r="K19" i="33" a="1"/>
  <c r="N12" i="33" a="1"/>
  <c r="O15" i="33" a="1"/>
  <c r="O11" i="33" a="1"/>
  <c r="H16" i="35" a="1"/>
  <c r="P59" i="33" a="1"/>
  <c r="H24" i="35" a="1"/>
  <c r="N24" i="35" a="1"/>
  <c r="N11" i="33" a="1"/>
  <c r="K16" i="35" a="1"/>
  <c r="J59" i="33" a="1"/>
  <c r="J51" i="33" a="1"/>
  <c r="I19" i="35" a="1"/>
  <c r="K24" i="35" a="1"/>
  <c r="N20" i="35" a="1"/>
  <c r="O19" i="35" a="1"/>
  <c r="K16" i="33" a="1"/>
  <c r="N15" i="35" a="1"/>
  <c r="K20" i="33" a="1"/>
  <c r="I15" i="35" a="1"/>
  <c r="P55" i="33" a="1"/>
  <c r="O15" i="35" a="1"/>
  <c r="K14" i="33" a="1"/>
  <c r="K20" i="35" a="1"/>
  <c r="O59" i="33" a="1"/>
  <c r="K18" i="33" a="1"/>
  <c r="N24" i="33" a="1"/>
  <c r="O23" i="35" a="1"/>
  <c r="K15" i="33" a="1"/>
  <c r="O51" i="33" l="1"/>
  <c r="J55" i="33"/>
  <c r="J59" i="33"/>
  <c r="I15" i="35"/>
  <c r="J51" i="33"/>
  <c r="N12" i="33"/>
  <c r="I11" i="33"/>
  <c r="I39" i="33" s="1"/>
  <c r="P59" i="33"/>
  <c r="R51" i="35"/>
  <c r="O59" i="33"/>
  <c r="I52" i="33"/>
  <c r="P55" i="33"/>
  <c r="I56" i="33"/>
  <c r="I60" i="33"/>
  <c r="I19" i="35"/>
  <c r="K24" i="35"/>
  <c r="R99" i="33"/>
  <c r="K39" i="33"/>
  <c r="J82" i="33"/>
  <c r="N15" i="35"/>
  <c r="M82" i="33"/>
  <c r="M135" i="33" s="1"/>
  <c r="R82" i="35"/>
  <c r="K82" i="33"/>
  <c r="K135" i="33" s="1"/>
  <c r="R52" i="35"/>
  <c r="K19" i="33"/>
  <c r="K22" i="33"/>
  <c r="R22" i="33" s="1"/>
  <c r="K20" i="35"/>
  <c r="K23" i="33"/>
  <c r="K14" i="33"/>
  <c r="R14" i="33" s="1"/>
  <c r="K16" i="35"/>
  <c r="K15" i="33"/>
  <c r="K18" i="33"/>
  <c r="R18" i="33" s="1"/>
  <c r="R58" i="33"/>
  <c r="R56" i="35"/>
  <c r="R50" i="33"/>
  <c r="R54" i="33"/>
  <c r="R60" i="35"/>
  <c r="R47" i="33"/>
  <c r="R55" i="35"/>
  <c r="O11" i="33"/>
  <c r="H12" i="33"/>
  <c r="H39" i="33" s="1"/>
  <c r="O19" i="35"/>
  <c r="H16" i="35"/>
  <c r="O15" i="35"/>
  <c r="H24" i="35"/>
  <c r="I75" i="33"/>
  <c r="O75" i="33"/>
  <c r="N20" i="35"/>
  <c r="O23" i="35"/>
  <c r="R23" i="35" s="1"/>
  <c r="N19" i="35"/>
  <c r="N11" i="33"/>
  <c r="R75" i="35"/>
  <c r="R12" i="35"/>
  <c r="R11" i="35"/>
  <c r="N39" i="35"/>
  <c r="N24" i="35"/>
  <c r="L135" i="33"/>
  <c r="J135" i="33"/>
  <c r="R32" i="33"/>
  <c r="R35" i="35"/>
  <c r="K20" i="33"/>
  <c r="K16" i="33"/>
  <c r="N19" i="33"/>
  <c r="O15" i="33"/>
  <c r="N16" i="33"/>
  <c r="K24" i="33"/>
  <c r="N24" i="33"/>
  <c r="N20" i="33"/>
  <c r="R29" i="35"/>
  <c r="O19" i="33" a="1"/>
  <c r="H20" i="33" a="1"/>
  <c r="N15" i="33" a="1"/>
  <c r="I23" i="33" a="1"/>
  <c r="I19" i="33" a="1"/>
  <c r="H24" i="33" a="1"/>
  <c r="N23" i="33" a="1"/>
  <c r="I15" i="33" a="1"/>
  <c r="H16" i="33" a="1"/>
  <c r="O23" i="33" a="1"/>
  <c r="R15" i="35" l="1"/>
  <c r="R59" i="33"/>
  <c r="R51" i="33"/>
  <c r="R55" i="33"/>
  <c r="N15" i="33"/>
  <c r="I15" i="33"/>
  <c r="I23" i="33"/>
  <c r="I19" i="33"/>
  <c r="N39" i="33"/>
  <c r="O23" i="33"/>
  <c r="H24" i="33"/>
  <c r="H20" i="33"/>
  <c r="O19" i="33"/>
  <c r="H16" i="33"/>
  <c r="N23" i="33"/>
  <c r="R20" i="35"/>
  <c r="R16" i="35"/>
  <c r="R19" i="35"/>
  <c r="R24" i="35"/>
  <c r="R11" i="33"/>
  <c r="R39" i="35"/>
  <c r="R15" i="33" l="1"/>
  <c r="R23" i="33"/>
  <c r="R19" i="33"/>
  <c r="O104" i="34" l="1"/>
  <c r="N104" i="33" s="1"/>
  <c r="O104" i="36"/>
  <c r="N64" i="34" a="1"/>
  <c r="N64" i="36" a="1"/>
  <c r="M64" i="33" a="1"/>
  <c r="N108" i="34" l="1"/>
  <c r="N108" i="36"/>
  <c r="N105" i="34"/>
  <c r="N105" i="36"/>
  <c r="Q104" i="34"/>
  <c r="Q104" i="36"/>
  <c r="N64" i="36"/>
  <c r="N64" i="34"/>
  <c r="O105" i="34"/>
  <c r="N105" i="33" s="1"/>
  <c r="O105" i="36"/>
  <c r="O88" i="34"/>
  <c r="O96" i="34" s="1"/>
  <c r="O88" i="36"/>
  <c r="M64" i="33"/>
  <c r="L28" i="33" a="1"/>
  <c r="N56" i="34" a="1"/>
  <c r="M68" i="36" a="1"/>
  <c r="N65" i="36" a="1"/>
  <c r="N48" i="34" a="1"/>
  <c r="N48" i="36" a="1"/>
  <c r="M68" i="34" a="1"/>
  <c r="M28" i="34" a="1"/>
  <c r="M65" i="36" a="1"/>
  <c r="M28" i="36" a="1"/>
  <c r="M65" i="33" a="1"/>
  <c r="P64" i="36" a="1"/>
  <c r="P64" i="34" a="1"/>
  <c r="N65" i="34" a="1"/>
  <c r="M65" i="34" a="1"/>
  <c r="M68" i="36" l="1"/>
  <c r="M68" i="34"/>
  <c r="N106" i="34"/>
  <c r="N106" i="36"/>
  <c r="N118" i="36"/>
  <c r="N128" i="36" s="1"/>
  <c r="N111" i="34"/>
  <c r="N111" i="36"/>
  <c r="N118" i="34"/>
  <c r="N128" i="34" s="1"/>
  <c r="N110" i="33"/>
  <c r="M65" i="36"/>
  <c r="M65" i="34"/>
  <c r="N102" i="34"/>
  <c r="N102" i="36"/>
  <c r="M105" i="33"/>
  <c r="N110" i="34"/>
  <c r="N110" i="36"/>
  <c r="N88" i="34"/>
  <c r="N88" i="36"/>
  <c r="O102" i="34"/>
  <c r="O116" i="34" s="1"/>
  <c r="Q108" i="34"/>
  <c r="Q108" i="36"/>
  <c r="P64" i="36"/>
  <c r="P64" i="34"/>
  <c r="O100" i="34"/>
  <c r="P104" i="33"/>
  <c r="Q88" i="34"/>
  <c r="Q88" i="36"/>
  <c r="Q105" i="34"/>
  <c r="Q105" i="36"/>
  <c r="N48" i="36"/>
  <c r="N48" i="34"/>
  <c r="N75" i="34" s="1"/>
  <c r="N65" i="36"/>
  <c r="N65" i="34"/>
  <c r="M28" i="34"/>
  <c r="M28" i="36"/>
  <c r="O88" i="37"/>
  <c r="O92" i="36"/>
  <c r="O88" i="22"/>
  <c r="O96" i="36"/>
  <c r="O100" i="36"/>
  <c r="O115" i="36"/>
  <c r="O85" i="36"/>
  <c r="O142" i="36"/>
  <c r="O83" i="36"/>
  <c r="O85" i="34"/>
  <c r="O108" i="34"/>
  <c r="O118" i="34" s="1"/>
  <c r="O128" i="34" s="1"/>
  <c r="O108" i="36"/>
  <c r="O106" i="34"/>
  <c r="N106" i="33" s="1"/>
  <c r="O106" i="36"/>
  <c r="O142" i="34"/>
  <c r="O88" i="33"/>
  <c r="O120" i="33" s="1"/>
  <c r="O122" i="33" s="1"/>
  <c r="O132" i="33" s="1"/>
  <c r="O83" i="34"/>
  <c r="O115" i="34"/>
  <c r="O124" i="34" s="1"/>
  <c r="O111" i="34"/>
  <c r="O111" i="36"/>
  <c r="O92" i="34"/>
  <c r="N56" i="34"/>
  <c r="M65" i="33"/>
  <c r="L28" i="33"/>
  <c r="M62" i="36" a="1"/>
  <c r="N48" i="33" a="1"/>
  <c r="M66" i="34" a="1"/>
  <c r="M29" i="36" a="1"/>
  <c r="N71" i="36" a="1"/>
  <c r="P68" i="36" a="1"/>
  <c r="L65" i="33" a="1"/>
  <c r="M62" i="34" a="1"/>
  <c r="M48" i="36" a="1"/>
  <c r="N66" i="34" a="1"/>
  <c r="N68" i="36" a="1"/>
  <c r="K32" i="36" a="1"/>
  <c r="P48" i="34" a="1"/>
  <c r="O64" i="33" a="1"/>
  <c r="O28" i="36" a="1"/>
  <c r="N52" i="34" a="1"/>
  <c r="M20" i="34" a="1"/>
  <c r="M71" i="34" a="1"/>
  <c r="M66" i="33" a="1"/>
  <c r="L29" i="33" a="1"/>
  <c r="N60" i="34" a="1"/>
  <c r="M29" i="34" a="1"/>
  <c r="M12" i="36" a="1"/>
  <c r="M12" i="34" a="1"/>
  <c r="K32" i="34" a="1"/>
  <c r="M71" i="36" a="1"/>
  <c r="N60" i="36" a="1"/>
  <c r="N66" i="36" a="1"/>
  <c r="O28" i="34" a="1"/>
  <c r="P68" i="34" a="1"/>
  <c r="P48" i="36" a="1"/>
  <c r="M70" i="34" a="1"/>
  <c r="N48" i="22" a="1"/>
  <c r="N56" i="36" a="1"/>
  <c r="M66" i="36" a="1"/>
  <c r="N48" i="37" a="1"/>
  <c r="M70" i="36" a="1"/>
  <c r="M48" i="34" a="1"/>
  <c r="N68" i="34" a="1"/>
  <c r="N62" i="34" a="1"/>
  <c r="N52" i="36" a="1"/>
  <c r="M70" i="33" a="1"/>
  <c r="P65" i="36" a="1"/>
  <c r="L29" i="34" a="1"/>
  <c r="L29" i="36" a="1"/>
  <c r="N71" i="34" a="1"/>
  <c r="P65" i="34" a="1"/>
  <c r="M71" i="34" l="1"/>
  <c r="M66" i="36"/>
  <c r="M70" i="33"/>
  <c r="M66" i="34"/>
  <c r="K32" i="34"/>
  <c r="M71" i="36"/>
  <c r="K32" i="36"/>
  <c r="N114" i="33"/>
  <c r="N123" i="33"/>
  <c r="N133" i="33" s="1"/>
  <c r="M106" i="33"/>
  <c r="R88" i="36"/>
  <c r="R142" i="36" s="1"/>
  <c r="M70" i="36"/>
  <c r="M70" i="34"/>
  <c r="L65" i="33"/>
  <c r="M48" i="36"/>
  <c r="M62" i="36"/>
  <c r="M48" i="34"/>
  <c r="M62" i="34"/>
  <c r="L29" i="34"/>
  <c r="L29" i="36"/>
  <c r="N113" i="33"/>
  <c r="N83" i="36"/>
  <c r="N115" i="36"/>
  <c r="N85" i="36"/>
  <c r="N88" i="22"/>
  <c r="N92" i="36"/>
  <c r="N142" i="36"/>
  <c r="N96" i="36"/>
  <c r="N88" i="20"/>
  <c r="N100" i="36"/>
  <c r="N88" i="19"/>
  <c r="N88" i="37"/>
  <c r="N131" i="36"/>
  <c r="O131" i="36" s="1"/>
  <c r="P131" i="36" s="1"/>
  <c r="Q131" i="36" s="1"/>
  <c r="R131" i="36" s="1"/>
  <c r="N120" i="36"/>
  <c r="N133" i="36" s="1"/>
  <c r="N116" i="36"/>
  <c r="N125" i="36" s="1"/>
  <c r="N103" i="36"/>
  <c r="N92" i="34"/>
  <c r="N96" i="34"/>
  <c r="N100" i="34"/>
  <c r="N115" i="34"/>
  <c r="N142" i="34"/>
  <c r="N83" i="34"/>
  <c r="N85" i="34"/>
  <c r="N131" i="34"/>
  <c r="O131" i="34" s="1"/>
  <c r="P131" i="34" s="1"/>
  <c r="N88" i="33"/>
  <c r="N116" i="34"/>
  <c r="N125" i="34" s="1"/>
  <c r="N130" i="33" s="1"/>
  <c r="N120" i="34"/>
  <c r="N133" i="34" s="1"/>
  <c r="N103" i="34"/>
  <c r="M102" i="33"/>
  <c r="P82" i="34"/>
  <c r="P130" i="34" s="1"/>
  <c r="N104" i="34"/>
  <c r="N104" i="36"/>
  <c r="N104" i="19" s="1"/>
  <c r="O102" i="36"/>
  <c r="P68" i="36"/>
  <c r="P68" i="34"/>
  <c r="Q118" i="36"/>
  <c r="Q128" i="36" s="1"/>
  <c r="Q118" i="34"/>
  <c r="Q128" i="34" s="1"/>
  <c r="Q110" i="33"/>
  <c r="Q111" i="34"/>
  <c r="Q111" i="36"/>
  <c r="R111" i="36" s="1"/>
  <c r="Q106" i="34"/>
  <c r="R106" i="34" s="1"/>
  <c r="Q106" i="33" s="1"/>
  <c r="Q106" i="36"/>
  <c r="O64" i="33"/>
  <c r="P65" i="36"/>
  <c r="R65" i="36" s="1"/>
  <c r="P48" i="34"/>
  <c r="P65" i="34"/>
  <c r="N60" i="34"/>
  <c r="O28" i="34"/>
  <c r="P48" i="36"/>
  <c r="O28" i="36"/>
  <c r="Q102" i="34"/>
  <c r="Q102" i="36"/>
  <c r="Q110" i="34"/>
  <c r="Q110" i="36"/>
  <c r="Q96" i="34"/>
  <c r="Q83" i="34"/>
  <c r="Q115" i="34"/>
  <c r="Q92" i="34"/>
  <c r="Q142" i="34"/>
  <c r="Q100" i="34"/>
  <c r="Q85" i="34"/>
  <c r="Q88" i="33"/>
  <c r="R88" i="34"/>
  <c r="R142" i="34" s="1"/>
  <c r="P105" i="33"/>
  <c r="R105" i="34"/>
  <c r="Q105" i="33" s="1"/>
  <c r="R105" i="36"/>
  <c r="R92" i="34"/>
  <c r="O110" i="34"/>
  <c r="O110" i="36"/>
  <c r="Q131" i="34"/>
  <c r="R131" i="34" s="1"/>
  <c r="Q96" i="36"/>
  <c r="Q88" i="37"/>
  <c r="Q115" i="36"/>
  <c r="Q142" i="36"/>
  <c r="Q92" i="36"/>
  <c r="Q83" i="36"/>
  <c r="Q82" i="36" s="1"/>
  <c r="Q100" i="36"/>
  <c r="R100" i="36" s="1"/>
  <c r="Q85" i="36"/>
  <c r="R85" i="36" s="1"/>
  <c r="Q88" i="22"/>
  <c r="O100" i="33"/>
  <c r="O149" i="33"/>
  <c r="R108" i="34"/>
  <c r="O110" i="33"/>
  <c r="O123" i="33" s="1"/>
  <c r="O133" i="33" s="1"/>
  <c r="N48" i="33"/>
  <c r="N75" i="33" s="1"/>
  <c r="N52" i="34"/>
  <c r="N66" i="36"/>
  <c r="N60" i="36"/>
  <c r="N71" i="36"/>
  <c r="N66" i="34"/>
  <c r="N56" i="36"/>
  <c r="M29" i="34"/>
  <c r="N71" i="34"/>
  <c r="N48" i="22"/>
  <c r="M29" i="36"/>
  <c r="N68" i="36"/>
  <c r="N68" i="34"/>
  <c r="N52" i="36"/>
  <c r="M12" i="34"/>
  <c r="M39" i="34" s="1"/>
  <c r="N62" i="34"/>
  <c r="N48" i="37"/>
  <c r="M12" i="36"/>
  <c r="O125" i="34"/>
  <c r="O130" i="33" s="1"/>
  <c r="O117" i="34"/>
  <c r="O127" i="34" s="1"/>
  <c r="O138" i="34" s="1"/>
  <c r="O143" i="33" s="1"/>
  <c r="O83" i="33"/>
  <c r="O124" i="36"/>
  <c r="O85" i="33"/>
  <c r="R106" i="36"/>
  <c r="O103" i="34"/>
  <c r="N103" i="33" s="1"/>
  <c r="R96" i="36"/>
  <c r="O119" i="36"/>
  <c r="O132" i="36" s="1"/>
  <c r="O82" i="36"/>
  <c r="O130" i="36" s="1"/>
  <c r="P82" i="36"/>
  <c r="P130" i="36" s="1"/>
  <c r="R83" i="36"/>
  <c r="O96" i="22"/>
  <c r="O92" i="22"/>
  <c r="O85" i="22"/>
  <c r="O100" i="22"/>
  <c r="O115" i="22"/>
  <c r="O83" i="22"/>
  <c r="O111" i="22" s="1"/>
  <c r="R88" i="22"/>
  <c r="O120" i="34"/>
  <c r="O133" i="34" s="1"/>
  <c r="R102" i="34"/>
  <c r="Q102" i="33" s="1"/>
  <c r="O118" i="36"/>
  <c r="O128" i="36" s="1"/>
  <c r="R108" i="36"/>
  <c r="O82" i="34"/>
  <c r="O130" i="34" s="1"/>
  <c r="R111" i="34"/>
  <c r="O96" i="33"/>
  <c r="R92" i="36"/>
  <c r="R83" i="34"/>
  <c r="O119" i="34"/>
  <c r="O132" i="34" s="1"/>
  <c r="N102" i="33"/>
  <c r="N121" i="33" s="1"/>
  <c r="O114" i="33"/>
  <c r="O92" i="33"/>
  <c r="O120" i="36"/>
  <c r="O133" i="36" s="1"/>
  <c r="O103" i="36"/>
  <c r="O116" i="36"/>
  <c r="O125" i="36" s="1"/>
  <c r="R102" i="36"/>
  <c r="O96" i="37"/>
  <c r="O92" i="37"/>
  <c r="O100" i="37"/>
  <c r="O115" i="37"/>
  <c r="O85" i="37"/>
  <c r="O83" i="37"/>
  <c r="O111" i="37" s="1"/>
  <c r="R88" i="37"/>
  <c r="N75" i="36"/>
  <c r="M20" i="34"/>
  <c r="M66" i="33"/>
  <c r="L29" i="33"/>
  <c r="R110" i="33"/>
  <c r="O129" i="33"/>
  <c r="Q121" i="33"/>
  <c r="Q125" i="33"/>
  <c r="Q138" i="33" s="1"/>
  <c r="N32" i="36" a="1"/>
  <c r="N32" i="34" a="1"/>
  <c r="O12" i="34" a="1"/>
  <c r="P66" i="36" a="1"/>
  <c r="M30" i="34" a="1"/>
  <c r="N56" i="33" a="1"/>
  <c r="L26" i="36" a="1"/>
  <c r="M62" i="33" a="1"/>
  <c r="P71" i="36" a="1"/>
  <c r="M48" i="20" a="1"/>
  <c r="M56" i="36" a="1"/>
  <c r="P62" i="33" a="1"/>
  <c r="M52" i="34" a="1"/>
  <c r="M24" i="34" a="1"/>
  <c r="M35" i="36" a="1"/>
  <c r="P48" i="22" a="1"/>
  <c r="P60" i="36" a="1"/>
  <c r="N52" i="22" a="1"/>
  <c r="L32" i="36" a="1"/>
  <c r="O29" i="34" a="1"/>
  <c r="M35" i="34" a="1"/>
  <c r="P71" i="34" a="1"/>
  <c r="P62" i="36" a="1"/>
  <c r="L26" i="34" a="1"/>
  <c r="M56" i="34" a="1"/>
  <c r="L66" i="33" a="1"/>
  <c r="M12" i="22" a="1"/>
  <c r="N70" i="34" a="1"/>
  <c r="L35" i="34" a="1"/>
  <c r="M12" i="33" a="1"/>
  <c r="N71" i="22" a="1"/>
  <c r="O29" i="36" a="1"/>
  <c r="N56" i="37" a="1"/>
  <c r="M60" i="36" a="1"/>
  <c r="N70" i="36" a="1"/>
  <c r="M48" i="33" a="1"/>
  <c r="L30" i="33" a="1"/>
  <c r="L12" i="36" a="1"/>
  <c r="P48" i="37" a="1"/>
  <c r="P70" i="36" a="1"/>
  <c r="L12" i="34" a="1"/>
  <c r="M64" i="19" a="1"/>
  <c r="K29" i="33" a="1"/>
  <c r="P70" i="34" a="1"/>
  <c r="M63" i="34" a="1"/>
  <c r="M60" i="34" a="1"/>
  <c r="P56" i="36" a="1"/>
  <c r="M20" i="36" a="1"/>
  <c r="L35" i="36" a="1"/>
  <c r="M12" i="37" a="1"/>
  <c r="M30" i="36" a="1"/>
  <c r="N70" i="33" a="1"/>
  <c r="M48" i="22" a="1"/>
  <c r="L32" i="34" a="1"/>
  <c r="O65" i="33" a="1"/>
  <c r="L30" i="34" a="1"/>
  <c r="M16" i="34" a="1"/>
  <c r="L34" i="33" a="1"/>
  <c r="L62" i="33" a="1"/>
  <c r="N52" i="37" a="1"/>
  <c r="M63" i="33" a="1"/>
  <c r="N60" i="37" a="1"/>
  <c r="M26" i="34" a="1"/>
  <c r="M63" i="36" a="1"/>
  <c r="P48" i="33" a="1"/>
  <c r="N60" i="22" a="1"/>
  <c r="N60" i="33" a="1"/>
  <c r="N28" i="33" a="1"/>
  <c r="P56" i="34" a="1"/>
  <c r="O12" i="36" a="1"/>
  <c r="L34" i="36" a="1"/>
  <c r="P52" i="34" a="1"/>
  <c r="P70" i="33" a="1"/>
  <c r="M24" i="36" a="1"/>
  <c r="M52" i="36" a="1"/>
  <c r="N52" i="33" a="1"/>
  <c r="M48" i="19" a="1"/>
  <c r="M64" i="36" a="1"/>
  <c r="L34" i="34" a="1"/>
  <c r="P65" i="33" a="1"/>
  <c r="P60" i="34" a="1"/>
  <c r="N63" i="36" a="1"/>
  <c r="M48" i="37" a="1"/>
  <c r="P66" i="33" a="1"/>
  <c r="M64" i="34" a="1"/>
  <c r="N63" i="34" a="1"/>
  <c r="N56" i="22" a="1"/>
  <c r="P62" i="34" a="1"/>
  <c r="N71" i="37" a="1"/>
  <c r="P52" i="36" a="1"/>
  <c r="L30" i="36" a="1"/>
  <c r="N62" i="36" a="1"/>
  <c r="P66" i="34" a="1"/>
  <c r="M16" i="36" a="1"/>
  <c r="N125" i="33" l="1"/>
  <c r="N138" i="33" s="1"/>
  <c r="R48" i="36"/>
  <c r="R75" i="36" s="1"/>
  <c r="L35" i="36"/>
  <c r="L30" i="34"/>
  <c r="L34" i="33"/>
  <c r="L66" i="33"/>
  <c r="L30" i="36"/>
  <c r="L35" i="34"/>
  <c r="N103" i="20"/>
  <c r="N151" i="33"/>
  <c r="R85" i="34"/>
  <c r="N102" i="20"/>
  <c r="R88" i="33"/>
  <c r="L62" i="33"/>
  <c r="M48" i="37"/>
  <c r="M63" i="34"/>
  <c r="M64" i="19"/>
  <c r="M48" i="19"/>
  <c r="L26" i="34"/>
  <c r="M60" i="34"/>
  <c r="M60" i="36"/>
  <c r="L12" i="34"/>
  <c r="L39" i="34" s="1"/>
  <c r="M56" i="34"/>
  <c r="M48" i="20"/>
  <c r="L26" i="36"/>
  <c r="M64" i="36"/>
  <c r="M48" i="33"/>
  <c r="M52" i="34"/>
  <c r="M56" i="36"/>
  <c r="L12" i="36"/>
  <c r="L39" i="36" s="1"/>
  <c r="M64" i="34"/>
  <c r="M63" i="36"/>
  <c r="K29" i="33"/>
  <c r="M52" i="36"/>
  <c r="L34" i="34"/>
  <c r="M48" i="22"/>
  <c r="L34" i="36"/>
  <c r="M125" i="33"/>
  <c r="M138" i="33" s="1"/>
  <c r="M121" i="33"/>
  <c r="M122" i="33" s="1"/>
  <c r="M132" i="33" s="1"/>
  <c r="N100" i="37"/>
  <c r="N115" i="37"/>
  <c r="N131" i="37"/>
  <c r="O131" i="37" s="1"/>
  <c r="P131" i="37" s="1"/>
  <c r="Q131" i="37" s="1"/>
  <c r="R131" i="37" s="1"/>
  <c r="N92" i="37"/>
  <c r="N96" i="37"/>
  <c r="N83" i="37"/>
  <c r="N85" i="37"/>
  <c r="M103" i="33"/>
  <c r="N124" i="34"/>
  <c r="N117" i="34"/>
  <c r="N127" i="34" s="1"/>
  <c r="N138" i="34" s="1"/>
  <c r="N143" i="33" s="1"/>
  <c r="N102" i="19"/>
  <c r="N131" i="19"/>
  <c r="N100" i="19"/>
  <c r="N115" i="19"/>
  <c r="N96" i="19"/>
  <c r="N92" i="19"/>
  <c r="N85" i="19"/>
  <c r="N83" i="19"/>
  <c r="O88" i="19"/>
  <c r="N124" i="36"/>
  <c r="N126" i="36" s="1"/>
  <c r="N117" i="36"/>
  <c r="N127" i="36" s="1"/>
  <c r="N138" i="36" s="1"/>
  <c r="N103" i="19"/>
  <c r="N119" i="36"/>
  <c r="N132" i="36" s="1"/>
  <c r="N82" i="36"/>
  <c r="N130" i="36" s="1"/>
  <c r="M75" i="34"/>
  <c r="N120" i="20"/>
  <c r="N133" i="20" s="1"/>
  <c r="N104" i="20"/>
  <c r="N131" i="20"/>
  <c r="N92" i="20"/>
  <c r="N115" i="20"/>
  <c r="N100" i="20"/>
  <c r="N96" i="20"/>
  <c r="N83" i="20"/>
  <c r="N111" i="20" s="1"/>
  <c r="N85" i="20"/>
  <c r="O88" i="20"/>
  <c r="N105" i="20"/>
  <c r="N116" i="20" s="1"/>
  <c r="N125" i="20" s="1"/>
  <c r="R104" i="36"/>
  <c r="N149" i="33"/>
  <c r="N120" i="33"/>
  <c r="N122" i="33" s="1"/>
  <c r="N132" i="33" s="1"/>
  <c r="N96" i="33"/>
  <c r="N83" i="33"/>
  <c r="O82" i="33" s="1"/>
  <c r="O135" i="33" s="1"/>
  <c r="N92" i="33"/>
  <c r="N100" i="33"/>
  <c r="N85" i="33"/>
  <c r="N136" i="33"/>
  <c r="O136" i="33" s="1"/>
  <c r="P136" i="33" s="1"/>
  <c r="Q136" i="33" s="1"/>
  <c r="R136" i="33" s="1"/>
  <c r="N105" i="19"/>
  <c r="M75" i="36"/>
  <c r="N101" i="34"/>
  <c r="M104" i="33"/>
  <c r="R104" i="34"/>
  <c r="Q104" i="33" s="1"/>
  <c r="N103" i="22"/>
  <c r="N103" i="37"/>
  <c r="N105" i="22"/>
  <c r="N102" i="37"/>
  <c r="N104" i="37"/>
  <c r="N105" i="37"/>
  <c r="N102" i="22"/>
  <c r="N101" i="36"/>
  <c r="N104" i="22"/>
  <c r="N106" i="20"/>
  <c r="N106" i="19"/>
  <c r="N119" i="34"/>
  <c r="N132" i="34" s="1"/>
  <c r="N82" i="34"/>
  <c r="N130" i="34" s="1"/>
  <c r="N131" i="22"/>
  <c r="O131" i="22" s="1"/>
  <c r="P131" i="22" s="1"/>
  <c r="Q131" i="22" s="1"/>
  <c r="R131" i="22" s="1"/>
  <c r="N85" i="22"/>
  <c r="N96" i="22"/>
  <c r="N83" i="22"/>
  <c r="N115" i="22"/>
  <c r="N100" i="22"/>
  <c r="N92" i="22"/>
  <c r="R68" i="34"/>
  <c r="N62" i="36"/>
  <c r="P66" i="34"/>
  <c r="R66" i="34" s="1"/>
  <c r="P71" i="36"/>
  <c r="R71" i="36" s="1"/>
  <c r="P71" i="34"/>
  <c r="R71" i="34" s="1"/>
  <c r="P70" i="33"/>
  <c r="N32" i="34"/>
  <c r="P66" i="36"/>
  <c r="R66" i="36" s="1"/>
  <c r="N32" i="36"/>
  <c r="P106" i="33"/>
  <c r="Q114" i="33"/>
  <c r="Q123" i="33"/>
  <c r="Q133" i="33" s="1"/>
  <c r="N70" i="34"/>
  <c r="P56" i="34"/>
  <c r="O12" i="36"/>
  <c r="O39" i="36" s="1"/>
  <c r="P48" i="37"/>
  <c r="P70" i="34"/>
  <c r="M24" i="34"/>
  <c r="P48" i="22"/>
  <c r="P56" i="36"/>
  <c r="P60" i="34"/>
  <c r="O29" i="34"/>
  <c r="R29" i="34" s="1"/>
  <c r="P62" i="36"/>
  <c r="O12" i="34"/>
  <c r="P48" i="33"/>
  <c r="P60" i="36"/>
  <c r="P52" i="34"/>
  <c r="P62" i="34"/>
  <c r="O29" i="36"/>
  <c r="R29" i="36" s="1"/>
  <c r="P65" i="33"/>
  <c r="N28" i="33"/>
  <c r="P70" i="36"/>
  <c r="P52" i="36"/>
  <c r="N70" i="36"/>
  <c r="O65" i="33"/>
  <c r="O113" i="33"/>
  <c r="R110" i="34"/>
  <c r="R96" i="34"/>
  <c r="P75" i="36"/>
  <c r="Q124" i="36"/>
  <c r="Q96" i="37"/>
  <c r="Q92" i="37"/>
  <c r="Q85" i="37"/>
  <c r="R85" i="37" s="1"/>
  <c r="R132" i="37" s="1"/>
  <c r="Q100" i="37"/>
  <c r="Q115" i="37"/>
  <c r="Q83" i="37"/>
  <c r="Q110" i="37" s="1"/>
  <c r="Q113" i="33"/>
  <c r="Q151" i="33" s="1"/>
  <c r="Q85" i="22"/>
  <c r="Q92" i="22"/>
  <c r="Q100" i="22"/>
  <c r="Q96" i="22"/>
  <c r="Q115" i="22"/>
  <c r="Q83" i="22"/>
  <c r="R100" i="34"/>
  <c r="Q120" i="36"/>
  <c r="Q133" i="36" s="1"/>
  <c r="Q116" i="36"/>
  <c r="Q125" i="36" s="1"/>
  <c r="Q103" i="36"/>
  <c r="P75" i="34"/>
  <c r="R48" i="34"/>
  <c r="R75" i="34" s="1"/>
  <c r="Q120" i="33"/>
  <c r="Q122" i="33" s="1"/>
  <c r="Q132" i="33" s="1"/>
  <c r="Q100" i="33"/>
  <c r="Q92" i="33"/>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R65" i="34"/>
  <c r="R110" i="36"/>
  <c r="R105" i="33"/>
  <c r="Q119" i="34"/>
  <c r="Q132" i="34" s="1"/>
  <c r="Q82" i="34"/>
  <c r="O101" i="34"/>
  <c r="N60" i="33"/>
  <c r="R114" i="33"/>
  <c r="O151" i="33"/>
  <c r="O108" i="22"/>
  <c r="O118" i="22" s="1"/>
  <c r="O128" i="22" s="1"/>
  <c r="P66" i="33"/>
  <c r="N70" i="33"/>
  <c r="O124" i="33"/>
  <c r="O137" i="33" s="1"/>
  <c r="N71" i="37"/>
  <c r="N71" i="22"/>
  <c r="N60" i="37"/>
  <c r="N63" i="36"/>
  <c r="M35" i="34"/>
  <c r="M16" i="34"/>
  <c r="N52" i="37"/>
  <c r="P62" i="33"/>
  <c r="N52" i="22"/>
  <c r="M26" i="34"/>
  <c r="N56" i="37"/>
  <c r="N52" i="33"/>
  <c r="N56" i="33"/>
  <c r="N56" i="22"/>
  <c r="M20" i="36"/>
  <c r="M16" i="36"/>
  <c r="M12" i="33"/>
  <c r="M62" i="33"/>
  <c r="L32" i="34"/>
  <c r="M30" i="34"/>
  <c r="N63" i="34"/>
  <c r="L32" i="36"/>
  <c r="M35" i="36"/>
  <c r="M12" i="37"/>
  <c r="M24" i="36"/>
  <c r="N60" i="22"/>
  <c r="M12" i="22"/>
  <c r="M30" i="36"/>
  <c r="R100" i="37"/>
  <c r="O105" i="37"/>
  <c r="O102" i="37"/>
  <c r="O102" i="22"/>
  <c r="O104" i="22"/>
  <c r="O104" i="37"/>
  <c r="O101" i="36"/>
  <c r="O105" i="22"/>
  <c r="O103" i="37"/>
  <c r="R103" i="36"/>
  <c r="O103" i="22"/>
  <c r="O103" i="20"/>
  <c r="O103" i="19"/>
  <c r="O106" i="22"/>
  <c r="R92" i="37"/>
  <c r="R92" i="22"/>
  <c r="R96" i="22"/>
  <c r="O106" i="37"/>
  <c r="O117" i="36"/>
  <c r="O127" i="36" s="1"/>
  <c r="O138" i="36" s="1"/>
  <c r="O84" i="37"/>
  <c r="O110" i="37"/>
  <c r="O84" i="22"/>
  <c r="O110" i="22"/>
  <c r="O126" i="36"/>
  <c r="M39" i="36"/>
  <c r="R68" i="36"/>
  <c r="O124" i="22"/>
  <c r="Q130" i="36"/>
  <c r="R130" i="36" s="1"/>
  <c r="R82" i="36"/>
  <c r="N45" i="37"/>
  <c r="O124" i="37"/>
  <c r="O108" i="37"/>
  <c r="R100" i="22"/>
  <c r="N45" i="22"/>
  <c r="M63" i="33"/>
  <c r="L30" i="33"/>
  <c r="O142" i="33"/>
  <c r="O134" i="33"/>
  <c r="N101" i="33"/>
  <c r="O129" i="34"/>
  <c r="O137" i="34"/>
  <c r="P70" i="37" a="1"/>
  <c r="N68" i="37" a="1"/>
  <c r="L28" i="34" a="1"/>
  <c r="M65" i="37" a="1"/>
  <c r="M65" i="19" a="1"/>
  <c r="M20" i="33" a="1"/>
  <c r="K26" i="33" a="1"/>
  <c r="N64" i="22" a="1"/>
  <c r="M34" i="36" a="1"/>
  <c r="M16" i="37" a="1"/>
  <c r="O30" i="34" a="1"/>
  <c r="L64" i="33" a="1"/>
  <c r="N64" i="37" a="1"/>
  <c r="M60" i="22" a="1"/>
  <c r="L12" i="37" a="1"/>
  <c r="M71" i="20" a="1"/>
  <c r="M20" i="22" a="1"/>
  <c r="M16" i="22" a="1"/>
  <c r="M64" i="20" a="1"/>
  <c r="M34" i="33" a="1"/>
  <c r="N62" i="22" a="1"/>
  <c r="M60" i="33" a="1"/>
  <c r="M20" i="37" a="1"/>
  <c r="M56" i="19" a="1"/>
  <c r="L20" i="36" a="1"/>
  <c r="O16" i="36" a="1"/>
  <c r="L12" i="22" a="1"/>
  <c r="P60" i="37" a="1"/>
  <c r="L26" i="33" a="1"/>
  <c r="M24" i="22" a="1"/>
  <c r="M52" i="37" a="1"/>
  <c r="M56" i="37" a="1"/>
  <c r="K30" i="33" a="1"/>
  <c r="N62" i="37" a="1"/>
  <c r="O20" i="36" a="1"/>
  <c r="L27" i="33" a="1"/>
  <c r="O26" i="34" a="1"/>
  <c r="M60" i="37" a="1"/>
  <c r="O26" i="33" a="1"/>
  <c r="N65" i="22" a="1"/>
  <c r="O62" i="33" a="1"/>
  <c r="L24" i="36" a="1"/>
  <c r="M35" i="22" a="1"/>
  <c r="P63" i="34" a="1"/>
  <c r="L12" i="19" a="1"/>
  <c r="N48" i="20" a="1"/>
  <c r="M63" i="37" a="1"/>
  <c r="M56" i="20" a="1"/>
  <c r="P60" i="22" a="1"/>
  <c r="M64" i="37" a="1"/>
  <c r="O29" i="33" a="1"/>
  <c r="O30" i="36" a="1"/>
  <c r="N66" i="37" a="1"/>
  <c r="M62" i="19" a="1"/>
  <c r="M60" i="19" a="1"/>
  <c r="M56" i="22" a="1"/>
  <c r="N48" i="19" a="1"/>
  <c r="O12" i="37" a="1"/>
  <c r="O24" i="36" a="1"/>
  <c r="M16" i="33" a="1"/>
  <c r="N63" i="22" a="1"/>
  <c r="N65" i="37" a="1"/>
  <c r="M24" i="33" a="1"/>
  <c r="N70" i="37" a="1"/>
  <c r="L63" i="33" a="1"/>
  <c r="M52" i="20" a="1"/>
  <c r="M63" i="22" a="1"/>
  <c r="P64" i="33" a="1"/>
  <c r="N63" i="20" a="1"/>
  <c r="L20" i="34" a="1"/>
  <c r="L24" i="34" a="1"/>
  <c r="N68" i="22" a="1"/>
  <c r="L27" i="36" a="1"/>
  <c r="L28" i="36" a="1"/>
  <c r="O16" i="34" a="1"/>
  <c r="P60" i="33" a="1"/>
  <c r="M26" i="36" a="1"/>
  <c r="M66" i="19" a="1"/>
  <c r="O34" i="34" a="1"/>
  <c r="N29" i="33" a="1"/>
  <c r="P52" i="37" a="1"/>
  <c r="M27" i="36" a="1"/>
  <c r="P63" i="33" a="1"/>
  <c r="M62" i="37" a="1"/>
  <c r="O35" i="36" a="1"/>
  <c r="O34" i="33" a="1"/>
  <c r="P56" i="22" a="1"/>
  <c r="L28" i="19" a="1"/>
  <c r="L12" i="33" a="1"/>
  <c r="L12" i="20" a="1"/>
  <c r="M63" i="20" a="1"/>
  <c r="O24" i="34" a="1"/>
  <c r="M56" i="33" a="1"/>
  <c r="O34" i="36" a="1"/>
  <c r="M35" i="37" a="1"/>
  <c r="P52" i="22" a="1"/>
  <c r="O12" i="33" a="1"/>
  <c r="P56" i="33" a="1"/>
  <c r="N66" i="22" a="1"/>
  <c r="O12" i="22" a="1"/>
  <c r="M65" i="20" a="1"/>
  <c r="M64" i="22" a="1"/>
  <c r="P52" i="33" a="1"/>
  <c r="M62" i="22" a="1"/>
  <c r="M27" i="34" a="1"/>
  <c r="O30" i="33" a="1"/>
  <c r="O35" i="34" a="1"/>
  <c r="L27" i="34" a="1"/>
  <c r="M60" i="20" a="1"/>
  <c r="L16" i="36" a="1"/>
  <c r="M52" i="22" a="1"/>
  <c r="M62" i="20" a="1"/>
  <c r="M66" i="20" a="1"/>
  <c r="M65" i="22" a="1"/>
  <c r="O20" i="34" a="1"/>
  <c r="M34" i="34" a="1"/>
  <c r="P56" i="37" a="1"/>
  <c r="N63" i="19" a="1"/>
  <c r="N70" i="22" a="1"/>
  <c r="M24" i="37" a="1"/>
  <c r="M52" i="33" a="1"/>
  <c r="P63" i="36" a="1"/>
  <c r="N63" i="37" a="1"/>
  <c r="L16" i="34" a="1"/>
  <c r="O66" i="33" a="1"/>
  <c r="M63" i="19" a="1"/>
  <c r="M52" i="19" a="1"/>
  <c r="O26" i="36" a="1"/>
  <c r="R48" i="22" l="1"/>
  <c r="R60" i="36"/>
  <c r="R48" i="37"/>
  <c r="R92" i="33"/>
  <c r="P82" i="33"/>
  <c r="P135" i="33" s="1"/>
  <c r="M63" i="20"/>
  <c r="K30" i="33"/>
  <c r="M62" i="20"/>
  <c r="N110" i="20"/>
  <c r="Q117" i="34"/>
  <c r="Q127" i="34" s="1"/>
  <c r="Q138" i="34" s="1"/>
  <c r="Q143" i="33" s="1"/>
  <c r="Q124" i="33"/>
  <c r="Q137" i="33" s="1"/>
  <c r="R52" i="36"/>
  <c r="M71" i="20"/>
  <c r="M56" i="22"/>
  <c r="P64" i="33"/>
  <c r="M52" i="33"/>
  <c r="N48" i="20"/>
  <c r="M64" i="20"/>
  <c r="N48" i="19"/>
  <c r="M62" i="19"/>
  <c r="M52" i="37"/>
  <c r="L12" i="33"/>
  <c r="L39" i="33" s="1"/>
  <c r="L24" i="34"/>
  <c r="M62" i="22"/>
  <c r="L64" i="33"/>
  <c r="L16" i="36"/>
  <c r="L28" i="36"/>
  <c r="R28" i="36" s="1"/>
  <c r="M65" i="37"/>
  <c r="M56" i="33"/>
  <c r="L12" i="19"/>
  <c r="L9" i="19" s="1"/>
  <c r="M64" i="37"/>
  <c r="M56" i="20"/>
  <c r="M52" i="19"/>
  <c r="L63" i="33"/>
  <c r="M60" i="37"/>
  <c r="L27" i="36"/>
  <c r="L12" i="20"/>
  <c r="L9" i="20" s="1"/>
  <c r="L28" i="19"/>
  <c r="M52" i="22"/>
  <c r="M62" i="37"/>
  <c r="M65" i="19"/>
  <c r="M60" i="20"/>
  <c r="M56" i="19"/>
  <c r="L28" i="34"/>
  <c r="R28" i="34" s="1"/>
  <c r="L27" i="34"/>
  <c r="M60" i="22"/>
  <c r="M66" i="19"/>
  <c r="M65" i="22"/>
  <c r="M63" i="19"/>
  <c r="L20" i="34"/>
  <c r="L12" i="37"/>
  <c r="L9" i="37" s="1"/>
  <c r="M66" i="20"/>
  <c r="M63" i="37"/>
  <c r="M52" i="20"/>
  <c r="M60" i="19"/>
  <c r="L20" i="36"/>
  <c r="K26" i="33"/>
  <c r="M64" i="22"/>
  <c r="M63" i="22"/>
  <c r="M60" i="33"/>
  <c r="M65" i="20"/>
  <c r="M56" i="37"/>
  <c r="L12" i="22"/>
  <c r="L9" i="22" s="1"/>
  <c r="L16" i="34"/>
  <c r="L24" i="36"/>
  <c r="P88" i="20"/>
  <c r="Q88" i="20" s="1"/>
  <c r="O105" i="20"/>
  <c r="O131" i="20"/>
  <c r="O104" i="20"/>
  <c r="O92" i="20"/>
  <c r="O96" i="20"/>
  <c r="O106" i="20"/>
  <c r="O100" i="20"/>
  <c r="O115" i="20"/>
  <c r="O124" i="20" s="1"/>
  <c r="O85" i="20"/>
  <c r="O102" i="20"/>
  <c r="O83" i="20"/>
  <c r="O105" i="19"/>
  <c r="O102" i="19"/>
  <c r="O83" i="19"/>
  <c r="O104" i="19"/>
  <c r="O85" i="19"/>
  <c r="O131" i="19"/>
  <c r="O100" i="19"/>
  <c r="O96" i="19"/>
  <c r="O92" i="19"/>
  <c r="O106" i="19"/>
  <c r="O115" i="19"/>
  <c r="O124" i="19" s="1"/>
  <c r="P88" i="19"/>
  <c r="N120" i="19"/>
  <c r="N133" i="19" s="1"/>
  <c r="N116" i="19"/>
  <c r="N125" i="19" s="1"/>
  <c r="M75" i="33"/>
  <c r="N120" i="22"/>
  <c r="N133" i="22" s="1"/>
  <c r="N116" i="22"/>
  <c r="R104" i="33"/>
  <c r="N124" i="33"/>
  <c r="N137" i="33" s="1"/>
  <c r="N82" i="33"/>
  <c r="N135" i="33" s="1"/>
  <c r="N84" i="19"/>
  <c r="N130" i="19" s="1"/>
  <c r="N82" i="19"/>
  <c r="R64" i="36"/>
  <c r="N82" i="20"/>
  <c r="N84" i="20"/>
  <c r="N130" i="20" s="1"/>
  <c r="N108" i="20"/>
  <c r="N126" i="34"/>
  <c r="N129" i="33"/>
  <c r="N131" i="33" s="1"/>
  <c r="N124" i="37"/>
  <c r="M45" i="19"/>
  <c r="M101" i="33"/>
  <c r="M45" i="20"/>
  <c r="N116" i="37"/>
  <c r="N117" i="37" s="1"/>
  <c r="N120" i="37"/>
  <c r="N133" i="37" s="1"/>
  <c r="R64" i="34"/>
  <c r="N124" i="20"/>
  <c r="N126" i="20" s="1"/>
  <c r="N129" i="20" s="1"/>
  <c r="N117" i="20"/>
  <c r="N127" i="20" s="1"/>
  <c r="N108" i="19"/>
  <c r="N124" i="19"/>
  <c r="N126" i="19" s="1"/>
  <c r="N129" i="19" s="1"/>
  <c r="M45" i="37"/>
  <c r="N124" i="22"/>
  <c r="N117" i="22"/>
  <c r="N101" i="37"/>
  <c r="N111" i="19"/>
  <c r="N111" i="37"/>
  <c r="N108" i="37"/>
  <c r="N84" i="37"/>
  <c r="N130" i="37" s="1"/>
  <c r="N82" i="37"/>
  <c r="O82" i="37" s="1"/>
  <c r="P82" i="37" s="1"/>
  <c r="Q82" i="37" s="1"/>
  <c r="R82" i="37" s="1"/>
  <c r="N106" i="37"/>
  <c r="N110" i="37"/>
  <c r="N108" i="22"/>
  <c r="N106" i="22"/>
  <c r="N84" i="22"/>
  <c r="N130" i="22" s="1"/>
  <c r="N111" i="22"/>
  <c r="N82" i="22"/>
  <c r="O82" i="22" s="1"/>
  <c r="P82" i="22" s="1"/>
  <c r="Q82" i="22" s="1"/>
  <c r="R82" i="22" s="1"/>
  <c r="N110" i="22"/>
  <c r="N101" i="22"/>
  <c r="N110" i="19"/>
  <c r="N137" i="36"/>
  <c r="N129" i="36"/>
  <c r="M45" i="22"/>
  <c r="O119" i="37"/>
  <c r="O132" i="37" s="1"/>
  <c r="R83" i="33"/>
  <c r="R70" i="33"/>
  <c r="R62" i="36"/>
  <c r="R32" i="34"/>
  <c r="M26" i="36"/>
  <c r="R83" i="37"/>
  <c r="R12" i="36"/>
  <c r="R39" i="36" s="1"/>
  <c r="R32" i="36"/>
  <c r="O30" i="36"/>
  <c r="R30" i="36" s="1"/>
  <c r="O34" i="33"/>
  <c r="O35" i="34"/>
  <c r="R35" i="34" s="1"/>
  <c r="O35" i="36"/>
  <c r="R35" i="36" s="1"/>
  <c r="O66" i="33"/>
  <c r="R66" i="33" s="1"/>
  <c r="O30" i="34"/>
  <c r="R30" i="34" s="1"/>
  <c r="Q82" i="33"/>
  <c r="R82" i="33" s="1"/>
  <c r="R106" i="33"/>
  <c r="O62" i="33"/>
  <c r="R62" i="33" s="1"/>
  <c r="N29" i="33"/>
  <c r="O16" i="34"/>
  <c r="O12" i="22"/>
  <c r="O9" i="22" s="1"/>
  <c r="P56" i="22"/>
  <c r="M34" i="36"/>
  <c r="O24" i="36"/>
  <c r="P56" i="37"/>
  <c r="P63" i="34"/>
  <c r="P63" i="36"/>
  <c r="P60" i="22"/>
  <c r="R60" i="22" s="1"/>
  <c r="O16" i="36"/>
  <c r="O12" i="33"/>
  <c r="O39" i="33" s="1"/>
  <c r="O34" i="34"/>
  <c r="O20" i="36"/>
  <c r="P56" i="33"/>
  <c r="P52" i="22"/>
  <c r="O34" i="36"/>
  <c r="O12" i="37"/>
  <c r="O9" i="37" s="1"/>
  <c r="O26" i="34"/>
  <c r="R26" i="34" s="1"/>
  <c r="P52" i="33"/>
  <c r="P60" i="37"/>
  <c r="O26" i="36"/>
  <c r="P70" i="37"/>
  <c r="P60" i="33"/>
  <c r="O29" i="33"/>
  <c r="O20" i="34"/>
  <c r="P52" i="37"/>
  <c r="O24" i="34"/>
  <c r="M34" i="34"/>
  <c r="Q111" i="22"/>
  <c r="Q84" i="22"/>
  <c r="Q106" i="22"/>
  <c r="Q108" i="22"/>
  <c r="Q130" i="34"/>
  <c r="R130" i="34" s="1"/>
  <c r="R82" i="34"/>
  <c r="P125" i="33"/>
  <c r="P138" i="33" s="1"/>
  <c r="P121" i="33"/>
  <c r="P122" i="33" s="1"/>
  <c r="P132" i="33" s="1"/>
  <c r="R102" i="33"/>
  <c r="Q124" i="22"/>
  <c r="Q117" i="36"/>
  <c r="Q127" i="36" s="1"/>
  <c r="Q138" i="36" s="1"/>
  <c r="R65" i="33"/>
  <c r="P45" i="22"/>
  <c r="Q126" i="36"/>
  <c r="R70" i="36"/>
  <c r="Q126" i="34"/>
  <c r="Q129" i="33"/>
  <c r="Q131" i="33" s="1"/>
  <c r="Q142" i="33" s="1"/>
  <c r="Q101" i="34"/>
  <c r="R101" i="34" s="1"/>
  <c r="P103" i="33"/>
  <c r="Q103" i="22"/>
  <c r="R103" i="22" s="1"/>
  <c r="Q104" i="22"/>
  <c r="Q105" i="37"/>
  <c r="R105" i="37" s="1"/>
  <c r="Q102" i="37"/>
  <c r="Q104" i="37"/>
  <c r="R104" i="37" s="1"/>
  <c r="Q105" i="22"/>
  <c r="R105" i="22" s="1"/>
  <c r="Q103" i="37"/>
  <c r="Q101" i="36"/>
  <c r="R101" i="36" s="1"/>
  <c r="Q102" i="22"/>
  <c r="R102" i="22" s="1"/>
  <c r="Q84" i="37"/>
  <c r="Q130" i="37" s="1"/>
  <c r="R130" i="37" s="1"/>
  <c r="Q106" i="37"/>
  <c r="Q108" i="37"/>
  <c r="Q111" i="37"/>
  <c r="P75" i="33"/>
  <c r="R48" i="33"/>
  <c r="R75" i="33" s="1"/>
  <c r="R83" i="22"/>
  <c r="R96" i="37"/>
  <c r="Q124" i="37"/>
  <c r="O39" i="34"/>
  <c r="R12" i="34"/>
  <c r="R39" i="34" s="1"/>
  <c r="P45" i="37"/>
  <c r="R56" i="36"/>
  <c r="Q110" i="22"/>
  <c r="R110" i="22" s="1"/>
  <c r="R96" i="33"/>
  <c r="R62" i="34"/>
  <c r="R52" i="34"/>
  <c r="R113" i="33"/>
  <c r="R56" i="34"/>
  <c r="R100" i="33"/>
  <c r="R60" i="34"/>
  <c r="R70" i="34"/>
  <c r="P63" i="33"/>
  <c r="M39" i="33"/>
  <c r="M24" i="33"/>
  <c r="N68" i="22"/>
  <c r="O119" i="22"/>
  <c r="O132" i="22" s="1"/>
  <c r="M34" i="33"/>
  <c r="O30" i="33"/>
  <c r="N65" i="22"/>
  <c r="N66" i="22"/>
  <c r="M20" i="22"/>
  <c r="M16" i="22"/>
  <c r="N64" i="37"/>
  <c r="M20" i="33"/>
  <c r="O26" i="33"/>
  <c r="M27" i="36"/>
  <c r="N70" i="22"/>
  <c r="N63" i="19"/>
  <c r="N64" i="22"/>
  <c r="M24" i="22"/>
  <c r="M16" i="33"/>
  <c r="N63" i="20"/>
  <c r="N62" i="22"/>
  <c r="M24" i="37"/>
  <c r="N68" i="37"/>
  <c r="N63" i="22"/>
  <c r="N62" i="37"/>
  <c r="M27" i="34"/>
  <c r="M20" i="37"/>
  <c r="M16" i="37"/>
  <c r="M35" i="22"/>
  <c r="N70" i="37"/>
  <c r="N66" i="37"/>
  <c r="N65" i="37"/>
  <c r="L26" i="33"/>
  <c r="N63" i="37"/>
  <c r="M35" i="37"/>
  <c r="O137" i="36"/>
  <c r="O129" i="36"/>
  <c r="R106" i="22"/>
  <c r="O130" i="37"/>
  <c r="P130" i="37"/>
  <c r="R104" i="22"/>
  <c r="O120" i="22"/>
  <c r="O133" i="22" s="1"/>
  <c r="O116" i="22"/>
  <c r="O118" i="37"/>
  <c r="O128" i="37" s="1"/>
  <c r="O101" i="22"/>
  <c r="O120" i="37"/>
  <c r="O133" i="37" s="1"/>
  <c r="O116" i="37"/>
  <c r="R102" i="37"/>
  <c r="R110" i="37"/>
  <c r="M9" i="22"/>
  <c r="M9" i="37"/>
  <c r="P130" i="22"/>
  <c r="R84" i="22"/>
  <c r="O101" i="37"/>
  <c r="R103" i="37"/>
  <c r="L27" i="33"/>
  <c r="M66" i="22" a="1"/>
  <c r="P64" i="22" a="1"/>
  <c r="O24" i="22" a="1"/>
  <c r="N66" i="19" a="1"/>
  <c r="L27" i="37" a="1"/>
  <c r="O63" i="33" a="1"/>
  <c r="M68" i="37" a="1"/>
  <c r="M27" i="20" a="1"/>
  <c r="P70" i="22" a="1"/>
  <c r="L29" i="37" a="1"/>
  <c r="M68" i="22" a="1"/>
  <c r="N65" i="19" a="1"/>
  <c r="M34" i="22" a="1"/>
  <c r="M29" i="22" a="1"/>
  <c r="O27" i="34" a="1"/>
  <c r="L20" i="37" a="1"/>
  <c r="O16" i="33" a="1"/>
  <c r="N64" i="19" a="1"/>
  <c r="O16" i="37" a="1"/>
  <c r="O24" i="33" a="1"/>
  <c r="P63" i="37" a="1"/>
  <c r="L27" i="22" a="1"/>
  <c r="K27" i="33" a="1"/>
  <c r="P62" i="22" a="1"/>
  <c r="P66" i="37" a="1"/>
  <c r="N56" i="20" a="1"/>
  <c r="L26" i="20" a="1"/>
  <c r="P71" i="37" a="1"/>
  <c r="N30" i="33" a="1"/>
  <c r="O16" i="22" a="1"/>
  <c r="K28" i="33" a="1"/>
  <c r="M71" i="37" a="1"/>
  <c r="L32" i="22" a="1"/>
  <c r="L35" i="20" a="1"/>
  <c r="N64" i="20" a="1"/>
  <c r="N60" i="20" a="1"/>
  <c r="N65" i="20" a="1"/>
  <c r="L30" i="19" a="1"/>
  <c r="O28" i="33" a="1"/>
  <c r="P65" i="37" a="1"/>
  <c r="N60" i="19" a="1"/>
  <c r="N62" i="20" a="1"/>
  <c r="L28" i="22" a="1"/>
  <c r="L28" i="20" a="1"/>
  <c r="M26" i="37" a="1"/>
  <c r="L24" i="20" a="1"/>
  <c r="L24" i="33" a="1"/>
  <c r="M71" i="19" a="1"/>
  <c r="M27" i="19" a="1"/>
  <c r="O20" i="37" a="1"/>
  <c r="N62" i="19" a="1"/>
  <c r="N56" i="19" a="1"/>
  <c r="M70" i="20" a="1"/>
  <c r="M70" i="19" a="1"/>
  <c r="P68" i="37" a="1"/>
  <c r="L16" i="33" a="1"/>
  <c r="M29" i="37" a="1"/>
  <c r="P48" i="20" a="1"/>
  <c r="M70" i="37" a="1"/>
  <c r="L29" i="19" a="1"/>
  <c r="M30" i="37" a="1"/>
  <c r="M68" i="19" a="1"/>
  <c r="L29" i="22" a="1"/>
  <c r="L26" i="37" a="1"/>
  <c r="N26" i="33" a="1"/>
  <c r="P64" i="37" a="1"/>
  <c r="M30" i="22" a="1"/>
  <c r="L27" i="20" a="1"/>
  <c r="M28" i="37" a="1"/>
  <c r="P62" i="37" a="1"/>
  <c r="L24" i="22" a="1"/>
  <c r="L16" i="37" a="1"/>
  <c r="L30" i="20" a="1"/>
  <c r="L16" i="19" a="1"/>
  <c r="L29" i="20" a="1"/>
  <c r="L16" i="22" a="1"/>
  <c r="M28" i="22" a="1"/>
  <c r="M27" i="37" a="1"/>
  <c r="L20" i="20" a="1"/>
  <c r="L24" i="37" a="1"/>
  <c r="P63" i="22" a="1"/>
  <c r="N52" i="19" a="1"/>
  <c r="L32" i="37" a="1"/>
  <c r="L20" i="33" a="1"/>
  <c r="L24" i="19" a="1"/>
  <c r="M26" i="22" a="1"/>
  <c r="M71" i="22" a="1"/>
  <c r="M68" i="20" a="1"/>
  <c r="M27" i="22" a="1"/>
  <c r="N52" i="20" a="1"/>
  <c r="L26" i="22" a="1"/>
  <c r="L20" i="19" a="1"/>
  <c r="L16" i="20" a="1"/>
  <c r="L26" i="19" a="1"/>
  <c r="P68" i="22" a="1"/>
  <c r="O20" i="22" a="1"/>
  <c r="M34" i="37" a="1"/>
  <c r="M70" i="22" a="1"/>
  <c r="L27" i="19" a="1"/>
  <c r="O24" i="37" a="1"/>
  <c r="P66" i="22" a="1"/>
  <c r="N66" i="20" a="1"/>
  <c r="O48" i="20" a="1"/>
  <c r="P71" i="22" a="1"/>
  <c r="M12" i="20" a="1"/>
  <c r="O34" i="37" a="1"/>
  <c r="P65" i="22" a="1"/>
  <c r="L28" i="37" a="1"/>
  <c r="L20" i="22" a="1"/>
  <c r="O27" i="36" a="1"/>
  <c r="O48" i="19" a="1"/>
  <c r="O27" i="33" a="1"/>
  <c r="O20" i="33" a="1"/>
  <c r="M12" i="19" a="1"/>
  <c r="M66" i="37" a="1"/>
  <c r="R108" i="22" l="1"/>
  <c r="N119" i="37"/>
  <c r="N132" i="37" s="1"/>
  <c r="R45" i="22"/>
  <c r="M70" i="20"/>
  <c r="L26" i="20"/>
  <c r="L27" i="20"/>
  <c r="R106" i="37"/>
  <c r="R108" i="37"/>
  <c r="R45" i="37"/>
  <c r="R52" i="22"/>
  <c r="R52" i="33"/>
  <c r="R20" i="34"/>
  <c r="R60" i="33"/>
  <c r="R56" i="33"/>
  <c r="R56" i="22"/>
  <c r="R52" i="37"/>
  <c r="R24" i="34"/>
  <c r="R60" i="37"/>
  <c r="R16" i="36"/>
  <c r="M71" i="22"/>
  <c r="N66" i="20"/>
  <c r="L28" i="22"/>
  <c r="L20" i="19"/>
  <c r="L24" i="37"/>
  <c r="L26" i="19"/>
  <c r="M68" i="37"/>
  <c r="N66" i="19"/>
  <c r="N62" i="19"/>
  <c r="N56" i="20"/>
  <c r="L27" i="19"/>
  <c r="L24" i="20"/>
  <c r="K27" i="33"/>
  <c r="M12" i="19"/>
  <c r="M9" i="19" s="1"/>
  <c r="M71" i="37"/>
  <c r="N52" i="20"/>
  <c r="L29" i="22"/>
  <c r="L29" i="19"/>
  <c r="L16" i="19"/>
  <c r="L28" i="20"/>
  <c r="M66" i="22"/>
  <c r="N65" i="19"/>
  <c r="M70" i="19"/>
  <c r="M68" i="22"/>
  <c r="M71" i="19"/>
  <c r="N56" i="19"/>
  <c r="N64" i="20"/>
  <c r="L24" i="19"/>
  <c r="L30" i="19"/>
  <c r="L26" i="37"/>
  <c r="L20" i="20"/>
  <c r="K28" i="33"/>
  <c r="M12" i="20"/>
  <c r="M9" i="20" s="1"/>
  <c r="M68" i="19"/>
  <c r="N52" i="19"/>
  <c r="M70" i="37"/>
  <c r="R70" i="37" s="1"/>
  <c r="N60" i="19"/>
  <c r="N62" i="20"/>
  <c r="L20" i="37"/>
  <c r="L16" i="20"/>
  <c r="L24" i="22"/>
  <c r="L16" i="22"/>
  <c r="L28" i="37"/>
  <c r="L26" i="22"/>
  <c r="L16" i="33"/>
  <c r="M70" i="22"/>
  <c r="N65" i="20"/>
  <c r="L29" i="20"/>
  <c r="L27" i="37"/>
  <c r="O28" i="33"/>
  <c r="M66" i="37"/>
  <c r="P48" i="20"/>
  <c r="L24" i="33"/>
  <c r="L30" i="20"/>
  <c r="L20" i="33"/>
  <c r="L20" i="22"/>
  <c r="M68" i="20"/>
  <c r="O48" i="19"/>
  <c r="N64" i="19"/>
  <c r="N60" i="20"/>
  <c r="O48" i="20"/>
  <c r="L27" i="22"/>
  <c r="L29" i="37"/>
  <c r="L16" i="37"/>
  <c r="L35" i="20"/>
  <c r="Q130" i="22"/>
  <c r="R130" i="22" s="1"/>
  <c r="O130" i="22"/>
  <c r="R16" i="34"/>
  <c r="N117" i="19"/>
  <c r="N127" i="19" s="1"/>
  <c r="N119" i="20"/>
  <c r="N132" i="20" s="1"/>
  <c r="O108" i="19"/>
  <c r="O111" i="19"/>
  <c r="O110" i="19"/>
  <c r="O82" i="19"/>
  <c r="O84" i="19"/>
  <c r="N118" i="37"/>
  <c r="N128" i="37" s="1"/>
  <c r="O120" i="19"/>
  <c r="O133" i="19" s="1"/>
  <c r="O116" i="19"/>
  <c r="M61" i="19"/>
  <c r="N45" i="19"/>
  <c r="N125" i="22"/>
  <c r="N126" i="22" s="1"/>
  <c r="N129" i="22" s="1"/>
  <c r="N127" i="22"/>
  <c r="N118" i="22"/>
  <c r="N128" i="22" s="1"/>
  <c r="O110" i="20"/>
  <c r="O82" i="20"/>
  <c r="O108" i="20"/>
  <c r="O111" i="20"/>
  <c r="O84" i="20"/>
  <c r="R64" i="33"/>
  <c r="N45" i="20"/>
  <c r="N118" i="19"/>
  <c r="N128" i="19" s="1"/>
  <c r="R20" i="36"/>
  <c r="R24" i="36"/>
  <c r="N119" i="19"/>
  <c r="N132" i="19" s="1"/>
  <c r="O120" i="20"/>
  <c r="O133" i="20" s="1"/>
  <c r="O116" i="20"/>
  <c r="O125" i="20" s="1"/>
  <c r="O126" i="20" s="1"/>
  <c r="O129" i="20" s="1"/>
  <c r="P131" i="20"/>
  <c r="Q131" i="20" s="1"/>
  <c r="R131" i="20" s="1"/>
  <c r="N142" i="33"/>
  <c r="N134" i="33"/>
  <c r="R88" i="20"/>
  <c r="Q104" i="20"/>
  <c r="Q103" i="20"/>
  <c r="Q92" i="20"/>
  <c r="Q100" i="20"/>
  <c r="Q115" i="20"/>
  <c r="Q124" i="20" s="1"/>
  <c r="Q106" i="20"/>
  <c r="Q96" i="20"/>
  <c r="Q83" i="20"/>
  <c r="Q102" i="20"/>
  <c r="Q85" i="20"/>
  <c r="Q105" i="20"/>
  <c r="N137" i="34"/>
  <c r="N129" i="34"/>
  <c r="M61" i="20"/>
  <c r="N119" i="22"/>
  <c r="N132" i="22" s="1"/>
  <c r="N125" i="37"/>
  <c r="N126" i="37" s="1"/>
  <c r="N129" i="37" s="1"/>
  <c r="N127" i="37"/>
  <c r="N118" i="20"/>
  <c r="N128" i="20" s="1"/>
  <c r="Q88" i="19"/>
  <c r="P96" i="19"/>
  <c r="P103" i="19"/>
  <c r="P100" i="19"/>
  <c r="P104" i="19"/>
  <c r="P83" i="19"/>
  <c r="P115" i="19"/>
  <c r="P124" i="19" s="1"/>
  <c r="P102" i="19"/>
  <c r="P85" i="19"/>
  <c r="P131" i="19"/>
  <c r="P105" i="19"/>
  <c r="P106" i="19"/>
  <c r="P92" i="19"/>
  <c r="P105" i="20"/>
  <c r="P85" i="20"/>
  <c r="P104" i="20"/>
  <c r="P102" i="20"/>
  <c r="P92" i="20"/>
  <c r="P96" i="20"/>
  <c r="P100" i="20"/>
  <c r="P103" i="20"/>
  <c r="P115" i="20"/>
  <c r="P106" i="20"/>
  <c r="P83" i="20"/>
  <c r="Q135" i="33"/>
  <c r="R135" i="33" s="1"/>
  <c r="R34" i="34"/>
  <c r="R12" i="22"/>
  <c r="R9" i="22"/>
  <c r="R26" i="36"/>
  <c r="R12" i="37"/>
  <c r="R34" i="33"/>
  <c r="Q119" i="22"/>
  <c r="Q132" i="22" s="1"/>
  <c r="R12" i="33"/>
  <c r="R39" i="33" s="1"/>
  <c r="R9" i="37"/>
  <c r="N30" i="33"/>
  <c r="R30" i="33" s="1"/>
  <c r="O34" i="37"/>
  <c r="O20" i="33"/>
  <c r="O20" i="37"/>
  <c r="P63" i="37"/>
  <c r="P65" i="22"/>
  <c r="R65" i="22" s="1"/>
  <c r="O24" i="37"/>
  <c r="P70" i="22"/>
  <c r="P71" i="37"/>
  <c r="P64" i="37"/>
  <c r="R64" i="37" s="1"/>
  <c r="P68" i="22"/>
  <c r="O16" i="33"/>
  <c r="O20" i="22"/>
  <c r="O63" i="33"/>
  <c r="P68" i="37"/>
  <c r="R68" i="37" s="1"/>
  <c r="P62" i="37"/>
  <c r="R62" i="37" s="1"/>
  <c r="P66" i="22"/>
  <c r="O16" i="37"/>
  <c r="P66" i="37"/>
  <c r="P65" i="37"/>
  <c r="R65" i="37" s="1"/>
  <c r="O24" i="22"/>
  <c r="O27" i="36"/>
  <c r="R27" i="36" s="1"/>
  <c r="P64" i="22"/>
  <c r="P71" i="22"/>
  <c r="P62" i="22"/>
  <c r="R62" i="22" s="1"/>
  <c r="P63" i="22"/>
  <c r="O24" i="33"/>
  <c r="O16" i="22"/>
  <c r="O27" i="34"/>
  <c r="R27" i="34" s="1"/>
  <c r="N26" i="33"/>
  <c r="R26" i="33" s="1"/>
  <c r="R84" i="37"/>
  <c r="Q101" i="37"/>
  <c r="R101" i="37" s="1"/>
  <c r="Q119" i="37"/>
  <c r="Q132" i="37" s="1"/>
  <c r="Q134" i="33"/>
  <c r="Q137" i="36"/>
  <c r="Q129" i="36"/>
  <c r="R34" i="36"/>
  <c r="R111" i="37"/>
  <c r="Q137" i="34"/>
  <c r="Q129" i="34"/>
  <c r="Q118" i="22"/>
  <c r="Q128" i="22" s="1"/>
  <c r="P101" i="33"/>
  <c r="R101" i="33" s="1"/>
  <c r="R103" i="33"/>
  <c r="R56" i="37"/>
  <c r="Q118" i="37"/>
  <c r="Q128" i="37" s="1"/>
  <c r="Q120" i="37"/>
  <c r="Q133" i="37" s="1"/>
  <c r="Q116" i="37"/>
  <c r="R29" i="33"/>
  <c r="R111" i="22"/>
  <c r="Q120" i="22"/>
  <c r="Q133" i="22" s="1"/>
  <c r="Q116" i="22"/>
  <c r="Q101" i="22"/>
  <c r="R101" i="22" s="1"/>
  <c r="O27" i="33"/>
  <c r="L32" i="22"/>
  <c r="M27" i="37"/>
  <c r="M34" i="37"/>
  <c r="M26" i="37"/>
  <c r="M28" i="22"/>
  <c r="M27" i="22"/>
  <c r="M27" i="19"/>
  <c r="M28" i="37"/>
  <c r="M29" i="22"/>
  <c r="M29" i="37"/>
  <c r="M26" i="22"/>
  <c r="M34" i="22"/>
  <c r="M30" i="22"/>
  <c r="L32" i="37"/>
  <c r="M27" i="20"/>
  <c r="M30" i="37"/>
  <c r="O127" i="22"/>
  <c r="O125" i="22"/>
  <c r="O126" i="22" s="1"/>
  <c r="O129" i="22" s="1"/>
  <c r="O117" i="22"/>
  <c r="O125" i="37"/>
  <c r="O126" i="37" s="1"/>
  <c r="O129" i="37" s="1"/>
  <c r="O127" i="37"/>
  <c r="O117" i="37"/>
  <c r="L35" i="19" a="1"/>
  <c r="P63" i="20" a="1"/>
  <c r="L35" i="22" a="1"/>
  <c r="M28" i="20" a="1"/>
  <c r="O28" i="22" a="1"/>
  <c r="N32" i="22" a="1"/>
  <c r="O30" i="22" a="1"/>
  <c r="O66" i="19" a="1"/>
  <c r="N27" i="33" a="1"/>
  <c r="O28" i="37" a="1"/>
  <c r="M20" i="19" a="1"/>
  <c r="M20" i="20" a="1"/>
  <c r="O52" i="20" a="1"/>
  <c r="O29" i="22" a="1"/>
  <c r="O34" i="22" a="1"/>
  <c r="M30" i="20" a="1"/>
  <c r="P65" i="20" a="1"/>
  <c r="K32" i="20" a="1"/>
  <c r="O56" i="20" a="1"/>
  <c r="O27" i="37" a="1"/>
  <c r="O60" i="20" a="1"/>
  <c r="M26" i="20" a="1"/>
  <c r="O65" i="20" a="1"/>
  <c r="O35" i="22" a="1"/>
  <c r="O66" i="20" a="1"/>
  <c r="M24" i="20" a="1"/>
  <c r="O12" i="20" a="1"/>
  <c r="O29" i="37" a="1"/>
  <c r="N12" i="19" a="1"/>
  <c r="K32" i="19" a="1"/>
  <c r="O27" i="22" a="1"/>
  <c r="N71" i="20" a="1"/>
  <c r="O65" i="19" a="1"/>
  <c r="O52" i="19" a="1"/>
  <c r="P66" i="20" a="1"/>
  <c r="O64" i="20" a="1"/>
  <c r="P56" i="20" a="1"/>
  <c r="O26" i="22" a="1"/>
  <c r="N12" i="20" a="1"/>
  <c r="K32" i="22" a="1"/>
  <c r="O64" i="19" a="1"/>
  <c r="O63" i="19" a="1"/>
  <c r="L34" i="19" a="1"/>
  <c r="M29" i="20" a="1"/>
  <c r="O62" i="20" a="1"/>
  <c r="O60" i="19" a="1"/>
  <c r="L34" i="22" a="1"/>
  <c r="P64" i="20" a="1"/>
  <c r="O62" i="19" a="1"/>
  <c r="L35" i="37" a="1"/>
  <c r="L34" i="20" a="1"/>
  <c r="M16" i="20" a="1"/>
  <c r="N70" i="19" a="1"/>
  <c r="L30" i="22" a="1"/>
  <c r="P60" i="20" a="1"/>
  <c r="M29" i="19" a="1"/>
  <c r="O56" i="19" a="1"/>
  <c r="P48" i="19" a="1"/>
  <c r="O26" i="37" a="1"/>
  <c r="M28" i="19" a="1"/>
  <c r="M30" i="19" a="1"/>
  <c r="N68" i="19" a="1"/>
  <c r="N68" i="20" a="1"/>
  <c r="M16" i="19" a="1"/>
  <c r="N71" i="19" a="1"/>
  <c r="L34" i="37" a="1"/>
  <c r="O63" i="20" a="1"/>
  <c r="N32" i="37" a="1"/>
  <c r="M24" i="19" a="1"/>
  <c r="L30" i="37" a="1"/>
  <c r="P62" i="20" a="1"/>
  <c r="M26" i="19" a="1"/>
  <c r="O30" i="37" a="1"/>
  <c r="O35" i="37" a="1"/>
  <c r="P52" i="20" a="1"/>
  <c r="N70" i="20" a="1"/>
  <c r="K32" i="37" a="1"/>
  <c r="R16" i="33" l="1"/>
  <c r="R70" i="22"/>
  <c r="L34" i="20"/>
  <c r="N61" i="19"/>
  <c r="Q131" i="19"/>
  <c r="R131" i="19" s="1"/>
  <c r="R24" i="22"/>
  <c r="R16" i="22"/>
  <c r="R66" i="37"/>
  <c r="R66" i="22"/>
  <c r="N61" i="20"/>
  <c r="R24" i="33"/>
  <c r="R20" i="37"/>
  <c r="R20" i="33"/>
  <c r="R20" i="22"/>
  <c r="R68" i="22"/>
  <c r="R16" i="37"/>
  <c r="R24" i="37"/>
  <c r="O60" i="20"/>
  <c r="O66" i="19"/>
  <c r="O60" i="19"/>
  <c r="P66" i="20"/>
  <c r="M29" i="20"/>
  <c r="L34" i="19"/>
  <c r="M16" i="20"/>
  <c r="M30" i="19"/>
  <c r="O56" i="20"/>
  <c r="O65" i="19"/>
  <c r="O63" i="19"/>
  <c r="L34" i="22"/>
  <c r="M26" i="20"/>
  <c r="M29" i="19"/>
  <c r="L35" i="37"/>
  <c r="K32" i="37"/>
  <c r="O52" i="20"/>
  <c r="O56" i="19"/>
  <c r="P60" i="20"/>
  <c r="N12" i="20"/>
  <c r="M24" i="19"/>
  <c r="L30" i="22"/>
  <c r="O62" i="20"/>
  <c r="P48" i="19"/>
  <c r="P65" i="20"/>
  <c r="P52" i="20"/>
  <c r="N70" i="19"/>
  <c r="M24" i="20"/>
  <c r="O12" i="20"/>
  <c r="O9" i="20" s="1"/>
  <c r="L34" i="37"/>
  <c r="R34" i="37" s="1"/>
  <c r="O64" i="20"/>
  <c r="O62" i="19"/>
  <c r="P63" i="20"/>
  <c r="N71" i="20"/>
  <c r="N71" i="19"/>
  <c r="M28" i="19"/>
  <c r="L30" i="37"/>
  <c r="M16" i="19"/>
  <c r="M28" i="20"/>
  <c r="O66" i="20"/>
  <c r="P62" i="20"/>
  <c r="P64" i="20"/>
  <c r="N68" i="20"/>
  <c r="N68" i="19"/>
  <c r="N12" i="19"/>
  <c r="N9" i="19" s="1"/>
  <c r="K32" i="19"/>
  <c r="M20" i="19"/>
  <c r="O65" i="20"/>
  <c r="K32" i="20"/>
  <c r="L35" i="19"/>
  <c r="M20" i="20"/>
  <c r="M30" i="20"/>
  <c r="O63" i="20"/>
  <c r="O52" i="19"/>
  <c r="O64" i="19"/>
  <c r="P56" i="20"/>
  <c r="N70" i="20"/>
  <c r="K32" i="22"/>
  <c r="M26" i="19"/>
  <c r="L35" i="22"/>
  <c r="R100" i="20"/>
  <c r="R96" i="20"/>
  <c r="O119" i="19"/>
  <c r="O132" i="19" s="1"/>
  <c r="O130" i="19"/>
  <c r="R92" i="20"/>
  <c r="O45" i="20"/>
  <c r="R48" i="20"/>
  <c r="P116" i="20"/>
  <c r="P125" i="20" s="1"/>
  <c r="P120" i="20"/>
  <c r="P133" i="20" s="1"/>
  <c r="R102" i="20"/>
  <c r="Q102" i="19"/>
  <c r="Q103" i="19"/>
  <c r="R88" i="19"/>
  <c r="Q115" i="19"/>
  <c r="Q124" i="19" s="1"/>
  <c r="Q92" i="19"/>
  <c r="Q105" i="19"/>
  <c r="Q96" i="19"/>
  <c r="Q100" i="19"/>
  <c r="Q106" i="19"/>
  <c r="Q83" i="19"/>
  <c r="Q85" i="19"/>
  <c r="R85" i="19" s="1"/>
  <c r="R132" i="19" s="1"/>
  <c r="Q104" i="19"/>
  <c r="R105" i="20"/>
  <c r="O119" i="20"/>
  <c r="O132" i="20" s="1"/>
  <c r="O130" i="20"/>
  <c r="P45" i="20"/>
  <c r="P108" i="20"/>
  <c r="P84" i="20"/>
  <c r="P119" i="20" s="1"/>
  <c r="P132" i="20" s="1"/>
  <c r="P111" i="20"/>
  <c r="P110" i="20"/>
  <c r="R104" i="20"/>
  <c r="P116" i="19"/>
  <c r="P120" i="19"/>
  <c r="P133" i="19" s="1"/>
  <c r="R85" i="20"/>
  <c r="R132" i="20" s="1"/>
  <c r="R106" i="20"/>
  <c r="Q120" i="20"/>
  <c r="Q133" i="20" s="1"/>
  <c r="Q116" i="20"/>
  <c r="O118" i="20"/>
  <c r="O128" i="20" s="1"/>
  <c r="O118" i="19"/>
  <c r="O128" i="19" s="1"/>
  <c r="O45" i="19"/>
  <c r="P124" i="20"/>
  <c r="P126" i="20" s="1"/>
  <c r="P129" i="20" s="1"/>
  <c r="P117" i="20"/>
  <c r="P127" i="20" s="1"/>
  <c r="P82" i="19"/>
  <c r="P111" i="19"/>
  <c r="P84" i="19"/>
  <c r="P108" i="19"/>
  <c r="P110" i="19"/>
  <c r="R83" i="20"/>
  <c r="Q82" i="20"/>
  <c r="R82" i="20" s="1"/>
  <c r="Q84" i="20"/>
  <c r="Q111" i="20"/>
  <c r="Q110" i="20"/>
  <c r="Q108" i="20"/>
  <c r="P82" i="20"/>
  <c r="O125" i="19"/>
  <c r="O126" i="19" s="1"/>
  <c r="O129" i="19" s="1"/>
  <c r="O117" i="19"/>
  <c r="O127" i="19" s="1"/>
  <c r="R103" i="20"/>
  <c r="O117" i="20"/>
  <c r="O127" i="20" s="1"/>
  <c r="R28" i="33"/>
  <c r="O35" i="22"/>
  <c r="O26" i="22"/>
  <c r="R26" i="22" s="1"/>
  <c r="O30" i="22"/>
  <c r="O35" i="37"/>
  <c r="N27" i="33"/>
  <c r="R27" i="33" s="1"/>
  <c r="O29" i="22"/>
  <c r="R29" i="22" s="1"/>
  <c r="O27" i="37"/>
  <c r="R27" i="37" s="1"/>
  <c r="O34" i="22"/>
  <c r="O29" i="37"/>
  <c r="R29" i="37" s="1"/>
  <c r="O28" i="22"/>
  <c r="R28" i="22" s="1"/>
  <c r="O30" i="37"/>
  <c r="N32" i="22"/>
  <c r="O26" i="37"/>
  <c r="R26" i="37" s="1"/>
  <c r="N32" i="37"/>
  <c r="O27" i="22"/>
  <c r="R27" i="22" s="1"/>
  <c r="O28" i="37"/>
  <c r="R28" i="37" s="1"/>
  <c r="R71" i="22"/>
  <c r="R71" i="37"/>
  <c r="Q127" i="22"/>
  <c r="Q125" i="22"/>
  <c r="Q126" i="22" s="1"/>
  <c r="Q129" i="22" s="1"/>
  <c r="Q117" i="22"/>
  <c r="R64" i="22"/>
  <c r="Q127" i="37"/>
  <c r="Q125" i="37"/>
  <c r="Q126" i="37" s="1"/>
  <c r="Q129" i="37" s="1"/>
  <c r="Q117" i="37"/>
  <c r="O29" i="20" a="1"/>
  <c r="L32" i="20" a="1"/>
  <c r="O71" i="19" a="1"/>
  <c r="N26" i="20" a="1"/>
  <c r="N20" i="19" a="1"/>
  <c r="N24" i="19" a="1"/>
  <c r="O68" i="20" a="1"/>
  <c r="P70" i="20" a="1"/>
  <c r="O24" i="20" a="1"/>
  <c r="N16" i="19" a="1"/>
  <c r="P66" i="19" a="1"/>
  <c r="O20" i="20" a="1"/>
  <c r="M35" i="20" a="1"/>
  <c r="M34" i="19" a="1"/>
  <c r="O71" i="20" a="1"/>
  <c r="N27" i="20" a="1"/>
  <c r="N24" i="20" a="1"/>
  <c r="N28" i="19" a="1"/>
  <c r="P52" i="19" a="1"/>
  <c r="O12" i="19" a="1"/>
  <c r="N27" i="19" a="1"/>
  <c r="P60" i="19" a="1"/>
  <c r="O26" i="20" a="1"/>
  <c r="P65" i="19" a="1"/>
  <c r="P63" i="19" a="1"/>
  <c r="N29" i="20" a="1"/>
  <c r="O28" i="20" a="1"/>
  <c r="M34" i="20" a="1"/>
  <c r="N16" i="20" a="1"/>
  <c r="N28" i="20" a="1"/>
  <c r="N30" i="20" a="1"/>
  <c r="P56" i="19" a="1"/>
  <c r="N29" i="19" a="1"/>
  <c r="O70" i="19" a="1"/>
  <c r="P62" i="19" a="1"/>
  <c r="N20" i="20" a="1"/>
  <c r="O27" i="20" a="1"/>
  <c r="O70" i="20" a="1"/>
  <c r="O68" i="19" a="1"/>
  <c r="P71" i="20" a="1"/>
  <c r="P68" i="20" a="1"/>
  <c r="P64" i="19" a="1"/>
  <c r="N30" i="19" a="1"/>
  <c r="O16" i="20" a="1"/>
  <c r="L32" i="19" a="1"/>
  <c r="N26" i="19" a="1"/>
  <c r="M35" i="19" a="1"/>
  <c r="O30" i="20" a="1"/>
  <c r="R32" i="37" l="1"/>
  <c r="R30" i="37"/>
  <c r="R45" i="20"/>
  <c r="R32" i="22"/>
  <c r="R34" i="22"/>
  <c r="R30" i="22"/>
  <c r="R35" i="37"/>
  <c r="R35" i="22"/>
  <c r="O68" i="20"/>
  <c r="P66" i="19"/>
  <c r="P62" i="19"/>
  <c r="O20" i="20"/>
  <c r="N29" i="20"/>
  <c r="N30" i="20"/>
  <c r="N26" i="19"/>
  <c r="O12" i="19"/>
  <c r="P60" i="19"/>
  <c r="N28" i="19"/>
  <c r="N28" i="20"/>
  <c r="N26" i="20"/>
  <c r="P56" i="19"/>
  <c r="N16" i="19"/>
  <c r="O70" i="19"/>
  <c r="P65" i="19"/>
  <c r="N27" i="20"/>
  <c r="O68" i="19"/>
  <c r="P52" i="19"/>
  <c r="L32" i="19"/>
  <c r="O30" i="20"/>
  <c r="P68" i="20"/>
  <c r="O70" i="20"/>
  <c r="P64" i="19"/>
  <c r="L32" i="20"/>
  <c r="M35" i="19"/>
  <c r="M34" i="19"/>
  <c r="O24" i="20"/>
  <c r="N27" i="19"/>
  <c r="N24" i="19"/>
  <c r="P70" i="20"/>
  <c r="O71" i="19"/>
  <c r="O71" i="20"/>
  <c r="O28" i="20"/>
  <c r="M35" i="20"/>
  <c r="O16" i="20"/>
  <c r="N20" i="19"/>
  <c r="N29" i="19"/>
  <c r="N30" i="19"/>
  <c r="P71" i="20"/>
  <c r="P63" i="19"/>
  <c r="M34" i="20"/>
  <c r="O26" i="20"/>
  <c r="O27" i="20"/>
  <c r="O29" i="20"/>
  <c r="R29" i="20" s="1"/>
  <c r="N16" i="20"/>
  <c r="N20" i="20"/>
  <c r="N24" i="20"/>
  <c r="Q130" i="20"/>
  <c r="R130" i="20" s="1"/>
  <c r="Q119" i="20"/>
  <c r="Q132" i="20" s="1"/>
  <c r="P118" i="20"/>
  <c r="P128" i="20" s="1"/>
  <c r="R106" i="19"/>
  <c r="R102" i="19"/>
  <c r="Q116" i="19"/>
  <c r="Q120" i="19"/>
  <c r="Q133" i="19" s="1"/>
  <c r="R66" i="20"/>
  <c r="P45" i="19"/>
  <c r="R45" i="19" s="1"/>
  <c r="R48" i="19"/>
  <c r="R100" i="19"/>
  <c r="R64" i="20"/>
  <c r="P125" i="19"/>
  <c r="P126" i="19" s="1"/>
  <c r="P129" i="19" s="1"/>
  <c r="P117" i="19"/>
  <c r="P127" i="19" s="1"/>
  <c r="R105" i="19"/>
  <c r="O61" i="20"/>
  <c r="P118" i="19"/>
  <c r="P128" i="19" s="1"/>
  <c r="R92" i="19"/>
  <c r="N9" i="20"/>
  <c r="R9" i="20" s="1"/>
  <c r="R12" i="20"/>
  <c r="R108" i="20"/>
  <c r="Q118" i="20"/>
  <c r="Q128" i="20" s="1"/>
  <c r="P130" i="19"/>
  <c r="P119" i="19"/>
  <c r="P132" i="19" s="1"/>
  <c r="Q125" i="20"/>
  <c r="Q126" i="20" s="1"/>
  <c r="Q129" i="20" s="1"/>
  <c r="Q117" i="20"/>
  <c r="Q127" i="20" s="1"/>
  <c r="R104" i="19"/>
  <c r="O61" i="19"/>
  <c r="R110" i="20"/>
  <c r="R111" i="20"/>
  <c r="R96" i="19"/>
  <c r="R52" i="20"/>
  <c r="P130" i="20"/>
  <c r="R84" i="20"/>
  <c r="Q111" i="19"/>
  <c r="Q108" i="19"/>
  <c r="Q110" i="19"/>
  <c r="Q82" i="19"/>
  <c r="R82" i="19" s="1"/>
  <c r="Q84" i="19"/>
  <c r="R83" i="19"/>
  <c r="R103" i="19"/>
  <c r="R62" i="20"/>
  <c r="P61" i="20"/>
  <c r="R65" i="20"/>
  <c r="R56" i="20"/>
  <c r="R60" i="20"/>
  <c r="O16" i="19" a="1"/>
  <c r="O26" i="19" a="1"/>
  <c r="M32" i="19" a="1"/>
  <c r="O30" i="19" a="1"/>
  <c r="O35" i="20" a="1"/>
  <c r="O27" i="19" a="1"/>
  <c r="O20" i="19" a="1"/>
  <c r="P68" i="19" a="1"/>
  <c r="O29" i="19" a="1"/>
  <c r="N35" i="19" a="1"/>
  <c r="O28" i="19" a="1"/>
  <c r="P71" i="19" a="1"/>
  <c r="N34" i="20" a="1"/>
  <c r="N32" i="20" a="1"/>
  <c r="O34" i="20" a="1"/>
  <c r="M32" i="20" a="1"/>
  <c r="N35" i="20" a="1"/>
  <c r="P70" i="19" a="1"/>
  <c r="N34" i="19" a="1"/>
  <c r="O24" i="19" a="1"/>
  <c r="R28" i="20" l="1"/>
  <c r="O35" i="20"/>
  <c r="N35" i="19"/>
  <c r="O28" i="19"/>
  <c r="R28" i="19" s="1"/>
  <c r="O29" i="19"/>
  <c r="R29" i="19" s="1"/>
  <c r="O34" i="20"/>
  <c r="N34" i="20"/>
  <c r="N34" i="19"/>
  <c r="P70" i="19"/>
  <c r="N32" i="20"/>
  <c r="P68" i="19"/>
  <c r="O20" i="19"/>
  <c r="R20" i="19" s="1"/>
  <c r="P71" i="19"/>
  <c r="O16" i="19"/>
  <c r="R16" i="19" s="1"/>
  <c r="O26" i="19"/>
  <c r="R26" i="19" s="1"/>
  <c r="M32" i="19"/>
  <c r="O30" i="19"/>
  <c r="R30" i="19" s="1"/>
  <c r="O27" i="19"/>
  <c r="R27" i="19" s="1"/>
  <c r="N35" i="20"/>
  <c r="O24" i="19"/>
  <c r="R24" i="19" s="1"/>
  <c r="M32" i="20"/>
  <c r="Q130" i="19"/>
  <c r="R130" i="19" s="1"/>
  <c r="Q119" i="19"/>
  <c r="Q132" i="19" s="1"/>
  <c r="R84" i="19"/>
  <c r="R61" i="20"/>
  <c r="R71" i="20"/>
  <c r="R64" i="19"/>
  <c r="R65" i="19"/>
  <c r="O9" i="19"/>
  <c r="R9" i="19" s="1"/>
  <c r="R12" i="19"/>
  <c r="R70" i="20"/>
  <c r="R110" i="19"/>
  <c r="Q125" i="19"/>
  <c r="Q126" i="19" s="1"/>
  <c r="Q129" i="19" s="1"/>
  <c r="Q117" i="19"/>
  <c r="Q127" i="19" s="1"/>
  <c r="R68" i="20"/>
  <c r="Q118" i="19"/>
  <c r="Q128" i="19" s="1"/>
  <c r="R108" i="19"/>
  <c r="R30" i="20"/>
  <c r="R56" i="19"/>
  <c r="R111" i="19"/>
  <c r="R16" i="20"/>
  <c r="R24" i="20"/>
  <c r="R20" i="20"/>
  <c r="R26" i="20"/>
  <c r="R52" i="19"/>
  <c r="R62" i="19"/>
  <c r="R66" i="19"/>
  <c r="P61" i="19"/>
  <c r="R61" i="19" s="1"/>
  <c r="R27" i="20"/>
  <c r="R60" i="19"/>
  <c r="N32" i="19" a="1"/>
  <c r="O34" i="19" a="1"/>
  <c r="O35" i="19" a="1"/>
  <c r="O34" i="19" l="1"/>
  <c r="R34" i="19" s="1"/>
  <c r="O35" i="19"/>
  <c r="R35" i="19" s="1"/>
  <c r="N32" i="19"/>
  <c r="R32" i="19" s="1"/>
  <c r="R70" i="19"/>
  <c r="R34" i="20"/>
  <c r="R71" i="19"/>
  <c r="R68" i="19"/>
  <c r="R32" i="20"/>
  <c r="R35"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<sst xmlns="http://schemas.openxmlformats.org/spreadsheetml/2006/main" count="1647" uniqueCount="444">
  <si>
    <t>Notes</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</si>
  <si>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</si>
  <si>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</si>
  <si>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</si>
  <si>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</si>
  <si>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</si>
  <si>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</si>
  <si>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</si>
  <si>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</si>
  <si>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</si>
  <si>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</si>
  <si>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</si>
  <si>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</si>
  <si>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</si>
  <si>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</si>
  <si>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</si>
  <si>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</si>
  <si>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</si>
  <si>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</si>
  <si>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</si>
  <si>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</si>
  <si>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</si>
  <si>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</si>
  <si>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</si>
  <si>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</si>
  <si>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</si>
  <si>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</si>
  <si>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</si>
  <si>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</si>
  <si>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</si>
  <si>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</si>
  <si>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</si>
  <si>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</si>
  <si>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</si>
  <si>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</si>
  <si>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</si>
  <si>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</si>
  <si>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</si>
  <si>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</si>
  <si>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</si>
  <si>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</si>
  <si>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</si>
  <si>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</si>
  <si>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</si>
  <si>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</si>
  <si>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</si>
  <si>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</si>
  <si>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</si>
  <si>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</si>
  <si>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</si>
  <si>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</si>
  <si>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</si>
  <si>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</si>
  <si>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</si>
  <si>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</si>
  <si>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</si>
  <si>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</si>
  <si>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</si>
  <si>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</si>
  <si>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</si>
  <si>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</si>
  <si>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</si>
  <si>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</si>
  <si>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</si>
  <si>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</si>
  <si>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</si>
  <si>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</si>
  <si>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</si>
  <si>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</si>
  <si>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</si>
  <si>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</si>
  <si>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</si>
  <si>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</si>
  <si>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</si>
  <si>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</si>
  <si>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</si>
  <si>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</si>
  <si>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</si>
  <si>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</si>
  <si>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</si>
  <si>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</si>
  <si>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</si>
  <si>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</si>
  <si>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</si>
  <si>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</si>
  <si>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</si>
  <si>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</si>
  <si>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</si>
  <si>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</si>
  <si>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</si>
  <si>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</si>
  <si>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</si>
  <si>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</si>
  <si>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</si>
  <si>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</si>
  <si>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</si>
  <si>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</si>
  <si>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</si>
  <si>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</si>
  <si>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</si>
  <si>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</si>
  <si>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</si>
  <si>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</si>
  <si>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</si>
  <si>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</si>
  <si>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</si>
  <si>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</si>
  <si>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</si>
  <si>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</si>
  <si>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</si>
  <si>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</si>
  <si>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</si>
  <si>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</si>
  <si>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</si>
  <si>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</si>
  <si>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</si>
  <si>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</si>
  <si>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</si>
  <si>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</si>
  <si>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</si>
  <si>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</si>
  <si>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</si>
  <si>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</si>
  <si>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</si>
  <si>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</si>
  <si>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</si>
  <si>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</si>
  <si>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</si>
  <si>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</si>
  <si>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</si>
  <si>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</si>
  <si>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</si>
  <si>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</si>
  <si>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</si>
  <si>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</si>
  <si>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</si>
  <si>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</si>
  <si>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</si>
  <si>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</si>
  <si>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</si>
  <si>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</si>
  <si>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</si>
  <si>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</si>
  <si>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</si>
  <si>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</si>
  <si>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</si>
  <si>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</si>
  <si>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</si>
  <si>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</si>
  <si>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</si>
  <si>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</si>
  <si>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</si>
  <si>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</si>
  <si>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</si>
  <si>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</si>
  <si>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</si>
  <si>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</si>
  <si>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</si>
  <si>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</si>
  <si>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</si>
  <si>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</si>
  <si>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</si>
  <si>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</si>
  <si>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</si>
  <si>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</si>
  <si>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</si>
  <si>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</si>
  <si>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</si>
  <si>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</si>
  <si>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</si>
  <si>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</si>
  <si>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</si>
  <si>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</si>
  <si>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</si>
  <si>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</si>
  <si>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</si>
  <si>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</si>
  <si>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</si>
  <si>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</si>
  <si>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</si>
  <si>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</si>
  <si>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</si>
  <si>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</si>
  <si>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</si>
  <si>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</si>
  <si>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</si>
  <si>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</si>
  <si>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</si>
  <si>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</si>
  <si>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</si>
  <si>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</si>
  <si>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</si>
  <si>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</si>
  <si>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</si>
  <si>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</si>
  <si>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</si>
  <si>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</si>
  <si>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</si>
  <si>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</si>
  <si>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</si>
  <si>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</si>
  <si>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</si>
  <si>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</si>
  <si>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</si>
  <si>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</si>
  <si>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</si>
  <si>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</si>
  <si>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</si>
  <si>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</si>
  <si>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</si>
  <si>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</si>
  <si>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</si>
  <si>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</si>
  <si>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</si>
  <si>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</si>
  <si>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</si>
  <si>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</si>
  <si>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</si>
  <si>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</si>
  <si>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</si>
  <si>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</si>
  <si>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</si>
  <si>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</si>
  <si>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</si>
  <si>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</si>
  <si>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</si>
  <si>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</si>
  <si>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</si>
  <si>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</si>
  <si>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</si>
  <si>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</si>
  <si>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</si>
  <si>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</si>
  <si>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</si>
  <si>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</si>
  <si>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</si>
  <si>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</si>
  <si>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</si>
  <si>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</si>
  <si>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</si>
  <si>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</si>
  <si>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</si>
  <si>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</si>
  <si>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</si>
  <si>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</si>
  <si>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</si>
  <si>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</si>
  <si>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</si>
  <si>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</si>
  <si>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</si>
  <si>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</si>
  <si>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</si>
  <si>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</si>
  <si>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</si>
  <si>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</si>
  <si>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</si>
  <si>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</si>
  <si>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</si>
  <si>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</si>
  <si>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</si>
  <si>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</si>
  <si>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</si>
  <si>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</si>
  <si>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</si>
  <si>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</si>
  <si>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</si>
  <si>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</si>
  <si>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</si>
  <si>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</si>
  <si>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</si>
  <si>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</si>
  <si>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</si>
  <si>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</si>
  <si>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</si>
  <si>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</si>
  <si>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</si>
  <si>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</si>
  <si>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</si>
  <si>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</si>
  <si>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</si>
  <si>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</si>
  <si>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</si>
  <si>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</si>
  <si>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</si>
  <si>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</si>
  <si>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</si>
  <si>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</si>
  <si>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</si>
  <si>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</si>
  <si>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</si>
  <si>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</si>
  <si>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</si>
  <si>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</si>
  <si>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</si>
  <si>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</si>
  <si>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</si>
  <si>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</si>
  <si>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</si>
  <si>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</si>
  <si>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</si>
  <si>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</si>
  <si>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</si>
  <si>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</si>
  <si>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</si>
  <si>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</si>
  <si>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</si>
  <si>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</si>
  <si>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</si>
  <si>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</si>
  <si>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</si>
  <si>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</si>
  <si>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</si>
  <si>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</si>
  <si>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</si>
  <si>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</si>
  <si>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</si>
  <si>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</si>
  <si>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</si>
  <si>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</si>
  <si>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</si>
  <si>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</si>
  <si>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</si>
  <si>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</si>
  <si>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</si>
  <si>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</si>
  <si>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</si>
  <si>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</si>
  <si>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</si>
  <si>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</si>
  <si>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</si>
  <si>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</si>
  <si>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</si>
  <si>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</si>
  <si>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</si>
  <si>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</si>
  <si>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</si>
  <si>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</si>
  <si>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</si>
  <si>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</si>
  <si>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</si>
  <si>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</si>
  <si>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</si>
  <si>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</si>
  <si>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</si>
  <si>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</si>
  <si>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</si>
  <si>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</si>
  <si>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</si>
  <si>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</si>
  <si>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</si>
  <si>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</si>
  <si>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</si>
  <si>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</si>
  <si>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</si>
  <si>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</si>
  <si>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</si>
  <si>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</si>
  <si>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</si>
  <si>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</si>
  <si>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</si>
  <si>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</si>
  <si>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</si>
  <si>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</si>
  <si>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</si>
  <si>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</si>
  <si>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</si>
  <si>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</si>
  <si>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</si>
  <si>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</si>
  <si>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</si>
  <si>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</si>
  <si>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</si>
  <si>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</si>
  <si>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</si>
  <si>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</si>
  <si>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</si>
  <si>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</si>
  <si>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</si>
  <si>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</si>
  <si>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</si>
  <si>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</si>
  <si>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</si>
  <si>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</si>
  <si>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</si>
  <si>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</si>
  <si>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</si>
  <si>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</si>
  <si>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</si>
  <si>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</si>
  <si>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</si>
  <si>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</si>
  <si>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</si>
  <si>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</si>
  <si>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</si>
  <si>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</si>
  <si>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</si>
  <si>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</si>
  <si>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</si>
  <si>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</si>
  <si>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</si>
  <si>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</si>
  <si>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</si>
  <si>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</si>
  <si>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</si>
  <si>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</si>
  <si>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</si>
  <si>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</si>
  <si>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</si>
  <si>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</si>
  <si>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</si>
  <si>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</si>
  <si>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</si>
  <si>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</si>
  <si>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</si>
  <si>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</si>
  <si>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</si>
  <si>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</si>
  <si>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</si>
  <si>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</si>
  <si>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</si>
  <si>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</si>
  <si>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</si>
  <si>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</si>
  <si>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</si>
  <si>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</si>
  <si>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</si>
  <si>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</si>
  <si>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</si>
  <si>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</si>
  <si>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</si>
  <si>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</si>
  <si>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</si>
  <si>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</si>
  <si>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</si>
  <si>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</si>
  <si>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</si>
  <si>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</si>
  <si>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</si>
  <si>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</si>
  <si>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</si>
  <si>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20220208.xlsx</t>
  </si>
  <si>
    <t>This workbook presents Gantt charts showing the projected U.S. Offshore wind project pipeline through 2035 for a number of development scenarios. The worksheets are described below. NOTE: This version INCLUDES additional projected Lease Areas identified by BOEM and sent to NREL on 2/1/2022. These additions to the EXPANDED pipeline were also approved by the DOE.</t>
  </si>
  <si>
    <t xml:space="preserve">Expanded scenario -- Includes additional fixed-bottom lease areas BOEM expects to release by 2025 (after the NY Bight), as well as additional areas </t>
  </si>
  <si>
    <t xml:space="preserve">Expanded scenario -- Includes additional floating lease areas BOEM expects to release by 2025 (after the NY Bight), as well as additional areas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</si>
</sst>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horizontal="left" wrapText="1"/>
    </xf>
    <xf numFmtId="0" fontId="0" fillId="0" borderId="1" xfId="0" applyBorder="1" applyAlignment="1">
      <alignment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xf numFmtId="0" fontId="1" fillId="0" borderId="1" xfId="0" applyFont="1" applyBorder="1" applyAlignment="1">
      <alignment horizontal="center"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319.20644440645248</c:v>
                </c:pt>
                <c:pt idx="11">
                  <c:v>356.16679763270048</c:v>
                </c:pt>
                <c:pt idx="12">
                  <c:v>398.16021983415686</c:v>
                </c:pt>
                <c:pt idx="13">
                  <c:v>274.52731225842081</c:v>
                </c:pt>
                <c:pt idx="14">
                  <c:v>301.33333333333331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67</c:v>
                </c:pt>
                <c:pt idx="11">
                  <c:v>73</c:v>
                </c:pt>
                <c:pt idx="12">
                  <c:v>80</c:v>
                </c:pt>
                <c:pt idx="13">
                  <c:v>83</c:v>
                </c:pt>
                <c:pt idx="14">
                  <c:v>86</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12</c:v>
                </c:pt>
                <c:pt idx="12">
                  <c:v>8</c:v>
                </c:pt>
                <c:pt idx="13">
                  <c:v>8</c:v>
                </c:pt>
                <c:pt idx="14">
                  <c:v>4</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6</c:v>
                </c:pt>
                <c:pt idx="12">
                  <c:v>4</c:v>
                </c:pt>
                <c:pt idx="13">
                  <c:v>4</c:v>
                </c:pt>
                <c:pt idx="14">
                  <c:v>2</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3</c:v>
                </c:pt>
                <c:pt idx="11">
                  <c:v>5</c:v>
                </c:pt>
                <c:pt idx="12">
                  <c:v>4</c:v>
                </c:pt>
                <c:pt idx="13">
                  <c:v>3</c:v>
                </c:pt>
                <c:pt idx="14">
                  <c:v>2</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13</c:v>
                </c:pt>
                <c:pt idx="11">
                  <c:v>15</c:v>
                </c:pt>
                <c:pt idx="12">
                  <c:v>17</c:v>
                </c:pt>
                <c:pt idx="13">
                  <c:v>18</c:v>
                </c:pt>
                <c:pt idx="14">
                  <c:v>19</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5745.7159993161449</c:v>
                </c:pt>
                <c:pt idx="11">
                  <c:v>6411.0023573886083</c:v>
                </c:pt>
                <c:pt idx="12">
                  <c:v>7166.8839570148239</c:v>
                </c:pt>
                <c:pt idx="13">
                  <c:v>4941.4916206515745</c:v>
                </c:pt>
                <c:pt idx="14">
                  <c:v>5424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7</c:v>
                </c:pt>
                <c:pt idx="11">
                  <c:v>7</c:v>
                </c:pt>
                <c:pt idx="12">
                  <c:v>7</c:v>
                </c:pt>
                <c:pt idx="13">
                  <c:v>5</c:v>
                </c:pt>
                <c:pt idx="14">
                  <c:v>5</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6</c:v>
                </c:pt>
                <c:pt idx="11">
                  <c:v>4</c:v>
                </c:pt>
                <c:pt idx="12">
                  <c:v>4</c:v>
                </c:pt>
                <c:pt idx="13">
                  <c:v>2</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12</c:v>
                </c:pt>
                <c:pt idx="11">
                  <c:v>8</c:v>
                </c:pt>
                <c:pt idx="12">
                  <c:v>8</c:v>
                </c:pt>
                <c:pt idx="13">
                  <c:v>4</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3</c:v>
                </c:pt>
                <c:pt idx="10">
                  <c:v>5</c:v>
                </c:pt>
                <c:pt idx="11">
                  <c:v>4</c:v>
                </c:pt>
                <c:pt idx="12">
                  <c:v>3</c:v>
                </c:pt>
                <c:pt idx="13">
                  <c:v>2</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67</c:v>
                </c:pt>
                <c:pt idx="10">
                  <c:v>73</c:v>
                </c:pt>
                <c:pt idx="11">
                  <c:v>80</c:v>
                </c:pt>
                <c:pt idx="12">
                  <c:v>83</c:v>
                </c:pt>
                <c:pt idx="13">
                  <c:v>86</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13</c:v>
                </c:pt>
                <c:pt idx="10">
                  <c:v>15</c:v>
                </c:pt>
                <c:pt idx="11">
                  <c:v>17</c:v>
                </c:pt>
                <c:pt idx="12">
                  <c:v>18</c:v>
                </c:pt>
                <c:pt idx="13">
                  <c:v>19</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111.11111111111111</c:v>
                </c:pt>
                <c:pt idx="12">
                  <c:v>138.88888888888889</c:v>
                </c:pt>
                <c:pt idx="13">
                  <c:v>55.555555555555557</c:v>
                </c:pt>
                <c:pt idx="14">
                  <c:v>0</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8</c:v>
                </c:pt>
                <c:pt idx="12">
                  <c:v>11</c:v>
                </c:pt>
                <c:pt idx="13">
                  <c:v>11</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4</c:v>
                </c:pt>
                <c:pt idx="12">
                  <c:v>4</c:v>
                </c:pt>
                <c:pt idx="13">
                  <c:v>4</c:v>
                </c:pt>
                <c:pt idx="14">
                  <c:v>0</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2</c:v>
                </c:pt>
                <c:pt idx="12">
                  <c:v>2</c:v>
                </c:pt>
                <c:pt idx="13">
                  <c:v>2</c:v>
                </c:pt>
                <c:pt idx="14">
                  <c:v>0</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2000</c:v>
                </c:pt>
                <c:pt idx="12">
                  <c:v>2500</c:v>
                </c:pt>
                <c:pt idx="13">
                  <c:v>1000</c:v>
                </c:pt>
                <c:pt idx="14">
                  <c:v>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111.11111111111111</c:v>
                </c:pt>
                <c:pt idx="11">
                  <c:v>138.88888888888889</c:v>
                </c:pt>
                <c:pt idx="12">
                  <c:v>55.555555555555557</c:v>
                </c:pt>
                <c:pt idx="13">
                  <c:v>0</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111.11111111111111</c:v>
                </c:pt>
                <c:pt idx="10">
                  <c:v>138.88888888888889</c:v>
                </c:pt>
                <c:pt idx="11">
                  <c:v>55.555555555555557</c:v>
                </c:pt>
                <c:pt idx="12">
                  <c:v>0</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91.333333333333329</c:v>
                </c:pt>
                <c:pt idx="11">
                  <c:v>27.777777777777779</c:v>
                </c:pt>
                <c:pt idx="12">
                  <c:v>177.77777777777777</c:v>
                </c:pt>
                <c:pt idx="13">
                  <c:v>138.88888888888889</c:v>
                </c:pt>
                <c:pt idx="14">
                  <c:v>250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6</c:v>
                </c:pt>
                <c:pt idx="11">
                  <c:v>8</c:v>
                </c:pt>
                <c:pt idx="12">
                  <c:v>12</c:v>
                </c:pt>
                <c:pt idx="13">
                  <c:v>15</c:v>
                </c:pt>
                <c:pt idx="14">
                  <c:v>20</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3</c:v>
                </c:pt>
                <c:pt idx="14">
                  <c:v>4</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1644</c:v>
                </c:pt>
                <c:pt idx="11">
                  <c:v>500</c:v>
                </c:pt>
                <c:pt idx="12">
                  <c:v>3200</c:v>
                </c:pt>
                <c:pt idx="13">
                  <c:v>2500</c:v>
                </c:pt>
                <c:pt idx="14">
                  <c:v>4500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18.121693121693124</c:v>
                </c:pt>
                <c:pt idx="11">
                  <c:v>5.5114638447971789</c:v>
                </c:pt>
                <c:pt idx="12">
                  <c:v>35.273368606701943</c:v>
                </c:pt>
                <c:pt idx="13">
                  <c:v>27.557319223985893</c:v>
                </c:pt>
                <c:pt idx="14">
                  <c:v>49.603174603174608</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182.66666666666666</c:v>
                </c:pt>
                <c:pt idx="11">
                  <c:v>55.555555555555557</c:v>
                </c:pt>
                <c:pt idx="12">
                  <c:v>355.55555555555554</c:v>
                </c:pt>
                <c:pt idx="13">
                  <c:v>277.77777777777777</c:v>
                </c:pt>
                <c:pt idx="14">
                  <c:v>500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300.62599050437262</c:v>
                </c:pt>
                <c:pt idx="12">
                  <c:v>198.16666666666666</c:v>
                </c:pt>
                <c:pt idx="13">
                  <c:v>135.63842336953189</c:v>
                </c:pt>
                <c:pt idx="14">
                  <c:v>51.333333333333336</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4</c:v>
                </c:pt>
                <c:pt idx="12">
                  <c:v>3</c:v>
                </c:pt>
                <c:pt idx="13">
                  <c:v>2</c:v>
                </c:pt>
                <c:pt idx="14">
                  <c:v>1</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13</c:v>
                </c:pt>
                <c:pt idx="12">
                  <c:v>14</c:v>
                </c:pt>
                <c:pt idx="13">
                  <c:v>14</c:v>
                </c:pt>
                <c:pt idx="14">
                  <c:v>15</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5411.2678290787071</c:v>
                </c:pt>
                <c:pt idx="12">
                  <c:v>3567</c:v>
                </c:pt>
                <c:pt idx="13">
                  <c:v>2441.4916206515741</c:v>
                </c:pt>
                <c:pt idx="14">
                  <c:v>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8</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4</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workbookViewId="0">
      <selection activeCell="I13" sqref="I13"/>
    </sheetView>
  </sheetViews>
  <sheetFormatPr defaultRowHeight="14.5" x14ac:dyDescent="0.35"/>
  <cols>
    <col min="3" max="3" width="13.453125" style="207" customWidth="1"/>
    <col min="4" max="4" width="75.54296875" style="207" customWidth="1"/>
  </cols>
  <sheetData>
    <row r="2" spans="3:4" ht="30" x14ac:dyDescent="0.35">
      <c r="C2" s="207" t="s">
        <v>405</v>
      </c>
      <c r="D2" s="218" t="s">
        <v>406</v>
      </c>
    </row>
    <row r="3" spans="3:4" ht="29" x14ac:dyDescent="0.35">
      <c r="C3" s="207" t="s">
        <v>407</v>
      </c>
      <c r="D3" s="207" t="s">
        <v>440</v>
      </c>
    </row>
    <row r="4" spans="3:4" x14ac:dyDescent="0.35">
      <c r="C4" s="207" t="s">
        <v>408</v>
      </c>
      <c r="D4" s="219">
        <v>44600</v>
      </c>
    </row>
    <row r="5" spans="3:4" x14ac:dyDescent="0.35">
      <c r="C5" s="207" t="s">
        <v>409</v>
      </c>
      <c r="D5" s="207" t="s">
        <v>410</v>
      </c>
    </row>
    <row r="7" spans="3:4" ht="72.5" x14ac:dyDescent="0.35">
      <c r="D7" s="207" t="s">
        <v>441</v>
      </c>
    </row>
    <row r="9" spans="3:4" ht="29" x14ac:dyDescent="0.35">
      <c r="C9" s="220" t="s">
        <v>411</v>
      </c>
      <c r="D9" s="221" t="s">
        <v>412</v>
      </c>
    </row>
    <row r="10" spans="3:4" x14ac:dyDescent="0.35">
      <c r="C10" s="220" t="s">
        <v>3</v>
      </c>
      <c r="D10" s="207" t="s">
        <v>413</v>
      </c>
    </row>
    <row r="11" spans="3:4" ht="58" x14ac:dyDescent="0.35">
      <c r="C11" s="220" t="s">
        <v>415</v>
      </c>
      <c r="D11" s="207" t="s">
        <v>429</v>
      </c>
    </row>
    <row r="12" spans="3:4" x14ac:dyDescent="0.35">
      <c r="C12" s="222" t="s">
        <v>416</v>
      </c>
      <c r="D12" s="171" t="s">
        <v>417</v>
      </c>
    </row>
    <row r="13" spans="3:4" ht="72.5" x14ac:dyDescent="0.35">
      <c r="C13" s="220" t="s">
        <v>425</v>
      </c>
      <c r="D13" s="207" t="s">
        <v>428</v>
      </c>
    </row>
    <row r="14" spans="3:4" ht="43.5" x14ac:dyDescent="0.35">
      <c r="C14" s="220" t="s">
        <v>426</v>
      </c>
      <c r="D14" s="207" t="s">
        <v>427</v>
      </c>
    </row>
    <row r="15" spans="3:4" ht="29" x14ac:dyDescent="0.35">
      <c r="C15" s="222" t="s">
        <v>349</v>
      </c>
      <c r="D15" s="171" t="s">
        <v>442</v>
      </c>
    </row>
    <row r="16" spans="3:4" ht="29" x14ac:dyDescent="0.35">
      <c r="C16" s="222" t="s">
        <v>348</v>
      </c>
      <c r="D16" s="171" t="s">
        <v>443</v>
      </c>
    </row>
    <row r="17" spans="3:4" ht="78.650000000000006" customHeight="1" x14ac:dyDescent="0.35">
      <c r="C17" s="220" t="s">
        <v>418</v>
      </c>
      <c r="D17" s="207" t="s">
        <v>437</v>
      </c>
    </row>
    <row r="18" spans="3:4" ht="43.5" x14ac:dyDescent="0.35">
      <c r="C18" s="220" t="s">
        <v>419</v>
      </c>
      <c r="D18" s="207" t="s">
        <v>430</v>
      </c>
    </row>
    <row r="19" spans="3:4" ht="43.5" x14ac:dyDescent="0.35">
      <c r="C19" s="220" t="s">
        <v>420</v>
      </c>
      <c r="D19" s="207" t="s">
        <v>431</v>
      </c>
    </row>
    <row r="20" spans="3:4" ht="43.5" x14ac:dyDescent="0.35">
      <c r="C20" s="220" t="s">
        <v>421</v>
      </c>
      <c r="D20" s="207" t="s">
        <v>432</v>
      </c>
    </row>
    <row r="21" spans="3:4" ht="43.5" x14ac:dyDescent="0.35">
      <c r="C21" s="220" t="s">
        <v>422</v>
      </c>
      <c r="D21" s="207" t="s">
        <v>434</v>
      </c>
    </row>
    <row r="22" spans="3:4" ht="29" x14ac:dyDescent="0.35">
      <c r="C22" s="222" t="s">
        <v>433</v>
      </c>
      <c r="D22" s="171" t="s">
        <v>435</v>
      </c>
    </row>
    <row r="23" spans="3:4" ht="43.5" x14ac:dyDescent="0.35">
      <c r="C23" s="220" t="s">
        <v>423</v>
      </c>
      <c r="D23" s="207" t="s">
        <v>424</v>
      </c>
    </row>
    <row r="24" spans="3:4" ht="29" x14ac:dyDescent="0.35">
      <c r="C24" s="220" t="s">
        <v>414</v>
      </c>
      <c r="D24" s="207" t="s">
        <v>436</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C66" workbookViewId="0">
      <selection activeCell="L77" sqref="L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225</v>
      </c>
    </row>
    <row r="2" spans="1:25" x14ac:dyDescent="0.35">
      <c r="B2" s="15" t="s">
        <v>224</v>
      </c>
    </row>
    <row r="3" spans="1:25" x14ac:dyDescent="0.35">
      <c r="B3" s="15" t="s">
        <v>2</v>
      </c>
    </row>
    <row r="4" spans="1:25" x14ac:dyDescent="0.35">
      <c r="G4" t="s">
        <v>209</v>
      </c>
    </row>
    <row r="5" spans="1:25" x14ac:dyDescent="0.35">
      <c r="B5" s="2" t="s">
        <v>3</v>
      </c>
      <c r="G5" s="94" t="s">
        <v>210</v>
      </c>
    </row>
    <row r="6" spans="1:25" x14ac:dyDescent="0.35">
      <c r="A6">
        <v>1</v>
      </c>
      <c r="B6" s="61" t="s">
        <v>202</v>
      </c>
      <c r="G6" s="95" t="s">
        <v>211</v>
      </c>
    </row>
    <row r="7" spans="1:25" x14ac:dyDescent="0.35">
      <c r="B7" s="1" t="s">
        <v>231</v>
      </c>
      <c r="H7" s="30"/>
    </row>
    <row r="8" spans="1:25" ht="43.5" x14ac:dyDescent="0.35">
      <c r="B8" s="62" t="s">
        <v>204</v>
      </c>
      <c r="O8" s="72" t="s">
        <v>154</v>
      </c>
      <c r="V8" s="60"/>
      <c r="W8" s="31"/>
      <c r="X8" s="31"/>
      <c r="Y8" s="31"/>
    </row>
    <row r="9" spans="1:25" x14ac:dyDescent="0.35">
      <c r="B9" s="2"/>
      <c r="I9">
        <v>8</v>
      </c>
      <c r="J9" s="34" t="s">
        <v>125</v>
      </c>
      <c r="K9" s="31"/>
      <c r="L9" s="31"/>
      <c r="O9" s="73" t="s">
        <v>155</v>
      </c>
      <c r="U9" s="83"/>
      <c r="V9" s="141"/>
      <c r="W9" s="32"/>
      <c r="X9" s="83"/>
    </row>
    <row r="10" spans="1:25" ht="29" x14ac:dyDescent="0.35">
      <c r="A10" s="1"/>
      <c r="B10" s="8" t="s">
        <v>197</v>
      </c>
      <c r="C10" s="55" t="s">
        <v>176</v>
      </c>
      <c r="D10" s="55" t="s">
        <v>177</v>
      </c>
      <c r="E10" s="55" t="s">
        <v>178</v>
      </c>
      <c r="F10" s="79" t="s">
        <v>184</v>
      </c>
      <c r="G10" s="79" t="s">
        <v>215</v>
      </c>
      <c r="H10" s="1"/>
      <c r="J10" s="9" t="s">
        <v>216</v>
      </c>
      <c r="K10" s="69" t="s">
        <v>126</v>
      </c>
      <c r="L10" s="69" t="s">
        <v>127</v>
      </c>
      <c r="M10" s="8" t="s">
        <v>0</v>
      </c>
      <c r="N10" s="18"/>
      <c r="O10" s="73" t="s">
        <v>156</v>
      </c>
      <c r="U10" s="142"/>
      <c r="V10" s="142"/>
      <c r="W10" s="142"/>
      <c r="X10" s="83"/>
    </row>
    <row r="11" spans="1:25" ht="43.5" x14ac:dyDescent="0.35">
      <c r="B11" s="3" t="s">
        <v>247</v>
      </c>
      <c r="C11" s="91">
        <v>4000</v>
      </c>
      <c r="D11" s="91">
        <v>3000</v>
      </c>
      <c r="E11" s="91">
        <v>2000</v>
      </c>
      <c r="F11" s="92">
        <v>0.33</v>
      </c>
      <c r="G11" s="67"/>
      <c r="J11" s="4" t="s">
        <v>71</v>
      </c>
      <c r="K11" s="91">
        <v>0</v>
      </c>
      <c r="L11" s="91">
        <v>40</v>
      </c>
      <c r="M11" s="3" t="s">
        <v>248</v>
      </c>
      <c r="N11" s="25"/>
      <c r="O11" s="73" t="s">
        <v>157</v>
      </c>
      <c r="U11" s="32"/>
      <c r="V11" s="32"/>
      <c r="W11" s="32"/>
      <c r="X11" s="83"/>
    </row>
    <row r="12" spans="1:25" ht="43.5" x14ac:dyDescent="0.35">
      <c r="B12" s="66" t="s">
        <v>203</v>
      </c>
      <c r="C12" s="91">
        <v>9</v>
      </c>
      <c r="D12" s="91">
        <v>7</v>
      </c>
      <c r="E12" s="91">
        <v>5</v>
      </c>
      <c r="F12" s="92"/>
      <c r="G12" s="92">
        <v>0.5</v>
      </c>
      <c r="J12" s="4" t="s">
        <v>128</v>
      </c>
      <c r="K12" s="91">
        <v>20</v>
      </c>
      <c r="L12" s="91">
        <v>40</v>
      </c>
      <c r="M12" s="3" t="s">
        <v>214</v>
      </c>
      <c r="N12" s="25"/>
      <c r="O12" s="73" t="s">
        <v>158</v>
      </c>
      <c r="U12" s="32"/>
      <c r="V12" s="32"/>
      <c r="W12" s="32"/>
      <c r="X12" s="83"/>
    </row>
    <row r="13" spans="1:25" x14ac:dyDescent="0.35">
      <c r="J13" s="4" t="s">
        <v>129</v>
      </c>
      <c r="K13" s="91">
        <v>40</v>
      </c>
      <c r="L13" s="91">
        <v>60</v>
      </c>
      <c r="M13" s="3" t="s">
        <v>130</v>
      </c>
      <c r="N13" s="25"/>
      <c r="O13" s="73" t="s">
        <v>159</v>
      </c>
      <c r="U13" s="32"/>
      <c r="V13" s="32"/>
      <c r="W13" s="32"/>
      <c r="X13" s="83"/>
    </row>
    <row r="14" spans="1:25" x14ac:dyDescent="0.35">
      <c r="A14">
        <v>2</v>
      </c>
      <c r="B14" s="61" t="s">
        <v>207</v>
      </c>
      <c r="O14" s="73" t="s">
        <v>160</v>
      </c>
      <c r="U14" s="32"/>
      <c r="V14" s="32"/>
      <c r="W14" s="32"/>
      <c r="X14" s="83"/>
    </row>
    <row r="15" spans="1:25" x14ac:dyDescent="0.35">
      <c r="B15" s="8" t="s">
        <v>5</v>
      </c>
      <c r="C15" s="69" t="s">
        <v>6</v>
      </c>
      <c r="D15" s="69" t="s">
        <v>7</v>
      </c>
      <c r="E15" s="69" t="s">
        <v>8</v>
      </c>
      <c r="F15" s="69" t="s">
        <v>9</v>
      </c>
      <c r="J15" s="9" t="s">
        <v>230</v>
      </c>
      <c r="K15" s="69" t="s">
        <v>229</v>
      </c>
      <c r="O15" s="73" t="s">
        <v>161</v>
      </c>
      <c r="U15" s="32"/>
      <c r="V15" s="32"/>
      <c r="W15" s="32"/>
      <c r="X15" s="83"/>
    </row>
    <row r="16" spans="1:25" x14ac:dyDescent="0.35">
      <c r="B16" s="3" t="s">
        <v>11</v>
      </c>
      <c r="C16" s="91">
        <v>11</v>
      </c>
      <c r="D16" s="91">
        <v>12</v>
      </c>
      <c r="E16" s="91">
        <v>13</v>
      </c>
      <c r="F16" s="97">
        <f>AVERAGE(C16:E16)</f>
        <v>12</v>
      </c>
      <c r="J16" s="4" t="s">
        <v>71</v>
      </c>
      <c r="K16" s="92">
        <f>1/3</f>
        <v>0.33333333333333331</v>
      </c>
      <c r="O16" s="73" t="s">
        <v>162</v>
      </c>
      <c r="U16" s="83"/>
      <c r="V16" s="83"/>
      <c r="W16" s="83"/>
      <c r="X16" s="83"/>
    </row>
    <row r="17" spans="1:24" x14ac:dyDescent="0.35">
      <c r="B17" s="3" t="s">
        <v>200</v>
      </c>
      <c r="C17" s="91">
        <v>14</v>
      </c>
      <c r="D17" s="91">
        <v>15</v>
      </c>
      <c r="E17" s="91">
        <v>16</v>
      </c>
      <c r="F17" s="97">
        <f>AVERAGE(C17:E17)</f>
        <v>15</v>
      </c>
      <c r="J17" s="4" t="s">
        <v>228</v>
      </c>
      <c r="K17" s="92">
        <f>1/3</f>
        <v>0.33333333333333331</v>
      </c>
      <c r="O17" s="73" t="s">
        <v>163</v>
      </c>
      <c r="U17" s="83"/>
      <c r="V17" s="83"/>
      <c r="W17" s="83"/>
      <c r="X17" s="83"/>
    </row>
    <row r="18" spans="1:24" x14ac:dyDescent="0.35">
      <c r="B18" s="3" t="s">
        <v>201</v>
      </c>
      <c r="C18" s="91">
        <v>17</v>
      </c>
      <c r="D18" s="91">
        <v>18</v>
      </c>
      <c r="E18" s="91">
        <v>19</v>
      </c>
      <c r="F18" s="97">
        <f>AVERAGE(C18:E18)</f>
        <v>18</v>
      </c>
      <c r="J18" s="4" t="s">
        <v>129</v>
      </c>
      <c r="K18" s="92">
        <f>1/3</f>
        <v>0.33333333333333331</v>
      </c>
      <c r="N18" s="18"/>
      <c r="O18" s="73" t="s">
        <v>164</v>
      </c>
      <c r="U18" s="83"/>
      <c r="V18" s="83"/>
      <c r="W18" s="83"/>
      <c r="X18" s="83"/>
    </row>
    <row r="19" spans="1:24" x14ac:dyDescent="0.35">
      <c r="B19" s="3" t="s">
        <v>198</v>
      </c>
      <c r="C19" s="92">
        <v>0.65</v>
      </c>
      <c r="D19" s="31"/>
      <c r="E19" s="31"/>
      <c r="F19" s="31"/>
      <c r="N19" s="25"/>
      <c r="O19" s="73" t="s">
        <v>165</v>
      </c>
    </row>
    <row r="20" spans="1:24" ht="15.5" x14ac:dyDescent="0.35">
      <c r="B20" s="3" t="s">
        <v>199</v>
      </c>
      <c r="C20" s="93">
        <v>2</v>
      </c>
      <c r="D20" s="31" t="s">
        <v>190</v>
      </c>
      <c r="E20" s="31"/>
      <c r="F20" s="31"/>
      <c r="J20" s="1"/>
      <c r="K20" s="6"/>
      <c r="L20" s="6"/>
      <c r="N20" s="25"/>
      <c r="O20" s="74"/>
    </row>
    <row r="21" spans="1:24" x14ac:dyDescent="0.35">
      <c r="N21" s="25"/>
      <c r="O21" s="75" t="s">
        <v>166</v>
      </c>
    </row>
    <row r="22" spans="1:24" x14ac:dyDescent="0.35">
      <c r="A22">
        <v>3</v>
      </c>
      <c r="B22" s="61" t="s">
        <v>15</v>
      </c>
      <c r="I22">
        <v>9</v>
      </c>
      <c r="J22" s="34" t="s">
        <v>1</v>
      </c>
      <c r="N22" s="25"/>
      <c r="O22" s="73" t="s">
        <v>167</v>
      </c>
    </row>
    <row r="23" spans="1:24" x14ac:dyDescent="0.35">
      <c r="B23" s="3" t="s">
        <v>16</v>
      </c>
      <c r="C23" s="91">
        <v>800</v>
      </c>
      <c r="D23" s="56" t="s">
        <v>17</v>
      </c>
      <c r="J23" s="9" t="s">
        <v>220</v>
      </c>
      <c r="K23" s="69" t="s">
        <v>221</v>
      </c>
      <c r="L23" s="69" t="s">
        <v>219</v>
      </c>
      <c r="M23" s="55" t="s">
        <v>0</v>
      </c>
      <c r="N23" s="25"/>
      <c r="O23" s="73" t="s">
        <v>168</v>
      </c>
    </row>
    <row r="24" spans="1:24" x14ac:dyDescent="0.35">
      <c r="J24" s="4" t="s">
        <v>65</v>
      </c>
      <c r="K24" s="91">
        <v>90</v>
      </c>
      <c r="L24" s="56" t="s">
        <v>66</v>
      </c>
      <c r="M24" s="3"/>
      <c r="N24" s="25"/>
      <c r="O24" s="76" t="s">
        <v>169</v>
      </c>
    </row>
    <row r="25" spans="1:24" x14ac:dyDescent="0.35">
      <c r="A25">
        <v>4</v>
      </c>
      <c r="B25" s="61" t="s">
        <v>18</v>
      </c>
      <c r="J25" s="4" t="s">
        <v>172</v>
      </c>
      <c r="K25" s="91">
        <v>36</v>
      </c>
      <c r="L25" s="56" t="s">
        <v>237</v>
      </c>
      <c r="M25" s="3" t="s">
        <v>226</v>
      </c>
      <c r="N25" s="25"/>
    </row>
    <row r="26" spans="1:24" x14ac:dyDescent="0.35">
      <c r="B26" s="3" t="s">
        <v>22</v>
      </c>
      <c r="C26" s="92">
        <v>0.1</v>
      </c>
      <c r="J26" s="4" t="s">
        <v>173</v>
      </c>
      <c r="K26" s="91">
        <v>36</v>
      </c>
      <c r="L26" s="56" t="s">
        <v>237</v>
      </c>
      <c r="M26" s="3" t="s">
        <v>227</v>
      </c>
      <c r="N26" s="25"/>
    </row>
    <row r="27" spans="1:24" x14ac:dyDescent="0.35">
      <c r="B27" s="3" t="s">
        <v>205</v>
      </c>
      <c r="C27" s="91">
        <v>1</v>
      </c>
      <c r="J27" s="4" t="s">
        <v>171</v>
      </c>
      <c r="K27" s="91">
        <v>240</v>
      </c>
      <c r="L27" s="56" t="s">
        <v>237</v>
      </c>
      <c r="M27" s="3"/>
      <c r="O27" s="77" t="s">
        <v>249</v>
      </c>
      <c r="P27" s="56"/>
      <c r="Q27" s="56"/>
    </row>
    <row r="28" spans="1:24" x14ac:dyDescent="0.35">
      <c r="B28" s="25"/>
      <c r="C28" s="160"/>
      <c r="D28" s="159"/>
      <c r="E28" s="159"/>
      <c r="F28" s="159"/>
      <c r="J28" s="4" t="s">
        <v>306</v>
      </c>
      <c r="K28" s="91">
        <v>36</v>
      </c>
      <c r="L28" s="56" t="s">
        <v>237</v>
      </c>
      <c r="M28" s="156" t="s">
        <v>290</v>
      </c>
      <c r="N28" s="155"/>
      <c r="O28" s="77"/>
      <c r="P28" s="56"/>
      <c r="Q28" s="56"/>
    </row>
    <row r="29" spans="1:24" x14ac:dyDescent="0.35">
      <c r="J29" s="4" t="s">
        <v>151</v>
      </c>
      <c r="K29" s="91">
        <v>12</v>
      </c>
      <c r="L29" s="56" t="s">
        <v>237</v>
      </c>
      <c r="M29" s="3"/>
      <c r="N29" s="70"/>
      <c r="O29" s="4" t="s">
        <v>19</v>
      </c>
      <c r="P29" s="56" t="s">
        <v>20</v>
      </c>
      <c r="Q29" s="56" t="s">
        <v>21</v>
      </c>
    </row>
    <row r="30" spans="1:24" x14ac:dyDescent="0.35">
      <c r="A30">
        <v>5</v>
      </c>
      <c r="B30" s="61" t="s">
        <v>29</v>
      </c>
      <c r="J30" s="4" t="s">
        <v>152</v>
      </c>
      <c r="K30" s="97">
        <f>K25*K31</f>
        <v>108</v>
      </c>
      <c r="L30" s="56" t="s">
        <v>237</v>
      </c>
      <c r="M30" s="3"/>
      <c r="N30" s="21"/>
      <c r="O30" s="4" t="s">
        <v>23</v>
      </c>
      <c r="P30" s="91" t="s">
        <v>24</v>
      </c>
      <c r="Q30" s="91">
        <v>1</v>
      </c>
    </row>
    <row r="31" spans="1:24" ht="29" x14ac:dyDescent="0.35">
      <c r="B31" s="8" t="s">
        <v>32</v>
      </c>
      <c r="C31" s="55" t="s">
        <v>33</v>
      </c>
      <c r="D31" s="231" t="s">
        <v>0</v>
      </c>
      <c r="E31" s="231"/>
      <c r="F31" s="231"/>
      <c r="G31" s="231"/>
      <c r="J31" s="4" t="s">
        <v>175</v>
      </c>
      <c r="K31" s="91">
        <v>3</v>
      </c>
      <c r="L31" s="56" t="s">
        <v>174</v>
      </c>
      <c r="M31" s="3"/>
      <c r="N31" s="21"/>
      <c r="O31" s="4" t="s">
        <v>25</v>
      </c>
      <c r="P31" s="91" t="s">
        <v>26</v>
      </c>
      <c r="Q31" s="91">
        <v>2</v>
      </c>
    </row>
    <row r="32" spans="1:24" x14ac:dyDescent="0.35">
      <c r="B32" s="33" t="s">
        <v>36</v>
      </c>
      <c r="C32" s="92">
        <f>(0.333+0.33+0.33)/3</f>
        <v>0.33100000000000002</v>
      </c>
      <c r="D32" s="227" t="s">
        <v>144</v>
      </c>
      <c r="E32" s="227"/>
      <c r="F32" s="227"/>
      <c r="G32" s="227"/>
      <c r="J32" s="4" t="s">
        <v>153</v>
      </c>
      <c r="K32" s="91">
        <f>12*K31</f>
        <v>36</v>
      </c>
      <c r="L32" s="56" t="s">
        <v>237</v>
      </c>
      <c r="M32" s="3"/>
      <c r="N32" s="21"/>
      <c r="O32" s="4" t="s">
        <v>27</v>
      </c>
      <c r="P32" s="91" t="s">
        <v>28</v>
      </c>
      <c r="Q32" s="91">
        <v>3</v>
      </c>
    </row>
    <row r="33" spans="1:19" x14ac:dyDescent="0.35">
      <c r="B33" s="33" t="s">
        <v>39</v>
      </c>
      <c r="C33" s="92">
        <f>(0.5+0.5+1)/3</f>
        <v>0.66666666666666663</v>
      </c>
      <c r="D33" s="227" t="s">
        <v>145</v>
      </c>
      <c r="E33" s="227"/>
      <c r="F33" s="227"/>
      <c r="G33" s="227"/>
      <c r="I33" s="1"/>
      <c r="N33" s="71"/>
      <c r="O33" s="4" t="s">
        <v>30</v>
      </c>
      <c r="P33" s="91" t="s">
        <v>31</v>
      </c>
      <c r="Q33" s="91">
        <v>4</v>
      </c>
    </row>
    <row r="34" spans="1:19" x14ac:dyDescent="0.35">
      <c r="B34" s="33" t="s">
        <v>42</v>
      </c>
      <c r="C34" s="92">
        <f>(1+1+1)/3</f>
        <v>1</v>
      </c>
      <c r="D34" s="227"/>
      <c r="E34" s="227"/>
      <c r="F34" s="227"/>
      <c r="G34" s="227"/>
      <c r="J34" s="9" t="s">
        <v>217</v>
      </c>
      <c r="K34" s="9" t="s">
        <v>218</v>
      </c>
      <c r="L34" s="69" t="s">
        <v>219</v>
      </c>
      <c r="M34" s="69" t="s">
        <v>0</v>
      </c>
      <c r="N34" s="21"/>
      <c r="O34" s="4" t="s">
        <v>34</v>
      </c>
      <c r="P34" s="91" t="s">
        <v>35</v>
      </c>
      <c r="Q34" s="91">
        <v>5</v>
      </c>
    </row>
    <row r="35" spans="1:19" x14ac:dyDescent="0.35">
      <c r="B35" s="33" t="s">
        <v>45</v>
      </c>
      <c r="C35" s="92">
        <f>(1+0.5+0.5)/3</f>
        <v>0.66666666666666663</v>
      </c>
      <c r="D35" s="227" t="s">
        <v>146</v>
      </c>
      <c r="E35" s="227"/>
      <c r="F35" s="227"/>
      <c r="G35" s="227"/>
      <c r="J35" s="4" t="s">
        <v>180</v>
      </c>
      <c r="K35" s="91">
        <v>2</v>
      </c>
      <c r="L35" s="56" t="s">
        <v>174</v>
      </c>
      <c r="M35" s="56"/>
      <c r="N35" s="21"/>
      <c r="O35" s="4" t="s">
        <v>37</v>
      </c>
      <c r="P35" s="91" t="s">
        <v>38</v>
      </c>
      <c r="Q35" s="91">
        <v>6</v>
      </c>
    </row>
    <row r="36" spans="1:19" x14ac:dyDescent="0.35">
      <c r="B36" s="3" t="s">
        <v>328</v>
      </c>
      <c r="C36" s="101">
        <f>AVERAGE(C32:C35)</f>
        <v>0.66608333333333336</v>
      </c>
      <c r="D36" s="226" t="s">
        <v>48</v>
      </c>
      <c r="E36" s="226"/>
      <c r="F36" s="226"/>
      <c r="G36" s="226"/>
      <c r="J36" s="4" t="s">
        <v>181</v>
      </c>
      <c r="K36" s="91">
        <v>2</v>
      </c>
      <c r="L36" s="56" t="s">
        <v>174</v>
      </c>
      <c r="M36" s="56"/>
      <c r="N36" s="21"/>
      <c r="O36" s="4" t="s">
        <v>40</v>
      </c>
      <c r="P36" s="91" t="s">
        <v>41</v>
      </c>
      <c r="Q36" s="91">
        <v>7</v>
      </c>
    </row>
    <row r="37" spans="1:19" ht="29" x14ac:dyDescent="0.35">
      <c r="B37" s="1" t="s">
        <v>51</v>
      </c>
      <c r="J37" s="4" t="s">
        <v>182</v>
      </c>
      <c r="K37" s="91">
        <v>1</v>
      </c>
      <c r="L37" s="56" t="s">
        <v>174</v>
      </c>
      <c r="M37" s="56"/>
      <c r="N37" s="21"/>
      <c r="O37" s="4" t="s">
        <v>43</v>
      </c>
      <c r="P37" s="91" t="s">
        <v>44</v>
      </c>
      <c r="Q37" s="91">
        <v>8</v>
      </c>
    </row>
    <row r="38" spans="1:19" s="1" customFormat="1" ht="29" x14ac:dyDescent="0.35">
      <c r="A38"/>
      <c r="B38" s="63" t="s">
        <v>147</v>
      </c>
      <c r="C38" s="17"/>
      <c r="D38" s="17"/>
      <c r="E38" s="17"/>
      <c r="F38" s="17"/>
      <c r="G38"/>
      <c r="H38"/>
      <c r="I38"/>
      <c r="J38" s="4" t="s">
        <v>183</v>
      </c>
      <c r="K38" s="91">
        <v>2</v>
      </c>
      <c r="L38" s="56" t="s">
        <v>174</v>
      </c>
      <c r="M38" s="65" t="s">
        <v>212</v>
      </c>
      <c r="O38" s="4" t="s">
        <v>46</v>
      </c>
      <c r="P38" s="91" t="s">
        <v>47</v>
      </c>
      <c r="Q38" s="91">
        <v>9</v>
      </c>
      <c r="R38"/>
      <c r="S38"/>
    </row>
    <row r="39" spans="1:19" x14ac:dyDescent="0.35">
      <c r="B39" s="63"/>
      <c r="J39" s="19"/>
      <c r="K39" s="21"/>
      <c r="L39" s="21"/>
      <c r="M39" s="21"/>
      <c r="O39" s="4" t="s">
        <v>49</v>
      </c>
      <c r="P39" s="91" t="s">
        <v>50</v>
      </c>
      <c r="Q39" s="91">
        <v>10</v>
      </c>
    </row>
    <row r="40" spans="1:19" x14ac:dyDescent="0.35">
      <c r="A40">
        <v>6</v>
      </c>
      <c r="B40" s="61" t="s">
        <v>206</v>
      </c>
      <c r="J40" s="209" t="s">
        <v>359</v>
      </c>
      <c r="K40" s="21"/>
      <c r="L40" s="21"/>
      <c r="M40" s="21"/>
      <c r="O40" s="4" t="s">
        <v>52</v>
      </c>
      <c r="P40" s="91" t="s">
        <v>53</v>
      </c>
      <c r="Q40" s="91">
        <v>11</v>
      </c>
    </row>
    <row r="41" spans="1:19" ht="16.5" x14ac:dyDescent="0.35">
      <c r="B41" s="3" t="s">
        <v>58</v>
      </c>
      <c r="C41" s="91">
        <v>1</v>
      </c>
      <c r="D41" s="56" t="s">
        <v>59</v>
      </c>
      <c r="J41" s="20" t="s">
        <v>389</v>
      </c>
      <c r="K41" s="175">
        <f>P52</f>
        <v>200.08810291666668</v>
      </c>
      <c r="L41" s="56" t="s">
        <v>374</v>
      </c>
      <c r="M41" s="65" t="s">
        <v>390</v>
      </c>
      <c r="O41" s="4" t="s">
        <v>54</v>
      </c>
      <c r="P41" s="91" t="s">
        <v>55</v>
      </c>
      <c r="Q41" s="91">
        <v>12</v>
      </c>
      <c r="R41" s="1"/>
      <c r="S41" s="1"/>
    </row>
    <row r="42" spans="1:19" x14ac:dyDescent="0.35">
      <c r="G42" s="1"/>
      <c r="H42" s="1"/>
      <c r="J42" s="19"/>
      <c r="K42" s="21"/>
      <c r="L42" s="21"/>
      <c r="M42" s="21"/>
      <c r="O42" s="4" t="s">
        <v>56</v>
      </c>
      <c r="P42" s="91" t="s">
        <v>57</v>
      </c>
      <c r="Q42" s="91">
        <v>13</v>
      </c>
    </row>
    <row r="43" spans="1:19" ht="29" x14ac:dyDescent="0.35">
      <c r="A43">
        <v>7</v>
      </c>
      <c r="B43" s="61" t="s">
        <v>60</v>
      </c>
      <c r="J43" s="9" t="s">
        <v>222</v>
      </c>
      <c r="K43" s="69" t="s">
        <v>221</v>
      </c>
      <c r="L43" s="69" t="s">
        <v>219</v>
      </c>
      <c r="M43" s="69" t="s">
        <v>0</v>
      </c>
    </row>
    <row r="44" spans="1:19" x14ac:dyDescent="0.35">
      <c r="A44" s="1"/>
      <c r="B44" s="8" t="s">
        <v>63</v>
      </c>
      <c r="C44" s="80" t="s">
        <v>223</v>
      </c>
      <c r="D44" s="69" t="s">
        <v>219</v>
      </c>
      <c r="E44" s="6"/>
      <c r="F44" s="6"/>
      <c r="J44" s="4" t="s">
        <v>191</v>
      </c>
      <c r="K44" s="91">
        <v>4</v>
      </c>
      <c r="L44" s="56" t="s">
        <v>192</v>
      </c>
      <c r="M44" s="56"/>
    </row>
    <row r="45" spans="1:19" x14ac:dyDescent="0.35">
      <c r="B45" s="68" t="s">
        <v>64</v>
      </c>
      <c r="C45" s="91">
        <v>1</v>
      </c>
      <c r="D45" s="56" t="s">
        <v>62</v>
      </c>
      <c r="J45" s="4" t="s">
        <v>213</v>
      </c>
      <c r="K45" s="91">
        <v>20</v>
      </c>
      <c r="L45" s="56" t="s">
        <v>194</v>
      </c>
      <c r="M45" s="56"/>
      <c r="O45" s="7" t="s">
        <v>397</v>
      </c>
    </row>
    <row r="46" spans="1:19" x14ac:dyDescent="0.35">
      <c r="B46" s="68" t="s">
        <v>131</v>
      </c>
      <c r="C46" s="91">
        <v>1</v>
      </c>
      <c r="D46" s="56" t="s">
        <v>62</v>
      </c>
      <c r="J46" s="19"/>
      <c r="K46" s="32"/>
      <c r="L46" s="21"/>
      <c r="M46" s="21"/>
      <c r="O46" s="4" t="s">
        <v>398</v>
      </c>
      <c r="P46" s="213">
        <v>365</v>
      </c>
    </row>
    <row r="47" spans="1:19" x14ac:dyDescent="0.35">
      <c r="B47" s="68" t="s">
        <v>67</v>
      </c>
      <c r="C47" s="91">
        <v>1</v>
      </c>
      <c r="D47" s="56" t="s">
        <v>62</v>
      </c>
      <c r="I47">
        <v>11</v>
      </c>
      <c r="J47" s="34" t="s">
        <v>4</v>
      </c>
      <c r="O47" s="4" t="s">
        <v>391</v>
      </c>
      <c r="P47" s="212">
        <f>C36*0.823</f>
        <v>0.54818658333333337</v>
      </c>
    </row>
    <row r="48" spans="1:19" x14ac:dyDescent="0.35">
      <c r="B48" s="68" t="s">
        <v>68</v>
      </c>
      <c r="C48" s="91">
        <v>2</v>
      </c>
      <c r="D48" s="56" t="s">
        <v>62</v>
      </c>
      <c r="J48" s="4" t="s">
        <v>10</v>
      </c>
      <c r="K48" s="99">
        <v>847.548</v>
      </c>
      <c r="O48" s="4" t="s">
        <v>393</v>
      </c>
      <c r="P48" s="213">
        <v>24</v>
      </c>
    </row>
    <row r="49" spans="1:16" x14ac:dyDescent="0.35">
      <c r="B49" s="68" t="s">
        <v>69</v>
      </c>
      <c r="C49" s="91">
        <v>1</v>
      </c>
      <c r="D49" s="56" t="s">
        <v>62</v>
      </c>
      <c r="J49" s="4" t="s">
        <v>12</v>
      </c>
      <c r="K49" s="91">
        <v>1.6093</v>
      </c>
      <c r="O49" s="4" t="s">
        <v>392</v>
      </c>
      <c r="P49" s="214">
        <v>0.5</v>
      </c>
    </row>
    <row r="50" spans="1:16" x14ac:dyDescent="0.35">
      <c r="B50" s="68" t="s">
        <v>70</v>
      </c>
      <c r="C50" s="91">
        <v>1</v>
      </c>
      <c r="D50" s="56" t="s">
        <v>62</v>
      </c>
      <c r="J50" s="4" t="s">
        <v>13</v>
      </c>
      <c r="K50" s="91">
        <v>0.86897000000000002</v>
      </c>
      <c r="O50" s="4" t="s">
        <v>394</v>
      </c>
      <c r="P50" s="213">
        <v>3</v>
      </c>
    </row>
    <row r="51" spans="1:16" x14ac:dyDescent="0.35">
      <c r="B51" s="68" t="s">
        <v>71</v>
      </c>
      <c r="C51" s="91">
        <v>1</v>
      </c>
      <c r="D51" s="56" t="s">
        <v>62</v>
      </c>
      <c r="J51" s="4" t="s">
        <v>14</v>
      </c>
      <c r="K51" s="91">
        <v>1.8520000000000001</v>
      </c>
      <c r="O51" s="4" t="s">
        <v>395</v>
      </c>
      <c r="P51" s="213">
        <v>4</v>
      </c>
    </row>
    <row r="52" spans="1:16" x14ac:dyDescent="0.35">
      <c r="B52" s="68" t="s">
        <v>143</v>
      </c>
      <c r="C52" s="91">
        <v>1</v>
      </c>
      <c r="D52" s="56" t="s">
        <v>62</v>
      </c>
      <c r="J52" s="20" t="s">
        <v>233</v>
      </c>
      <c r="K52" s="100">
        <v>247.10538099999999</v>
      </c>
      <c r="O52" s="9" t="s">
        <v>396</v>
      </c>
      <c r="P52" s="10">
        <f>P46*P47*P48*P49/P50/P51</f>
        <v>200.08810291666668</v>
      </c>
    </row>
    <row r="53" spans="1:16" x14ac:dyDescent="0.35">
      <c r="B53" s="68" t="s">
        <v>72</v>
      </c>
      <c r="C53" s="91">
        <v>1</v>
      </c>
      <c r="D53" s="56" t="s">
        <v>62</v>
      </c>
      <c r="J53" s="20" t="s">
        <v>234</v>
      </c>
      <c r="K53" s="97">
        <f>K51^2</f>
        <v>3.4299040000000005</v>
      </c>
    </row>
    <row r="54" spans="1:16" x14ac:dyDescent="0.35">
      <c r="B54" s="68" t="s">
        <v>73</v>
      </c>
      <c r="C54" s="91">
        <v>1</v>
      </c>
      <c r="D54" s="56" t="s">
        <v>62</v>
      </c>
      <c r="E54" s="36"/>
    </row>
    <row r="55" spans="1:16" x14ac:dyDescent="0.35">
      <c r="B55" s="8" t="s">
        <v>196</v>
      </c>
      <c r="C55" s="91">
        <v>1</v>
      </c>
      <c r="D55" s="56" t="s">
        <v>62</v>
      </c>
      <c r="O55" s="78" t="s">
        <v>208</v>
      </c>
      <c r="P55" s="17"/>
    </row>
    <row r="56" spans="1:16" x14ac:dyDescent="0.35">
      <c r="B56" s="8" t="s">
        <v>61</v>
      </c>
      <c r="C56" s="98">
        <v>1</v>
      </c>
      <c r="D56" s="64" t="s">
        <v>62</v>
      </c>
      <c r="I56">
        <v>12</v>
      </c>
      <c r="J56" s="9" t="s">
        <v>375</v>
      </c>
      <c r="K56" s="69" t="s">
        <v>221</v>
      </c>
      <c r="L56" s="69" t="s">
        <v>219</v>
      </c>
      <c r="M56" s="170" t="s">
        <v>0</v>
      </c>
      <c r="O56" s="14" t="s">
        <v>74</v>
      </c>
      <c r="P56" s="96">
        <f>'EC-known'!R2</f>
        <v>1</v>
      </c>
    </row>
    <row r="57" spans="1:16" x14ac:dyDescent="0.35">
      <c r="J57" s="172" t="s">
        <v>311</v>
      </c>
      <c r="K57" s="174">
        <v>4</v>
      </c>
      <c r="L57" s="173" t="s">
        <v>312</v>
      </c>
      <c r="M57" s="168" t="s">
        <v>310</v>
      </c>
      <c r="O57" s="4" t="s">
        <v>75</v>
      </c>
      <c r="P57" s="96">
        <f>'EC-known'!R3</f>
        <v>1</v>
      </c>
    </row>
    <row r="58" spans="1:16" x14ac:dyDescent="0.35">
      <c r="J58" s="172" t="s">
        <v>323</v>
      </c>
      <c r="K58" s="174">
        <f>(160*128+524*66)/(128+66)</f>
        <v>283.83505154639175</v>
      </c>
      <c r="L58" s="173" t="s">
        <v>313</v>
      </c>
      <c r="M58" s="169"/>
      <c r="P58" s="17"/>
    </row>
    <row r="59" spans="1:16" x14ac:dyDescent="0.35">
      <c r="J59" s="4" t="s">
        <v>314</v>
      </c>
      <c r="K59" s="174">
        <v>8</v>
      </c>
      <c r="L59" s="56" t="s">
        <v>312</v>
      </c>
      <c r="M59" s="66" t="s">
        <v>316</v>
      </c>
    </row>
    <row r="60" spans="1:16" x14ac:dyDescent="0.35">
      <c r="A60" s="19"/>
      <c r="B60" s="2" t="s">
        <v>232</v>
      </c>
      <c r="J60" s="20" t="s">
        <v>327</v>
      </c>
      <c r="K60" s="174">
        <v>24</v>
      </c>
      <c r="L60" s="17" t="s">
        <v>237</v>
      </c>
      <c r="M60" s="168" t="s">
        <v>321</v>
      </c>
    </row>
    <row r="61" spans="1:16" x14ac:dyDescent="0.35">
      <c r="A61" s="90">
        <v>1</v>
      </c>
      <c r="B61" s="227" t="s">
        <v>376</v>
      </c>
      <c r="C61" s="227"/>
      <c r="D61" s="227"/>
      <c r="E61" s="227"/>
      <c r="F61" s="227"/>
      <c r="G61" s="227"/>
      <c r="J61" s="4" t="s">
        <v>307</v>
      </c>
      <c r="K61" s="175">
        <f>K58/K57+K58/K59+K60</f>
        <v>130.43814432989691</v>
      </c>
      <c r="L61" s="56" t="s">
        <v>237</v>
      </c>
      <c r="M61" s="168" t="s">
        <v>315</v>
      </c>
    </row>
    <row r="62" spans="1:16" ht="34.25" customHeight="1" x14ac:dyDescent="0.35">
      <c r="A62" s="90">
        <v>2</v>
      </c>
      <c r="B62" s="227" t="s">
        <v>330</v>
      </c>
      <c r="C62" s="227"/>
      <c r="D62" s="227"/>
      <c r="E62" s="227"/>
      <c r="F62" s="227"/>
      <c r="G62" s="227"/>
      <c r="J62" s="4" t="s">
        <v>325</v>
      </c>
      <c r="K62" s="174">
        <v>3</v>
      </c>
      <c r="L62" s="56" t="s">
        <v>174</v>
      </c>
      <c r="M62" s="168"/>
      <c r="N62" s="167"/>
    </row>
    <row r="63" spans="1:16" ht="16.75" customHeight="1" x14ac:dyDescent="0.35">
      <c r="A63" s="90">
        <v>3</v>
      </c>
      <c r="B63" s="228" t="s">
        <v>377</v>
      </c>
      <c r="C63" s="229"/>
      <c r="D63" s="229"/>
      <c r="E63" s="229"/>
      <c r="F63" s="229"/>
      <c r="G63" s="230"/>
      <c r="J63" s="4" t="s">
        <v>324</v>
      </c>
      <c r="K63" s="176">
        <f>K58*2/K59+24</f>
        <v>94.958762886597938</v>
      </c>
      <c r="L63" s="56" t="s">
        <v>237</v>
      </c>
      <c r="M63" s="168" t="s">
        <v>326</v>
      </c>
      <c r="N63" s="167"/>
    </row>
    <row r="64" spans="1:16" ht="14.4" customHeight="1" x14ac:dyDescent="0.35">
      <c r="A64" s="90">
        <v>4</v>
      </c>
      <c r="B64" s="228" t="s">
        <v>378</v>
      </c>
      <c r="C64" s="229"/>
      <c r="D64" s="229"/>
      <c r="E64" s="229"/>
      <c r="F64" s="229"/>
      <c r="G64" s="230"/>
      <c r="J64" s="4" t="s">
        <v>308</v>
      </c>
      <c r="K64" s="176">
        <f>K63/K62+3.5*24</f>
        <v>115.65292096219932</v>
      </c>
      <c r="L64" s="56" t="s">
        <v>237</v>
      </c>
      <c r="M64" s="168" t="s">
        <v>309</v>
      </c>
    </row>
    <row r="65" spans="1:14" ht="61.25" customHeight="1" x14ac:dyDescent="0.35">
      <c r="A65" s="90">
        <v>5</v>
      </c>
      <c r="B65" s="228" t="s">
        <v>379</v>
      </c>
      <c r="C65" s="229"/>
      <c r="D65" s="229"/>
      <c r="E65" s="229"/>
      <c r="F65" s="229"/>
      <c r="G65" s="230"/>
      <c r="J65" s="4" t="s">
        <v>329</v>
      </c>
      <c r="K65" s="92">
        <v>0.75</v>
      </c>
      <c r="L65" s="56" t="s">
        <v>320</v>
      </c>
      <c r="M65" s="177" t="s">
        <v>48</v>
      </c>
    </row>
    <row r="66" spans="1:14" ht="45.65" customHeight="1" x14ac:dyDescent="0.35">
      <c r="A66" s="90">
        <v>6</v>
      </c>
      <c r="B66" s="226" t="s">
        <v>331</v>
      </c>
      <c r="C66" s="226"/>
      <c r="D66" s="226"/>
      <c r="E66" s="226"/>
      <c r="F66" s="226"/>
      <c r="G66" s="226"/>
    </row>
    <row r="67" spans="1:14" ht="27" customHeight="1" x14ac:dyDescent="0.35">
      <c r="A67" s="90">
        <v>7</v>
      </c>
      <c r="B67" s="226" t="s">
        <v>238</v>
      </c>
      <c r="C67" s="226"/>
      <c r="D67" s="226"/>
      <c r="E67" s="226"/>
      <c r="F67" s="226"/>
      <c r="G67" s="226"/>
      <c r="I67">
        <v>13</v>
      </c>
      <c r="J67" s="208" t="s">
        <v>333</v>
      </c>
      <c r="K67" s="69" t="s">
        <v>221</v>
      </c>
      <c r="L67" s="69" t="s">
        <v>219</v>
      </c>
      <c r="M67" s="206" t="s">
        <v>0</v>
      </c>
    </row>
    <row r="68" spans="1:14" ht="14.4" customHeight="1" x14ac:dyDescent="0.35">
      <c r="J68" s="4" t="s">
        <v>334</v>
      </c>
      <c r="K68" s="200">
        <v>10</v>
      </c>
      <c r="L68" s="4" t="s">
        <v>335</v>
      </c>
      <c r="M68" s="204" t="s">
        <v>399</v>
      </c>
    </row>
    <row r="69" spans="1:14" x14ac:dyDescent="0.35">
      <c r="B69" s="79" t="s">
        <v>388</v>
      </c>
      <c r="C69" s="206">
        <v>2031</v>
      </c>
      <c r="D69" s="206">
        <v>2032</v>
      </c>
      <c r="E69" s="206">
        <v>2033</v>
      </c>
      <c r="F69" s="206">
        <v>2034</v>
      </c>
      <c r="G69" s="206">
        <v>2035</v>
      </c>
      <c r="H69" s="36"/>
      <c r="J69" s="4" t="s">
        <v>336</v>
      </c>
      <c r="K69" s="175">
        <f>350/K68</f>
        <v>35</v>
      </c>
      <c r="L69" s="65" t="s">
        <v>404</v>
      </c>
      <c r="M69" s="204" t="s">
        <v>400</v>
      </c>
    </row>
    <row r="70" spans="1:14" ht="16.75" customHeight="1" x14ac:dyDescent="0.35">
      <c r="A70" s="90"/>
      <c r="B70" s="205" t="s">
        <v>380</v>
      </c>
      <c r="C70" s="64">
        <v>1500</v>
      </c>
      <c r="D70" s="64"/>
      <c r="E70" s="64">
        <v>1000</v>
      </c>
      <c r="F70" s="64"/>
      <c r="G70" s="64"/>
      <c r="K70" s="215"/>
      <c r="L70" s="36"/>
    </row>
    <row r="71" spans="1:14" ht="31.75" customHeight="1" x14ac:dyDescent="0.35">
      <c r="A71" s="90"/>
      <c r="B71" s="204" t="s">
        <v>383</v>
      </c>
      <c r="C71" s="64"/>
      <c r="D71" s="64"/>
      <c r="E71" s="64"/>
      <c r="F71" s="64"/>
      <c r="G71" s="64">
        <v>1500</v>
      </c>
      <c r="J71" s="7"/>
      <c r="K71" s="206" t="s">
        <v>337</v>
      </c>
      <c r="L71" s="206" t="s">
        <v>338</v>
      </c>
      <c r="M71" s="204"/>
    </row>
    <row r="72" spans="1:14" s="36" customFormat="1" ht="16.75" customHeight="1" x14ac:dyDescent="0.35">
      <c r="A72" s="84"/>
      <c r="B72" s="204" t="s">
        <v>381</v>
      </c>
      <c r="C72" s="64"/>
      <c r="D72" s="64"/>
      <c r="E72" s="64"/>
      <c r="F72" s="64"/>
      <c r="G72" s="64">
        <v>1000</v>
      </c>
      <c r="H72"/>
      <c r="I72"/>
      <c r="J72" s="4" t="s">
        <v>339</v>
      </c>
      <c r="K72" s="200">
        <v>35</v>
      </c>
      <c r="L72" s="200">
        <v>440</v>
      </c>
      <c r="M72" s="204" t="s">
        <v>401</v>
      </c>
      <c r="N72" s="85"/>
    </row>
    <row r="73" spans="1:14" ht="16.75" customHeight="1" x14ac:dyDescent="0.35">
      <c r="A73" s="84"/>
      <c r="B73" s="204" t="s">
        <v>385</v>
      </c>
      <c r="C73" s="64"/>
      <c r="D73" s="64"/>
      <c r="E73" s="64">
        <v>1500</v>
      </c>
      <c r="F73" s="64">
        <v>1000</v>
      </c>
      <c r="G73" s="64"/>
      <c r="J73" s="4" t="s">
        <v>340</v>
      </c>
      <c r="K73" s="200">
        <v>25</v>
      </c>
      <c r="L73" s="200">
        <v>660</v>
      </c>
      <c r="M73" s="204" t="s">
        <v>401</v>
      </c>
    </row>
    <row r="74" spans="1:14" x14ac:dyDescent="0.35">
      <c r="A74" s="84"/>
      <c r="B74" s="204" t="s">
        <v>384</v>
      </c>
      <c r="C74" s="64"/>
      <c r="D74" s="64"/>
      <c r="E74" s="64"/>
      <c r="F74" s="64">
        <v>600</v>
      </c>
      <c r="G74" s="64"/>
      <c r="J74" s="4" t="s">
        <v>341</v>
      </c>
      <c r="K74" s="200">
        <v>10</v>
      </c>
      <c r="L74" s="200">
        <v>150</v>
      </c>
      <c r="M74" s="204" t="s">
        <v>401</v>
      </c>
    </row>
    <row r="75" spans="1:14" x14ac:dyDescent="0.35">
      <c r="A75" s="84"/>
      <c r="B75" s="204" t="s">
        <v>386</v>
      </c>
      <c r="C75" s="64"/>
      <c r="D75" s="64"/>
      <c r="E75" s="64"/>
      <c r="F75" s="64">
        <v>1500</v>
      </c>
      <c r="G75" s="64"/>
      <c r="J75" s="9" t="s">
        <v>96</v>
      </c>
      <c r="K75" s="201">
        <f>SUM(K72:K74)</f>
        <v>70</v>
      </c>
      <c r="L75" s="201">
        <f>SUM(L72:L74)</f>
        <v>1250</v>
      </c>
      <c r="M75" s="204"/>
    </row>
    <row r="76" spans="1:14" x14ac:dyDescent="0.35">
      <c r="A76" s="84"/>
      <c r="B76" s="204" t="s">
        <v>382</v>
      </c>
      <c r="C76" s="56"/>
      <c r="D76" s="56"/>
      <c r="E76" s="56">
        <v>144</v>
      </c>
      <c r="F76" s="56"/>
      <c r="G76" s="56">
        <v>1200</v>
      </c>
      <c r="J76" s="216" t="s">
        <v>403</v>
      </c>
      <c r="K76" s="217">
        <v>180</v>
      </c>
      <c r="L76" t="s">
        <v>66</v>
      </c>
    </row>
    <row r="77" spans="1:14" x14ac:dyDescent="0.35">
      <c r="A77" s="84"/>
      <c r="B77" s="2" t="s">
        <v>387</v>
      </c>
      <c r="C77" s="211">
        <f>SUM(C70:C76)</f>
        <v>1500</v>
      </c>
      <c r="D77" s="211">
        <f>SUM(D70:D76)</f>
        <v>0</v>
      </c>
      <c r="E77" s="211">
        <f>SUM(E70:E76)</f>
        <v>2644</v>
      </c>
      <c r="F77" s="211">
        <f>SUM(F70:F76)</f>
        <v>3100</v>
      </c>
      <c r="G77" s="211">
        <f>SUM(G70:G76)</f>
        <v>3700</v>
      </c>
      <c r="J77" s="65" t="s">
        <v>342</v>
      </c>
      <c r="K77" s="202">
        <f>K75/K69</f>
        <v>2</v>
      </c>
      <c r="L77" s="202">
        <f>L75/K69/K76</f>
        <v>0.19841269841269843</v>
      </c>
      <c r="M77" s="204" t="s">
        <v>402</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1:G61"/>
    <mergeCell ref="D36:G36"/>
    <mergeCell ref="D31:G31"/>
    <mergeCell ref="D32:G32"/>
    <mergeCell ref="D33:G33"/>
    <mergeCell ref="D34:G34"/>
    <mergeCell ref="D35:G35"/>
    <mergeCell ref="B66:G66"/>
    <mergeCell ref="B67:G67"/>
    <mergeCell ref="B62:G62"/>
    <mergeCell ref="B65:G65"/>
    <mergeCell ref="B64:G64"/>
    <mergeCell ref="B63:G63"/>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104</v>
      </c>
    </row>
    <row r="2" spans="1:20" x14ac:dyDescent="0.35">
      <c r="A2" s="30"/>
      <c r="B2" s="7" t="s">
        <v>298</v>
      </c>
      <c r="C2" s="30"/>
      <c r="D2" s="30"/>
      <c r="E2" s="30"/>
      <c r="F2" s="30"/>
      <c r="G2" s="30"/>
      <c r="Q2" s="4" t="s">
        <v>294</v>
      </c>
      <c r="R2" s="23">
        <v>1</v>
      </c>
    </row>
    <row r="3" spans="1:20" x14ac:dyDescent="0.35">
      <c r="Q3" s="20"/>
      <c r="R3" s="20"/>
      <c r="T3" s="138" t="s">
        <v>133</v>
      </c>
    </row>
    <row r="4" spans="1:20" x14ac:dyDescent="0.35">
      <c r="Q4" s="4" t="s">
        <v>295</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ca="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ca="1">SUM(C12:P12)</f>
        <v>574.72744079839731</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ca="1">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ca="1">SUM(C16:P16)</f>
        <v>1724.1823223951917</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ca="1">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ca="1">SUM(C20:P20)</f>
        <v>574.72744079839731</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ca="1">SUM(C24:P24)</f>
        <v>574.72744079839731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ca="1">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ca="1">SUM(C28:Q28)</f>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ca="1">SUM(C29:Q29)</f>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ca="1">SUM(C30:Q30)</f>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1">SUM(E10:E12)</f>
        <v>289.84615384615381</v>
      </c>
      <c r="F39" s="183">
        <f t="shared" ca="1" si="1"/>
        <v>243.73333333333332</v>
      </c>
      <c r="G39" s="183">
        <f t="shared" ca="1" si="1"/>
        <v>193.64</v>
      </c>
      <c r="H39" s="183">
        <f t="shared" ca="1" si="1"/>
        <v>408.41126999157984</v>
      </c>
      <c r="I39" s="183">
        <f t="shared" ca="1" si="1"/>
        <v>219.61275259631313</v>
      </c>
      <c r="J39" s="183">
        <f t="shared" ca="1" si="1"/>
        <v>381.94193194134141</v>
      </c>
      <c r="K39" s="183">
        <f t="shared" ca="1" si="1"/>
        <v>144.53977773978585</v>
      </c>
      <c r="L39" s="183">
        <f t="shared" ca="1" si="1"/>
        <v>217.27790874381157</v>
      </c>
      <c r="M39" s="183">
        <f t="shared" ca="1" si="1"/>
        <v>81.493553167490219</v>
      </c>
      <c r="N39" s="183">
        <f t="shared" ca="1" si="1"/>
        <v>80.082867813976321</v>
      </c>
      <c r="O39" s="183">
        <f t="shared" ca="1" si="1"/>
        <v>51.333333333333336</v>
      </c>
      <c r="P39" s="183">
        <f t="shared" si="1"/>
        <v>0</v>
      </c>
      <c r="Q39" s="183">
        <f t="shared" si="1"/>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ca="1">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ca="1">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ca="1">SUM(D65:Q65)</f>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ca="1">SUM(D66:Q66)</f>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ca="1">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ca="1">SUM(D70:Q70)</f>
        <v>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ca="1">SUM(D71:Q71)</f>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2">SUM(E46:E48)</f>
        <v>338.31588019823317</v>
      </c>
      <c r="F75" s="183">
        <f t="shared" ca="1" si="2"/>
        <v>289.84615384615381</v>
      </c>
      <c r="G75" s="183">
        <f t="shared" ca="1" si="2"/>
        <v>243.73333333333332</v>
      </c>
      <c r="H75" s="183">
        <f t="shared" ca="1" si="2"/>
        <v>193.64</v>
      </c>
      <c r="I75" s="183">
        <f t="shared" ca="1" si="2"/>
        <v>408.41126999157984</v>
      </c>
      <c r="J75" s="183">
        <f t="shared" ca="1" si="2"/>
        <v>219.61275259631313</v>
      </c>
      <c r="K75" s="183">
        <f t="shared" ca="1" si="2"/>
        <v>381.94193194134141</v>
      </c>
      <c r="L75" s="183">
        <f t="shared" ca="1" si="2"/>
        <v>144.53977773978585</v>
      </c>
      <c r="M75" s="183">
        <f t="shared" ca="1" si="2"/>
        <v>217.27790874381157</v>
      </c>
      <c r="N75" s="183">
        <f t="shared" ca="1" si="2"/>
        <v>81.493553167490219</v>
      </c>
      <c r="O75" s="183">
        <f t="shared" ca="1" si="2"/>
        <v>80.082867813976321</v>
      </c>
      <c r="P75" s="183">
        <f t="shared" ca="1" si="2"/>
        <v>51.333333333333336</v>
      </c>
      <c r="Q75" s="183">
        <f t="shared" si="2"/>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276</v>
      </c>
      <c r="C80" s="28"/>
      <c r="D80" s="197"/>
      <c r="E80" s="197"/>
      <c r="F80" s="197"/>
      <c r="G80" s="197"/>
      <c r="H80" s="197"/>
      <c r="I80" s="197"/>
      <c r="J80" s="197"/>
      <c r="K80" s="178"/>
      <c r="L80" s="178"/>
      <c r="M80" s="178"/>
      <c r="N80" s="178"/>
      <c r="O80" s="178"/>
      <c r="P80" s="178"/>
      <c r="Q80" s="178"/>
      <c r="R80" s="22"/>
    </row>
    <row r="81" spans="1:26" x14ac:dyDescent="0.35">
      <c r="B81" s="7" t="s">
        <v>170</v>
      </c>
      <c r="C81" s="7"/>
      <c r="D81" s="178"/>
      <c r="E81" s="178"/>
      <c r="F81" s="178"/>
      <c r="G81" s="178"/>
      <c r="H81" s="178"/>
      <c r="I81" s="178"/>
      <c r="J81" s="178"/>
      <c r="K81" s="178"/>
      <c r="L81" s="178"/>
      <c r="M81" s="178"/>
      <c r="N81" s="178"/>
      <c r="O81" s="178"/>
      <c r="P81" s="178"/>
      <c r="Q81" s="178"/>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111</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6126.169049873698</v>
      </c>
      <c r="K83" s="108">
        <f t="shared" si="3"/>
        <v>3294.1912889446971</v>
      </c>
      <c r="L83" s="109">
        <f t="shared" si="3"/>
        <v>5729.1289791201216</v>
      </c>
      <c r="M83" s="108">
        <f t="shared" si="3"/>
        <v>2601.7159993161454</v>
      </c>
      <c r="N83" s="108">
        <f t="shared" si="3"/>
        <v>3911.0023573886083</v>
      </c>
      <c r="O83" s="108">
        <f>SUMPRODUCT(O86:O88,$B$86:$B$88)</f>
        <v>1466.8839570148239</v>
      </c>
      <c r="P83" s="108">
        <f t="shared" si="3"/>
        <v>1441.4916206515738</v>
      </c>
      <c r="Q83" s="108">
        <f t="shared" si="3"/>
        <v>924</v>
      </c>
      <c r="R83" s="113">
        <f>SUM(D83:Q83)</f>
        <v>40460.921455283176</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408.41126999157984</v>
      </c>
      <c r="K85" s="154">
        <f t="shared" si="4"/>
        <v>219.61275259631313</v>
      </c>
      <c r="L85" s="154">
        <f t="shared" si="4"/>
        <v>381.94193194134141</v>
      </c>
      <c r="M85" s="154">
        <f t="shared" si="4"/>
        <v>144.53977773978585</v>
      </c>
      <c r="N85" s="154">
        <f t="shared" si="4"/>
        <v>217.27790874381157</v>
      </c>
      <c r="O85" s="154">
        <f t="shared" si="4"/>
        <v>81.493553167490219</v>
      </c>
      <c r="P85" s="154">
        <f t="shared" si="4"/>
        <v>80.082867813976321</v>
      </c>
      <c r="Q85" s="154">
        <f t="shared" si="4"/>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SUM(D88:Q88)</f>
        <v>574.72744079839731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5">3*F86</f>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1225.2338099747394</v>
      </c>
      <c r="K91" s="108">
        <f t="shared" si="6"/>
        <v>658.83825778893936</v>
      </c>
      <c r="L91" s="109">
        <f t="shared" si="6"/>
        <v>1145.8257958240242</v>
      </c>
      <c r="M91" s="108">
        <f t="shared" si="6"/>
        <v>0</v>
      </c>
      <c r="N91" s="108">
        <f t="shared" si="6"/>
        <v>0</v>
      </c>
      <c r="O91" s="108">
        <f t="shared" si="6"/>
        <v>0</v>
      </c>
      <c r="P91" s="108">
        <f t="shared" si="6"/>
        <v>0</v>
      </c>
      <c r="Q91" s="108">
        <f t="shared" si="6"/>
        <v>0</v>
      </c>
      <c r="R91" s="113">
        <f>SUM(D91:Q91)</f>
        <v>4696.5808887977873</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433.61933321935754</v>
      </c>
      <c r="N92" s="108">
        <f t="shared" si="6"/>
        <v>651.83372623143464</v>
      </c>
      <c r="O92" s="108">
        <f t="shared" si="6"/>
        <v>244.48065950247064</v>
      </c>
      <c r="P92" s="108">
        <f t="shared" si="6"/>
        <v>240.24860344192896</v>
      </c>
      <c r="Q92" s="108">
        <f t="shared" si="6"/>
        <v>154</v>
      </c>
      <c r="R92" s="113">
        <f>SUM(D92:Q92)</f>
        <v>1724.1823223951917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G86</f>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408.41126999157984</v>
      </c>
      <c r="K95" s="108">
        <f t="shared" si="8"/>
        <v>219.61275259631313</v>
      </c>
      <c r="L95" s="109">
        <f t="shared" si="8"/>
        <v>381.94193194134141</v>
      </c>
      <c r="M95" s="108">
        <f t="shared" si="8"/>
        <v>0</v>
      </c>
      <c r="N95" s="108">
        <f t="shared" si="8"/>
        <v>0</v>
      </c>
      <c r="O95" s="108">
        <f t="shared" si="8"/>
        <v>0</v>
      </c>
      <c r="P95" s="108">
        <f t="shared" si="8"/>
        <v>0</v>
      </c>
      <c r="Q95" s="108">
        <f t="shared" si="8"/>
        <v>0</v>
      </c>
      <c r="R95" s="113">
        <f>SUM(D95:Q95)</f>
        <v>1565.5269629325958</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144.53977773978585</v>
      </c>
      <c r="N96" s="108">
        <f t="shared" si="8"/>
        <v>217.27790874381157</v>
      </c>
      <c r="O96" s="108">
        <f t="shared" si="8"/>
        <v>81.493553167490219</v>
      </c>
      <c r="P96" s="108">
        <f t="shared" si="8"/>
        <v>80.082867813976321</v>
      </c>
      <c r="Q96" s="108">
        <f t="shared" si="8"/>
        <v>51.333333333333336</v>
      </c>
      <c r="R96" s="113">
        <f>SUM(D96:Q96)</f>
        <v>574.72744079839731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408.41126999157984</v>
      </c>
      <c r="K99" s="108">
        <f t="shared" si="10"/>
        <v>219.61275259631313</v>
      </c>
      <c r="L99" s="109">
        <f t="shared" si="10"/>
        <v>381.94193194134141</v>
      </c>
      <c r="M99" s="108">
        <f t="shared" si="10"/>
        <v>0</v>
      </c>
      <c r="N99" s="108">
        <f t="shared" si="10"/>
        <v>0</v>
      </c>
      <c r="O99" s="108">
        <f t="shared" si="10"/>
        <v>0</v>
      </c>
      <c r="P99" s="108">
        <f t="shared" si="10"/>
        <v>0</v>
      </c>
      <c r="Q99" s="108">
        <f t="shared" si="10"/>
        <v>0</v>
      </c>
      <c r="R99" s="113">
        <f>SUM(D99:Q99)</f>
        <v>1565.5269629325958</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144.53977773978585</v>
      </c>
      <c r="N100" s="108">
        <f t="shared" si="10"/>
        <v>217.27790874381157</v>
      </c>
      <c r="O100" s="108">
        <f t="shared" si="10"/>
        <v>81.493553167490219</v>
      </c>
      <c r="P100" s="108">
        <f t="shared" si="10"/>
        <v>80.082867813976321</v>
      </c>
      <c r="Q100" s="108">
        <f t="shared" si="10"/>
        <v>51.333333333333336</v>
      </c>
      <c r="R100" s="113">
        <f>SUM(D100:Q100)</f>
        <v>574.72744079839731</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38.886145644612462</v>
      </c>
      <c r="N101" s="151">
        <f t="shared" si="11"/>
        <v>189.51487939326151</v>
      </c>
      <c r="O101" s="151">
        <f t="shared" si="11"/>
        <v>59.277777777777771</v>
      </c>
      <c r="P101" s="151">
        <f t="shared" si="11"/>
        <v>80.082867813976321</v>
      </c>
      <c r="Q101" s="151">
        <f t="shared" si="11"/>
        <v>51.333333333333336</v>
      </c>
      <c r="R101" s="130">
        <f>SUM(C101:Q101)</f>
        <v>2302.7181142819004</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12">SUM(D102:Q102)</f>
        <v>1633.624895885167</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12"/>
        <v>1633.624895885167</v>
      </c>
      <c r="S103" s="140"/>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12"/>
        <v>171.06175571851304</v>
      </c>
      <c r="S104" s="140"/>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12"/>
        <v>498.03146267822001</v>
      </c>
      <c r="S105" s="140"/>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12"/>
        <v>71</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12"/>
        <v>277.77033070693341</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12"/>
        <v>9</v>
      </c>
    </row>
    <row r="109" spans="2:19" ht="15.5" x14ac:dyDescent="0.35">
      <c r="B109" s="135" t="s">
        <v>119</v>
      </c>
      <c r="C109" s="129"/>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12"/>
        <v>65</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12"/>
        <v>9</v>
      </c>
    </row>
    <row r="112" spans="2:19"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12"/>
        <v>6742.4646350335588</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12"/>
        <v>6559.2331999999997</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12"/>
        <v>1016.6394103873765</v>
      </c>
    </row>
    <row r="116" spans="2:21" ht="15.5" x14ac:dyDescent="0.35">
      <c r="B116" s="106" t="s">
        <v>274</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12"/>
        <v>955</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252</v>
      </c>
      <c r="C122" s="106"/>
      <c r="D122" s="108"/>
      <c r="E122" s="108">
        <f>SUM(E118:E121)</f>
        <v>128.30769230769232</v>
      </c>
      <c r="F122" s="108">
        <f t="shared" ref="F122:Q122" si="13">SUM(F118:F121)</f>
        <v>971.2333548804138</v>
      </c>
      <c r="G122" s="108">
        <f t="shared" si="13"/>
        <v>818.53846153846166</v>
      </c>
      <c r="H122" s="108">
        <f t="shared" si="13"/>
        <v>681.69999999999993</v>
      </c>
      <c r="I122" s="108">
        <f t="shared" si="13"/>
        <v>572.88</v>
      </c>
      <c r="J122" s="108">
        <f t="shared" si="13"/>
        <v>1075.2559042278085</v>
      </c>
      <c r="K122" s="108">
        <f>SUM(K118:K121)</f>
        <v>570.15912889446963</v>
      </c>
      <c r="L122" s="108">
        <f t="shared" si="13"/>
        <v>999.22666692955454</v>
      </c>
      <c r="M122" s="108">
        <f t="shared" si="13"/>
        <v>275.13888507659749</v>
      </c>
      <c r="N122" s="108">
        <f t="shared" si="13"/>
        <v>577.03583434212578</v>
      </c>
      <c r="O122" s="108">
        <f t="shared" si="13"/>
        <v>197.81949641790197</v>
      </c>
      <c r="P122" s="108">
        <f t="shared" si="13"/>
        <v>227.23610344192895</v>
      </c>
      <c r="Q122" s="108">
        <f t="shared" si="13"/>
        <v>142.44999999999999</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122</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123</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140</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149</v>
      </c>
      <c r="C131" s="106"/>
      <c r="D131" s="108">
        <f>SUM(D127:D130)</f>
        <v>0</v>
      </c>
      <c r="E131" s="108">
        <f t="shared" ref="E131:Q131" si="14">SUM(E127:E130)</f>
        <v>2</v>
      </c>
      <c r="F131" s="108">
        <f t="shared" si="14"/>
        <v>5</v>
      </c>
      <c r="G131" s="108">
        <f t="shared" si="14"/>
        <v>5</v>
      </c>
      <c r="H131" s="108">
        <f t="shared" si="14"/>
        <v>5</v>
      </c>
      <c r="I131" s="108">
        <f t="shared" si="14"/>
        <v>4</v>
      </c>
      <c r="J131" s="108">
        <f t="shared" si="14"/>
        <v>5</v>
      </c>
      <c r="K131" s="108">
        <f t="shared" si="14"/>
        <v>2</v>
      </c>
      <c r="L131" s="108">
        <f t="shared" si="14"/>
        <v>4</v>
      </c>
      <c r="M131" s="108">
        <f t="shared" si="14"/>
        <v>2</v>
      </c>
      <c r="N131" s="108">
        <f t="shared" si="14"/>
        <v>4</v>
      </c>
      <c r="O131" s="108">
        <f t="shared" si="14"/>
        <v>2</v>
      </c>
      <c r="P131" s="108">
        <f t="shared" si="14"/>
        <v>2</v>
      </c>
      <c r="Q131" s="108">
        <f t="shared" si="14"/>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 t="shared" ref="D134:Q134" si="15">D131*2</f>
        <v>0</v>
      </c>
      <c r="E134" s="108">
        <f t="shared" si="15"/>
        <v>4</v>
      </c>
      <c r="F134" s="108">
        <f t="shared" si="15"/>
        <v>10</v>
      </c>
      <c r="G134" s="108">
        <f t="shared" si="15"/>
        <v>10</v>
      </c>
      <c r="H134" s="108">
        <f t="shared" si="15"/>
        <v>10</v>
      </c>
      <c r="I134" s="108">
        <f t="shared" si="15"/>
        <v>8</v>
      </c>
      <c r="J134" s="108">
        <f t="shared" si="15"/>
        <v>10</v>
      </c>
      <c r="K134" s="108">
        <f t="shared" si="15"/>
        <v>4</v>
      </c>
      <c r="L134" s="109">
        <f t="shared" si="15"/>
        <v>8</v>
      </c>
      <c r="M134" s="108">
        <f t="shared" si="15"/>
        <v>4</v>
      </c>
      <c r="N134" s="108">
        <f t="shared" si="15"/>
        <v>8</v>
      </c>
      <c r="O134" s="108">
        <f t="shared" si="15"/>
        <v>4</v>
      </c>
      <c r="P134" s="108">
        <f t="shared" si="15"/>
        <v>4</v>
      </c>
      <c r="Q134" s="108">
        <f t="shared" si="15"/>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305</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16">C6</f>
        <v>2021</v>
      </c>
      <c r="D141" s="198">
        <f t="shared" si="16"/>
        <v>2022</v>
      </c>
      <c r="E141" s="198">
        <f t="shared" si="16"/>
        <v>2023</v>
      </c>
      <c r="F141" s="198">
        <f t="shared" si="16"/>
        <v>2024</v>
      </c>
      <c r="G141" s="198">
        <f t="shared" si="16"/>
        <v>2025</v>
      </c>
      <c r="H141" s="198">
        <f t="shared" si="16"/>
        <v>2026</v>
      </c>
      <c r="I141" s="198">
        <f t="shared" si="16"/>
        <v>2027</v>
      </c>
      <c r="J141" s="198">
        <f t="shared" si="16"/>
        <v>2028</v>
      </c>
      <c r="K141" s="198">
        <f t="shared" si="16"/>
        <v>2029</v>
      </c>
      <c r="L141" s="198">
        <f t="shared" si="16"/>
        <v>2030</v>
      </c>
      <c r="M141" s="198">
        <f t="shared" si="16"/>
        <v>2031</v>
      </c>
      <c r="N141" s="198">
        <f t="shared" si="16"/>
        <v>2032</v>
      </c>
      <c r="O141" s="198">
        <f t="shared" si="16"/>
        <v>2033</v>
      </c>
      <c r="P141" s="198">
        <f t="shared" si="16"/>
        <v>2034</v>
      </c>
      <c r="Q141" s="198">
        <f t="shared" si="16"/>
        <v>2035</v>
      </c>
      <c r="R141" s="143"/>
    </row>
    <row r="142" spans="2:18" x14ac:dyDescent="0.35">
      <c r="B142" s="144" t="s">
        <v>254</v>
      </c>
      <c r="C142" s="165"/>
      <c r="D142" s="165">
        <f t="shared" ref="D142:Q142" si="17">ROUNDUP(D131*1.5,0)</f>
        <v>0</v>
      </c>
      <c r="E142" s="165">
        <f>ROUNDUP(E131*1.5,0)</f>
        <v>3</v>
      </c>
      <c r="F142" s="165">
        <f t="shared" si="17"/>
        <v>8</v>
      </c>
      <c r="G142" s="165">
        <f t="shared" si="17"/>
        <v>8</v>
      </c>
      <c r="H142" s="165">
        <f t="shared" si="17"/>
        <v>8</v>
      </c>
      <c r="I142" s="165">
        <f t="shared" si="17"/>
        <v>6</v>
      </c>
      <c r="J142" s="165">
        <f t="shared" si="17"/>
        <v>8</v>
      </c>
      <c r="K142" s="165">
        <f t="shared" si="17"/>
        <v>3</v>
      </c>
      <c r="L142" s="165">
        <f t="shared" si="17"/>
        <v>6</v>
      </c>
      <c r="M142" s="165">
        <f t="shared" si="17"/>
        <v>3</v>
      </c>
      <c r="N142" s="165">
        <f t="shared" si="17"/>
        <v>6</v>
      </c>
      <c r="O142" s="165">
        <f t="shared" si="17"/>
        <v>3</v>
      </c>
      <c r="P142" s="165">
        <f t="shared" si="17"/>
        <v>3</v>
      </c>
      <c r="Q142" s="165">
        <f t="shared" si="17"/>
        <v>3</v>
      </c>
      <c r="R142" s="144"/>
    </row>
    <row r="143" spans="2:18" x14ac:dyDescent="0.35">
      <c r="B143" s="144" t="s">
        <v>269</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tabSelected="1" zoomScale="80" zoomScaleNormal="80" workbookViewId="0">
      <pane ySplit="6" topLeftCell="A83" activePane="bottomLeft" state="frozen"/>
      <selection activeCell="D1" sqref="D1"/>
      <selection pane="bottomLeft" activeCell="U109" sqref="U109"/>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366</v>
      </c>
      <c r="R1" s="23">
        <v>1</v>
      </c>
      <c r="S1" t="s">
        <v>104</v>
      </c>
    </row>
    <row r="2" spans="1:20" x14ac:dyDescent="0.35">
      <c r="A2" s="30"/>
      <c r="B2" s="7" t="s">
        <v>298</v>
      </c>
      <c r="C2" s="30"/>
      <c r="D2" s="30"/>
      <c r="E2" s="30"/>
      <c r="F2" s="30"/>
      <c r="G2" s="30"/>
      <c r="Q2" s="4" t="s">
        <v>367</v>
      </c>
      <c r="R2" s="23">
        <v>1</v>
      </c>
    </row>
    <row r="3" spans="1:20" x14ac:dyDescent="0.35">
      <c r="Q3" s="4" t="s">
        <v>349</v>
      </c>
      <c r="R3" s="23">
        <v>1</v>
      </c>
      <c r="T3" s="138" t="s">
        <v>133</v>
      </c>
    </row>
    <row r="4" spans="1:20" x14ac:dyDescent="0.35">
      <c r="Q4" s="4" t="s">
        <v>348</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ca="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319.20644440645248</v>
      </c>
      <c r="L12" s="108" cm="1">
        <f t="array" aca="1" ref="L12" ca="1">INDIRECT("R[36]C["&amp;$A$12&amp;"]",FALSE)</f>
        <v>356.16679763270048</v>
      </c>
      <c r="M12" s="108" cm="1">
        <f t="array" aca="1" ref="M12" ca="1">INDIRECT("R[36]C["&amp;$A$12&amp;"]",FALSE)</f>
        <v>398.16021983415686</v>
      </c>
      <c r="N12" s="108" cm="1">
        <f t="array" aca="1" ref="N12" ca="1">INDIRECT("R[36]C["&amp;$A$12&amp;"]",FALSE)</f>
        <v>274.52731225842081</v>
      </c>
      <c r="O12" s="108" cm="1">
        <f t="array" aca="1" ref="O12" ca="1">INDIRECT("R[36]C["&amp;$A$12&amp;"]",FALSE)</f>
        <v>301.33333333333331</v>
      </c>
      <c r="P12" s="108"/>
      <c r="Q12" s="108"/>
      <c r="R12" s="113">
        <f ca="1">SUM(C12:P12)</f>
        <v>1649.3941074650638</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ca="1">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957.61933321935749</v>
      </c>
      <c r="L16" s="108" cm="1">
        <f t="array" aca="1" ref="L16" ca="1">INDIRECT("R[36]C["&amp;$A$16&amp;"]",FALSE)</f>
        <v>1068.5003928981014</v>
      </c>
      <c r="M16" s="108" cm="1">
        <f t="array" aca="1" ref="M16" ca="1">INDIRECT("R[36]C["&amp;$A$16&amp;"]",FALSE)</f>
        <v>1194.4806595024706</v>
      </c>
      <c r="N16" s="108" cm="1">
        <f t="array" aca="1" ref="N16" ca="1">INDIRECT("R[36]C["&amp;$A$16&amp;"]",FALSE)</f>
        <v>823.58193677526242</v>
      </c>
      <c r="O16" s="108" cm="1">
        <f t="array" aca="1" ref="O16" ca="1">INDIRECT("R[36]C["&amp;$A$16&amp;"]",FALSE)</f>
        <v>904</v>
      </c>
      <c r="P16" s="111"/>
      <c r="Q16" s="111"/>
      <c r="R16" s="113">
        <f ca="1">SUM(C16:P16)</f>
        <v>4948.1823223951924</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ca="1">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319.20644440645248</v>
      </c>
      <c r="L20" s="108" cm="1">
        <f t="array" aca="1" ref="L20" ca="1">INDIRECT("R[36]C["&amp;$A$20&amp;"]",FALSE)</f>
        <v>356.16679763270048</v>
      </c>
      <c r="M20" s="108" cm="1">
        <f t="array" aca="1" ref="M20" ca="1">INDIRECT("R[36]C["&amp;$A$20&amp;"]",FALSE)</f>
        <v>398.16021983415686</v>
      </c>
      <c r="N20" s="108" cm="1">
        <f t="array" aca="1" ref="N20" ca="1">INDIRECT("R[36]C["&amp;$A$20&amp;"]",FALSE)</f>
        <v>274.52731225842081</v>
      </c>
      <c r="O20" s="108" cm="1">
        <f t="array" aca="1" ref="O20" ca="1">INDIRECT("R[36]C["&amp;$A$20&amp;"]",FALSE)</f>
        <v>301.33333333333331</v>
      </c>
      <c r="P20" s="111"/>
      <c r="Q20" s="111"/>
      <c r="R20" s="113">
        <f ca="1">SUM(C20:P20)</f>
        <v>1649.3941074650638</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319.20644440645248</v>
      </c>
      <c r="L24" s="108" cm="1">
        <f t="array" aca="1" ref="L24" ca="1">INDIRECT("R[36]C["&amp;$A$20&amp;"]",FALSE)</f>
        <v>356.16679763270048</v>
      </c>
      <c r="M24" s="108" cm="1">
        <f t="array" aca="1" ref="M24" ca="1">INDIRECT("R[36]C["&amp;$A$20&amp;"]",FALSE)</f>
        <v>398.16021983415686</v>
      </c>
      <c r="N24" s="108" cm="1">
        <f t="array" aca="1" ref="N24" ca="1">INDIRECT("R[36]C["&amp;$A$20&amp;"]",FALSE)</f>
        <v>274.52731225842081</v>
      </c>
      <c r="O24" s="108" cm="1">
        <f t="array" aca="1" ref="O24" ca="1">INDIRECT("R[36]C["&amp;$A$20&amp;"]",FALSE)</f>
        <v>301.33333333333331</v>
      </c>
      <c r="P24" s="111"/>
      <c r="Q24" s="111"/>
      <c r="R24" s="113">
        <f ca="1">SUM(C24:P24)</f>
        <v>1649.3941074650638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116.66392342239024</v>
      </c>
      <c r="L26" s="108" cm="1">
        <f t="array" aca="1" ref="L26" ca="1">INDIRECT("R[36]C["&amp;$A$18&amp;"]",FALSE)</f>
        <v>213.01597113083858</v>
      </c>
      <c r="M26" s="108" cm="1">
        <f t="array" aca="1" ref="M26" ca="1">INDIRECT("R[36]C["&amp;$A$18&amp;"]",FALSE)</f>
        <v>80.383333333333326</v>
      </c>
      <c r="N26" s="108" cm="1">
        <f t="array" aca="1" ref="N26" ca="1">INDIRECT("R[36]C["&amp;$A$18&amp;"]",FALSE)</f>
        <v>62.732867813976327</v>
      </c>
      <c r="O26" s="108" cm="1">
        <f t="array" aca="1" ref="O26" ca="1">INDIRECT("R[36]C["&amp;$A$18&amp;"]",FALSE)</f>
        <v>308.15555555555551</v>
      </c>
      <c r="P26" s="108"/>
      <c r="Q26" s="108"/>
      <c r="R26" s="113">
        <f ca="1">SUM(C26:Q26)</f>
        <v>2178.0693403296109</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116.66392342239024</v>
      </c>
      <c r="L27" s="108" cm="1">
        <f t="array" aca="1" ref="L27" ca="1">INDIRECT("R[36]C["&amp;$A$19&amp;"]",FALSE)</f>
        <v>213.01597113083858</v>
      </c>
      <c r="M27" s="108" cm="1">
        <f t="array" aca="1" ref="M27" ca="1">INDIRECT("R[36]C["&amp;$A$19&amp;"]",FALSE)</f>
        <v>80.383333333333326</v>
      </c>
      <c r="N27" s="108" cm="1">
        <f t="array" aca="1" ref="N27" ca="1">INDIRECT("R[36]C["&amp;$A$19&amp;"]",FALSE)</f>
        <v>62.732867813976327</v>
      </c>
      <c r="O27" s="108" cm="1">
        <f t="array" aca="1" ref="O27" ca="1">INDIRECT("R[36]C["&amp;$A$19&amp;"]",FALSE)</f>
        <v>308.15555555555551</v>
      </c>
      <c r="P27" s="108"/>
      <c r="Q27" s="108"/>
      <c r="R27" s="113">
        <f ca="1">SUM(C27:Q27)</f>
        <v>2178.0693403296109</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16.666666666666668</v>
      </c>
      <c r="L28" s="108" cm="1">
        <f t="array" aca="1" ref="L28" ca="1">INDIRECT("R[36]C["&amp;$A$28&amp;"]",FALSE)</f>
        <v>42.935565242322554</v>
      </c>
      <c r="M28" s="108" cm="1">
        <f t="array" aca="1" ref="M28" ca="1">INDIRECT("R[36]C["&amp;$A$28&amp;"]",FALSE)</f>
        <v>17.225000000000001</v>
      </c>
      <c r="N28" s="108" cm="1">
        <f t="array" aca="1" ref="N28" ca="1">INDIRECT("R[36]C["&amp;$A$28&amp;"]",FALSE)</f>
        <v>8.6750000000000007</v>
      </c>
      <c r="O28" s="108" cm="1">
        <f t="array" aca="1" ref="O28" ca="1">INDIRECT("R[36]C["&amp;$A$28&amp;"]",FALSE)</f>
        <v>66.033333333333331</v>
      </c>
      <c r="P28" s="108"/>
      <c r="Q28" s="108"/>
      <c r="R28" s="113">
        <f ca="1">SUM(C28:Q28)</f>
        <v>287.72842238517967</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16.666666666666668</v>
      </c>
      <c r="L29" s="108" cm="1">
        <f t="array" aca="1" ref="L29" ca="1">INDIRECT("R[36]C["&amp;$A$29&amp;"]",FALSE)</f>
        <v>72.452231908989219</v>
      </c>
      <c r="M29" s="108" cm="1">
        <f t="array" aca="1" ref="M29" ca="1">INDIRECT("R[36]C["&amp;$A$29&amp;"]",FALSE)</f>
        <v>17.225000000000001</v>
      </c>
      <c r="N29" s="108" cm="1">
        <f t="array" aca="1" ref="N29" ca="1">INDIRECT("R[36]C["&amp;$A$29&amp;"]",FALSE)</f>
        <v>8.6750000000000007</v>
      </c>
      <c r="O29" s="108" cm="1">
        <f t="array" aca="1" ref="O29" ca="1">INDIRECT("R[36]C["&amp;$A$29&amp;"]",FALSE)</f>
        <v>66.033333333333331</v>
      </c>
      <c r="P29" s="108"/>
      <c r="Q29" s="108"/>
      <c r="R29" s="113">
        <f ca="1">SUM(C29:Q29)</f>
        <v>614.69812934488664</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5</v>
      </c>
      <c r="L30" s="108" cm="1">
        <f t="array" aca="1" ref="L30" ca="1">INDIRECT("R[36]C["&amp;$A$30&amp;"]",FALSE)</f>
        <v>10</v>
      </c>
      <c r="M30" s="108" cm="1">
        <f t="array" aca="1" ref="M30" ca="1">INDIRECT("R[36]C["&amp;$A$30&amp;"]",FALSE)</f>
        <v>4</v>
      </c>
      <c r="N30" s="108" cm="1">
        <f t="array" aca="1" ref="N30" ca="1">INDIRECT("R[36]C["&amp;$A$30&amp;"]",FALSE)</f>
        <v>3</v>
      </c>
      <c r="O30" s="108" cm="1">
        <f t="array" aca="1" ref="O30" ca="1">INDIRECT("R[36]C["&amp;$A$30&amp;"]",FALSE)</f>
        <v>14</v>
      </c>
      <c r="P30" s="108"/>
      <c r="Q30" s="108"/>
      <c r="R30" s="113">
        <f ca="1">SUM(C30:Q30)</f>
        <v>95</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5</v>
      </c>
      <c r="K32" s="108" cm="1">
        <f t="array" aca="1" ref="K32" ca="1">INDIRECT("R[36]C["&amp;$A$32&amp;"]",FALSE)</f>
        <v>2</v>
      </c>
      <c r="L32" s="108" cm="1">
        <f t="array" aca="1" ref="L32" ca="1">INDIRECT("R[36]C["&amp;$A$32&amp;"]",FALSE)</f>
        <v>7</v>
      </c>
      <c r="M32" s="108" cm="1">
        <f t="array" aca="1" ref="M32" ca="1">INDIRECT("R[36]C["&amp;$A$32&amp;"]",FALSE)</f>
        <v>4</v>
      </c>
      <c r="N32" s="108" cm="1">
        <f t="array" aca="1" ref="N32" ca="1">INDIRECT("R[36]C["&amp;$A$32&amp;"]",FALSE)</f>
        <v>8</v>
      </c>
      <c r="O32" s="108" cm="1">
        <f t="array" aca="1" ref="O32" ca="1">INDIRECT("R[36]C["&amp;$A$32&amp;"]",FALSE)</f>
        <v>0</v>
      </c>
      <c r="P32" s="108"/>
      <c r="Q32" s="108"/>
      <c r="R32" s="113">
        <f ca="1">SUM(C32:Q32)</f>
        <v>31</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10</v>
      </c>
      <c r="M34" s="108" cm="1">
        <f t="array" aca="1" ref="M34" ca="1">INDIRECT("R[36]C["&amp;$A$34&amp;"]",FALSE)</f>
        <v>6</v>
      </c>
      <c r="N34" s="108" cm="1">
        <f t="array" aca="1" ref="N34" ca="1">INDIRECT("R[36]C["&amp;$A$34&amp;"]",FALSE)</f>
        <v>5</v>
      </c>
      <c r="O34" s="108" cm="1">
        <f t="array" aca="1" ref="O34" ca="1">INDIRECT("R[36]C["&amp;$A$34&amp;"]",FALSE)</f>
        <v>2</v>
      </c>
      <c r="P34" s="108"/>
      <c r="Q34" s="108"/>
      <c r="R34" s="113">
        <f ca="1">SUM(C34:Q34)</f>
        <v>77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5</v>
      </c>
      <c r="L35" s="108" cm="1">
        <f t="array" aca="1" ref="L35" ca="1">INDIRECT("R[36]C["&amp;$A$35&amp;"]",FALSE)</f>
        <v>2</v>
      </c>
      <c r="M35" s="108" cm="1">
        <f t="array" aca="1" ref="M35" ca="1">INDIRECT("R[36]C["&amp;$A$35&amp;"]",FALSE)</f>
        <v>7</v>
      </c>
      <c r="N35" s="108" cm="1">
        <f t="array" aca="1" ref="N35" ca="1">INDIRECT("R[36]C["&amp;$A$35&amp;"]",FALSE)</f>
        <v>4</v>
      </c>
      <c r="O35" s="108" cm="1">
        <f t="array" aca="1" ref="O35" ca="1">INDIRECT("R[36]C["&amp;$A$35&amp;"]",FALSE)</f>
        <v>8</v>
      </c>
      <c r="P35" s="108"/>
      <c r="Q35" s="108"/>
      <c r="R35" s="113">
        <f ca="1">SUM(C35:Q35)</f>
        <v>31</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1">SUM(E10:E12)</f>
        <v>289.84615384615381</v>
      </c>
      <c r="F39" s="183">
        <f t="shared" ca="1" si="1"/>
        <v>243.73333333333332</v>
      </c>
      <c r="G39" s="183">
        <f t="shared" ca="1" si="1"/>
        <v>193.64</v>
      </c>
      <c r="H39" s="183">
        <f t="shared" ca="1" si="1"/>
        <v>408.41126999157984</v>
      </c>
      <c r="I39" s="183">
        <f t="shared" ca="1" si="1"/>
        <v>219.61275259631313</v>
      </c>
      <c r="J39" s="183">
        <f t="shared" ca="1" si="1"/>
        <v>381.94193194134141</v>
      </c>
      <c r="K39" s="183">
        <f t="shared" ca="1" si="1"/>
        <v>319.20644440645248</v>
      </c>
      <c r="L39" s="183">
        <f t="shared" ca="1" si="1"/>
        <v>356.16679763270048</v>
      </c>
      <c r="M39" s="183">
        <f t="shared" ca="1" si="1"/>
        <v>398.16021983415686</v>
      </c>
      <c r="N39" s="183">
        <f t="shared" ca="1" si="1"/>
        <v>274.52731225842081</v>
      </c>
      <c r="O39" s="183">
        <f t="shared" ca="1" si="1"/>
        <v>301.33333333333331</v>
      </c>
      <c r="P39" s="183">
        <f t="shared" si="1"/>
        <v>0</v>
      </c>
      <c r="Q39" s="183">
        <f t="shared" si="1"/>
        <v>0</v>
      </c>
      <c r="R39" s="115">
        <f ca="1">SUM(R10:R12)</f>
        <v>3767.6646601412494</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319.20644440645248</v>
      </c>
      <c r="M48" s="124" cm="1">
        <f t="array" aca="1" ref="M48" ca="1">INDIRECT("R[40]C["&amp;$A$46&amp;"]",FALSE)</f>
        <v>356.16679763270048</v>
      </c>
      <c r="N48" s="124" cm="1">
        <f t="array" aca="1" ref="N48" ca="1">INDIRECT("R[40]C["&amp;$A$46&amp;"]",FALSE)</f>
        <v>398.16021983415686</v>
      </c>
      <c r="O48" s="124" cm="1">
        <f t="array" aca="1" ref="O48" ca="1">INDIRECT("R[40]C["&amp;$A$46&amp;"]",FALSE)</f>
        <v>274.52731225842081</v>
      </c>
      <c r="P48" s="124" cm="1">
        <f t="array" aca="1" ref="P48" ca="1">INDIRECT("R[40]C["&amp;$A$46&amp;"]",FALSE)</f>
        <v>301.33333333333331</v>
      </c>
      <c r="Q48" s="123"/>
      <c r="R48" s="128">
        <f ca="1">SUM(D48:P48)</f>
        <v>1649.3941074650638</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957.61933321935749</v>
      </c>
      <c r="M52" s="124" cm="1">
        <f t="array" aca="1" ref="M52" ca="1">INDIRECT("R[40]C["&amp;$A$50&amp;"]",FALSE)</f>
        <v>1068.5003928981014</v>
      </c>
      <c r="N52" s="124" cm="1">
        <f t="array" aca="1" ref="N52" ca="1">INDIRECT("R[40]C["&amp;$A$50&amp;"]",FALSE)</f>
        <v>1194.4806595024706</v>
      </c>
      <c r="O52" s="124" cm="1">
        <f t="array" aca="1" ref="O52" ca="1">INDIRECT("R[40]C["&amp;$A$50&amp;"]",FALSE)</f>
        <v>823.58193677526242</v>
      </c>
      <c r="P52" s="124" cm="1">
        <f t="array" aca="1" ref="P52" ca="1">INDIRECT("R[40]C["&amp;$A$50&amp;"]",FALSE)</f>
        <v>904</v>
      </c>
      <c r="Q52" s="124"/>
      <c r="R52" s="128">
        <f ca="1">SUM(D52:P52)</f>
        <v>4948.1823223951924</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319.20644440645248</v>
      </c>
      <c r="M56" s="124" cm="1">
        <f t="array" aca="1" ref="M56" ca="1">INDIRECT("R[40]C["&amp;$A$46&amp;"]",FALSE)</f>
        <v>356.16679763270048</v>
      </c>
      <c r="N56" s="124" cm="1">
        <f t="array" aca="1" ref="N56" ca="1">INDIRECT("R[40]C["&amp;$A$46&amp;"]",FALSE)</f>
        <v>398.16021983415686</v>
      </c>
      <c r="O56" s="124" cm="1">
        <f t="array" aca="1" ref="O56" ca="1">INDIRECT("R[40]C["&amp;$A$46&amp;"]",FALSE)</f>
        <v>274.52731225842081</v>
      </c>
      <c r="P56" s="124" cm="1">
        <f t="array" aca="1" ref="P56" ca="1">INDIRECT("R[40]C["&amp;$A$46&amp;"]",FALSE)</f>
        <v>301.33333333333331</v>
      </c>
      <c r="Q56" s="123"/>
      <c r="R56" s="128">
        <f ca="1">SUM(D56:P56)</f>
        <v>1649.3941074650638</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319.20644440645248</v>
      </c>
      <c r="M60" s="124" cm="1">
        <f t="array" aca="1" ref="M60" ca="1">INDIRECT("R[40]C["&amp;$A$58&amp;"]",FALSE)</f>
        <v>356.16679763270048</v>
      </c>
      <c r="N60" s="124" cm="1">
        <f t="array" aca="1" ref="N60" ca="1">INDIRECT("R[40]C["&amp;$A$58&amp;"]",FALSE)</f>
        <v>398.16021983415686</v>
      </c>
      <c r="O60" s="124" cm="1">
        <f t="array" aca="1" ref="O60" ca="1">INDIRECT("R[40]C["&amp;$A$58&amp;"]",FALSE)</f>
        <v>274.52731225842081</v>
      </c>
      <c r="P60" s="124" cm="1">
        <f t="array" aca="1" ref="P60" ca="1">INDIRECT("R[40]C["&amp;$A$58&amp;"]",FALSE)</f>
        <v>301.33333333333331</v>
      </c>
      <c r="Q60" s="123"/>
      <c r="R60" s="128">
        <f ca="1">SUM(D60:P60)</f>
        <v>1649.3941074650638</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116.66392342239024</v>
      </c>
      <c r="M62" s="124" cm="1">
        <f t="array" aca="1" ref="M62" ca="1">INDIRECT("R[40]C["&amp;$A$62&amp;"]",FALSE)</f>
        <v>213.01597113083858</v>
      </c>
      <c r="N62" s="124" cm="1">
        <f t="array" aca="1" ref="N62" ca="1">INDIRECT("R[40]C["&amp;$A$62&amp;"]",FALSE)</f>
        <v>80.383333333333326</v>
      </c>
      <c r="O62" s="124" cm="1">
        <f t="array" aca="1" ref="O62" ca="1">INDIRECT("R[40]C["&amp;$A$62&amp;"]",FALSE)</f>
        <v>62.732867813976327</v>
      </c>
      <c r="P62" s="124" cm="1">
        <f t="array" aca="1" ref="P62" ca="1">INDIRECT("R[40]C["&amp;$A$62&amp;"]",FALSE)</f>
        <v>308.15555555555551</v>
      </c>
      <c r="Q62" s="124"/>
      <c r="R62" s="128">
        <f ca="1">SUM(D62:Q62)</f>
        <v>2178.0693403296109</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116.66392342239024</v>
      </c>
      <c r="M63" s="124" cm="1">
        <f t="array" aca="1" ref="M63" ca="1">INDIRECT("R[40]C["&amp;$A$62&amp;"]",FALSE)</f>
        <v>213.01597113083858</v>
      </c>
      <c r="N63" s="124" cm="1">
        <f t="array" aca="1" ref="N63" ca="1">INDIRECT("R[40]C["&amp;$A$62&amp;"]",FALSE)</f>
        <v>80.383333333333326</v>
      </c>
      <c r="O63" s="124" cm="1">
        <f t="array" aca="1" ref="O63" ca="1">INDIRECT("R[40]C["&amp;$A$62&amp;"]",FALSE)</f>
        <v>62.732867813976327</v>
      </c>
      <c r="P63" s="124" cm="1">
        <f t="array" aca="1" ref="P63" ca="1">INDIRECT("R[40]C["&amp;$A$62&amp;"]",FALSE)</f>
        <v>308.15555555555551</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16.666666666666668</v>
      </c>
      <c r="M64" s="124" cm="1">
        <f t="array" aca="1" ref="M64" ca="1">INDIRECT("R[40]C["&amp;$A$62&amp;"]",FALSE)</f>
        <v>42.935565242322554</v>
      </c>
      <c r="N64" s="124" cm="1">
        <f t="array" aca="1" ref="N64" ca="1">INDIRECT("R[40]C["&amp;$A$62&amp;"]",FALSE)</f>
        <v>17.225000000000001</v>
      </c>
      <c r="O64" s="124" cm="1">
        <f t="array" aca="1" ref="O64" ca="1">INDIRECT("R[40]C["&amp;$A$62&amp;"]",FALSE)</f>
        <v>8.6750000000000007</v>
      </c>
      <c r="P64" s="124" cm="1">
        <f t="array" aca="1" ref="P64" ca="1">INDIRECT("R[40]C["&amp;$A$62&amp;"]",FALSE)</f>
        <v>66.033333333333331</v>
      </c>
      <c r="Q64" s="124"/>
      <c r="R64" s="128">
        <f ca="1">SUM(D64:Q64)</f>
        <v>287.72842238517967</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16.666666666666668</v>
      </c>
      <c r="M65" s="124" cm="1">
        <f t="array" aca="1" ref="M65" ca="1">INDIRECT("R[40]C["&amp;$A$62&amp;"]",FALSE)</f>
        <v>72.452231908989219</v>
      </c>
      <c r="N65" s="124" cm="1">
        <f t="array" aca="1" ref="N65" ca="1">INDIRECT("R[40]C["&amp;$A$62&amp;"]",FALSE)</f>
        <v>17.225000000000001</v>
      </c>
      <c r="O65" s="124" cm="1">
        <f t="array" aca="1" ref="O65" ca="1">INDIRECT("R[40]C["&amp;$A$62&amp;"]",FALSE)</f>
        <v>8.6750000000000007</v>
      </c>
      <c r="P65" s="124" cm="1">
        <f t="array" aca="1" ref="P65" ca="1">INDIRECT("R[40]C["&amp;$A$62&amp;"]",FALSE)</f>
        <v>66.033333333333331</v>
      </c>
      <c r="Q65" s="124"/>
      <c r="R65" s="128">
        <f ca="1">SUM(D65:Q65)</f>
        <v>614.69812934488664</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5</v>
      </c>
      <c r="M66" s="124" cm="1">
        <f t="array" aca="1" ref="M66" ca="1">INDIRECT("R[40]C["&amp;$A$62&amp;"]",FALSE)</f>
        <v>10</v>
      </c>
      <c r="N66" s="124" cm="1">
        <f t="array" aca="1" ref="N66" ca="1">INDIRECT("R[40]C["&amp;$A$62&amp;"]",FALSE)</f>
        <v>4</v>
      </c>
      <c r="O66" s="124" cm="1">
        <f t="array" aca="1" ref="O66" ca="1">INDIRECT("R[40]C["&amp;$A$62&amp;"]",FALSE)</f>
        <v>3</v>
      </c>
      <c r="P66" s="124" cm="1">
        <f t="array" aca="1" ref="P66" ca="1">INDIRECT("R[40]C["&amp;$A$62&amp;"]",FALSE)</f>
        <v>14</v>
      </c>
      <c r="Q66" s="124"/>
      <c r="R66" s="128">
        <f ca="1">SUM(D66:Q66)</f>
        <v>95</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5</v>
      </c>
      <c r="M68" s="124" cm="1">
        <f t="array" aca="1" ref="M68" ca="1">INDIRECT("R[40]C["&amp;$A$68&amp;"]",FALSE)</f>
        <v>2</v>
      </c>
      <c r="N68" s="124" cm="1">
        <f t="array" aca="1" ref="N68" ca="1">INDIRECT("R[40]C["&amp;$A$68&amp;"]",FALSE)</f>
        <v>7</v>
      </c>
      <c r="O68" s="124" cm="1">
        <f t="array" aca="1" ref="O68" ca="1">INDIRECT("R[40]C["&amp;$A$68&amp;"]",FALSE)</f>
        <v>4</v>
      </c>
      <c r="P68" s="124" cm="1">
        <f t="array" aca="1" ref="P68" ca="1">INDIRECT("R[40]C["&amp;$A$68&amp;"]",FALSE)</f>
        <v>8</v>
      </c>
      <c r="Q68" s="124"/>
      <c r="R68" s="128">
        <f ca="1">SUM(D68:Q68)</f>
        <v>31</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10</v>
      </c>
      <c r="N70" s="124" cm="1">
        <f t="array" aca="1" ref="N70" ca="1">INDIRECT("R[40]C["&amp;$A$70&amp;"]",FALSE)</f>
        <v>6</v>
      </c>
      <c r="O70" s="124" cm="1">
        <f t="array" aca="1" ref="O70" ca="1">INDIRECT("R[40]C["&amp;$A$70&amp;"]",FALSE)</f>
        <v>5</v>
      </c>
      <c r="P70" s="124" cm="1">
        <f t="array" aca="1" ref="P70" ca="1">INDIRECT("R[40]C["&amp;$A$70&amp;"]",FALSE)</f>
        <v>2</v>
      </c>
      <c r="Q70" s="124"/>
      <c r="R70" s="128">
        <f ca="1">SUM(D70:Q70)</f>
        <v>77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5</v>
      </c>
      <c r="M71" s="124" cm="1">
        <f t="array" aca="1" ref="M71" ca="1">INDIRECT("R[40]C["&amp;$A$70&amp;"]",FALSE)</f>
        <v>2</v>
      </c>
      <c r="N71" s="124" cm="1">
        <f t="array" aca="1" ref="N71" ca="1">INDIRECT("R[40]C["&amp;$A$70&amp;"]",FALSE)</f>
        <v>7</v>
      </c>
      <c r="O71" s="124" cm="1">
        <f t="array" aca="1" ref="O71" ca="1">INDIRECT("R[40]C["&amp;$A$70&amp;"]",FALSE)</f>
        <v>4</v>
      </c>
      <c r="P71" s="124" cm="1">
        <f t="array" aca="1" ref="P71" ca="1">INDIRECT("R[40]C["&amp;$A$70&amp;"]",FALSE)</f>
        <v>8</v>
      </c>
      <c r="Q71" s="124"/>
      <c r="R71" s="128">
        <f ca="1">SUM(D71:Q71)</f>
        <v>31</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2">SUM(E46:E48)</f>
        <v>338.31588019823317</v>
      </c>
      <c r="F75" s="183">
        <f t="shared" ca="1" si="2"/>
        <v>289.84615384615381</v>
      </c>
      <c r="G75" s="183">
        <f t="shared" ca="1" si="2"/>
        <v>243.73333333333332</v>
      </c>
      <c r="H75" s="183">
        <f t="shared" ca="1" si="2"/>
        <v>193.64</v>
      </c>
      <c r="I75" s="183">
        <f t="shared" ca="1" si="2"/>
        <v>408.41126999157984</v>
      </c>
      <c r="J75" s="183">
        <f t="shared" ca="1" si="2"/>
        <v>219.61275259631313</v>
      </c>
      <c r="K75" s="183">
        <f t="shared" ca="1" si="2"/>
        <v>381.94193194134141</v>
      </c>
      <c r="L75" s="183">
        <f t="shared" ca="1" si="2"/>
        <v>319.20644440645248</v>
      </c>
      <c r="M75" s="183">
        <f t="shared" ca="1" si="2"/>
        <v>356.16679763270048</v>
      </c>
      <c r="N75" s="183">
        <f t="shared" ca="1" si="2"/>
        <v>398.16021983415686</v>
      </c>
      <c r="O75" s="183">
        <f t="shared" ca="1" si="2"/>
        <v>274.52731225842081</v>
      </c>
      <c r="P75" s="183">
        <f t="shared" ca="1" si="2"/>
        <v>301.33333333333331</v>
      </c>
      <c r="Q75" s="183">
        <f t="shared" si="2"/>
        <v>0</v>
      </c>
      <c r="R75" s="115">
        <f ca="1">SUM(R46:R48)</f>
        <v>3767.6646601412494</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276</v>
      </c>
      <c r="C80" s="28"/>
      <c r="D80" s="197"/>
      <c r="E80" s="197"/>
      <c r="F80" s="197"/>
      <c r="G80" s="197"/>
      <c r="H80" s="197"/>
      <c r="I80" s="197"/>
      <c r="J80" s="197"/>
      <c r="K80" s="203"/>
      <c r="L80" s="203"/>
      <c r="M80" s="203"/>
      <c r="N80" s="203"/>
      <c r="O80" s="203"/>
      <c r="P80" s="203"/>
      <c r="Q80" s="203"/>
      <c r="R80" s="22"/>
    </row>
    <row r="81" spans="1:26" x14ac:dyDescent="0.35">
      <c r="B81" s="7" t="s">
        <v>170</v>
      </c>
      <c r="C81" s="7"/>
      <c r="D81" s="203"/>
      <c r="E81" s="203"/>
      <c r="F81" s="203"/>
      <c r="G81" s="203"/>
      <c r="H81" s="203"/>
      <c r="I81" s="203"/>
      <c r="J81" s="203"/>
      <c r="K81" s="203"/>
      <c r="L81" s="203"/>
      <c r="M81" s="203"/>
      <c r="N81" s="203"/>
      <c r="O81" s="203"/>
      <c r="P81" s="203"/>
      <c r="Q81" s="203"/>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35861.543520228166</v>
      </c>
      <c r="N82" s="108">
        <f>SUM($E83:N83)</f>
        <v>42272.545877616772</v>
      </c>
      <c r="O82" s="108">
        <f>SUM($E83:O83)</f>
        <v>49439.429834631599</v>
      </c>
      <c r="P82" s="108">
        <f>SUM($E83:P83)</f>
        <v>54380.921455283176</v>
      </c>
      <c r="Q82" s="108">
        <f>SUM($E83:Q83)</f>
        <v>59804.921455283176</v>
      </c>
      <c r="R82" s="113">
        <f>Q82</f>
        <v>59804.921455283176</v>
      </c>
    </row>
    <row r="83" spans="1:26" ht="15.5" x14ac:dyDescent="0.35">
      <c r="B83" s="105" t="s">
        <v>111</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6126.169049873698</v>
      </c>
      <c r="K83" s="108">
        <f t="shared" si="3"/>
        <v>3294.1912889446971</v>
      </c>
      <c r="L83" s="109">
        <f t="shared" si="3"/>
        <v>5729.1289791201216</v>
      </c>
      <c r="M83" s="108">
        <f t="shared" si="3"/>
        <v>5745.7159993161449</v>
      </c>
      <c r="N83" s="108">
        <f t="shared" si="3"/>
        <v>6411.0023573886083</v>
      </c>
      <c r="O83" s="108">
        <f>SUMPRODUCT(O86:O88,$B$86:$B$88)</f>
        <v>7166.8839570148239</v>
      </c>
      <c r="P83" s="108">
        <f t="shared" si="3"/>
        <v>4941.4916206515745</v>
      </c>
      <c r="Q83" s="108">
        <f t="shared" si="3"/>
        <v>5424</v>
      </c>
      <c r="R83" s="113">
        <f>SUM(D83:Q83)</f>
        <v>59804.921455283176</v>
      </c>
    </row>
    <row r="84" spans="1:26" ht="15.5" x14ac:dyDescent="0.35">
      <c r="B84" s="105" t="s">
        <v>236</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7</v>
      </c>
      <c r="N84" s="108">
        <f>'EC-known'!N84*$R$1+'WC-known'!N84*$R$2+'FIX-EX'!N84*$R$3+'FLOAT-EX'!N84*$R$4</f>
        <v>7</v>
      </c>
      <c r="O84" s="108">
        <f>'EC-known'!O84*$R$1+'WC-known'!O84*$R$2+'FIX-EX'!O84*$R$3+'FLOAT-EX'!O84*$R$4</f>
        <v>7</v>
      </c>
      <c r="P84" s="108">
        <f>'EC-known'!P84*$R$1+'WC-known'!P84*$R$2+'FIX-EX'!P84*$R$3+'FLOAT-EX'!P84*$R$4</f>
        <v>5</v>
      </c>
      <c r="Q84" s="108">
        <f>'EC-known'!Q84*$R$1+'WC-known'!Q84*$R$2+'FIX-EX'!Q84*$R$3+'FLOAT-EX'!Q84*$R$4</f>
        <v>5</v>
      </c>
      <c r="R84" s="113">
        <f>SUM(D84:Q84)</f>
        <v>74</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408.41126999157984</v>
      </c>
      <c r="K85" s="154">
        <f t="shared" si="4"/>
        <v>219.61275259631313</v>
      </c>
      <c r="L85" s="154">
        <f t="shared" si="4"/>
        <v>381.94193194134141</v>
      </c>
      <c r="M85" s="154">
        <f t="shared" si="4"/>
        <v>319.20644440645248</v>
      </c>
      <c r="N85" s="154">
        <f t="shared" si="4"/>
        <v>356.16679763270048</v>
      </c>
      <c r="O85" s="154">
        <f t="shared" si="4"/>
        <v>398.16021983415686</v>
      </c>
      <c r="P85" s="154">
        <f t="shared" si="4"/>
        <v>274.52731225842081</v>
      </c>
      <c r="Q85" s="154">
        <f t="shared" si="4"/>
        <v>301.33333333333331</v>
      </c>
      <c r="R85" s="130">
        <f>SUM(E85:Q85)</f>
        <v>3767.6646601412499</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319.20644440645248</v>
      </c>
      <c r="N88" s="108">
        <f>'EC-known'!N88*$R$1+'WC-known'!N88*$R$2+'FIX-EX'!N88*$R$3+'FLOAT-EX'!N88*$R$4</f>
        <v>356.16679763270048</v>
      </c>
      <c r="O88" s="108">
        <f>'EC-known'!O88*$R$1+'WC-known'!O88*$R$2+'FIX-EX'!O88*$R$3+'FLOAT-EX'!O88*$R$4</f>
        <v>398.16021983415686</v>
      </c>
      <c r="P88" s="108">
        <f>'EC-known'!P88*$R$1+'WC-known'!P88*$R$2+'FIX-EX'!P88*$R$3+'FLOAT-EX'!P88*$R$4</f>
        <v>274.52731225842081</v>
      </c>
      <c r="Q88" s="108">
        <f>'EC-known'!Q88*$R$1+'WC-known'!Q88*$R$2+'FIX-EX'!Q88*$R$3+'FLOAT-EX'!Q88*$R$4</f>
        <v>301.33333333333331</v>
      </c>
      <c r="R88" s="113">
        <f>SUM(D88:Q88)</f>
        <v>1649.3941074650638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5">3*F86</f>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1225.2338099747394</v>
      </c>
      <c r="K91" s="108">
        <f t="shared" si="6"/>
        <v>658.83825778893936</v>
      </c>
      <c r="L91" s="109">
        <f t="shared" si="6"/>
        <v>1145.8257958240242</v>
      </c>
      <c r="M91" s="108">
        <f t="shared" si="6"/>
        <v>0</v>
      </c>
      <c r="N91" s="108">
        <f t="shared" si="6"/>
        <v>0</v>
      </c>
      <c r="O91" s="108">
        <f t="shared" si="6"/>
        <v>0</v>
      </c>
      <c r="P91" s="108">
        <f t="shared" si="6"/>
        <v>0</v>
      </c>
      <c r="Q91" s="108">
        <f t="shared" si="6"/>
        <v>0</v>
      </c>
      <c r="R91" s="113">
        <f>SUM(D91:Q91)</f>
        <v>4696.5808887977873</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957.61933321935749</v>
      </c>
      <c r="N92" s="108">
        <f t="shared" si="6"/>
        <v>1068.5003928981014</v>
      </c>
      <c r="O92" s="108">
        <f t="shared" si="6"/>
        <v>1194.4806595024706</v>
      </c>
      <c r="P92" s="108">
        <f t="shared" si="6"/>
        <v>823.58193677526242</v>
      </c>
      <c r="Q92" s="108">
        <f t="shared" si="6"/>
        <v>904</v>
      </c>
      <c r="R92" s="113">
        <f>SUM(D92:Q92)</f>
        <v>4948.1823223951924</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G86</f>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408.41126999157984</v>
      </c>
      <c r="K95" s="108">
        <f t="shared" si="8"/>
        <v>219.61275259631313</v>
      </c>
      <c r="L95" s="109">
        <f t="shared" si="8"/>
        <v>381.94193194134141</v>
      </c>
      <c r="M95" s="108">
        <f t="shared" si="8"/>
        <v>0</v>
      </c>
      <c r="N95" s="108">
        <f t="shared" si="8"/>
        <v>0</v>
      </c>
      <c r="O95" s="108">
        <f t="shared" si="8"/>
        <v>0</v>
      </c>
      <c r="P95" s="108">
        <f t="shared" si="8"/>
        <v>0</v>
      </c>
      <c r="Q95" s="108">
        <f t="shared" si="8"/>
        <v>0</v>
      </c>
      <c r="R95" s="113">
        <f>SUM(D95:Q95)</f>
        <v>1565.5269629325958</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319.20644440645248</v>
      </c>
      <c r="N96" s="108">
        <f t="shared" si="8"/>
        <v>356.16679763270048</v>
      </c>
      <c r="O96" s="108">
        <f t="shared" si="8"/>
        <v>398.16021983415686</v>
      </c>
      <c r="P96" s="108">
        <f t="shared" si="8"/>
        <v>274.52731225842081</v>
      </c>
      <c r="Q96" s="108">
        <f t="shared" si="8"/>
        <v>301.33333333333331</v>
      </c>
      <c r="R96" s="113">
        <f>SUM(D96:Q96)</f>
        <v>1649.3941074650638</v>
      </c>
    </row>
    <row r="97" spans="2:21" ht="15.5" x14ac:dyDescent="0.35">
      <c r="B97" s="135" t="s">
        <v>241</v>
      </c>
      <c r="C97" s="129"/>
      <c r="D97" s="136"/>
      <c r="E97" s="132"/>
      <c r="F97" s="132"/>
      <c r="G97" s="132"/>
      <c r="H97" s="132"/>
      <c r="I97" s="132"/>
      <c r="J97" s="132"/>
      <c r="K97" s="132"/>
      <c r="L97" s="137"/>
      <c r="M97" s="132"/>
      <c r="N97" s="132"/>
      <c r="O97" s="132"/>
      <c r="P97" s="132"/>
      <c r="Q97" s="132"/>
      <c r="R97" s="130"/>
    </row>
    <row r="98" spans="2:21"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21"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408.41126999157984</v>
      </c>
      <c r="K99" s="108">
        <f t="shared" si="10"/>
        <v>219.61275259631313</v>
      </c>
      <c r="L99" s="109">
        <f t="shared" si="10"/>
        <v>381.94193194134141</v>
      </c>
      <c r="M99" s="108">
        <f t="shared" si="10"/>
        <v>0</v>
      </c>
      <c r="N99" s="108">
        <f t="shared" si="10"/>
        <v>0</v>
      </c>
      <c r="O99" s="108">
        <f t="shared" si="10"/>
        <v>0</v>
      </c>
      <c r="P99" s="108">
        <f t="shared" si="10"/>
        <v>0</v>
      </c>
      <c r="Q99" s="108">
        <f t="shared" si="10"/>
        <v>0</v>
      </c>
      <c r="R99" s="113">
        <f>SUM(D99:Q99)</f>
        <v>1565.5269629325958</v>
      </c>
    </row>
    <row r="100" spans="2:21"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319.20644440645248</v>
      </c>
      <c r="N100" s="108">
        <f t="shared" si="10"/>
        <v>356.16679763270048</v>
      </c>
      <c r="O100" s="108">
        <f t="shared" si="10"/>
        <v>398.16021983415686</v>
      </c>
      <c r="P100" s="108">
        <f t="shared" si="10"/>
        <v>274.52731225842081</v>
      </c>
      <c r="Q100" s="108">
        <f t="shared" si="10"/>
        <v>301.33333333333331</v>
      </c>
      <c r="R100" s="113">
        <f>SUM(D100:Q100)</f>
        <v>1649.3941074650638</v>
      </c>
    </row>
    <row r="101" spans="2:21"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377.26251267836159</v>
      </c>
      <c r="M101" s="151">
        <f t="shared" si="11"/>
        <v>149.99725675572355</v>
      </c>
      <c r="N101" s="151">
        <f t="shared" si="11"/>
        <v>328.40376828215034</v>
      </c>
      <c r="O101" s="151">
        <f t="shared" si="11"/>
        <v>114.83333333333331</v>
      </c>
      <c r="P101" s="151">
        <f t="shared" si="11"/>
        <v>80.082867813976321</v>
      </c>
      <c r="Q101" s="151">
        <f t="shared" si="11"/>
        <v>440.22222222222217</v>
      </c>
      <c r="R101" s="130">
        <f>SUM(C101:Q101)</f>
        <v>3080.4958920596778</v>
      </c>
    </row>
    <row r="102" spans="2:21" ht="15.5" x14ac:dyDescent="0.35">
      <c r="B102" s="106" t="s">
        <v>257</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116.66392342239024</v>
      </c>
      <c r="N102" s="108">
        <f>'EC-known'!N102*$R$1+'FIX-EX'!O102*$R$3</f>
        <v>213.01597113083858</v>
      </c>
      <c r="O102" s="108">
        <f>'EC-known'!O102*$R$1+'FIX-EX'!P102*$R$3</f>
        <v>80.383333333333326</v>
      </c>
      <c r="P102" s="108">
        <f>'EC-known'!P102*$R$1+'FIX-EX'!Q102*$R$3</f>
        <v>62.732867813976327</v>
      </c>
      <c r="Q102" s="108">
        <f>'EC-known'!Q102*$R$1+'FIX-EX'!R102*$R$3</f>
        <v>308.15555555555551</v>
      </c>
      <c r="R102" s="113">
        <f t="shared" ref="R102:R116" si="12">SUM(D102:Q102)</f>
        <v>2178.0693403296109</v>
      </c>
    </row>
    <row r="103" spans="2:21" ht="15.5" x14ac:dyDescent="0.35">
      <c r="B103" s="106" t="s">
        <v>258</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116.66392342239024</v>
      </c>
      <c r="N103" s="108">
        <f>'EC-known'!N103*$R$1+'FIX-EX'!O103*$R$3</f>
        <v>213.01597113083858</v>
      </c>
      <c r="O103" s="108">
        <f>'EC-known'!O103*$R$1+'FIX-EX'!P103*$R$3</f>
        <v>80.383333333333326</v>
      </c>
      <c r="P103" s="108">
        <f>'EC-known'!P103*$R$1+'FIX-EX'!Q103*$R$3</f>
        <v>62.732867813976327</v>
      </c>
      <c r="Q103" s="108">
        <f>'EC-known'!Q103*$R$1+'FIX-EX'!R103*$R$3</f>
        <v>308.15555555555551</v>
      </c>
      <c r="R103" s="113">
        <f t="shared" si="12"/>
        <v>2178.0693403296109</v>
      </c>
      <c r="S103" s="140"/>
    </row>
    <row r="104" spans="2:21" ht="15.5" x14ac:dyDescent="0.35">
      <c r="B104" s="106" t="s">
        <v>117</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16.666666666666668</v>
      </c>
      <c r="N104" s="108">
        <f>'EC-known'!N104*$R$1+'FIX-EX'!O104*$R$3</f>
        <v>42.935565242322554</v>
      </c>
      <c r="O104" s="108">
        <f>'EC-known'!O104*$R$1+'FIX-EX'!P104*$R$3</f>
        <v>17.225000000000001</v>
      </c>
      <c r="P104" s="108">
        <f>'EC-known'!P104*$R$1+'FIX-EX'!Q104*$R$3</f>
        <v>8.6750000000000007</v>
      </c>
      <c r="Q104" s="108">
        <f>'EC-known'!Q104*$R$1+'FIX-EX'!R104*$R$3</f>
        <v>66.033333333333331</v>
      </c>
      <c r="R104" s="113">
        <f t="shared" si="12"/>
        <v>287.72842238517967</v>
      </c>
      <c r="S104" s="140"/>
    </row>
    <row r="105" spans="2:21" ht="15.5" x14ac:dyDescent="0.35">
      <c r="B105" s="106" t="s">
        <v>118</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16.666666666666668</v>
      </c>
      <c r="N105" s="108">
        <f>'EC-known'!N105*$R$1+'FIX-EX'!O105*$R$3</f>
        <v>72.452231908989219</v>
      </c>
      <c r="O105" s="108">
        <f>'EC-known'!O105*$R$1+'FIX-EX'!P105*$R$3</f>
        <v>17.225000000000001</v>
      </c>
      <c r="P105" s="108">
        <f>'EC-known'!P105*$R$1+'FIX-EX'!Q105*$R$3</f>
        <v>8.6750000000000007</v>
      </c>
      <c r="Q105" s="108">
        <f>'EC-known'!Q105*$R$1+'FIX-EX'!R105*$R$3</f>
        <v>66.033333333333331</v>
      </c>
      <c r="R105" s="113">
        <f t="shared" si="12"/>
        <v>614.69812934488664</v>
      </c>
      <c r="S105" s="140"/>
    </row>
    <row r="106" spans="2:21" ht="15.5" x14ac:dyDescent="0.35">
      <c r="B106" s="106" t="s">
        <v>259</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5</v>
      </c>
      <c r="N106" s="108">
        <f>'EC-known'!N106*$R$1+'FIX-EX'!O106*$R$3</f>
        <v>10</v>
      </c>
      <c r="O106" s="108">
        <f>'EC-known'!O106*$R$1+'FIX-EX'!P106*$R$3</f>
        <v>4</v>
      </c>
      <c r="P106" s="108">
        <f>'EC-known'!P106*$R$1+'FIX-EX'!Q106*$R$3</f>
        <v>3</v>
      </c>
      <c r="Q106" s="108">
        <f>'EC-known'!Q106*$R$1+'FIX-EX'!R106*$R$3</f>
        <v>14</v>
      </c>
      <c r="R106" s="113">
        <f t="shared" si="12"/>
        <v>95</v>
      </c>
    </row>
    <row r="107" spans="2:21" ht="15.5" x14ac:dyDescent="0.35">
      <c r="B107" s="106" t="s">
        <v>267</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152.42100668634697</v>
      </c>
      <c r="N107" s="108">
        <f>'WC-known'!N105*$R$2+'FLOAT-EX'!N105*$R$4</f>
        <v>55.540807128327842</v>
      </c>
      <c r="O107" s="108">
        <f>'WC-known'!O105*$R$2+'FLOAT-EX'!O105*$R$4</f>
        <v>199.99355316749021</v>
      </c>
      <c r="P107" s="108">
        <f>'WC-known'!P105*$R$2+'FLOAT-EX'!P105*$R$4</f>
        <v>138.88888888888889</v>
      </c>
      <c r="Q107" s="108">
        <f>'WC-known'!Q105*$R$2+'FLOAT-EX'!Q105*$R$4</f>
        <v>250</v>
      </c>
      <c r="R107" s="113">
        <f t="shared" si="12"/>
        <v>963.54810848471118</v>
      </c>
    </row>
    <row r="108" spans="2:21" ht="15.5" x14ac:dyDescent="0.35">
      <c r="B108" s="106" t="s">
        <v>268</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5</v>
      </c>
      <c r="N108" s="108">
        <f>'WC-known'!N106*$R$2+'FLOAT-EX'!N106*$R$4</f>
        <v>2</v>
      </c>
      <c r="O108" s="108">
        <f>'WC-known'!O106*$R$2+'FLOAT-EX'!O106*$R$4</f>
        <v>7</v>
      </c>
      <c r="P108" s="108">
        <f>'WC-known'!P106*$R$2+'FLOAT-EX'!P106*$R$4</f>
        <v>4</v>
      </c>
      <c r="Q108" s="108">
        <f>'WC-known'!Q106*$R$2+'FLOAT-EX'!Q106*$R$4</f>
        <v>8</v>
      </c>
      <c r="R108" s="113">
        <f t="shared" si="12"/>
        <v>31</v>
      </c>
      <c r="U108" s="22">
        <f>O102+O104+O105+O107</f>
        <v>314.82688650082355</v>
      </c>
    </row>
    <row r="109" spans="2:21" ht="15.5" x14ac:dyDescent="0.35">
      <c r="B109" s="135" t="s">
        <v>119</v>
      </c>
      <c r="C109" s="129"/>
      <c r="D109" s="132"/>
      <c r="E109" s="132"/>
      <c r="F109" s="132"/>
      <c r="G109" s="132"/>
      <c r="H109" s="132"/>
      <c r="I109" s="132"/>
      <c r="J109" s="132"/>
      <c r="K109" s="132"/>
      <c r="L109" s="132"/>
      <c r="M109" s="132"/>
      <c r="N109" s="132"/>
      <c r="O109" s="132"/>
      <c r="P109" s="132"/>
      <c r="Q109" s="132"/>
      <c r="R109" s="130"/>
    </row>
    <row r="110" spans="2:21" ht="15.5" x14ac:dyDescent="0.35">
      <c r="B110" s="106" t="s">
        <v>303</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10</v>
      </c>
      <c r="O110" s="108">
        <f>'EC-known'!O108*$R$1+'FIX-EX'!O108*$R$4</f>
        <v>6</v>
      </c>
      <c r="P110" s="108">
        <f>'EC-known'!P108*$R$1+'FIX-EX'!P108*$R$4</f>
        <v>5</v>
      </c>
      <c r="Q110" s="108">
        <f>'EC-known'!Q108*$R$1+'FIX-EX'!Q108*$R$4</f>
        <v>2</v>
      </c>
      <c r="R110" s="113">
        <f t="shared" si="12"/>
        <v>77</v>
      </c>
    </row>
    <row r="111" spans="2:21" ht="15.5" x14ac:dyDescent="0.35">
      <c r="B111" s="106" t="s">
        <v>304</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5</v>
      </c>
      <c r="N111" s="108">
        <f>'WC-known'!N108*$R$2+'FLOAT-EX'!N108*$R$4</f>
        <v>2</v>
      </c>
      <c r="O111" s="108">
        <f>'WC-known'!O108*$R$2+'FLOAT-EX'!O108*$R$4</f>
        <v>7</v>
      </c>
      <c r="P111" s="108">
        <f>'WC-known'!P108*$R$2+'FLOAT-EX'!P108*$R$4</f>
        <v>4</v>
      </c>
      <c r="Q111" s="108">
        <f>'WC-known'!Q108*$R$2+'FLOAT-EX'!Q108*$R$4</f>
        <v>8</v>
      </c>
      <c r="R111" s="113">
        <f t="shared" si="12"/>
        <v>31</v>
      </c>
    </row>
    <row r="112" spans="2:21"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866.85067514760226</v>
      </c>
      <c r="O113" s="108">
        <f>'EC-known'!O110*$R$1+'FIX-EX'!O110*$R$4</f>
        <v>435.17399999999998</v>
      </c>
      <c r="P113" s="108">
        <f>'EC-known'!P110*$R$1+'FIX-EX'!P110*$R$4</f>
        <v>297.86197771949202</v>
      </c>
      <c r="Q113" s="108">
        <f>'EC-known'!Q110*$R$1+'FIX-EX'!Q110*$R$4</f>
        <v>112.72800000000001</v>
      </c>
      <c r="R113" s="113">
        <f t="shared" si="12"/>
        <v>6927.3295637353003</v>
      </c>
    </row>
    <row r="114" spans="2:21" ht="15.5" x14ac:dyDescent="0.35">
      <c r="B114" s="106" t="s">
        <v>273</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1402.405</v>
      </c>
      <c r="O114" s="108">
        <f>'EC-known'!O111*$R$1+'FIX-EX'!O111*$R$4</f>
        <v>900</v>
      </c>
      <c r="P114" s="108">
        <f>'EC-known'!P111*$R$1+'FIX-EX'!P111*$R$4</f>
        <v>672.40499999999997</v>
      </c>
      <c r="Q114" s="108">
        <f>'EC-known'!Q111*$R$1+'FIX-EX'!Q111*$R$4</f>
        <v>280</v>
      </c>
      <c r="R114" s="113">
        <f t="shared" si="12"/>
        <v>8359.2331999999988</v>
      </c>
    </row>
    <row r="115" spans="2:21" ht="15.5" x14ac:dyDescent="0.35">
      <c r="B115" s="106" t="s">
        <v>274</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557.86088447202997</v>
      </c>
      <c r="N115" s="108">
        <f>'WC-known'!N110*$R$2+'FLOAT-EX'!N110*$R$4</f>
        <v>203.27935408967988</v>
      </c>
      <c r="O115" s="108">
        <f>'WC-known'!O110*$R$2+'FLOAT-EX'!O110*$R$4</f>
        <v>731.97640459301431</v>
      </c>
      <c r="P115" s="108">
        <f>'WC-known'!P110*$R$2+'FLOAT-EX'!P110*$R$4</f>
        <v>508.33333333333337</v>
      </c>
      <c r="Q115" s="108">
        <f>'WC-known'!Q110*$R$2+'FLOAT-EX'!Q110*$R$4</f>
        <v>915.00000000000011</v>
      </c>
      <c r="R115" s="113">
        <f t="shared" si="12"/>
        <v>3526.5860770540435</v>
      </c>
    </row>
    <row r="116" spans="2:21" ht="15.5" x14ac:dyDescent="0.35">
      <c r="B116" s="106" t="s">
        <v>274</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525</v>
      </c>
      <c r="N116" s="108">
        <f>'WC-known'!N111*$R$2+'FLOAT-EX'!N111*$R$4</f>
        <v>210</v>
      </c>
      <c r="O116" s="108">
        <f>'WC-known'!O111*$R$2+'FLOAT-EX'!O111*$R$4</f>
        <v>745</v>
      </c>
      <c r="P116" s="108">
        <f>'WC-known'!P111*$R$2+'FLOAT-EX'!P111*$R$4</f>
        <v>440</v>
      </c>
      <c r="Q116" s="108">
        <f>'WC-known'!Q111*$R$2+'FLOAT-EX'!Q111*$R$4</f>
        <v>830</v>
      </c>
      <c r="R116" s="113">
        <f t="shared" si="12"/>
        <v>3290</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478.80966660967874</v>
      </c>
      <c r="N120" s="108">
        <f>N88*Assumptions!$K$25/24</f>
        <v>534.25019644905069</v>
      </c>
      <c r="O120" s="108">
        <f>O88*Assumptions!$K$25/24</f>
        <v>597.24032975123532</v>
      </c>
      <c r="P120" s="108">
        <f>P88*Assumptions!$K$25/24</f>
        <v>411.79096838763121</v>
      </c>
      <c r="Q120" s="108">
        <f>Q88*Assumptions!$K$25/24</f>
        <v>452</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199.99588513358535</v>
      </c>
      <c r="N121" s="108">
        <f>(N102+N105)*Assumptions!$K$26/24</f>
        <v>428.20230455974178</v>
      </c>
      <c r="O121" s="108">
        <f>(O102+O105)*Assumptions!$K$26/24</f>
        <v>146.41249999999999</v>
      </c>
      <c r="P121" s="108">
        <f>(P102+P105)*Assumptions!$K$26/24</f>
        <v>107.11180172096448</v>
      </c>
      <c r="Q121" s="108">
        <f>(Q102+Q105)*Assumptions!$K$26/24</f>
        <v>561.2833333333333</v>
      </c>
      <c r="R121" s="113"/>
    </row>
    <row r="122" spans="2:21" ht="15.5" x14ac:dyDescent="0.35">
      <c r="B122" s="106" t="s">
        <v>252</v>
      </c>
      <c r="C122" s="106"/>
      <c r="D122" s="108"/>
      <c r="E122" s="108">
        <f>SUM(E118:E121)</f>
        <v>128.30769230769232</v>
      </c>
      <c r="F122" s="108">
        <f t="shared" ref="F122:Q122" si="13">SUM(F118:F121)</f>
        <v>971.2333548804138</v>
      </c>
      <c r="G122" s="108">
        <f t="shared" si="13"/>
        <v>818.53846153846166</v>
      </c>
      <c r="H122" s="108">
        <f t="shared" si="13"/>
        <v>681.69999999999993</v>
      </c>
      <c r="I122" s="108">
        <f t="shared" si="13"/>
        <v>572.88</v>
      </c>
      <c r="J122" s="108">
        <f t="shared" si="13"/>
        <v>1075.2559042278085</v>
      </c>
      <c r="K122" s="108">
        <f>SUM(K118:K121)</f>
        <v>570.15912889446963</v>
      </c>
      <c r="L122" s="108">
        <f t="shared" si="13"/>
        <v>1105.4766669295545</v>
      </c>
      <c r="M122" s="108">
        <f t="shared" si="13"/>
        <v>678.80555174326412</v>
      </c>
      <c r="N122" s="108">
        <f t="shared" si="13"/>
        <v>962.45250100879252</v>
      </c>
      <c r="O122" s="108">
        <f t="shared" si="13"/>
        <v>743.65282975123534</v>
      </c>
      <c r="P122" s="108">
        <f t="shared" si="13"/>
        <v>518.90277010859563</v>
      </c>
      <c r="Q122" s="108">
        <f t="shared" si="13"/>
        <v>1013.2833333333333</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100</v>
      </c>
      <c r="O123" s="108">
        <f>O110*Assumptions!$K$27/24</f>
        <v>60</v>
      </c>
      <c r="P123" s="108">
        <f>P110*Assumptions!$K$27/24</f>
        <v>50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585.84849395889228</v>
      </c>
      <c r="N124" s="108">
        <f>(ROUNDUP(N83/400,1)+N84)*Assumptions!$K$45+SUM(N113:N114)/Assumptions!$K$44</f>
        <v>1029.3139187869006</v>
      </c>
      <c r="O124" s="108">
        <f>(ROUNDUP(O83/400,1)+O84)*Assumptions!$K$45+SUM(O113:O114)/Assumptions!$K$44</f>
        <v>833.79349999999999</v>
      </c>
      <c r="P124" s="108">
        <f>(ROUNDUP(P83/400,1)+P84)*Assumptions!$K$45+SUM(P113:P114)/Assumptions!$K$44</f>
        <v>590.56674442987298</v>
      </c>
      <c r="Q124" s="108">
        <f>(ROUNDUP(Q83/400,1)+Q84)*Assumptions!$K$45+SUM(Q113:Q114)/Assumptions!$K$44</f>
        <v>470.18200000000002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174.99588513358538</v>
      </c>
      <c r="N125" s="108">
        <f>N102*Assumptions!$K$28/24</f>
        <v>319.52395669625787</v>
      </c>
      <c r="O125" s="108">
        <f>O102*Assumptions!$K$28/24</f>
        <v>120.57499999999999</v>
      </c>
      <c r="P125" s="108">
        <f>P102*Assumptions!$K$28/24</f>
        <v>94.09930172096449</v>
      </c>
      <c r="Q125" s="108">
        <f>Q102*Assumptions!$K$28/24</f>
        <v>462.23333333333329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122</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123</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3</v>
      </c>
      <c r="O129" s="108">
        <f>'EC-known'!O124*$R$1+'FIX-EX'!O124*$R$4</f>
        <v>2</v>
      </c>
      <c r="P129" s="108">
        <f>'EC-known'!P124*$R$1+'FIX-EX'!P124*$R$4</f>
        <v>2</v>
      </c>
      <c r="Q129" s="108">
        <f>'EC-known'!Q124*$R$1+'FIX-EX'!Q124*$R$4</f>
        <v>1</v>
      </c>
      <c r="R129" s="113"/>
    </row>
    <row r="130" spans="2:18" ht="15.5" x14ac:dyDescent="0.35">
      <c r="B130" s="106" t="s">
        <v>140</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3</v>
      </c>
      <c r="O130" s="108">
        <f>'EC-known'!O125*$R$1+'FIX-EX'!O125*$R$4</f>
        <v>2</v>
      </c>
      <c r="P130" s="108">
        <f>'EC-known'!P125*$R$1+'FIX-EX'!P125*$R$4</f>
        <v>2</v>
      </c>
      <c r="Q130" s="108">
        <f>'EC-known'!Q125*$R$1+'FIX-EX'!Q125*$R$4</f>
        <v>1</v>
      </c>
      <c r="R130" s="113"/>
    </row>
    <row r="131" spans="2:18" ht="15.5" x14ac:dyDescent="0.35">
      <c r="B131" s="105" t="s">
        <v>124</v>
      </c>
      <c r="C131" s="106"/>
      <c r="D131" s="108">
        <f>SUM(D127:D130)</f>
        <v>0</v>
      </c>
      <c r="E131" s="108">
        <f t="shared" ref="E131:Q131" si="14">SUM(E127:E130)</f>
        <v>2</v>
      </c>
      <c r="F131" s="108">
        <f t="shared" si="14"/>
        <v>5</v>
      </c>
      <c r="G131" s="108">
        <f t="shared" si="14"/>
        <v>5</v>
      </c>
      <c r="H131" s="108">
        <f t="shared" si="14"/>
        <v>5</v>
      </c>
      <c r="I131" s="108">
        <f t="shared" si="14"/>
        <v>4</v>
      </c>
      <c r="J131" s="108">
        <f t="shared" si="14"/>
        <v>5</v>
      </c>
      <c r="K131" s="108">
        <f t="shared" si="14"/>
        <v>2</v>
      </c>
      <c r="L131" s="108">
        <f t="shared" si="14"/>
        <v>4</v>
      </c>
      <c r="M131" s="108">
        <f t="shared" si="14"/>
        <v>4</v>
      </c>
      <c r="N131" s="108">
        <f t="shared" si="14"/>
        <v>6</v>
      </c>
      <c r="O131" s="108">
        <f t="shared" si="14"/>
        <v>4</v>
      </c>
      <c r="P131" s="108">
        <f t="shared" si="14"/>
        <v>4</v>
      </c>
      <c r="Q131" s="108">
        <f t="shared" si="14"/>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3</v>
      </c>
      <c r="N132" s="108">
        <f>ROUNDUP(N122/(Assumptions!$C$36*365),0)</f>
        <v>4</v>
      </c>
      <c r="O132" s="108">
        <f>ROUNDUP(O122/(Assumptions!$C$36*365),0)</f>
        <v>4</v>
      </c>
      <c r="P132" s="108">
        <f>ROUNDUP(P122/(Assumptions!$C$36*365),0)</f>
        <v>3</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365</v>
      </c>
      <c r="C134" s="106"/>
      <c r="D134" s="108">
        <f t="shared" ref="D134:Q134" si="15">D131*2</f>
        <v>0</v>
      </c>
      <c r="E134" s="108">
        <f t="shared" si="15"/>
        <v>4</v>
      </c>
      <c r="F134" s="108">
        <f t="shared" si="15"/>
        <v>10</v>
      </c>
      <c r="G134" s="108">
        <f t="shared" si="15"/>
        <v>10</v>
      </c>
      <c r="H134" s="108">
        <f t="shared" si="15"/>
        <v>10</v>
      </c>
      <c r="I134" s="108">
        <f t="shared" si="15"/>
        <v>8</v>
      </c>
      <c r="J134" s="108">
        <f t="shared" si="15"/>
        <v>10</v>
      </c>
      <c r="K134" s="108">
        <f t="shared" si="15"/>
        <v>4</v>
      </c>
      <c r="L134" s="109">
        <f t="shared" si="15"/>
        <v>8</v>
      </c>
      <c r="M134" s="108">
        <f t="shared" si="15"/>
        <v>8</v>
      </c>
      <c r="N134" s="108">
        <f t="shared" si="15"/>
        <v>12</v>
      </c>
      <c r="O134" s="108">
        <f t="shared" si="15"/>
        <v>8</v>
      </c>
      <c r="P134" s="108">
        <f t="shared" si="15"/>
        <v>8</v>
      </c>
      <c r="Q134" s="108">
        <f t="shared" si="15"/>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67</v>
      </c>
      <c r="N135" s="108">
        <f>IF(N82=0,0,N84*Assumptions!$K$35+M84*Assumptions!$K$36+SUM($C84:L84)*Assumptions!$K$37+Assumptions!$K$38)</f>
        <v>73</v>
      </c>
      <c r="O135" s="108">
        <f>IF(O82=0,0,O84*Assumptions!$K$35+N84*Assumptions!$K$36+SUM($C84:M84)*Assumptions!$K$37+Assumptions!$K$38)</f>
        <v>80</v>
      </c>
      <c r="P135" s="108">
        <f>IF(P82=0,0,P84*Assumptions!$K$35+O84*Assumptions!$K$36+SUM($C84:N84)*Assumptions!$K$37+Assumptions!$K$38)</f>
        <v>83</v>
      </c>
      <c r="Q135" s="108">
        <f>IF(Q82=0,0,Q84*Assumptions!$K$35+P84*Assumptions!$K$36+SUM($C84:O84)*Assumptions!$K$37+Assumptions!$K$38)</f>
        <v>86</v>
      </c>
      <c r="R135" s="113">
        <f>Q135</f>
        <v>86</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13</v>
      </c>
      <c r="N136" s="108">
        <f>ROUNDUP((SUM($E86:N88)+M136)/Assumptions!$K$41,0)</f>
        <v>15</v>
      </c>
      <c r="O136" s="108">
        <f>ROUNDUP((SUM($E86:O88)+N136)/Assumptions!$K$41,0)</f>
        <v>17</v>
      </c>
      <c r="P136" s="108">
        <f>ROUNDUP((SUM($E86:P88)+O136)/Assumptions!$K$41,0)</f>
        <v>18</v>
      </c>
      <c r="Q136" s="108">
        <f>ROUNDUP((SUM($E86:Q88)+P136)/Assumptions!$K$41,0)</f>
        <v>19</v>
      </c>
      <c r="R136" s="113">
        <f>Q136</f>
        <v>19</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3</v>
      </c>
      <c r="N137" s="108">
        <f>ROUNDUP(N124/(Assumptions!$C$36*365),0)</f>
        <v>5</v>
      </c>
      <c r="O137" s="108">
        <f>ROUNDUP(O124/(Assumptions!$C$36*365),0)</f>
        <v>4</v>
      </c>
      <c r="P137" s="108">
        <f>ROUNDUP(P124/(Assumptions!$C$36*365),0)</f>
        <v>3</v>
      </c>
      <c r="Q137" s="108">
        <f>ROUNDUP(Q124/(Assumptions!$C$36*365),0)</f>
        <v>2</v>
      </c>
      <c r="R137" s="114"/>
    </row>
    <row r="138" spans="2:18" ht="15.5" x14ac:dyDescent="0.35">
      <c r="B138" s="106" t="s">
        <v>364</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16">C6</f>
        <v>2021</v>
      </c>
      <c r="D141" s="198">
        <f t="shared" si="16"/>
        <v>2022</v>
      </c>
      <c r="E141" s="198">
        <f t="shared" si="16"/>
        <v>2023</v>
      </c>
      <c r="F141" s="198">
        <f t="shared" si="16"/>
        <v>2024</v>
      </c>
      <c r="G141" s="198">
        <f t="shared" si="16"/>
        <v>2025</v>
      </c>
      <c r="H141" s="198">
        <f t="shared" si="16"/>
        <v>2026</v>
      </c>
      <c r="I141" s="198">
        <f t="shared" si="16"/>
        <v>2027</v>
      </c>
      <c r="J141" s="198">
        <f t="shared" si="16"/>
        <v>2028</v>
      </c>
      <c r="K141" s="198">
        <f t="shared" si="16"/>
        <v>2029</v>
      </c>
      <c r="L141" s="198">
        <f t="shared" si="16"/>
        <v>2030</v>
      </c>
      <c r="M141" s="198">
        <f t="shared" si="16"/>
        <v>2031</v>
      </c>
      <c r="N141" s="198">
        <f t="shared" si="16"/>
        <v>2032</v>
      </c>
      <c r="O141" s="198">
        <f t="shared" si="16"/>
        <v>2033</v>
      </c>
      <c r="P141" s="198">
        <f t="shared" si="16"/>
        <v>2034</v>
      </c>
      <c r="Q141" s="198">
        <f t="shared" si="16"/>
        <v>2035</v>
      </c>
      <c r="R141" s="143"/>
    </row>
    <row r="142" spans="2:18" x14ac:dyDescent="0.35">
      <c r="B142" s="144" t="s">
        <v>439</v>
      </c>
      <c r="C142" s="165"/>
      <c r="D142" s="165">
        <f t="shared" ref="D142:P142" si="17">ROUNDUP(D131*1.5,0)</f>
        <v>0</v>
      </c>
      <c r="E142" s="165">
        <f>ROUNDUP(E131*1.5,0)</f>
        <v>3</v>
      </c>
      <c r="F142" s="165">
        <f t="shared" si="17"/>
        <v>8</v>
      </c>
      <c r="G142" s="165">
        <f t="shared" si="17"/>
        <v>8</v>
      </c>
      <c r="H142" s="165">
        <f t="shared" si="17"/>
        <v>8</v>
      </c>
      <c r="I142" s="165">
        <f t="shared" si="17"/>
        <v>6</v>
      </c>
      <c r="J142" s="165">
        <f>ROUNDUP(J131*1.5,0)</f>
        <v>8</v>
      </c>
      <c r="K142" s="165">
        <f t="shared" si="17"/>
        <v>3</v>
      </c>
      <c r="L142" s="165">
        <f t="shared" si="17"/>
        <v>6</v>
      </c>
      <c r="M142" s="165">
        <f t="shared" si="17"/>
        <v>6</v>
      </c>
      <c r="N142" s="165">
        <f t="shared" si="17"/>
        <v>9</v>
      </c>
      <c r="O142" s="165">
        <f t="shared" si="17"/>
        <v>6</v>
      </c>
      <c r="P142" s="165">
        <f t="shared" si="17"/>
        <v>6</v>
      </c>
      <c r="Q142" s="165">
        <f>ROUNDUP(Q131*1.5,0)</f>
        <v>3</v>
      </c>
      <c r="R142" s="144"/>
    </row>
    <row r="143" spans="2:18" x14ac:dyDescent="0.35">
      <c r="B143" s="144" t="s">
        <v>269</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200</v>
      </c>
      <c r="O143" s="166">
        <f>'EC-known'!O138*$R$1+'FIX-EX'!O138*$R$4</f>
        <v>120</v>
      </c>
      <c r="P143" s="166">
        <f>'EC-known'!P138*$R$1+'FIX-EX'!P138*$R$4</f>
        <v>80</v>
      </c>
      <c r="Q143" s="166">
        <f>'EC-known'!Q138*$R$1+'FIX-EX'!Q138*$R$4</f>
        <v>40</v>
      </c>
      <c r="R143" s="144"/>
    </row>
    <row r="144" spans="2:18" x14ac:dyDescent="0.35">
      <c r="B144" s="59" t="s">
        <v>270</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304.84201337269394</v>
      </c>
      <c r="N144" s="166">
        <f>'WC-known'!N130*$R$2+'FLOAT-EX'!N130*$R$4</f>
        <v>111.08161425665568</v>
      </c>
      <c r="O144" s="166">
        <f>'WC-known'!O130*$R$2+'FLOAT-EX'!O130*$R$4</f>
        <v>399.98710633498041</v>
      </c>
      <c r="P144" s="166">
        <f>'WC-known'!P130*$R$2+'FLOAT-EX'!P130*$R$4</f>
        <v>277.77777777777777</v>
      </c>
      <c r="Q144" s="166">
        <f>'WC-known'!Q130*$R$2+'FLOAT-EX'!Q130*$R$4</f>
        <v>500</v>
      </c>
      <c r="R144" s="59"/>
    </row>
    <row r="145" spans="2:18" x14ac:dyDescent="0.35">
      <c r="B145" s="225" t="s">
        <v>438</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30.242263231418054</v>
      </c>
      <c r="N145" s="224">
        <f>SUM('WC-known'!N129)+'FLOAT-EX'!N129</f>
        <v>11.020001414350762</v>
      </c>
      <c r="O145" s="224">
        <f>SUM('WC-known'!O129)+'FLOAT-EX'!O129</f>
        <v>39.681260549105204</v>
      </c>
      <c r="P145" s="224">
        <f>SUM('WC-known'!P129)+'FLOAT-EX'!P129</f>
        <v>27.557319223985893</v>
      </c>
      <c r="Q145" s="224">
        <f>SUM('WC-known'!Q129)+'FLOAT-EX'!Q129</f>
        <v>49.603174603174608</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18">SUM(E86:E88)</f>
        <v>42.769230769230774</v>
      </c>
      <c r="F149" s="210">
        <f t="shared" si="18"/>
        <v>338.31588019823317</v>
      </c>
      <c r="G149" s="210">
        <f t="shared" si="18"/>
        <v>289.84615384615381</v>
      </c>
      <c r="H149" s="210">
        <f t="shared" si="18"/>
        <v>243.73333333333332</v>
      </c>
      <c r="I149" s="210">
        <f t="shared" si="18"/>
        <v>193.64</v>
      </c>
      <c r="J149" s="210">
        <f t="shared" si="18"/>
        <v>408.41126999157984</v>
      </c>
      <c r="K149" s="210">
        <f t="shared" si="18"/>
        <v>219.61275259631313</v>
      </c>
      <c r="L149" s="210">
        <f t="shared" si="18"/>
        <v>381.94193194134141</v>
      </c>
      <c r="M149" s="210">
        <f t="shared" si="18"/>
        <v>319.20644440645248</v>
      </c>
      <c r="N149" s="210">
        <f t="shared" si="18"/>
        <v>356.16679763270048</v>
      </c>
      <c r="O149" s="210">
        <f t="shared" si="18"/>
        <v>398.16021983415686</v>
      </c>
      <c r="P149" s="210">
        <f t="shared" si="18"/>
        <v>274.52731225842081</v>
      </c>
      <c r="Q149" s="210">
        <f t="shared" si="18"/>
        <v>301.33333333333331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19">SUM(E113:E116)</f>
        <v>381.50240000000002</v>
      </c>
      <c r="F151" s="210">
        <f t="shared" si="19"/>
        <v>1788.6675009696187</v>
      </c>
      <c r="G151" s="210">
        <f t="shared" si="19"/>
        <v>1231.0871435897436</v>
      </c>
      <c r="H151" s="210">
        <f t="shared" si="19"/>
        <v>1018.95204</v>
      </c>
      <c r="I151" s="210">
        <f t="shared" si="19"/>
        <v>943.65050133333341</v>
      </c>
      <c r="J151" s="210">
        <f t="shared" si="19"/>
        <v>1905.6847228592324</v>
      </c>
      <c r="K151" s="210">
        <f t="shared" si="19"/>
        <v>1480.1485745025061</v>
      </c>
      <c r="L151" s="210">
        <f t="shared" si="19"/>
        <v>2088.1873523441882</v>
      </c>
      <c r="M151" s="210">
        <f t="shared" si="19"/>
        <v>1714.2548603075988</v>
      </c>
      <c r="N151" s="210">
        <f t="shared" si="19"/>
        <v>2682.5350292372823</v>
      </c>
      <c r="O151" s="210">
        <f t="shared" si="19"/>
        <v>2812.1504045930142</v>
      </c>
      <c r="P151" s="210">
        <f t="shared" si="19"/>
        <v>1918.6003110528254</v>
      </c>
      <c r="Q151" s="210">
        <f t="shared" si="19"/>
        <v>2137.7280000000001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113" activePane="bottomLeft" state="frozen"/>
      <selection activeCell="B117" sqref="B117"/>
      <selection pane="bottomLeft" activeCell="L137" sqref="L137"/>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368</v>
      </c>
      <c r="C2" s="30"/>
      <c r="D2" s="30"/>
      <c r="E2" s="30"/>
      <c r="F2" s="30"/>
      <c r="G2" s="30"/>
      <c r="Q2" s="4" t="s">
        <v>266</v>
      </c>
      <c r="R2" s="23">
        <v>1</v>
      </c>
    </row>
    <row r="3" spans="1:20" x14ac:dyDescent="0.35">
      <c r="C3" t="s">
        <v>370</v>
      </c>
      <c r="Q3" s="4" t="s">
        <v>255</v>
      </c>
      <c r="R3" s="23">
        <v>1</v>
      </c>
      <c r="T3" s="138" t="s">
        <v>133</v>
      </c>
    </row>
    <row r="4" spans="1:20" x14ac:dyDescent="0.35">
      <c r="Q4" s="20" t="s">
        <v>256</v>
      </c>
      <c r="R4" s="20">
        <v>0</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ca="1">SUM(C12:P12)</f>
        <v>463.66096270512111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ca="1">SUM(C16:P16)</f>
        <v>1390.9828881153635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ca="1">SUM(C20:P20)</f>
        <v>463.66096270512111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ca="1">SUM(C24:P24)</f>
        <v>463.66096270512111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ca="1">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ca="1">SUM(C28:Q28)</f>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ca="1">SUM(C29:Q29)</f>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ca="1">SUM(C30:Q30)</f>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1">SUM(E10:E12)</f>
        <v>289.84615384615381</v>
      </c>
      <c r="F39" s="115">
        <f t="shared" ca="1" si="1"/>
        <v>243.73333333333332</v>
      </c>
      <c r="G39" s="115">
        <f t="shared" ca="1" si="1"/>
        <v>193.64</v>
      </c>
      <c r="H39" s="115">
        <f t="shared" ca="1" si="1"/>
        <v>375.06625590388217</v>
      </c>
      <c r="I39" s="115">
        <f t="shared" ca="1" si="1"/>
        <v>152.93333333333334</v>
      </c>
      <c r="J39" s="115">
        <f t="shared" ca="1" si="1"/>
        <v>315.26251267836159</v>
      </c>
      <c r="K39" s="115">
        <f t="shared" ca="1" si="1"/>
        <v>83.452104386772191</v>
      </c>
      <c r="L39" s="115">
        <f t="shared" ca="1" si="1"/>
        <v>189.51487939326151</v>
      </c>
      <c r="M39" s="115">
        <f t="shared" ca="1" si="1"/>
        <v>59.277777777777779</v>
      </c>
      <c r="N39" s="115">
        <f t="shared" ca="1" si="1"/>
        <v>80.082867813976321</v>
      </c>
      <c r="O39" s="115">
        <f t="shared" ca="1" si="1"/>
        <v>51.333333333333336</v>
      </c>
      <c r="P39" s="115">
        <f t="shared" si="1"/>
        <v>0</v>
      </c>
      <c r="Q39" s="115">
        <f t="shared" si="1"/>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ca="1">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ca="1">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ca="1">SUM(D65:Q65)</f>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ca="1">SUM(D66:Q66)</f>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ca="1">SUM(D68:Q68)</f>
        <v>65</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ca="1">SUM(D70:Q70)</f>
        <v>6073.3295637353003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ca="1">SUM(D71:Q71)</f>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375.06625590388217</v>
      </c>
      <c r="J75" s="115">
        <f t="shared" ca="1" si="2"/>
        <v>152.93333333333334</v>
      </c>
      <c r="K75" s="115">
        <f t="shared" ca="1" si="2"/>
        <v>315.26251267836159</v>
      </c>
      <c r="L75" s="115">
        <f t="shared" ca="1" si="2"/>
        <v>83.452104386772191</v>
      </c>
      <c r="M75" s="115">
        <f t="shared" ca="1" si="2"/>
        <v>189.51487939326151</v>
      </c>
      <c r="N75" s="115">
        <f t="shared" ca="1" si="2"/>
        <v>59.277777777777779</v>
      </c>
      <c r="O75" s="115">
        <f t="shared" ca="1" si="2"/>
        <v>80.082867813976321</v>
      </c>
      <c r="P75" s="115">
        <f t="shared" ca="1" si="2"/>
        <v>51.333333333333336</v>
      </c>
      <c r="Q75" s="115">
        <f t="shared" si="2"/>
        <v>0</v>
      </c>
      <c r="R75" s="115">
        <f ca="1">SUM(R46:R48)</f>
        <v>2415.2276627676492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360</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5625.9938385582327</v>
      </c>
      <c r="K83" s="108">
        <f t="shared" si="3"/>
        <v>2294</v>
      </c>
      <c r="L83" s="109">
        <f t="shared" si="3"/>
        <v>4728.937690175424</v>
      </c>
      <c r="M83" s="108">
        <f>SUMPRODUCT(M86:M88,$B$86:$B$88)</f>
        <v>1502.1378789618993</v>
      </c>
      <c r="N83" s="108">
        <f t="shared" si="3"/>
        <v>3411.2678290787071</v>
      </c>
      <c r="O83" s="108">
        <f>SUMPRODUCT(O86:O88,$B$86:$B$88)</f>
        <v>1067</v>
      </c>
      <c r="P83" s="108">
        <f t="shared" si="3"/>
        <v>1441.4916206515738</v>
      </c>
      <c r="Q83" s="108">
        <f t="shared" si="3"/>
        <v>924</v>
      </c>
      <c r="R83" s="113">
        <f>SUM(D83:Q83)</f>
        <v>35961.167060399341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375.06625590388217</v>
      </c>
      <c r="K85" s="154">
        <f t="shared" si="4"/>
        <v>152.93333333333334</v>
      </c>
      <c r="L85" s="154">
        <f t="shared" si="4"/>
        <v>315.26251267836159</v>
      </c>
      <c r="M85" s="154">
        <f t="shared" si="4"/>
        <v>83.452104386772191</v>
      </c>
      <c r="N85" s="154">
        <f t="shared" si="4"/>
        <v>189.51487939326151</v>
      </c>
      <c r="O85" s="154">
        <f t="shared" si="4"/>
        <v>59.277777777777779</v>
      </c>
      <c r="P85" s="154">
        <f t="shared" si="4"/>
        <v>80.082867813976321</v>
      </c>
      <c r="Q85" s="154">
        <f t="shared" si="4"/>
        <v>51.333333333333336</v>
      </c>
      <c r="R85" s="130">
        <f>SUM(E85:Q85)</f>
        <v>2415.2276627676497</v>
      </c>
    </row>
    <row r="86" spans="1:26" ht="15.5" x14ac:dyDescent="0.35">
      <c r="A86" s="29"/>
      <c r="B86" s="111">
        <f>Assumptions!F16</f>
        <v>12</v>
      </c>
      <c r="C86" s="111"/>
      <c r="D86" s="107">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SUM(D87:Q87)</f>
        <v>1398.8231103189385</v>
      </c>
      <c r="S87" s="22"/>
    </row>
    <row r="88" spans="1:26" ht="15.5" x14ac:dyDescent="0.35">
      <c r="B88" s="111">
        <f>Assumptions!F18</f>
        <v>18</v>
      </c>
      <c r="C88" s="111"/>
      <c r="D88" s="107">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SUM(D88:Q88)</f>
        <v>463.66096270512111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128.30769230769232</v>
      </c>
      <c r="F90" s="108">
        <f t="shared" si="5"/>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1125.1987677116465</v>
      </c>
      <c r="K91" s="108">
        <f t="shared" si="6"/>
        <v>458.8</v>
      </c>
      <c r="L91" s="109">
        <f t="shared" si="6"/>
        <v>945.78753803508471</v>
      </c>
      <c r="M91" s="108">
        <f t="shared" si="6"/>
        <v>0</v>
      </c>
      <c r="N91" s="108">
        <f t="shared" si="6"/>
        <v>0</v>
      </c>
      <c r="O91" s="108">
        <f t="shared" si="6"/>
        <v>0</v>
      </c>
      <c r="P91" s="108">
        <f t="shared" si="6"/>
        <v>0</v>
      </c>
      <c r="Q91" s="108">
        <f t="shared" si="6"/>
        <v>0</v>
      </c>
      <c r="R91" s="113">
        <f>SUM(D91:Q91)</f>
        <v>4196.4693309568156</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250.35631316031657</v>
      </c>
      <c r="N92" s="108">
        <f t="shared" si="6"/>
        <v>568.54463817978456</v>
      </c>
      <c r="O92" s="108">
        <f t="shared" si="6"/>
        <v>177.83333333333334</v>
      </c>
      <c r="P92" s="108">
        <f t="shared" si="6"/>
        <v>240.24860344192896</v>
      </c>
      <c r="Q92" s="108">
        <f t="shared" si="6"/>
        <v>154</v>
      </c>
      <c r="R92" s="113">
        <f>SUM(D92:Q92)</f>
        <v>1390.9828881153635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 t="shared" si="7"/>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375.06625590388217</v>
      </c>
      <c r="K95" s="108">
        <f t="shared" si="8"/>
        <v>152.93333333333334</v>
      </c>
      <c r="L95" s="109">
        <f t="shared" si="8"/>
        <v>315.26251267836159</v>
      </c>
      <c r="M95" s="108">
        <f t="shared" si="8"/>
        <v>0</v>
      </c>
      <c r="N95" s="108">
        <f t="shared" si="8"/>
        <v>0</v>
      </c>
      <c r="O95" s="108">
        <f t="shared" si="8"/>
        <v>0</v>
      </c>
      <c r="P95" s="108">
        <f t="shared" si="8"/>
        <v>0</v>
      </c>
      <c r="Q95" s="108">
        <f t="shared" si="8"/>
        <v>0</v>
      </c>
      <c r="R95" s="113">
        <f>SUM(D95:Q95)</f>
        <v>1398.8231103189385</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83.452104386772191</v>
      </c>
      <c r="N96" s="108">
        <f t="shared" si="8"/>
        <v>189.51487939326151</v>
      </c>
      <c r="O96" s="108">
        <f t="shared" si="8"/>
        <v>59.277777777777779</v>
      </c>
      <c r="P96" s="108">
        <f t="shared" si="8"/>
        <v>80.082867813976321</v>
      </c>
      <c r="Q96" s="108">
        <f t="shared" si="8"/>
        <v>51.333333333333336</v>
      </c>
      <c r="R96" s="113">
        <f>SUM(D96:Q96)</f>
        <v>463.66096270512111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375.06625590388217</v>
      </c>
      <c r="K99" s="108">
        <f t="shared" si="10"/>
        <v>152.93333333333334</v>
      </c>
      <c r="L99" s="109">
        <f t="shared" si="10"/>
        <v>315.26251267836159</v>
      </c>
      <c r="M99" s="108">
        <f t="shared" si="10"/>
        <v>0</v>
      </c>
      <c r="N99" s="108">
        <f t="shared" si="10"/>
        <v>0</v>
      </c>
      <c r="O99" s="108">
        <f t="shared" si="10"/>
        <v>0</v>
      </c>
      <c r="P99" s="108">
        <f t="shared" si="10"/>
        <v>0</v>
      </c>
      <c r="Q99" s="108">
        <f t="shared" si="10"/>
        <v>0</v>
      </c>
      <c r="R99" s="113">
        <f>SUM(D99:Q99)</f>
        <v>1398.8231103189385</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83.452104386772191</v>
      </c>
      <c r="N100" s="108">
        <f t="shared" si="10"/>
        <v>189.51487939326151</v>
      </c>
      <c r="O100" s="108">
        <f t="shared" si="10"/>
        <v>59.277777777777779</v>
      </c>
      <c r="P100" s="108">
        <f t="shared" si="10"/>
        <v>80.082867813976321</v>
      </c>
      <c r="Q100" s="108">
        <f t="shared" si="10"/>
        <v>51.333333333333336</v>
      </c>
      <c r="R100" s="113">
        <f>SUM(D100:Q100)</f>
        <v>463.66096270512111</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38.886145644612462</v>
      </c>
      <c r="N101" s="151">
        <f t="shared" si="11"/>
        <v>189.51487939326151</v>
      </c>
      <c r="O101" s="151">
        <f t="shared" si="11"/>
        <v>59.277777777777771</v>
      </c>
      <c r="P101" s="151">
        <f t="shared" si="11"/>
        <v>80.082867813976321</v>
      </c>
      <c r="Q101" s="151">
        <f t="shared" si="11"/>
        <v>51.333333333333336</v>
      </c>
      <c r="R101" s="130">
        <f>SUM(C101:Q101)</f>
        <v>2302.7181142819004</v>
      </c>
    </row>
    <row r="102" spans="2:19" ht="15.5" x14ac:dyDescent="0.35">
      <c r="B102" s="106" t="s">
        <v>257</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12">SUM(D102:Q102)</f>
        <v>1633.624895885167</v>
      </c>
    </row>
    <row r="103" spans="2:19" ht="15.5" x14ac:dyDescent="0.35">
      <c r="B103" s="106" t="s">
        <v>258</v>
      </c>
      <c r="C103" s="106"/>
      <c r="D103" s="108">
        <f>D102</f>
        <v>0</v>
      </c>
      <c r="E103" s="108">
        <f>E102</f>
        <v>32.769230769230774</v>
      </c>
      <c r="F103" s="108">
        <f t="shared" ref="F103:Q103" si="13">F102</f>
        <v>229.49353587588882</v>
      </c>
      <c r="G103" s="108">
        <f t="shared" si="13"/>
        <v>179.50641025641025</v>
      </c>
      <c r="H103" s="108">
        <f t="shared" si="13"/>
        <v>160.73333333333332</v>
      </c>
      <c r="I103" s="108">
        <f t="shared" si="13"/>
        <v>97.213333333333338</v>
      </c>
      <c r="J103" s="108">
        <f t="shared" si="13"/>
        <v>226.77599949362576</v>
      </c>
      <c r="K103" s="108">
        <f t="shared" si="13"/>
        <v>150.25333333333333</v>
      </c>
      <c r="L103" s="108">
        <f t="shared" si="13"/>
        <v>262.03917934502823</v>
      </c>
      <c r="M103" s="108">
        <f t="shared" si="13"/>
        <v>38.886145644612462</v>
      </c>
      <c r="N103" s="108">
        <f t="shared" si="13"/>
        <v>115.79374890861638</v>
      </c>
      <c r="O103" s="108">
        <f t="shared" si="13"/>
        <v>41.49444444444444</v>
      </c>
      <c r="P103" s="108">
        <f t="shared" si="13"/>
        <v>62.732867813976327</v>
      </c>
      <c r="Q103" s="108">
        <f t="shared" si="13"/>
        <v>35.93333333333333</v>
      </c>
      <c r="R103" s="113">
        <f t="shared" si="12"/>
        <v>1633.624895885167</v>
      </c>
      <c r="S103" s="140"/>
    </row>
    <row r="104" spans="2:19" ht="15.5" x14ac:dyDescent="0.35">
      <c r="B104" s="106" t="s">
        <v>117</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12"/>
        <v>171.06175571851304</v>
      </c>
      <c r="S104" s="140"/>
    </row>
    <row r="105" spans="2:19" ht="15.5" x14ac:dyDescent="0.35">
      <c r="B105" s="106" t="s">
        <v>118</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12"/>
        <v>498.03146267822001</v>
      </c>
      <c r="S105" s="140"/>
    </row>
    <row r="106" spans="2:19" ht="15.5" x14ac:dyDescent="0.35">
      <c r="B106" s="106" t="s">
        <v>259</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12"/>
        <v>71</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12"/>
        <v>65</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12"/>
        <v>6073.3295637353003</v>
      </c>
    </row>
    <row r="111" spans="2:19" ht="15.5" x14ac:dyDescent="0.35">
      <c r="B111" s="106" t="s">
        <v>273</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12"/>
        <v>6559.2331999999997</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252</v>
      </c>
      <c r="C117" s="106"/>
      <c r="D117" s="108"/>
      <c r="E117" s="108">
        <f>SUM(E113:E116)</f>
        <v>128.30769230769232</v>
      </c>
      <c r="F117" s="108">
        <f t="shared" ref="F117:Q117" si="14">SUM(F113:F116)</f>
        <v>971.2333548804138</v>
      </c>
      <c r="G117" s="108">
        <f t="shared" si="14"/>
        <v>818.53846153846166</v>
      </c>
      <c r="H117" s="108">
        <f t="shared" si="14"/>
        <v>681.69999999999993</v>
      </c>
      <c r="I117" s="108">
        <f t="shared" si="14"/>
        <v>572.88</v>
      </c>
      <c r="J117" s="108">
        <f t="shared" si="14"/>
        <v>1025.2383830962619</v>
      </c>
      <c r="K117" s="108">
        <f>SUM(K113:K116)</f>
        <v>470.14</v>
      </c>
      <c r="L117" s="108">
        <f t="shared" si="14"/>
        <v>899.20753803508478</v>
      </c>
      <c r="M117" s="108">
        <f t="shared" si="14"/>
        <v>183.50737504707695</v>
      </c>
      <c r="N117" s="108">
        <f t="shared" si="14"/>
        <v>535.39129031630068</v>
      </c>
      <c r="O117" s="108">
        <f t="shared" si="14"/>
        <v>164.49583333333334</v>
      </c>
      <c r="P117" s="108">
        <f t="shared" si="14"/>
        <v>227.23610344192895</v>
      </c>
      <c r="Q117" s="108">
        <f t="shared" si="14"/>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149</v>
      </c>
      <c r="C126" s="106"/>
      <c r="D126" s="108">
        <f>SUM(D122:D125)</f>
        <v>0</v>
      </c>
      <c r="E126" s="108">
        <f t="shared" ref="E126:Q126" si="15">SUM(E122:E125)</f>
        <v>2</v>
      </c>
      <c r="F126" s="108">
        <f t="shared" si="15"/>
        <v>5</v>
      </c>
      <c r="G126" s="108">
        <f t="shared" si="15"/>
        <v>5</v>
      </c>
      <c r="H126" s="108">
        <f t="shared" si="15"/>
        <v>5</v>
      </c>
      <c r="I126" s="108">
        <f>SUM(I122:I125)</f>
        <v>4</v>
      </c>
      <c r="J126" s="108">
        <f t="shared" si="15"/>
        <v>5</v>
      </c>
      <c r="K126" s="108">
        <f t="shared" si="15"/>
        <v>2</v>
      </c>
      <c r="L126" s="109">
        <f t="shared" si="15"/>
        <v>4</v>
      </c>
      <c r="M126" s="108">
        <f t="shared" si="15"/>
        <v>2</v>
      </c>
      <c r="N126" s="108">
        <f t="shared" si="15"/>
        <v>4</v>
      </c>
      <c r="O126" s="108">
        <f t="shared" si="15"/>
        <v>2</v>
      </c>
      <c r="P126" s="108">
        <f t="shared" si="15"/>
        <v>2</v>
      </c>
      <c r="Q126" s="108">
        <f t="shared" si="15"/>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16">E126*2</f>
        <v>4</v>
      </c>
      <c r="F129" s="108">
        <f t="shared" si="16"/>
        <v>10</v>
      </c>
      <c r="G129" s="108">
        <f t="shared" si="16"/>
        <v>10</v>
      </c>
      <c r="H129" s="108">
        <f t="shared" si="16"/>
        <v>10</v>
      </c>
      <c r="I129" s="108">
        <f t="shared" si="16"/>
        <v>8</v>
      </c>
      <c r="J129" s="108">
        <f t="shared" si="16"/>
        <v>10</v>
      </c>
      <c r="K129" s="108">
        <f t="shared" si="16"/>
        <v>4</v>
      </c>
      <c r="L129" s="109">
        <f t="shared" si="16"/>
        <v>8</v>
      </c>
      <c r="M129" s="108">
        <f t="shared" si="16"/>
        <v>4</v>
      </c>
      <c r="N129" s="108">
        <f t="shared" si="16"/>
        <v>8</v>
      </c>
      <c r="O129" s="108">
        <f t="shared" si="16"/>
        <v>4</v>
      </c>
      <c r="P129" s="108">
        <f t="shared" si="16"/>
        <v>4</v>
      </c>
      <c r="Q129" s="108">
        <f t="shared" si="16"/>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3</v>
      </c>
      <c r="F137" s="144">
        <f t="shared" ref="F137:Q137" si="18">ROUNDUP(F126*1.5,0)</f>
        <v>8</v>
      </c>
      <c r="G137" s="144">
        <f t="shared" si="18"/>
        <v>8</v>
      </c>
      <c r="H137" s="144">
        <f t="shared" si="18"/>
        <v>8</v>
      </c>
      <c r="I137" s="144">
        <f>ROUNDUP(I126*1.5,0)</f>
        <v>6</v>
      </c>
      <c r="J137" s="144">
        <f>ROUNDUP(J126*1.5,0)</f>
        <v>8</v>
      </c>
      <c r="K137" s="144">
        <f t="shared" si="18"/>
        <v>3</v>
      </c>
      <c r="L137" s="144">
        <f t="shared" si="18"/>
        <v>6</v>
      </c>
      <c r="M137" s="144">
        <f t="shared" si="18"/>
        <v>3</v>
      </c>
      <c r="N137" s="144">
        <f t="shared" si="18"/>
        <v>6</v>
      </c>
      <c r="O137" s="144">
        <f t="shared" si="18"/>
        <v>3</v>
      </c>
      <c r="P137" s="144">
        <f t="shared" si="18"/>
        <v>3</v>
      </c>
      <c r="Q137" s="144">
        <f t="shared" si="18"/>
        <v>3</v>
      </c>
      <c r="R137" s="144"/>
    </row>
    <row r="138" spans="2:18" x14ac:dyDescent="0.35">
      <c r="B138" s="144" t="s">
        <v>269</v>
      </c>
      <c r="C138" s="145"/>
      <c r="D138" s="145">
        <f>D127*29*$R$2*$R$3</f>
        <v>0</v>
      </c>
      <c r="E138" s="145">
        <f t="shared" ref="E138:Q138" si="19">E127*40*$R$2*$R$3</f>
        <v>40</v>
      </c>
      <c r="F138" s="145">
        <f t="shared" si="19"/>
        <v>160</v>
      </c>
      <c r="G138" s="145">
        <f t="shared" si="19"/>
        <v>160</v>
      </c>
      <c r="H138" s="145">
        <f t="shared" si="19"/>
        <v>120</v>
      </c>
      <c r="I138" s="145">
        <f t="shared" si="19"/>
        <v>120</v>
      </c>
      <c r="J138" s="145">
        <f t="shared" si="19"/>
        <v>200</v>
      </c>
      <c r="K138" s="145">
        <f t="shared" si="19"/>
        <v>80</v>
      </c>
      <c r="L138" s="145">
        <f t="shared" si="19"/>
        <v>160</v>
      </c>
      <c r="M138" s="145">
        <f t="shared" si="19"/>
        <v>40</v>
      </c>
      <c r="N138" s="145">
        <f t="shared" si="19"/>
        <v>120</v>
      </c>
      <c r="O138" s="145">
        <f t="shared" si="19"/>
        <v>40</v>
      </c>
      <c r="P138" s="145">
        <f t="shared" si="19"/>
        <v>40</v>
      </c>
      <c r="Q138" s="145">
        <f t="shared" si="19"/>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42.769230769230774</v>
      </c>
      <c r="F142" s="115">
        <f t="shared" si="20"/>
        <v>338.31588019823317</v>
      </c>
      <c r="G142" s="115">
        <f t="shared" si="20"/>
        <v>289.84615384615381</v>
      </c>
      <c r="H142" s="115">
        <f t="shared" si="20"/>
        <v>243.73333333333332</v>
      </c>
      <c r="I142" s="115">
        <f t="shared" si="20"/>
        <v>193.64</v>
      </c>
      <c r="J142" s="115">
        <f t="shared" si="20"/>
        <v>375.06625590388217</v>
      </c>
      <c r="K142" s="115">
        <f t="shared" si="20"/>
        <v>152.93333333333334</v>
      </c>
      <c r="L142" s="115">
        <f t="shared" si="20"/>
        <v>315.26251267836159</v>
      </c>
      <c r="M142" s="115">
        <f t="shared" si="20"/>
        <v>83.452104386772191</v>
      </c>
      <c r="N142" s="115">
        <f t="shared" si="20"/>
        <v>189.51487939326151</v>
      </c>
      <c r="O142" s="115">
        <f t="shared" si="20"/>
        <v>59.277777777777779</v>
      </c>
      <c r="P142" s="115">
        <f t="shared" si="20"/>
        <v>80.082867813976321</v>
      </c>
      <c r="Q142" s="115">
        <f t="shared" si="20"/>
        <v>51.333333333333336</v>
      </c>
      <c r="R142" s="115">
        <f t="shared" si="20"/>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71" activePane="bottomLeft" state="frozen"/>
      <selection activeCell="B117" sqref="B117"/>
      <selection pane="bottomLeft" activeCell="R83" sqref="R83"/>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369</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ca="1">SUM(C12:P12)</f>
        <v>111.06647809327615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ca="1">SUM(C16:P16)</f>
        <v>333.19943427982844</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ca="1">SUM(C20:P20)</f>
        <v>111.06647809327615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ca="1">SUM(C24:P24)</f>
        <v>111.06647809327615</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ca="1">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ca="1">SUM(C28:Q28)</f>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ca="1">SUM(C29:Q29)</f>
        <v>277.77033070693341</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ca="1">SUM(C30:Q30)</f>
        <v>9</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33.345014087697692</v>
      </c>
      <c r="I39" s="115">
        <f t="shared" ca="1" si="1"/>
        <v>66.679419262979792</v>
      </c>
      <c r="J39" s="115">
        <f t="shared" ca="1" si="1"/>
        <v>66.679419262979792</v>
      </c>
      <c r="K39" s="115">
        <f t="shared" ca="1" si="1"/>
        <v>61.087673353013642</v>
      </c>
      <c r="L39" s="115">
        <f t="shared" ca="1" si="1"/>
        <v>27.76302935055006</v>
      </c>
      <c r="M39" s="115">
        <f t="shared" ca="1" si="1"/>
        <v>22.215775389712444</v>
      </c>
      <c r="N39" s="115">
        <f t="shared" ca="1" si="1"/>
        <v>0</v>
      </c>
      <c r="O39" s="115">
        <f t="shared" ca="1" si="1"/>
        <v>0</v>
      </c>
      <c r="P39" s="115">
        <f t="shared" si="1"/>
        <v>0</v>
      </c>
      <c r="Q39" s="115">
        <f t="shared" si="1"/>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ca="1">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ca="1">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ca="1">SUM(D65:Q65)</f>
        <v>277.77033070693341</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ca="1">SUM(D66:Q66)</f>
        <v>9</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ca="1">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ca="1">SUM(D70:Q70)</f>
        <v>1016.6394103873765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ca="1">SUM(D71:Q71)</f>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33.345014087697692</v>
      </c>
      <c r="J75" s="115">
        <f t="shared" ca="1" si="2"/>
        <v>66.679419262979792</v>
      </c>
      <c r="K75" s="115">
        <f t="shared" ca="1" si="2"/>
        <v>66.679419262979792</v>
      </c>
      <c r="L75" s="115">
        <f t="shared" ca="1" si="2"/>
        <v>61.087673353013642</v>
      </c>
      <c r="M75" s="115">
        <f t="shared" ca="1" si="2"/>
        <v>27.76302935055006</v>
      </c>
      <c r="N75" s="115">
        <f t="shared" ca="1" si="2"/>
        <v>22.215775389712444</v>
      </c>
      <c r="O75" s="115">
        <f t="shared" ca="1" si="2"/>
        <v>0</v>
      </c>
      <c r="P75" s="115">
        <f t="shared" ca="1" si="2"/>
        <v>0</v>
      </c>
      <c r="Q75" s="115">
        <f t="shared" si="2"/>
        <v>0</v>
      </c>
      <c r="R75" s="115">
        <f ca="1">SUM(R46:R48)</f>
        <v>277.77033070693341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362</v>
      </c>
      <c r="C83" s="105"/>
      <c r="D83" s="108">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500.17521131546539</v>
      </c>
      <c r="K83" s="108">
        <f t="shared" si="3"/>
        <v>1000.1912889446969</v>
      </c>
      <c r="L83" s="109">
        <f t="shared" si="3"/>
        <v>1000.1912889446969</v>
      </c>
      <c r="M83" s="108">
        <f t="shared" si="3"/>
        <v>1099.5781203542456</v>
      </c>
      <c r="N83" s="108">
        <f t="shared" si="3"/>
        <v>499.73452830990107</v>
      </c>
      <c r="O83" s="108">
        <f>SUMPRODUCT(O86:O88,$B$86:$B$88)</f>
        <v>399.88395701482398</v>
      </c>
      <c r="P83" s="108">
        <f t="shared" si="3"/>
        <v>0</v>
      </c>
      <c r="Q83" s="108">
        <f t="shared" si="3"/>
        <v>0</v>
      </c>
      <c r="R83" s="113">
        <f>SUM(D83:Q83)</f>
        <v>4499.7543948838302</v>
      </c>
    </row>
    <row r="84" spans="1:26" ht="15.5" x14ac:dyDescent="0.35">
      <c r="B84" s="105" t="s">
        <v>236</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275</v>
      </c>
      <c r="C85" s="152">
        <v>0</v>
      </c>
      <c r="D85" s="131">
        <v>0</v>
      </c>
      <c r="E85" s="154">
        <f>SUM(E86:E88)</f>
        <v>0</v>
      </c>
      <c r="F85" s="154">
        <f t="shared" ref="F85:Q85" si="4">SUM(F86:F88)</f>
        <v>0</v>
      </c>
      <c r="G85" s="154">
        <f t="shared" si="4"/>
        <v>0</v>
      </c>
      <c r="H85" s="154">
        <f t="shared" si="4"/>
        <v>0</v>
      </c>
      <c r="I85" s="154">
        <f t="shared" si="4"/>
        <v>0</v>
      </c>
      <c r="J85" s="154">
        <f t="shared" si="4"/>
        <v>33.345014087697692</v>
      </c>
      <c r="K85" s="154">
        <f t="shared" si="4"/>
        <v>66.679419262979792</v>
      </c>
      <c r="L85" s="154">
        <f t="shared" si="4"/>
        <v>66.679419262979792</v>
      </c>
      <c r="M85" s="154">
        <f t="shared" si="4"/>
        <v>61.087673353013642</v>
      </c>
      <c r="N85" s="154">
        <f t="shared" si="4"/>
        <v>27.76302935055006</v>
      </c>
      <c r="O85" s="154">
        <f t="shared" si="4"/>
        <v>22.215775389712444</v>
      </c>
      <c r="P85" s="154">
        <f t="shared" si="4"/>
        <v>0</v>
      </c>
      <c r="Q85" s="154">
        <f t="shared" si="4"/>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SUM(D88:Q88)</f>
        <v>111.06647809327615</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8">
        <f t="shared" ref="D91:Q92" si="6">3*D87</f>
        <v>0</v>
      </c>
      <c r="E91" s="108">
        <f t="shared" si="6"/>
        <v>0</v>
      </c>
      <c r="F91" s="108">
        <f t="shared" si="6"/>
        <v>0</v>
      </c>
      <c r="G91" s="108">
        <f t="shared" si="6"/>
        <v>0</v>
      </c>
      <c r="H91" s="108">
        <f t="shared" si="6"/>
        <v>0</v>
      </c>
      <c r="I91" s="108">
        <f t="shared" si="6"/>
        <v>0</v>
      </c>
      <c r="J91" s="108">
        <f t="shared" si="6"/>
        <v>100.03504226309308</v>
      </c>
      <c r="K91" s="108">
        <f t="shared" si="6"/>
        <v>200.03825778893938</v>
      </c>
      <c r="L91" s="109">
        <f t="shared" si="6"/>
        <v>200.03825778893938</v>
      </c>
      <c r="M91" s="108">
        <f t="shared" si="6"/>
        <v>0</v>
      </c>
      <c r="N91" s="108">
        <f t="shared" si="6"/>
        <v>0</v>
      </c>
      <c r="O91" s="108">
        <f t="shared" si="6"/>
        <v>0</v>
      </c>
      <c r="P91" s="108">
        <f t="shared" si="6"/>
        <v>0</v>
      </c>
      <c r="Q91" s="108">
        <f t="shared" si="6"/>
        <v>0</v>
      </c>
      <c r="R91" s="113">
        <f>SUM(D91:Q91)</f>
        <v>500.11155784097184</v>
      </c>
    </row>
    <row r="92" spans="1:26" ht="15.5" x14ac:dyDescent="0.35">
      <c r="B92" s="111">
        <f>B88</f>
        <v>18</v>
      </c>
      <c r="C92" s="111"/>
      <c r="D92" s="108">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183.26302005904091</v>
      </c>
      <c r="N92" s="108">
        <f t="shared" si="6"/>
        <v>83.289088051650182</v>
      </c>
      <c r="O92" s="108">
        <f t="shared" si="6"/>
        <v>66.64732616913733</v>
      </c>
      <c r="P92" s="108">
        <f t="shared" si="6"/>
        <v>0</v>
      </c>
      <c r="Q92" s="108">
        <f t="shared" si="6"/>
        <v>0</v>
      </c>
      <c r="R92" s="113">
        <f>SUM(D92:Q92)</f>
        <v>333.19943427982844</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8">
        <f t="shared" ref="D95:Q96" si="8">D87</f>
        <v>0</v>
      </c>
      <c r="E95" s="108">
        <f t="shared" si="8"/>
        <v>0</v>
      </c>
      <c r="F95" s="108">
        <f t="shared" si="8"/>
        <v>0</v>
      </c>
      <c r="G95" s="108">
        <f t="shared" si="8"/>
        <v>0</v>
      </c>
      <c r="H95" s="108">
        <f t="shared" si="8"/>
        <v>0</v>
      </c>
      <c r="I95" s="108">
        <f t="shared" si="8"/>
        <v>0</v>
      </c>
      <c r="J95" s="108">
        <f t="shared" si="8"/>
        <v>33.345014087697692</v>
      </c>
      <c r="K95" s="108">
        <f t="shared" si="8"/>
        <v>66.679419262979792</v>
      </c>
      <c r="L95" s="109">
        <f t="shared" si="8"/>
        <v>66.679419262979792</v>
      </c>
      <c r="M95" s="108">
        <f t="shared" si="8"/>
        <v>0</v>
      </c>
      <c r="N95" s="108">
        <f t="shared" si="8"/>
        <v>0</v>
      </c>
      <c r="O95" s="108">
        <f t="shared" si="8"/>
        <v>0</v>
      </c>
      <c r="P95" s="108">
        <f t="shared" si="8"/>
        <v>0</v>
      </c>
      <c r="Q95" s="108">
        <f t="shared" si="8"/>
        <v>0</v>
      </c>
      <c r="R95" s="113">
        <f>SUM(D95:Q95)</f>
        <v>166.70385261365726</v>
      </c>
    </row>
    <row r="96" spans="1:26" ht="15.5" x14ac:dyDescent="0.35">
      <c r="B96" s="111">
        <f>B88</f>
        <v>18</v>
      </c>
      <c r="C96" s="111"/>
      <c r="D96" s="108">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61.087673353013642</v>
      </c>
      <c r="N96" s="108">
        <f t="shared" si="8"/>
        <v>27.76302935055006</v>
      </c>
      <c r="O96" s="108">
        <f t="shared" si="8"/>
        <v>22.215775389712444</v>
      </c>
      <c r="P96" s="108">
        <f t="shared" si="8"/>
        <v>0</v>
      </c>
      <c r="Q96" s="108">
        <f t="shared" si="8"/>
        <v>0</v>
      </c>
      <c r="R96" s="113">
        <f>SUM(D96:Q96)</f>
        <v>111.06647809327615</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8">
        <f t="shared" ref="D99:Q100" si="10">D87</f>
        <v>0</v>
      </c>
      <c r="E99" s="108">
        <f t="shared" si="10"/>
        <v>0</v>
      </c>
      <c r="F99" s="108">
        <f t="shared" si="10"/>
        <v>0</v>
      </c>
      <c r="G99" s="108">
        <f t="shared" si="10"/>
        <v>0</v>
      </c>
      <c r="H99" s="108">
        <f t="shared" si="10"/>
        <v>0</v>
      </c>
      <c r="I99" s="108">
        <f t="shared" si="10"/>
        <v>0</v>
      </c>
      <c r="J99" s="108">
        <f t="shared" si="10"/>
        <v>33.345014087697692</v>
      </c>
      <c r="K99" s="108">
        <f t="shared" si="10"/>
        <v>66.679419262979792</v>
      </c>
      <c r="L99" s="109">
        <f t="shared" si="10"/>
        <v>66.679419262979792</v>
      </c>
      <c r="M99" s="108">
        <f t="shared" si="10"/>
        <v>0</v>
      </c>
      <c r="N99" s="108">
        <f t="shared" si="10"/>
        <v>0</v>
      </c>
      <c r="O99" s="108">
        <f t="shared" si="10"/>
        <v>0</v>
      </c>
      <c r="P99" s="108">
        <f t="shared" si="10"/>
        <v>0</v>
      </c>
      <c r="Q99" s="108">
        <f t="shared" si="10"/>
        <v>0</v>
      </c>
      <c r="R99" s="113">
        <f>SUM(D99:Q99)</f>
        <v>166.70385261365726</v>
      </c>
    </row>
    <row r="100" spans="2:19" ht="15.5" x14ac:dyDescent="0.35">
      <c r="B100" s="111">
        <f>B88</f>
        <v>18</v>
      </c>
      <c r="C100" s="111"/>
      <c r="D100" s="108">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61.087673353013642</v>
      </c>
      <c r="N100" s="108">
        <f t="shared" si="10"/>
        <v>27.76302935055006</v>
      </c>
      <c r="O100" s="108">
        <f t="shared" si="10"/>
        <v>22.215775389712444</v>
      </c>
      <c r="P100" s="108">
        <f t="shared" si="10"/>
        <v>0</v>
      </c>
      <c r="Q100" s="108">
        <f t="shared" si="10"/>
        <v>0</v>
      </c>
      <c r="R100" s="113">
        <f>SUM(D100:Q100)</f>
        <v>111.06647809327615</v>
      </c>
    </row>
    <row r="101" spans="2:19" ht="15.5" x14ac:dyDescent="0.35">
      <c r="B101" s="135" t="s">
        <v>116</v>
      </c>
      <c r="C101" s="139"/>
      <c r="D101" s="151">
        <f t="shared" ref="D101:Q101" si="11">SUM(D103:D103)</f>
        <v>0</v>
      </c>
      <c r="E101" s="151">
        <f t="shared" si="11"/>
        <v>0</v>
      </c>
      <c r="F101" s="151">
        <f t="shared" si="11"/>
        <v>0</v>
      </c>
      <c r="G101" s="151">
        <f t="shared" si="11"/>
        <v>0</v>
      </c>
      <c r="H101" s="151">
        <f t="shared" si="11"/>
        <v>0</v>
      </c>
      <c r="I101" s="151">
        <f t="shared" si="11"/>
        <v>0</v>
      </c>
      <c r="J101" s="151">
        <f t="shared" si="11"/>
        <v>0</v>
      </c>
      <c r="K101" s="151">
        <f t="shared" si="11"/>
        <v>0</v>
      </c>
      <c r="L101" s="151">
        <f t="shared" si="11"/>
        <v>0</v>
      </c>
      <c r="M101" s="151">
        <f t="shared" si="11"/>
        <v>0</v>
      </c>
      <c r="N101" s="151">
        <f t="shared" si="11"/>
        <v>0</v>
      </c>
      <c r="O101" s="151">
        <f t="shared" si="11"/>
        <v>0</v>
      </c>
      <c r="P101" s="151">
        <f t="shared" si="11"/>
        <v>0</v>
      </c>
      <c r="Q101" s="151">
        <f t="shared" si="11"/>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12">SUM(D105:Q105)</f>
        <v>277.77033070693341</v>
      </c>
    </row>
    <row r="106" spans="2:19" ht="15.5" x14ac:dyDescent="0.35">
      <c r="B106" s="106" t="s">
        <v>268</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12"/>
        <v>9</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12"/>
        <v>9</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12"/>
        <v>1016.6394103873765</v>
      </c>
    </row>
    <row r="111" spans="2:19" ht="15.5" x14ac:dyDescent="0.35">
      <c r="B111" s="106" t="s">
        <v>274</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12"/>
        <v>955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13">C6</f>
        <v>2021</v>
      </c>
      <c r="D128" s="143">
        <f t="shared" si="13"/>
        <v>2022</v>
      </c>
      <c r="E128" s="143">
        <f t="shared" si="13"/>
        <v>2023</v>
      </c>
      <c r="F128" s="143">
        <f t="shared" si="13"/>
        <v>2024</v>
      </c>
      <c r="G128" s="143">
        <f t="shared" si="13"/>
        <v>2025</v>
      </c>
      <c r="H128" s="143">
        <f t="shared" si="13"/>
        <v>2026</v>
      </c>
      <c r="I128" s="143">
        <f t="shared" si="13"/>
        <v>2027</v>
      </c>
      <c r="J128" s="143">
        <f t="shared" si="13"/>
        <v>2028</v>
      </c>
      <c r="K128" s="143">
        <f t="shared" si="13"/>
        <v>2029</v>
      </c>
      <c r="L128" s="143">
        <f t="shared" si="13"/>
        <v>2030</v>
      </c>
      <c r="M128" s="143">
        <f t="shared" si="13"/>
        <v>2031</v>
      </c>
      <c r="N128" s="143">
        <f t="shared" si="13"/>
        <v>2032</v>
      </c>
      <c r="O128" s="143">
        <f t="shared" si="13"/>
        <v>2033</v>
      </c>
      <c r="P128" s="143">
        <f t="shared" si="13"/>
        <v>2034</v>
      </c>
      <c r="Q128" s="143">
        <f t="shared" si="13"/>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235</v>
      </c>
      <c r="D132" s="115">
        <f t="shared" ref="D132:R132" si="14">SUM(D86:D88)</f>
        <v>0</v>
      </c>
      <c r="E132" s="115">
        <f t="shared" si="14"/>
        <v>0</v>
      </c>
      <c r="F132" s="115">
        <f t="shared" si="14"/>
        <v>0</v>
      </c>
      <c r="G132" s="115">
        <f t="shared" si="14"/>
        <v>0</v>
      </c>
      <c r="H132" s="115">
        <f t="shared" si="14"/>
        <v>0</v>
      </c>
      <c r="I132" s="115">
        <f t="shared" si="14"/>
        <v>0</v>
      </c>
      <c r="J132" s="115">
        <f t="shared" si="14"/>
        <v>33.345014087697692</v>
      </c>
      <c r="K132" s="115">
        <f t="shared" si="14"/>
        <v>66.679419262979792</v>
      </c>
      <c r="L132" s="115">
        <f t="shared" si="14"/>
        <v>66.679419262979792</v>
      </c>
      <c r="M132" s="115">
        <f t="shared" si="14"/>
        <v>61.087673353013642</v>
      </c>
      <c r="N132" s="115">
        <f t="shared" si="14"/>
        <v>27.76302935055006</v>
      </c>
      <c r="O132" s="115">
        <f t="shared" si="14"/>
        <v>22.215775389712444</v>
      </c>
      <c r="P132" s="115">
        <f t="shared" si="14"/>
        <v>0</v>
      </c>
      <c r="Q132" s="115">
        <f t="shared" si="14"/>
        <v>0</v>
      </c>
      <c r="R132" s="115">
        <f t="shared" si="14"/>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36" activePane="bottomLeft" state="frozen"/>
      <selection pane="bottomLeft" activeCell="D89" sqref="D89"/>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371</v>
      </c>
      <c r="C2" s="30"/>
      <c r="D2" s="30"/>
      <c r="E2" s="30"/>
      <c r="F2" s="30"/>
      <c r="G2" s="30"/>
      <c r="Q2" s="4" t="s">
        <v>347</v>
      </c>
      <c r="R2" s="23">
        <v>1</v>
      </c>
    </row>
    <row r="3" spans="1:20" x14ac:dyDescent="0.35">
      <c r="Q3" s="4"/>
      <c r="R3" s="23">
        <v>1</v>
      </c>
      <c r="T3" s="138" t="s">
        <v>133</v>
      </c>
    </row>
    <row r="4" spans="1:20" x14ac:dyDescent="0.35">
      <c r="Q4" s="20"/>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111.11111111111111</v>
      </c>
      <c r="M12" s="108" cm="1">
        <f t="array" aca="1" ref="M12" ca="1">INDIRECT("R[36]C["&amp;$A$12&amp;"]",FALSE)</f>
        <v>138.88888888888889</v>
      </c>
      <c r="N12" s="108" cm="1">
        <f t="array" aca="1" ref="N12" ca="1">INDIRECT("R[36]C["&amp;$A$12&amp;"]",FALSE)</f>
        <v>55.555555555555557</v>
      </c>
      <c r="O12" s="108" cm="1">
        <f t="array" aca="1" ref="O12" ca="1">INDIRECT("R[36]C["&amp;$A$12&amp;"]",FALSE)</f>
        <v>0</v>
      </c>
      <c r="P12" s="110"/>
      <c r="Q12" s="110"/>
      <c r="R12" s="113">
        <f ca="1">SUM(C12:P12)</f>
        <v>388.88888888888891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333.33333333333337</v>
      </c>
      <c r="M16" s="108" cm="1">
        <f t="array" aca="1" ref="M16" ca="1">INDIRECT("R[36]C["&amp;$A$16&amp;"]",FALSE)</f>
        <v>416.66666666666663</v>
      </c>
      <c r="N16" s="108" cm="1">
        <f t="array" aca="1" ref="N16" ca="1">INDIRECT("R[36]C["&amp;$A$16&amp;"]",FALSE)</f>
        <v>166.66666666666669</v>
      </c>
      <c r="O16" s="108" cm="1">
        <f t="array" aca="1" ref="O16" ca="1">INDIRECT("R[36]C["&amp;$A$16&amp;"]",FALSE)</f>
        <v>0</v>
      </c>
      <c r="P16" s="106"/>
      <c r="Q16" s="106"/>
      <c r="R16" s="113">
        <f ca="1">SUM(C16:P16)</f>
        <v>1166.6666666666667</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111.11111111111111</v>
      </c>
      <c r="M20" s="108" cm="1">
        <f t="array" aca="1" ref="M20" ca="1">INDIRECT("R[36]C["&amp;$A$20&amp;"]",FALSE)</f>
        <v>138.88888888888889</v>
      </c>
      <c r="N20" s="108" cm="1">
        <f t="array" aca="1" ref="N20" ca="1">INDIRECT("R[36]C["&amp;$A$20&amp;"]",FALSE)</f>
        <v>55.555555555555557</v>
      </c>
      <c r="O20" s="108" cm="1">
        <f t="array" aca="1" ref="O20" ca="1">INDIRECT("R[36]C["&amp;$A$20&amp;"]",FALSE)</f>
        <v>0</v>
      </c>
      <c r="P20" s="106"/>
      <c r="Q20" s="106"/>
      <c r="R20" s="113">
        <f ca="1">SUM(C20:P20)</f>
        <v>388.88888888888891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111.11111111111111</v>
      </c>
      <c r="M24" s="108" cm="1">
        <f t="array" aca="1" ref="M24" ca="1">INDIRECT("R[36]C["&amp;$A$20&amp;"]",FALSE)</f>
        <v>138.88888888888889</v>
      </c>
      <c r="N24" s="108" cm="1">
        <f t="array" aca="1" ref="N24" ca="1">INDIRECT("R[36]C["&amp;$A$20&amp;"]",FALSE)</f>
        <v>55.555555555555557</v>
      </c>
      <c r="O24" s="108" cm="1">
        <f t="array" aca="1" ref="O24" ca="1">INDIRECT("R[36]C["&amp;$A$20&amp;"]",FALSE)</f>
        <v>0</v>
      </c>
      <c r="P24" s="111"/>
      <c r="Q24" s="111"/>
      <c r="R24" s="113">
        <f ca="1">SUM(C24:P24)</f>
        <v>388.88888888888891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77.777777777777771</v>
      </c>
      <c r="M26" s="108" cm="1">
        <f t="array" aca="1" ref="M26" ca="1">INDIRECT("R[36]C["&amp;$A$18&amp;"]",FALSE)</f>
        <v>97.222222222222214</v>
      </c>
      <c r="N26" s="108" cm="1">
        <f t="array" aca="1" ref="N26" ca="1">INDIRECT("R[36]C["&amp;$A$18&amp;"]",FALSE)</f>
        <v>38.888888888888886</v>
      </c>
      <c r="O26" s="108" cm="1">
        <f t="array" aca="1" ref="O26" ca="1">INDIRECT("R[36]C["&amp;$A$18&amp;"]",FALSE)</f>
        <v>0</v>
      </c>
      <c r="P26" s="108"/>
      <c r="Q26" s="108"/>
      <c r="R26" s="113">
        <f ca="1">SUM(C26:Q26)</f>
        <v>272.22222222222217</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77.777777777777771</v>
      </c>
      <c r="M27" s="108" cm="1">
        <f t="array" aca="1" ref="M27" ca="1">INDIRECT("R[36]C["&amp;$A$19&amp;"]",FALSE)</f>
        <v>97.222222222222214</v>
      </c>
      <c r="N27" s="108" cm="1">
        <f t="array" aca="1" ref="N27" ca="1">INDIRECT("R[36]C["&amp;$A$19&amp;"]",FALSE)</f>
        <v>38.888888888888886</v>
      </c>
      <c r="O27" s="108" cm="1">
        <f t="array" aca="1" ref="O27" ca="1">INDIRECT("R[36]C["&amp;$A$19&amp;"]",FALSE)</f>
        <v>0</v>
      </c>
      <c r="P27" s="108"/>
      <c r="Q27" s="108"/>
      <c r="R27" s="113">
        <f ca="1">SUM(C27:Q27)</f>
        <v>272.22222222222217</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16.666666666666668</v>
      </c>
      <c r="M28" s="108" cm="1">
        <f t="array" aca="1" ref="M28" ca="1">INDIRECT("R[36]C["&amp;$A$28&amp;"]",FALSE)</f>
        <v>20.833333333333332</v>
      </c>
      <c r="N28" s="108" cm="1">
        <f t="array" aca="1" ref="N28" ca="1">INDIRECT("R[36]C["&amp;$A$28&amp;"]",FALSE)</f>
        <v>8.3333333333333339</v>
      </c>
      <c r="O28" s="108" cm="1">
        <f t="array" aca="1" ref="O28" ca="1">INDIRECT("R[36]C["&amp;$A$28&amp;"]",FALSE)</f>
        <v>0</v>
      </c>
      <c r="P28" s="108"/>
      <c r="Q28" s="108"/>
      <c r="R28" s="113">
        <f ca="1">SUM(C28:Q28)</f>
        <v>58.333333333333336</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16.666666666666668</v>
      </c>
      <c r="M29" s="108" cm="1">
        <f t="array" aca="1" ref="M29" ca="1">INDIRECT("R[36]C["&amp;$A$29&amp;"]",FALSE)</f>
        <v>20.833333333333332</v>
      </c>
      <c r="N29" s="108" cm="1">
        <f t="array" aca="1" ref="N29" ca="1">INDIRECT("R[36]C["&amp;$A$29&amp;"]",FALSE)</f>
        <v>8.3333333333333339</v>
      </c>
      <c r="O29" s="108" cm="1">
        <f t="array" aca="1" ref="O29" ca="1">INDIRECT("R[36]C["&amp;$A$29&amp;"]",FALSE)</f>
        <v>0</v>
      </c>
      <c r="P29" s="108"/>
      <c r="Q29" s="108"/>
      <c r="R29" s="113">
        <f ca="1">SUM(C29:Q29)</f>
        <v>58.333333333333336</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4</v>
      </c>
      <c r="M30" s="108" cm="1">
        <f t="array" aca="1" ref="M30" ca="1">INDIRECT("R[36]C["&amp;$A$30&amp;"]",FALSE)</f>
        <v>4</v>
      </c>
      <c r="N30" s="108" cm="1">
        <f t="array" aca="1" ref="N30" ca="1">INDIRECT("R[36]C["&amp;$A$30&amp;"]",FALSE)</f>
        <v>2</v>
      </c>
      <c r="O30" s="108" cm="1">
        <f t="array" aca="1" ref="O30" ca="1">INDIRECT("R[36]C["&amp;$A$30&amp;"]",FALSE)</f>
        <v>0</v>
      </c>
      <c r="P30" s="108"/>
      <c r="Q30" s="108"/>
      <c r="R30" s="113">
        <f ca="1">SUM(C30:Q30)</f>
        <v>12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4</v>
      </c>
      <c r="L32" s="108" cm="1">
        <f t="array" aca="1" ref="L32" ca="1">INDIRECT("R[36]C["&amp;$A$32&amp;"]",FALSE)</f>
        <v>4</v>
      </c>
      <c r="M32" s="108" cm="1">
        <f t="array" aca="1" ref="M32" ca="1">INDIRECT("R[36]C["&amp;$A$32&amp;"]",FALSE)</f>
        <v>2</v>
      </c>
      <c r="N32" s="108" cm="1">
        <f t="array" aca="1" ref="N32" ca="1">INDIRECT("R[36]C["&amp;$A$32&amp;"]",FALSE)</f>
        <v>0</v>
      </c>
      <c r="O32" s="108" cm="1">
        <f t="array" aca="1" ref="O32" ca="1">INDIRECT("R[36]C["&amp;$A$32&amp;"]",FALSE)</f>
        <v>0</v>
      </c>
      <c r="P32" s="108"/>
      <c r="Q32" s="108"/>
      <c r="R32" s="113">
        <f ca="1">SUM(C32:Q32)</f>
        <v>12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244.00000000000003</v>
      </c>
      <c r="M34" s="108" cm="1">
        <f t="array" aca="1" ref="M34" ca="1">INDIRECT("R[36]C["&amp;$A$34&amp;"]",FALSE)</f>
        <v>305</v>
      </c>
      <c r="N34" s="108" cm="1">
        <f t="array" aca="1" ref="N34" ca="1">INDIRECT("R[36]C["&amp;$A$34&amp;"]",FALSE)</f>
        <v>122.00000000000001</v>
      </c>
      <c r="O34" s="108" cm="1">
        <f t="array" aca="1" ref="O34" ca="1">INDIRECT("R[36]C["&amp;$A$34&amp;"]",FALSE)</f>
        <v>0</v>
      </c>
      <c r="P34" s="108"/>
      <c r="Q34" s="108"/>
      <c r="R34" s="113">
        <f ca="1">SUM(C34:Q34)</f>
        <v>854</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600</v>
      </c>
      <c r="M35" s="108" cm="1">
        <f t="array" aca="1" ref="M35" ca="1">INDIRECT("R[36]C["&amp;$A$35&amp;"]",FALSE)</f>
        <v>600</v>
      </c>
      <c r="N35" s="108" cm="1">
        <f t="array" aca="1" ref="N35" ca="1">INDIRECT("R[36]C["&amp;$A$35&amp;"]",FALSE)</f>
        <v>300</v>
      </c>
      <c r="O35" s="108" cm="1">
        <f t="array" aca="1" ref="O35" ca="1">INDIRECT("R[36]C["&amp;$A$35&amp;"]",FALSE)</f>
        <v>0</v>
      </c>
      <c r="P35" s="108"/>
      <c r="Q35" s="108"/>
      <c r="R35" s="113">
        <f ca="1">SUM(C35:Q35)</f>
        <v>1800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0</v>
      </c>
      <c r="I39" s="115">
        <f t="shared" ca="1" si="1"/>
        <v>0</v>
      </c>
      <c r="J39" s="115">
        <f t="shared" ca="1" si="1"/>
        <v>0</v>
      </c>
      <c r="K39" s="115">
        <f t="shared" ca="1" si="1"/>
        <v>83.333333333333329</v>
      </c>
      <c r="L39" s="115">
        <f t="shared" ca="1" si="1"/>
        <v>111.11111111111111</v>
      </c>
      <c r="M39" s="115">
        <f t="shared" ca="1" si="1"/>
        <v>138.88888888888889</v>
      </c>
      <c r="N39" s="115">
        <f t="shared" ca="1" si="1"/>
        <v>55.555555555555557</v>
      </c>
      <c r="O39" s="115">
        <f t="shared" ca="1" si="1"/>
        <v>0</v>
      </c>
      <c r="P39" s="115">
        <f t="shared" si="1"/>
        <v>0</v>
      </c>
      <c r="Q39" s="115">
        <f t="shared" si="1"/>
        <v>0</v>
      </c>
      <c r="R39" s="115">
        <f ca="1">SUM(R10:R12)</f>
        <v>388.88888888888891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111.11111111111111</v>
      </c>
      <c r="N48" s="124" cm="1">
        <f t="array" aca="1" ref="N48" ca="1">INDIRECT("R[40]C["&amp;$A$46&amp;"]",FALSE)</f>
        <v>138.88888888888889</v>
      </c>
      <c r="O48" s="124" cm="1">
        <f t="array" aca="1" ref="O48" ca="1">INDIRECT("R[40]C["&amp;$A$46&amp;"]",FALSE)</f>
        <v>55.555555555555557</v>
      </c>
      <c r="P48" s="124" cm="1">
        <f t="array" aca="1" ref="P48" ca="1">INDIRECT("R[40]C["&amp;$A$46&amp;"]",FALSE)</f>
        <v>0</v>
      </c>
      <c r="Q48" s="125"/>
      <c r="R48" s="128">
        <f ca="1">SUM(D48:P48)</f>
        <v>388.88888888888891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333.33333333333337</v>
      </c>
      <c r="N52" s="124" cm="1">
        <f t="array" aca="1" ref="N52" ca="1">INDIRECT("R[40]C["&amp;$A$50&amp;"]",FALSE)</f>
        <v>416.66666666666663</v>
      </c>
      <c r="O52" s="124" cm="1">
        <f t="array" aca="1" ref="O52" ca="1">INDIRECT("R[40]C["&amp;$A$50&amp;"]",FALSE)</f>
        <v>166.66666666666669</v>
      </c>
      <c r="P52" s="124" cm="1">
        <f t="array" aca="1" ref="P52" ca="1">INDIRECT("R[40]C["&amp;$A$50&amp;"]",FALSE)</f>
        <v>0</v>
      </c>
      <c r="Q52" s="126"/>
      <c r="R52" s="128">
        <f ca="1">SUM(D52:P52)</f>
        <v>1166.6666666666667</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111.11111111111111</v>
      </c>
      <c r="N56" s="124" cm="1">
        <f t="array" aca="1" ref="N56" ca="1">INDIRECT("R[40]C["&amp;$A$46&amp;"]",FALSE)</f>
        <v>138.88888888888889</v>
      </c>
      <c r="O56" s="124" cm="1">
        <f t="array" aca="1" ref="O56" ca="1">INDIRECT("R[40]C["&amp;$A$46&amp;"]",FALSE)</f>
        <v>55.555555555555557</v>
      </c>
      <c r="P56" s="124" cm="1">
        <f t="array" aca="1" ref="P56" ca="1">INDIRECT("R[40]C["&amp;$A$46&amp;"]",FALSE)</f>
        <v>0</v>
      </c>
      <c r="Q56" s="123"/>
      <c r="R56" s="128">
        <f ca="1">SUM(D56:P56)</f>
        <v>388.88888888888891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111.11111111111111</v>
      </c>
      <c r="N60" s="124" cm="1">
        <f t="array" aca="1" ref="N60" ca="1">INDIRECT("R[40]C["&amp;$A$58&amp;"]",FALSE)</f>
        <v>138.88888888888889</v>
      </c>
      <c r="O60" s="124" cm="1">
        <f t="array" aca="1" ref="O60" ca="1">INDIRECT("R[40]C["&amp;$A$58&amp;"]",FALSE)</f>
        <v>55.555555555555557</v>
      </c>
      <c r="P60" s="124" cm="1">
        <f t="array" aca="1" ref="P60" ca="1">INDIRECT("R[40]C["&amp;$A$58&amp;"]",FALSE)</f>
        <v>0</v>
      </c>
      <c r="Q60" s="125"/>
      <c r="R60" s="128">
        <f ca="1">SUM(D60:P60)</f>
        <v>388.88888888888891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77.777777777777771</v>
      </c>
      <c r="N62" s="124" cm="1">
        <f t="array" aca="1" ref="N62" ca="1">INDIRECT("R[40]C["&amp;$A$62&amp;"]",FALSE)</f>
        <v>97.222222222222214</v>
      </c>
      <c r="O62" s="124" cm="1">
        <f t="array" aca="1" ref="O62" ca="1">INDIRECT("R[40]C["&amp;$A$62&amp;"]",FALSE)</f>
        <v>38.888888888888886</v>
      </c>
      <c r="P62" s="124" cm="1">
        <f t="array" aca="1" ref="P62" ca="1">INDIRECT("R[40]C["&amp;$A$62&amp;"]",FALSE)</f>
        <v>0</v>
      </c>
      <c r="Q62" s="124"/>
      <c r="R62" s="128">
        <f ca="1">SUM(D62:Q62)</f>
        <v>272.22222222222217</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77.777777777777771</v>
      </c>
      <c r="N63" s="124" cm="1">
        <f t="array" aca="1" ref="N63" ca="1">INDIRECT("R[40]C["&amp;$A$62&amp;"]",FALSE)</f>
        <v>97.222222222222214</v>
      </c>
      <c r="O63" s="124" cm="1">
        <f t="array" aca="1" ref="O63" ca="1">INDIRECT("R[40]C["&amp;$A$62&amp;"]",FALSE)</f>
        <v>38.888888888888886</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16.666666666666668</v>
      </c>
      <c r="N64" s="124" cm="1">
        <f t="array" aca="1" ref="N64" ca="1">INDIRECT("R[40]C["&amp;$A$62&amp;"]",FALSE)</f>
        <v>20.833333333333332</v>
      </c>
      <c r="O64" s="124" cm="1">
        <f t="array" aca="1" ref="O64" ca="1">INDIRECT("R[40]C["&amp;$A$62&amp;"]",FALSE)</f>
        <v>8.3333333333333339</v>
      </c>
      <c r="P64" s="124" cm="1">
        <f t="array" aca="1" ref="P64" ca="1">INDIRECT("R[40]C["&amp;$A$62&amp;"]",FALSE)</f>
        <v>0</v>
      </c>
      <c r="Q64" s="124"/>
      <c r="R64" s="128">
        <f ca="1">SUM(D64:Q64)</f>
        <v>58.333333333333336</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16.666666666666668</v>
      </c>
      <c r="N65" s="124" cm="1">
        <f t="array" aca="1" ref="N65" ca="1">INDIRECT("R[40]C["&amp;$A$62&amp;"]",FALSE)</f>
        <v>20.833333333333332</v>
      </c>
      <c r="O65" s="124" cm="1">
        <f t="array" aca="1" ref="O65" ca="1">INDIRECT("R[40]C["&amp;$A$62&amp;"]",FALSE)</f>
        <v>8.3333333333333339</v>
      </c>
      <c r="P65" s="124" cm="1">
        <f t="array" aca="1" ref="P65" ca="1">INDIRECT("R[40]C["&amp;$A$62&amp;"]",FALSE)</f>
        <v>0</v>
      </c>
      <c r="Q65" s="124"/>
      <c r="R65" s="128">
        <f ca="1">SUM(D65:Q65)</f>
        <v>58.333333333333336</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4</v>
      </c>
      <c r="N66" s="124" cm="1">
        <f t="array" aca="1" ref="N66" ca="1">INDIRECT("R[40]C["&amp;$A$62&amp;"]",FALSE)</f>
        <v>4</v>
      </c>
      <c r="O66" s="124" cm="1">
        <f t="array" aca="1" ref="O66" ca="1">INDIRECT("R[40]C["&amp;$A$62&amp;"]",FALSE)</f>
        <v>2</v>
      </c>
      <c r="P66" s="124" cm="1">
        <f t="array" aca="1" ref="P66" ca="1">INDIRECT("R[40]C["&amp;$A$62&amp;"]",FALSE)</f>
        <v>0</v>
      </c>
      <c r="Q66" s="124"/>
      <c r="R66" s="128">
        <f ca="1">SUM(D66:Q66)</f>
        <v>12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4</v>
      </c>
      <c r="N68" s="124" cm="1">
        <f t="array" aca="1" ref="N68" ca="1">INDIRECT("R[40]C["&amp;$A$68&amp;"]",FALSE)</f>
        <v>4</v>
      </c>
      <c r="O68" s="124" cm="1">
        <f t="array" aca="1" ref="O68" ca="1">INDIRECT("R[40]C["&amp;$A$68&amp;"]",FALSE)</f>
        <v>2</v>
      </c>
      <c r="P68" s="124" cm="1">
        <f t="array" aca="1" ref="P68" ca="1">INDIRECT("R[40]C["&amp;$A$68&amp;"]",FALSE)</f>
        <v>0</v>
      </c>
      <c r="Q68" s="124"/>
      <c r="R68" s="128">
        <f ca="1">SUM(D68:Q68)</f>
        <v>12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244.00000000000003</v>
      </c>
      <c r="N70" s="124" cm="1">
        <f t="array" aca="1" ref="N70" ca="1">INDIRECT("R[40]C["&amp;$A$70&amp;"]",FALSE)</f>
        <v>305</v>
      </c>
      <c r="O70" s="124" cm="1">
        <f t="array" aca="1" ref="O70" ca="1">INDIRECT("R[40]C["&amp;$A$70&amp;"]",FALSE)</f>
        <v>122.00000000000001</v>
      </c>
      <c r="P70" s="124" cm="1">
        <f t="array" aca="1" ref="P70" ca="1">INDIRECT("R[40]C["&amp;$A$70&amp;"]",FALSE)</f>
        <v>0</v>
      </c>
      <c r="Q70" s="124"/>
      <c r="R70" s="128">
        <f ca="1">SUM(D70:Q70)</f>
        <v>854</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600</v>
      </c>
      <c r="N71" s="124" cm="1">
        <f t="array" aca="1" ref="N71" ca="1">INDIRECT("R[40]C["&amp;$A$70&amp;"]",FALSE)</f>
        <v>600</v>
      </c>
      <c r="O71" s="124" cm="1">
        <f t="array" aca="1" ref="O71" ca="1">INDIRECT("R[40]C["&amp;$A$70&amp;"]",FALSE)</f>
        <v>300</v>
      </c>
      <c r="P71" s="124" cm="1">
        <f t="array" aca="1" ref="P71" ca="1">INDIRECT("R[40]C["&amp;$A$70&amp;"]",FALSE)</f>
        <v>0</v>
      </c>
      <c r="Q71" s="124"/>
      <c r="R71" s="128">
        <f ca="1">SUM(D71:Q71)</f>
        <v>1800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0</v>
      </c>
      <c r="J75" s="115">
        <f t="shared" ca="1" si="2"/>
        <v>0</v>
      </c>
      <c r="K75" s="115">
        <f t="shared" ca="1" si="2"/>
        <v>0</v>
      </c>
      <c r="L75" s="115">
        <f t="shared" ca="1" si="2"/>
        <v>83.333333333333329</v>
      </c>
      <c r="M75" s="115">
        <f t="shared" ca="1" si="2"/>
        <v>111.11111111111111</v>
      </c>
      <c r="N75" s="115">
        <f t="shared" ca="1" si="2"/>
        <v>138.88888888888889</v>
      </c>
      <c r="O75" s="115">
        <f t="shared" ca="1" si="2"/>
        <v>55.555555555555557</v>
      </c>
      <c r="P75" s="115">
        <f t="shared" ca="1" si="2"/>
        <v>0</v>
      </c>
      <c r="Q75" s="115">
        <f t="shared" si="2"/>
        <v>0</v>
      </c>
      <c r="R75" s="115">
        <f ca="1">SUM(R46:R48)</f>
        <v>388.88888888888891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3500</v>
      </c>
      <c r="O82" s="108">
        <f>SUM($E83:O83)</f>
        <v>6000</v>
      </c>
      <c r="P82" s="108">
        <f>SUM($E83:P83)</f>
        <v>7000</v>
      </c>
      <c r="Q82" s="108">
        <f>SUM($E83:Q83)</f>
        <v>7000</v>
      </c>
      <c r="R82" s="113">
        <f>Q82</f>
        <v>7000</v>
      </c>
    </row>
    <row r="83" spans="1:26" ht="15.5" x14ac:dyDescent="0.35">
      <c r="B83" s="105" t="s">
        <v>361</v>
      </c>
      <c r="C83" s="105"/>
      <c r="D83" s="107">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0</v>
      </c>
      <c r="K83" s="108">
        <f t="shared" si="3"/>
        <v>0</v>
      </c>
      <c r="L83" s="109">
        <f t="shared" si="3"/>
        <v>0</v>
      </c>
      <c r="M83" s="108">
        <f t="shared" si="3"/>
        <v>1500</v>
      </c>
      <c r="N83" s="108">
        <f t="shared" si="3"/>
        <v>2000</v>
      </c>
      <c r="O83" s="108">
        <f>SUMPRODUCT(O86:O88,$B$86:$B$88)</f>
        <v>2500</v>
      </c>
      <c r="P83" s="108">
        <f t="shared" si="3"/>
        <v>1000</v>
      </c>
      <c r="Q83" s="108">
        <f t="shared" si="3"/>
        <v>0</v>
      </c>
      <c r="R83" s="113">
        <f>SUM(D83:Q83)</f>
        <v>7000</v>
      </c>
    </row>
    <row r="84" spans="1:26" ht="15.5" x14ac:dyDescent="0.35">
      <c r="B84" s="105" t="s">
        <v>236</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2</v>
      </c>
      <c r="O84" s="108">
        <f>Aggregated!CE7*$R$2</f>
        <v>2</v>
      </c>
      <c r="P84" s="108">
        <f>Aggregated!CF7*$R$2</f>
        <v>1</v>
      </c>
      <c r="Q84" s="108">
        <f>Aggregated!CG7*$R$2</f>
        <v>0</v>
      </c>
      <c r="R84" s="113">
        <f>SUM(D84:Q84)</f>
        <v>6</v>
      </c>
    </row>
    <row r="85" spans="1:26" ht="15.5" x14ac:dyDescent="0.35">
      <c r="B85" s="135" t="s">
        <v>275</v>
      </c>
      <c r="C85" s="152">
        <v>0</v>
      </c>
      <c r="D85" s="153">
        <v>0</v>
      </c>
      <c r="E85" s="154">
        <f>SUM(E86:E88)</f>
        <v>0</v>
      </c>
      <c r="F85" s="154">
        <f t="shared" ref="F85:Q85" si="4">SUM(F86:F88)</f>
        <v>0</v>
      </c>
      <c r="G85" s="154">
        <f t="shared" si="4"/>
        <v>0</v>
      </c>
      <c r="H85" s="154">
        <f t="shared" si="4"/>
        <v>0</v>
      </c>
      <c r="I85" s="154">
        <f t="shared" si="4"/>
        <v>0</v>
      </c>
      <c r="J85" s="154">
        <f t="shared" si="4"/>
        <v>0</v>
      </c>
      <c r="K85" s="154">
        <f t="shared" si="4"/>
        <v>0</v>
      </c>
      <c r="L85" s="154">
        <f t="shared" si="4"/>
        <v>0</v>
      </c>
      <c r="M85" s="154">
        <f t="shared" si="4"/>
        <v>83.333333333333329</v>
      </c>
      <c r="N85" s="154">
        <f t="shared" si="4"/>
        <v>111.11111111111111</v>
      </c>
      <c r="O85" s="154">
        <f t="shared" si="4"/>
        <v>138.88888888888889</v>
      </c>
      <c r="P85" s="154">
        <f t="shared" si="4"/>
        <v>55.555555555555557</v>
      </c>
      <c r="Q85" s="154">
        <f t="shared" si="4"/>
        <v>0</v>
      </c>
      <c r="R85" s="130">
        <f>SUM(E85:Q85)</f>
        <v>388.88888888888891</v>
      </c>
    </row>
    <row r="86" spans="1:26" ht="15.5" x14ac:dyDescent="0.35">
      <c r="A86" s="29"/>
      <c r="B86" s="111">
        <f>Assumptions!F16</f>
        <v>12</v>
      </c>
      <c r="C86" s="111"/>
      <c r="D86" s="107">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SUM(D87:Q87)</f>
        <v>0</v>
      </c>
      <c r="S87" s="22"/>
    </row>
    <row r="88" spans="1:26" ht="15.5" x14ac:dyDescent="0.35">
      <c r="B88" s="111">
        <f>Assumptions!F18</f>
        <v>18</v>
      </c>
      <c r="C88" s="111"/>
      <c r="D88" s="107">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111.11111111111111</v>
      </c>
      <c r="O88" s="108">
        <f>Aggregated!CE11*$R$2</f>
        <v>138.88888888888889</v>
      </c>
      <c r="P88" s="108">
        <f>Aggregated!CF11*$R$2</f>
        <v>55.555555555555557</v>
      </c>
      <c r="Q88" s="108">
        <f>Aggregated!CG11*$R$2</f>
        <v>0</v>
      </c>
      <c r="R88" s="113">
        <f>SUM(D88:Q88)</f>
        <v>388.88888888888891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7">
        <f t="shared" ref="D91:Q92" si="6">3*D87</f>
        <v>0</v>
      </c>
      <c r="E91" s="108">
        <f t="shared" si="6"/>
        <v>0</v>
      </c>
      <c r="F91" s="108">
        <f t="shared" si="6"/>
        <v>0</v>
      </c>
      <c r="G91" s="108">
        <f t="shared" si="6"/>
        <v>0</v>
      </c>
      <c r="H91" s="108">
        <f t="shared" si="6"/>
        <v>0</v>
      </c>
      <c r="I91" s="108">
        <f t="shared" si="6"/>
        <v>0</v>
      </c>
      <c r="J91" s="108">
        <f t="shared" si="6"/>
        <v>0</v>
      </c>
      <c r="K91" s="108">
        <f t="shared" si="6"/>
        <v>0</v>
      </c>
      <c r="L91" s="109">
        <f t="shared" si="6"/>
        <v>0</v>
      </c>
      <c r="M91" s="108">
        <f t="shared" si="6"/>
        <v>0</v>
      </c>
      <c r="N91" s="108">
        <f t="shared" si="6"/>
        <v>0</v>
      </c>
      <c r="O91" s="108">
        <f t="shared" si="6"/>
        <v>0</v>
      </c>
      <c r="P91" s="108">
        <f t="shared" si="6"/>
        <v>0</v>
      </c>
      <c r="Q91" s="108">
        <f t="shared" si="6"/>
        <v>0</v>
      </c>
      <c r="R91" s="113">
        <f>SUM(D91:Q91)</f>
        <v>0</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250</v>
      </c>
      <c r="N92" s="108">
        <f t="shared" si="6"/>
        <v>333.33333333333337</v>
      </c>
      <c r="O92" s="108">
        <f t="shared" si="6"/>
        <v>416.66666666666663</v>
      </c>
      <c r="P92" s="108">
        <f t="shared" si="6"/>
        <v>166.66666666666669</v>
      </c>
      <c r="Q92" s="108">
        <f t="shared" si="6"/>
        <v>0</v>
      </c>
      <c r="R92" s="113">
        <f>SUM(D92:Q92)</f>
        <v>1166.6666666666667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7">
        <f t="shared" ref="D95:Q96" si="8">D87</f>
        <v>0</v>
      </c>
      <c r="E95" s="108">
        <f t="shared" si="8"/>
        <v>0</v>
      </c>
      <c r="F95" s="108">
        <f t="shared" si="8"/>
        <v>0</v>
      </c>
      <c r="G95" s="108">
        <f t="shared" si="8"/>
        <v>0</v>
      </c>
      <c r="H95" s="108">
        <f t="shared" si="8"/>
        <v>0</v>
      </c>
      <c r="I95" s="108">
        <f t="shared" si="8"/>
        <v>0</v>
      </c>
      <c r="J95" s="108">
        <f t="shared" si="8"/>
        <v>0</v>
      </c>
      <c r="K95" s="108">
        <f t="shared" si="8"/>
        <v>0</v>
      </c>
      <c r="L95" s="109">
        <f t="shared" si="8"/>
        <v>0</v>
      </c>
      <c r="M95" s="108">
        <f t="shared" si="8"/>
        <v>0</v>
      </c>
      <c r="N95" s="108">
        <f t="shared" si="8"/>
        <v>0</v>
      </c>
      <c r="O95" s="108">
        <f t="shared" si="8"/>
        <v>0</v>
      </c>
      <c r="P95" s="108">
        <f t="shared" si="8"/>
        <v>0</v>
      </c>
      <c r="Q95" s="108">
        <f t="shared" si="8"/>
        <v>0</v>
      </c>
      <c r="R95" s="113">
        <f>SUM(D95:Q95)</f>
        <v>0</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83.333333333333329</v>
      </c>
      <c r="N96" s="108">
        <f t="shared" si="8"/>
        <v>111.11111111111111</v>
      </c>
      <c r="O96" s="108">
        <f t="shared" si="8"/>
        <v>138.88888888888889</v>
      </c>
      <c r="P96" s="108">
        <f t="shared" si="8"/>
        <v>55.555555555555557</v>
      </c>
      <c r="Q96" s="108">
        <f t="shared" si="8"/>
        <v>0</v>
      </c>
      <c r="R96" s="113">
        <f>SUM(D96:Q96)</f>
        <v>388.88888888888891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7">
        <f t="shared" ref="D99:Q100" si="10">D87</f>
        <v>0</v>
      </c>
      <c r="E99" s="108">
        <f t="shared" si="10"/>
        <v>0</v>
      </c>
      <c r="F99" s="108">
        <f t="shared" si="10"/>
        <v>0</v>
      </c>
      <c r="G99" s="108">
        <f t="shared" si="10"/>
        <v>0</v>
      </c>
      <c r="H99" s="108">
        <f t="shared" si="10"/>
        <v>0</v>
      </c>
      <c r="I99" s="108">
        <f t="shared" si="10"/>
        <v>0</v>
      </c>
      <c r="J99" s="108">
        <f t="shared" si="10"/>
        <v>0</v>
      </c>
      <c r="K99" s="108">
        <f t="shared" si="10"/>
        <v>0</v>
      </c>
      <c r="L99" s="109">
        <f t="shared" si="10"/>
        <v>0</v>
      </c>
      <c r="M99" s="108">
        <f t="shared" si="10"/>
        <v>0</v>
      </c>
      <c r="N99" s="108">
        <f t="shared" si="10"/>
        <v>0</v>
      </c>
      <c r="O99" s="108">
        <f t="shared" si="10"/>
        <v>0</v>
      </c>
      <c r="P99" s="108">
        <f t="shared" si="10"/>
        <v>0</v>
      </c>
      <c r="Q99" s="108">
        <f t="shared" si="10"/>
        <v>0</v>
      </c>
      <c r="R99" s="113">
        <f>SUM(D99:Q99)</f>
        <v>0</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83.333333333333329</v>
      </c>
      <c r="N100" s="108">
        <f t="shared" si="10"/>
        <v>111.11111111111111</v>
      </c>
      <c r="O100" s="108">
        <f t="shared" si="10"/>
        <v>138.88888888888889</v>
      </c>
      <c r="P100" s="108">
        <f t="shared" si="10"/>
        <v>55.555555555555557</v>
      </c>
      <c r="Q100" s="108">
        <f t="shared" si="10"/>
        <v>0</v>
      </c>
      <c r="R100" s="113">
        <f>SUM(D100:Q100)</f>
        <v>388.88888888888891</v>
      </c>
    </row>
    <row r="101" spans="2:19" ht="15.5" x14ac:dyDescent="0.35">
      <c r="B101" s="135" t="s">
        <v>116</v>
      </c>
      <c r="C101" s="139"/>
      <c r="D101" s="151">
        <f>SUM(D103:D105)</f>
        <v>0</v>
      </c>
      <c r="E101" s="151">
        <f t="shared" ref="E101:Q101" si="11">SUM(E103:E105)</f>
        <v>0</v>
      </c>
      <c r="F101" s="151">
        <f t="shared" si="11"/>
        <v>0</v>
      </c>
      <c r="G101" s="151">
        <f t="shared" si="11"/>
        <v>0</v>
      </c>
      <c r="H101" s="151">
        <f t="shared" si="11"/>
        <v>0</v>
      </c>
      <c r="I101" s="151">
        <f t="shared" si="11"/>
        <v>0</v>
      </c>
      <c r="J101" s="151">
        <f t="shared" si="11"/>
        <v>0</v>
      </c>
      <c r="K101" s="151">
        <f t="shared" si="11"/>
        <v>0</v>
      </c>
      <c r="L101" s="151">
        <f t="shared" si="11"/>
        <v>0</v>
      </c>
      <c r="M101" s="151">
        <f t="shared" si="11"/>
        <v>83.333333333333329</v>
      </c>
      <c r="N101" s="151">
        <f t="shared" si="11"/>
        <v>111.11111111111111</v>
      </c>
      <c r="O101" s="151">
        <f t="shared" si="11"/>
        <v>138.88888888888889</v>
      </c>
      <c r="P101" s="151">
        <f t="shared" si="11"/>
        <v>55.555555555555557</v>
      </c>
      <c r="Q101" s="151">
        <f t="shared" si="11"/>
        <v>0</v>
      </c>
      <c r="R101" s="130">
        <f>SUM(C101:Q101)</f>
        <v>388.88888888888891</v>
      </c>
    </row>
    <row r="102" spans="2:19" ht="15.5" x14ac:dyDescent="0.35">
      <c r="B102" s="106" t="s">
        <v>257</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77.777777777777771</v>
      </c>
      <c r="O102" s="108">
        <f>Aggregated!CE15*$R$2</f>
        <v>97.222222222222214</v>
      </c>
      <c r="P102" s="108">
        <f>Aggregated!CF15*$R$2</f>
        <v>38.888888888888886</v>
      </c>
      <c r="Q102" s="108">
        <f>Aggregated!CG15*$R$2</f>
        <v>0</v>
      </c>
      <c r="R102" s="113">
        <f t="shared" ref="R102:R111" si="12">SUM(D102:Q102)</f>
        <v>272.22222222222217</v>
      </c>
    </row>
    <row r="103" spans="2:19" ht="15.5" x14ac:dyDescent="0.35">
      <c r="B103" s="106" t="s">
        <v>258</v>
      </c>
      <c r="C103" s="106"/>
      <c r="D103" s="108">
        <f t="shared" ref="D103:Q103" si="13">D102</f>
        <v>0</v>
      </c>
      <c r="E103" s="108">
        <f t="shared" si="13"/>
        <v>0</v>
      </c>
      <c r="F103" s="108">
        <f t="shared" si="13"/>
        <v>0</v>
      </c>
      <c r="G103" s="108">
        <f t="shared" si="13"/>
        <v>0</v>
      </c>
      <c r="H103" s="108">
        <f t="shared" si="13"/>
        <v>0</v>
      </c>
      <c r="I103" s="108">
        <f t="shared" si="13"/>
        <v>0</v>
      </c>
      <c r="J103" s="108">
        <f t="shared" si="13"/>
        <v>0</v>
      </c>
      <c r="K103" s="108">
        <f t="shared" si="13"/>
        <v>0</v>
      </c>
      <c r="L103" s="108">
        <f t="shared" si="13"/>
        <v>0</v>
      </c>
      <c r="M103" s="108">
        <f t="shared" si="13"/>
        <v>58.333333333333329</v>
      </c>
      <c r="N103" s="108">
        <f t="shared" si="13"/>
        <v>77.777777777777771</v>
      </c>
      <c r="O103" s="108">
        <f t="shared" si="13"/>
        <v>97.222222222222214</v>
      </c>
      <c r="P103" s="108">
        <f t="shared" si="13"/>
        <v>38.888888888888886</v>
      </c>
      <c r="Q103" s="108">
        <f t="shared" si="13"/>
        <v>0</v>
      </c>
      <c r="R103" s="113">
        <f t="shared" si="12"/>
        <v>272.22222222222217</v>
      </c>
      <c r="S103" s="140"/>
    </row>
    <row r="104" spans="2:19" ht="15.5" x14ac:dyDescent="0.35">
      <c r="B104" s="106" t="s">
        <v>117</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16.666666666666668</v>
      </c>
      <c r="O104" s="108">
        <f>Aggregated!CE16</f>
        <v>20.833333333333332</v>
      </c>
      <c r="P104" s="108">
        <f>Aggregated!CF16</f>
        <v>8.3333333333333339</v>
      </c>
      <c r="Q104" s="108">
        <f>Aggregated!CG16</f>
        <v>0</v>
      </c>
      <c r="R104" s="113">
        <f t="shared" si="12"/>
        <v>58.333333333333336</v>
      </c>
      <c r="S104" s="140"/>
    </row>
    <row r="105" spans="2:19" ht="15.5" x14ac:dyDescent="0.35">
      <c r="B105" s="106" t="s">
        <v>118</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16.666666666666668</v>
      </c>
      <c r="O105" s="108">
        <f>Aggregated!CE17</f>
        <v>20.833333333333332</v>
      </c>
      <c r="P105" s="108">
        <f>Aggregated!CF17</f>
        <v>8.3333333333333339</v>
      </c>
      <c r="Q105" s="108">
        <f>Aggregated!CG17</f>
        <v>0</v>
      </c>
      <c r="R105" s="113">
        <f t="shared" si="12"/>
        <v>58.333333333333336</v>
      </c>
      <c r="S105" s="140"/>
    </row>
    <row r="106" spans="2:19" ht="15.5" x14ac:dyDescent="0.35">
      <c r="B106" s="106" t="s">
        <v>259</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4</v>
      </c>
      <c r="O106" s="108">
        <f>Aggregated!CE18*$R$2</f>
        <v>4</v>
      </c>
      <c r="P106" s="108">
        <f>Aggregated!CF18*$R$2</f>
        <v>2</v>
      </c>
      <c r="Q106" s="108">
        <f>Aggregated!CG18*$R$2</f>
        <v>0</v>
      </c>
      <c r="R106" s="113">
        <f t="shared" si="12"/>
        <v>12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4</v>
      </c>
      <c r="O108" s="108">
        <f>Aggregated!CE19*$R$2</f>
        <v>4</v>
      </c>
      <c r="P108" s="108">
        <f>Aggregated!CF19*$R$2</f>
        <v>2</v>
      </c>
      <c r="Q108" s="108">
        <f>Aggregated!CG19*$R$2</f>
        <v>0</v>
      </c>
      <c r="R108" s="113">
        <f t="shared" si="12"/>
        <v>12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244.00000000000003</v>
      </c>
      <c r="O110" s="108">
        <f>Aggregated!CE21*$R$2</f>
        <v>305</v>
      </c>
      <c r="P110" s="108">
        <f>Aggregated!CF21*$R$2</f>
        <v>122.00000000000001</v>
      </c>
      <c r="Q110" s="108">
        <f>Aggregated!CG21*$R$2</f>
        <v>0</v>
      </c>
      <c r="R110" s="113">
        <f t="shared" si="12"/>
        <v>854</v>
      </c>
    </row>
    <row r="111" spans="2:19" ht="15.5" x14ac:dyDescent="0.35">
      <c r="B111" s="106" t="s">
        <v>273</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600</v>
      </c>
      <c r="O111" s="108">
        <f>Aggregated!CE24*$R$2</f>
        <v>600</v>
      </c>
      <c r="P111" s="108">
        <f>Aggregated!CF24*$R$2</f>
        <v>300</v>
      </c>
      <c r="Q111" s="108">
        <f>Aggregated!CG24*$R$2</f>
        <v>0</v>
      </c>
      <c r="R111" s="113">
        <f t="shared" si="12"/>
        <v>1800</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166.66666666666666</v>
      </c>
      <c r="O115" s="108">
        <f>O88*Assumptions!$K$25/24</f>
        <v>208.33333333333334</v>
      </c>
      <c r="P115" s="108">
        <f>P88*Assumptions!$K$25/24</f>
        <v>83.333333333333329</v>
      </c>
      <c r="Q115" s="108">
        <f>Q88*Assumptions!$K$25/24</f>
        <v>0</v>
      </c>
      <c r="R115" s="113"/>
      <c r="U115" t="s">
        <v>150</v>
      </c>
    </row>
    <row r="116" spans="2:21" ht="15.5" x14ac:dyDescent="0.35">
      <c r="B116" s="106" t="s">
        <v>140</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141.66666666666666</v>
      </c>
      <c r="O116" s="108">
        <f>(O102+O105)*Assumptions!$K$26/24</f>
        <v>177.08333333333334</v>
      </c>
      <c r="P116" s="108">
        <f>(P102+P105)*Assumptions!$K$26/24</f>
        <v>70.833333333333329</v>
      </c>
      <c r="Q116" s="108">
        <f>(Q102+Q105)*Assumptions!$K$26/24</f>
        <v>0</v>
      </c>
      <c r="R116" s="113"/>
    </row>
    <row r="117" spans="2:21" ht="15.5" x14ac:dyDescent="0.35">
      <c r="B117" s="106" t="s">
        <v>252</v>
      </c>
      <c r="C117" s="106"/>
      <c r="D117" s="108"/>
      <c r="E117" s="108">
        <f>SUM(E113:E116)</f>
        <v>0</v>
      </c>
      <c r="F117" s="108">
        <f t="shared" ref="F117:Q117" si="14">SUM(F113:F116)</f>
        <v>0</v>
      </c>
      <c r="G117" s="108">
        <f t="shared" si="14"/>
        <v>0</v>
      </c>
      <c r="H117" s="108">
        <f t="shared" si="14"/>
        <v>0</v>
      </c>
      <c r="I117" s="108">
        <f t="shared" si="14"/>
        <v>0</v>
      </c>
      <c r="J117" s="108">
        <f t="shared" si="14"/>
        <v>0</v>
      </c>
      <c r="K117" s="108">
        <f>SUM(K113:K116)</f>
        <v>0</v>
      </c>
      <c r="L117" s="108">
        <f t="shared" si="14"/>
        <v>0</v>
      </c>
      <c r="M117" s="108">
        <f t="shared" si="14"/>
        <v>231.25</v>
      </c>
      <c r="N117" s="108">
        <f t="shared" si="14"/>
        <v>308.33333333333331</v>
      </c>
      <c r="O117" s="108">
        <f t="shared" si="14"/>
        <v>385.41666666666669</v>
      </c>
      <c r="P117" s="108">
        <f t="shared" si="14"/>
        <v>154.16666666666666</v>
      </c>
      <c r="Q117" s="108">
        <f t="shared" si="14"/>
        <v>0</v>
      </c>
      <c r="R117" s="113"/>
    </row>
    <row r="118" spans="2:21" ht="15.5" x14ac:dyDescent="0.35">
      <c r="B118" s="106" t="s">
        <v>138</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40</v>
      </c>
      <c r="O118" s="108">
        <f>O108*Assumptions!$K$27/24</f>
        <v>40</v>
      </c>
      <c r="P118" s="108">
        <f>P108*Assumptions!$K$27/24</f>
        <v>20</v>
      </c>
      <c r="Q118" s="108">
        <f>Q108*Assumptions!$K$27/24</f>
        <v>0</v>
      </c>
      <c r="R118" s="113"/>
    </row>
    <row r="119" spans="2:21" ht="15.5" x14ac:dyDescent="0.35">
      <c r="B119" s="106" t="s">
        <v>195</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351</v>
      </c>
      <c r="O119" s="108">
        <f>(ROUNDUP(O83/400,1)+O84)*Assumptions!$K$45+SUM(O110:O111)/Assumptions!$K$44</f>
        <v>392.25</v>
      </c>
      <c r="P119" s="108">
        <f>(ROUNDUP(P83/400,1)+P84)*Assumptions!$K$45+SUM(P110:P111)/Assumptions!$K$44</f>
        <v>175.5</v>
      </c>
      <c r="Q119" s="108">
        <f>(ROUNDUP(Q83/400,1)+Q84)*Assumptions!$K$45+SUM(Q110:Q111)/Assumptions!$K$44</f>
        <v>0</v>
      </c>
      <c r="R119" s="113"/>
    </row>
    <row r="120" spans="2:21" ht="15.5" x14ac:dyDescent="0.35">
      <c r="B120" s="106" t="s">
        <v>297</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116.66666666666667</v>
      </c>
      <c r="O120" s="108">
        <f>O102*Assumptions!$K$28/24</f>
        <v>145.83333333333331</v>
      </c>
      <c r="P120" s="108">
        <f>P102*Assumptions!$K$28/24</f>
        <v>58.333333333333336</v>
      </c>
      <c r="Q120" s="108">
        <f>Q102*Assumptions!$K$28/24</f>
        <v>0</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1</v>
      </c>
      <c r="O124" s="108">
        <f>ROUNDUP(O115/(Assumptions!$C$36*365),0)</f>
        <v>1</v>
      </c>
      <c r="P124" s="108">
        <f>ROUNDUP(P115/(Assumptions!$C$36*365),0)</f>
        <v>1</v>
      </c>
      <c r="Q124" s="108">
        <f>ROUNDUP(Q115/(Assumptions!$C$36*365),0)</f>
        <v>0</v>
      </c>
      <c r="R124" s="113"/>
    </row>
    <row r="125" spans="2:21" ht="15.5" x14ac:dyDescent="0.35">
      <c r="B125" s="106" t="s">
        <v>140</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1</v>
      </c>
      <c r="O125" s="108">
        <f>ROUNDUP(O116/(Assumptions!$C$36*365),0)</f>
        <v>1</v>
      </c>
      <c r="P125" s="108">
        <f>ROUNDUP(P116/(Assumptions!$C$36*365),0)</f>
        <v>1</v>
      </c>
      <c r="Q125" s="108">
        <f>ROUNDUP(Q116/(Assumptions!$C$36*365),0)</f>
        <v>0</v>
      </c>
      <c r="R125" s="113"/>
    </row>
    <row r="126" spans="2:21" ht="15.5" x14ac:dyDescent="0.35">
      <c r="B126" s="105" t="s">
        <v>149</v>
      </c>
      <c r="C126" s="106"/>
      <c r="D126" s="108">
        <f>SUM(D122:D125)</f>
        <v>0</v>
      </c>
      <c r="E126" s="108">
        <f t="shared" ref="E126:Q126" si="15">SUM(E122:E125)</f>
        <v>0</v>
      </c>
      <c r="F126" s="108">
        <f t="shared" si="15"/>
        <v>0</v>
      </c>
      <c r="G126" s="108">
        <f t="shared" si="15"/>
        <v>0</v>
      </c>
      <c r="H126" s="108">
        <f t="shared" si="15"/>
        <v>0</v>
      </c>
      <c r="I126" s="108">
        <f>SUM(I122:I125)</f>
        <v>0</v>
      </c>
      <c r="J126" s="108">
        <f t="shared" si="15"/>
        <v>0</v>
      </c>
      <c r="K126" s="108">
        <f t="shared" si="15"/>
        <v>0</v>
      </c>
      <c r="L126" s="109">
        <f t="shared" si="15"/>
        <v>0</v>
      </c>
      <c r="M126" s="108">
        <f t="shared" si="15"/>
        <v>2</v>
      </c>
      <c r="N126" s="108">
        <f t="shared" si="15"/>
        <v>2</v>
      </c>
      <c r="O126" s="108">
        <f t="shared" si="15"/>
        <v>2</v>
      </c>
      <c r="P126" s="108">
        <f t="shared" si="15"/>
        <v>2</v>
      </c>
      <c r="Q126" s="108">
        <f t="shared" si="15"/>
        <v>0</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2</v>
      </c>
      <c r="O127" s="108">
        <f>ROUNDUP(O117/(Assumptions!$C$36*365),0)</f>
        <v>2</v>
      </c>
      <c r="P127" s="108">
        <f>ROUNDUP(P117/(Assumptions!$C$36*365),0)</f>
        <v>1</v>
      </c>
      <c r="Q127" s="108">
        <f>ROUNDUP(Q117/(Assumptions!$C$36*365),0)</f>
        <v>0</v>
      </c>
      <c r="R127" s="113"/>
    </row>
    <row r="128" spans="2:21" ht="15.5" x14ac:dyDescent="0.35">
      <c r="B128" s="106" t="s">
        <v>138</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1</v>
      </c>
      <c r="O128" s="108">
        <f>ROUNDUP(O118/(Assumptions!$C$36*365),0)</f>
        <v>1</v>
      </c>
      <c r="P128" s="108">
        <f>ROUNDUP(P118/(Assumptions!$C$36*365),0)</f>
        <v>1</v>
      </c>
      <c r="Q128" s="108">
        <f>ROUNDUP(Q118/(Assumptions!$C$36*365),0)</f>
        <v>0</v>
      </c>
      <c r="R128" s="113"/>
    </row>
    <row r="129" spans="2:18" ht="15.5" x14ac:dyDescent="0.35">
      <c r="B129" s="106" t="s">
        <v>242</v>
      </c>
      <c r="C129" s="106"/>
      <c r="D129" s="108">
        <f>D126*2</f>
        <v>0</v>
      </c>
      <c r="E129" s="108">
        <f t="shared" ref="E129:Q129" si="16">E126*2</f>
        <v>0</v>
      </c>
      <c r="F129" s="108">
        <f t="shared" si="16"/>
        <v>0</v>
      </c>
      <c r="G129" s="108">
        <f t="shared" si="16"/>
        <v>0</v>
      </c>
      <c r="H129" s="108">
        <f t="shared" si="16"/>
        <v>0</v>
      </c>
      <c r="I129" s="108">
        <f t="shared" si="16"/>
        <v>0</v>
      </c>
      <c r="J129" s="108">
        <f t="shared" si="16"/>
        <v>0</v>
      </c>
      <c r="K129" s="108">
        <f t="shared" si="16"/>
        <v>0</v>
      </c>
      <c r="L129" s="109">
        <f t="shared" si="16"/>
        <v>0</v>
      </c>
      <c r="M129" s="108">
        <f t="shared" si="16"/>
        <v>4</v>
      </c>
      <c r="N129" s="108">
        <f t="shared" si="16"/>
        <v>4</v>
      </c>
      <c r="O129" s="108">
        <f t="shared" si="16"/>
        <v>4</v>
      </c>
      <c r="P129" s="108">
        <f t="shared" si="16"/>
        <v>4</v>
      </c>
      <c r="Q129" s="108">
        <f t="shared" si="16"/>
        <v>0</v>
      </c>
      <c r="R129" s="113"/>
    </row>
    <row r="130" spans="2:18" ht="15.5" x14ac:dyDescent="0.35">
      <c r="B130" s="106" t="s">
        <v>179</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8</v>
      </c>
      <c r="O130" s="108">
        <f>IF(O82=0,0,O84*Assumptions!$K$35+N84*Assumptions!$K$36+SUM($C84:M84)*Assumptions!$K$37+Assumptions!$K$38)</f>
        <v>11</v>
      </c>
      <c r="P130" s="108">
        <f>IF(P82=0,0,P84*Assumptions!$K$35+O84*Assumptions!$K$36+SUM($C84:N84)*Assumptions!$K$37+Assumptions!$K$38)</f>
        <v>11</v>
      </c>
      <c r="Q130" s="108">
        <f>IF(Q82=0,0,Q84*Assumptions!$K$35+P84*Assumptions!$K$36+SUM($C84:O84)*Assumptions!$K$37+Assumptions!$K$38)</f>
        <v>9</v>
      </c>
      <c r="R130" s="113">
        <f>Q130</f>
        <v>9</v>
      </c>
    </row>
    <row r="131" spans="2:18" ht="15.5" x14ac:dyDescent="0.35">
      <c r="B131" s="106" t="s">
        <v>343</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195</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2</v>
      </c>
      <c r="O132" s="108">
        <f>ROUNDUP(O119/(Assumptions!$C$36*365),0)</f>
        <v>2</v>
      </c>
      <c r="P132" s="108">
        <f>ROUNDUP(P119/(Assumptions!$C$36*365),0)</f>
        <v>1</v>
      </c>
      <c r="Q132" s="108">
        <f>ROUNDUP(Q119/(Assumptions!$C$36*365),0)</f>
        <v>0</v>
      </c>
      <c r="R132" s="114"/>
    </row>
    <row r="133" spans="2:18" ht="15.5" x14ac:dyDescent="0.35">
      <c r="B133" s="106" t="s">
        <v>305</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1</v>
      </c>
      <c r="O133" s="108">
        <f>ROUNDUP(O120/(Assumptions!$C$36*365),0)</f>
        <v>1</v>
      </c>
      <c r="P133" s="108">
        <f>ROUNDUP(P120/(Assumptions!$C$36*365),0)</f>
        <v>1</v>
      </c>
      <c r="Q133" s="108">
        <f>ROUNDUP(Q120/(Assumptions!$C$36*365),0)</f>
        <v>0</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0</v>
      </c>
      <c r="F137" s="144">
        <f t="shared" ref="F137:Q137" si="18">ROUNDUP(F126*1.5,0)</f>
        <v>0</v>
      </c>
      <c r="G137" s="144">
        <f t="shared" si="18"/>
        <v>0</v>
      </c>
      <c r="H137" s="144">
        <f t="shared" si="18"/>
        <v>0</v>
      </c>
      <c r="I137" s="144">
        <f>ROUNDUP(I126*1.5,0)</f>
        <v>0</v>
      </c>
      <c r="J137" s="144">
        <f t="shared" si="18"/>
        <v>0</v>
      </c>
      <c r="K137" s="144">
        <f t="shared" si="18"/>
        <v>0</v>
      </c>
      <c r="L137" s="144">
        <f t="shared" si="18"/>
        <v>0</v>
      </c>
      <c r="M137" s="144">
        <f t="shared" si="18"/>
        <v>3</v>
      </c>
      <c r="N137" s="144">
        <f t="shared" si="18"/>
        <v>3</v>
      </c>
      <c r="O137" s="144">
        <f t="shared" si="18"/>
        <v>3</v>
      </c>
      <c r="P137" s="144">
        <f t="shared" si="18"/>
        <v>3</v>
      </c>
      <c r="Q137" s="144">
        <f t="shared" si="18"/>
        <v>0</v>
      </c>
      <c r="R137" s="144"/>
    </row>
    <row r="138" spans="2:18" x14ac:dyDescent="0.35">
      <c r="B138" s="144" t="s">
        <v>269</v>
      </c>
      <c r="C138" s="145"/>
      <c r="D138" s="145">
        <f>D127*29*$R$2*$R$3</f>
        <v>0</v>
      </c>
      <c r="E138" s="145">
        <f t="shared" ref="E138:Q138" si="19">E127*40*$R$2*$R$3</f>
        <v>0</v>
      </c>
      <c r="F138" s="145">
        <f t="shared" si="19"/>
        <v>0</v>
      </c>
      <c r="G138" s="145">
        <f t="shared" si="19"/>
        <v>0</v>
      </c>
      <c r="H138" s="145">
        <f t="shared" si="19"/>
        <v>0</v>
      </c>
      <c r="I138" s="145">
        <f t="shared" si="19"/>
        <v>0</v>
      </c>
      <c r="J138" s="145">
        <f t="shared" si="19"/>
        <v>0</v>
      </c>
      <c r="K138" s="145">
        <f t="shared" si="19"/>
        <v>0</v>
      </c>
      <c r="L138" s="145">
        <f t="shared" si="19"/>
        <v>0</v>
      </c>
      <c r="M138" s="145">
        <f t="shared" si="19"/>
        <v>40</v>
      </c>
      <c r="N138" s="145">
        <f t="shared" si="19"/>
        <v>80</v>
      </c>
      <c r="O138" s="145">
        <f t="shared" si="19"/>
        <v>80</v>
      </c>
      <c r="P138" s="145">
        <f t="shared" si="19"/>
        <v>40</v>
      </c>
      <c r="Q138" s="145">
        <f t="shared" si="19"/>
        <v>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0</v>
      </c>
      <c r="F142" s="115">
        <f t="shared" si="20"/>
        <v>0</v>
      </c>
      <c r="G142" s="115">
        <f t="shared" si="20"/>
        <v>0</v>
      </c>
      <c r="H142" s="115">
        <f t="shared" si="20"/>
        <v>0</v>
      </c>
      <c r="I142" s="115">
        <f t="shared" si="20"/>
        <v>0</v>
      </c>
      <c r="J142" s="115">
        <f t="shared" si="20"/>
        <v>0</v>
      </c>
      <c r="K142" s="115">
        <f t="shared" si="20"/>
        <v>0</v>
      </c>
      <c r="L142" s="115">
        <f t="shared" si="20"/>
        <v>0</v>
      </c>
      <c r="M142" s="115">
        <f t="shared" si="20"/>
        <v>83.333333333333329</v>
      </c>
      <c r="N142" s="115">
        <f t="shared" si="20"/>
        <v>111.11111111111111</v>
      </c>
      <c r="O142" s="115">
        <f t="shared" si="20"/>
        <v>138.88888888888889</v>
      </c>
      <c r="P142" s="115">
        <f t="shared" si="20"/>
        <v>55.555555555555557</v>
      </c>
      <c r="Q142" s="115">
        <f t="shared" si="20"/>
        <v>0</v>
      </c>
      <c r="R142" s="115">
        <f t="shared" si="20"/>
        <v>388.88888888888891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opLeftCell="A71" zoomScale="70" zoomScaleNormal="70" workbookViewId="0">
      <selection activeCell="Q105" sqref="Q105"/>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372</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91.333333333333329</v>
      </c>
      <c r="L12" s="108" cm="1">
        <f t="array" aca="1" ref="L12" ca="1">INDIRECT("R[36]C["&amp;$A$12&amp;"]",FALSE)</f>
        <v>27.777777777777779</v>
      </c>
      <c r="M12" s="108" cm="1">
        <f t="array" aca="1" ref="M12" ca="1">INDIRECT("R[36]C["&amp;$A$12&amp;"]",FALSE)</f>
        <v>177.77777777777777</v>
      </c>
      <c r="N12" s="108" cm="1">
        <f t="array" aca="1" ref="N12" ca="1">INDIRECT("R[36]C["&amp;$A$12&amp;"]",FALSE)</f>
        <v>138.88888888888889</v>
      </c>
      <c r="O12" s="108" cm="1">
        <f t="array" aca="1" ref="O12" ca="1">INDIRECT("R[36]C["&amp;$A$12&amp;"]",FALSE)</f>
        <v>250</v>
      </c>
      <c r="P12" s="110"/>
      <c r="Q12" s="110"/>
      <c r="R12" s="113">
        <f ca="1">SUM(C12:P12)</f>
        <v>685.77777777777783</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274</v>
      </c>
      <c r="L16" s="108" cm="1">
        <f t="array" aca="1" ref="L16" ca="1">INDIRECT("R[36]C["&amp;$A$16&amp;"]",FALSE)</f>
        <v>83.333333333333343</v>
      </c>
      <c r="M16" s="108" cm="1">
        <f t="array" aca="1" ref="M16" ca="1">INDIRECT("R[36]C["&amp;$A$16&amp;"]",FALSE)</f>
        <v>533.33333333333326</v>
      </c>
      <c r="N16" s="108" cm="1">
        <f t="array" aca="1" ref="N16" ca="1">INDIRECT("R[36]C["&amp;$A$16&amp;"]",FALSE)</f>
        <v>416.66666666666663</v>
      </c>
      <c r="O16" s="108" cm="1">
        <f t="array" aca="1" ref="O16" ca="1">INDIRECT("R[36]C["&amp;$A$16&amp;"]",FALSE)</f>
        <v>750</v>
      </c>
      <c r="P16" s="106"/>
      <c r="Q16" s="106"/>
      <c r="R16" s="113">
        <f ca="1">SUM(C16:P16)</f>
        <v>2057.333333333333</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91.333333333333329</v>
      </c>
      <c r="L20" s="108" cm="1">
        <f t="array" aca="1" ref="L20" ca="1">INDIRECT("R[36]C["&amp;$A$20&amp;"]",FALSE)</f>
        <v>27.777777777777779</v>
      </c>
      <c r="M20" s="108" cm="1">
        <f t="array" aca="1" ref="M20" ca="1">INDIRECT("R[36]C["&amp;$A$20&amp;"]",FALSE)</f>
        <v>177.77777777777777</v>
      </c>
      <c r="N20" s="108" cm="1">
        <f t="array" aca="1" ref="N20" ca="1">INDIRECT("R[36]C["&amp;$A$20&amp;"]",FALSE)</f>
        <v>138.88888888888889</v>
      </c>
      <c r="O20" s="108" cm="1">
        <f t="array" aca="1" ref="O20" ca="1">INDIRECT("R[36]C["&amp;$A$20&amp;"]",FALSE)</f>
        <v>250</v>
      </c>
      <c r="P20" s="106"/>
      <c r="Q20" s="106"/>
      <c r="R20" s="113">
        <f ca="1">SUM(C20:P20)</f>
        <v>685.77777777777783</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91.333333333333329</v>
      </c>
      <c r="L24" s="108" cm="1">
        <f t="array" aca="1" ref="L24" ca="1">INDIRECT("R[36]C["&amp;$A$20&amp;"]",FALSE)</f>
        <v>27.777777777777779</v>
      </c>
      <c r="M24" s="108" cm="1">
        <f t="array" aca="1" ref="M24" ca="1">INDIRECT("R[36]C["&amp;$A$20&amp;"]",FALSE)</f>
        <v>177.77777777777777</v>
      </c>
      <c r="N24" s="108" cm="1">
        <f t="array" aca="1" ref="N24" ca="1">INDIRECT("R[36]C["&amp;$A$20&amp;"]",FALSE)</f>
        <v>138.88888888888889</v>
      </c>
      <c r="O24" s="108" cm="1">
        <f t="array" aca="1" ref="O24" ca="1">INDIRECT("R[36]C["&amp;$A$20&amp;"]",FALSE)</f>
        <v>250</v>
      </c>
      <c r="P24" s="111"/>
      <c r="Q24" s="111"/>
      <c r="R24" s="113">
        <f ca="1">SUM(C24:P24)</f>
        <v>685.77777777777783</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ca="1">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ca="1">SUM(C28:Q28)</f>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91.333333333333329</v>
      </c>
      <c r="L29" s="108" cm="1">
        <f t="array" aca="1" ref="L29" ca="1">INDIRECT("R[36]C["&amp;$A$29&amp;"]",FALSE)</f>
        <v>27.777777777777779</v>
      </c>
      <c r="M29" s="108" cm="1">
        <f t="array" aca="1" ref="M29" ca="1">INDIRECT("R[36]C["&amp;$A$29&amp;"]",FALSE)</f>
        <v>177.77777777777777</v>
      </c>
      <c r="N29" s="108" cm="1">
        <f t="array" aca="1" ref="N29" ca="1">INDIRECT("R[36]C["&amp;$A$29&amp;"]",FALSE)</f>
        <v>138.88888888888889</v>
      </c>
      <c r="O29" s="108" cm="1">
        <f t="array" aca="1" ref="O29" ca="1">INDIRECT("R[36]C["&amp;$A$29&amp;"]",FALSE)</f>
        <v>250</v>
      </c>
      <c r="P29" s="108"/>
      <c r="Q29" s="108"/>
      <c r="R29" s="113">
        <f ca="1">SUM(C29:Q29)</f>
        <v>685.77777777777783</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3</v>
      </c>
      <c r="L30" s="108" cm="1">
        <f t="array" aca="1" ref="L30" ca="1">INDIRECT("R[36]C["&amp;$A$30&amp;"]",FALSE)</f>
        <v>1</v>
      </c>
      <c r="M30" s="108" cm="1">
        <f t="array" aca="1" ref="M30" ca="1">INDIRECT("R[36]C["&amp;$A$30&amp;"]",FALSE)</f>
        <v>6</v>
      </c>
      <c r="N30" s="108" cm="1">
        <f t="array" aca="1" ref="N30" ca="1">INDIRECT("R[36]C["&amp;$A$30&amp;"]",FALSE)</f>
        <v>4</v>
      </c>
      <c r="O30" s="108" cm="1">
        <f t="array" aca="1" ref="O30" ca="1">INDIRECT("R[36]C["&amp;$A$30&amp;"]",FALSE)</f>
        <v>8</v>
      </c>
      <c r="P30" s="108"/>
      <c r="Q30" s="108"/>
      <c r="R30" s="113">
        <f ca="1">SUM(C30:Q30)</f>
        <v>22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3</v>
      </c>
      <c r="K32" s="108" cm="1">
        <f t="array" aca="1" ref="K32" ca="1">INDIRECT("R[36]C["&amp;$A$32&amp;"]",FALSE)</f>
        <v>1</v>
      </c>
      <c r="L32" s="108" cm="1">
        <f t="array" aca="1" ref="L32" ca="1">INDIRECT("R[36]C["&amp;$A$32&amp;"]",FALSE)</f>
        <v>6</v>
      </c>
      <c r="M32" s="108" cm="1">
        <f t="array" aca="1" ref="M32" ca="1">INDIRECT("R[36]C["&amp;$A$32&amp;"]",FALSE)</f>
        <v>4</v>
      </c>
      <c r="N32" s="108" cm="1">
        <f t="array" aca="1" ref="N32" ca="1">INDIRECT("R[36]C["&amp;$A$32&amp;"]",FALSE)</f>
        <v>8</v>
      </c>
      <c r="O32" s="108" cm="1">
        <f t="array" aca="1" ref="O32" ca="1">INDIRECT("R[36]C["&amp;$A$32&amp;"]",FALSE)</f>
        <v>0</v>
      </c>
      <c r="P32" s="108"/>
      <c r="Q32" s="108"/>
      <c r="R32" s="113">
        <f ca="1">SUM(C32:Q32)</f>
        <v>22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334.28</v>
      </c>
      <c r="L34" s="108" cm="1">
        <f t="array" aca="1" ref="L34" ca="1">INDIRECT("R[36]C["&amp;$A$34&amp;"]",FALSE)</f>
        <v>101.66666666666667</v>
      </c>
      <c r="M34" s="108" cm="1">
        <f t="array" aca="1" ref="M34" ca="1">INDIRECT("R[36]C["&amp;$A$34&amp;"]",FALSE)</f>
        <v>650.66666666666674</v>
      </c>
      <c r="N34" s="108" cm="1">
        <f t="array" aca="1" ref="N34" ca="1">INDIRECT("R[36]C["&amp;$A$34&amp;"]",FALSE)</f>
        <v>508.33333333333337</v>
      </c>
      <c r="O34" s="108" cm="1">
        <f t="array" aca="1" ref="O34" ca="1">INDIRECT("R[36]C["&amp;$A$34&amp;"]",FALSE)</f>
        <v>915.00000000000011</v>
      </c>
      <c r="P34" s="108"/>
      <c r="Q34" s="108"/>
      <c r="R34" s="113">
        <f ca="1">SUM(C34:Q34)</f>
        <v>2509.9466666666667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320</v>
      </c>
      <c r="L35" s="108" cm="1">
        <f t="array" aca="1" ref="L35" ca="1">INDIRECT("R[36]C["&amp;$A$35&amp;"]",FALSE)</f>
        <v>105</v>
      </c>
      <c r="M35" s="108" cm="1">
        <f t="array" aca="1" ref="M35" ca="1">INDIRECT("R[36]C["&amp;$A$35&amp;"]",FALSE)</f>
        <v>640</v>
      </c>
      <c r="N35" s="108" cm="1">
        <f t="array" aca="1" ref="N35" ca="1">INDIRECT("R[36]C["&amp;$A$35&amp;"]",FALSE)</f>
        <v>440</v>
      </c>
      <c r="O35" s="108" cm="1">
        <f t="array" aca="1" ref="O35" ca="1">INDIRECT("R[36]C["&amp;$A$35&amp;"]",FALSE)</f>
        <v>830</v>
      </c>
      <c r="P35" s="108"/>
      <c r="Q35" s="108"/>
      <c r="R35" s="113">
        <f ca="1">SUM(C35:Q35)</f>
        <v>2335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0</v>
      </c>
      <c r="I39" s="115">
        <f t="shared" ca="1" si="1"/>
        <v>0</v>
      </c>
      <c r="J39" s="115">
        <f t="shared" ca="1" si="1"/>
        <v>0</v>
      </c>
      <c r="K39" s="115">
        <f t="shared" ca="1" si="1"/>
        <v>91.333333333333329</v>
      </c>
      <c r="L39" s="115">
        <f t="shared" ca="1" si="1"/>
        <v>27.777777777777779</v>
      </c>
      <c r="M39" s="115">
        <f t="shared" ca="1" si="1"/>
        <v>177.77777777777777</v>
      </c>
      <c r="N39" s="115">
        <f t="shared" ca="1" si="1"/>
        <v>138.88888888888889</v>
      </c>
      <c r="O39" s="115">
        <f t="shared" ca="1" si="1"/>
        <v>250</v>
      </c>
      <c r="P39" s="115">
        <f t="shared" si="1"/>
        <v>0</v>
      </c>
      <c r="Q39" s="115">
        <f t="shared" si="1"/>
        <v>0</v>
      </c>
      <c r="R39" s="115">
        <f ca="1">SUM(R10:R12)</f>
        <v>685.77777777777783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91.333333333333329</v>
      </c>
      <c r="M48" s="124" cm="1">
        <f t="array" aca="1" ref="M48" ca="1">INDIRECT("R[40]C["&amp;$A$46&amp;"]",FALSE)</f>
        <v>27.777777777777779</v>
      </c>
      <c r="N48" s="124" cm="1">
        <f t="array" aca="1" ref="N48" ca="1">INDIRECT("R[40]C["&amp;$A$46&amp;"]",FALSE)</f>
        <v>177.77777777777777</v>
      </c>
      <c r="O48" s="124" cm="1">
        <f t="array" aca="1" ref="O48" ca="1">INDIRECT("R[40]C["&amp;$A$46&amp;"]",FALSE)</f>
        <v>138.88888888888889</v>
      </c>
      <c r="P48" s="124" cm="1">
        <f t="array" aca="1" ref="P48" ca="1">INDIRECT("R[40]C["&amp;$A$46&amp;"]",FALSE)</f>
        <v>250</v>
      </c>
      <c r="Q48" s="125"/>
      <c r="R48" s="128">
        <f ca="1">SUM(D48:P48)</f>
        <v>685.77777777777783</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274</v>
      </c>
      <c r="M52" s="124" cm="1">
        <f t="array" aca="1" ref="M52" ca="1">INDIRECT("R[40]C["&amp;$A$50&amp;"]",FALSE)</f>
        <v>83.333333333333343</v>
      </c>
      <c r="N52" s="124" cm="1">
        <f t="array" aca="1" ref="N52" ca="1">INDIRECT("R[40]C["&amp;$A$50&amp;"]",FALSE)</f>
        <v>533.33333333333326</v>
      </c>
      <c r="O52" s="124" cm="1">
        <f t="array" aca="1" ref="O52" ca="1">INDIRECT("R[40]C["&amp;$A$50&amp;"]",FALSE)</f>
        <v>416.66666666666663</v>
      </c>
      <c r="P52" s="124" cm="1">
        <f t="array" aca="1" ref="P52" ca="1">INDIRECT("R[40]C["&amp;$A$50&amp;"]",FALSE)</f>
        <v>750</v>
      </c>
      <c r="Q52" s="126"/>
      <c r="R52" s="128">
        <f ca="1">SUM(D52:P52)</f>
        <v>2057.333333333333</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91.333333333333329</v>
      </c>
      <c r="M56" s="124" cm="1">
        <f t="array" aca="1" ref="M56" ca="1">INDIRECT("R[40]C["&amp;$A$46&amp;"]",FALSE)</f>
        <v>27.777777777777779</v>
      </c>
      <c r="N56" s="124" cm="1">
        <f t="array" aca="1" ref="N56" ca="1">INDIRECT("R[40]C["&amp;$A$46&amp;"]",FALSE)</f>
        <v>177.77777777777777</v>
      </c>
      <c r="O56" s="124" cm="1">
        <f t="array" aca="1" ref="O56" ca="1">INDIRECT("R[40]C["&amp;$A$46&amp;"]",FALSE)</f>
        <v>138.88888888888889</v>
      </c>
      <c r="P56" s="124" cm="1">
        <f t="array" aca="1" ref="P56" ca="1">INDIRECT("R[40]C["&amp;$A$46&amp;"]",FALSE)</f>
        <v>250</v>
      </c>
      <c r="Q56" s="123"/>
      <c r="R56" s="128">
        <f ca="1">SUM(D56:P56)</f>
        <v>685.77777777777783</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91.333333333333329</v>
      </c>
      <c r="M60" s="124" cm="1">
        <f t="array" aca="1" ref="M60" ca="1">INDIRECT("R[40]C["&amp;$A$58&amp;"]",FALSE)</f>
        <v>27.777777777777779</v>
      </c>
      <c r="N60" s="124" cm="1">
        <f t="array" aca="1" ref="N60" ca="1">INDIRECT("R[40]C["&amp;$A$58&amp;"]",FALSE)</f>
        <v>177.77777777777777</v>
      </c>
      <c r="O60" s="124" cm="1">
        <f t="array" aca="1" ref="O60" ca="1">INDIRECT("R[40]C["&amp;$A$58&amp;"]",FALSE)</f>
        <v>138.88888888888889</v>
      </c>
      <c r="P60" s="124" cm="1">
        <f t="array" aca="1" ref="P60" ca="1">INDIRECT("R[40]C["&amp;$A$58&amp;"]",FALSE)</f>
        <v>250</v>
      </c>
      <c r="Q60" s="125"/>
      <c r="R60" s="128">
        <f ca="1">SUM(D60:P60)</f>
        <v>685.77777777777783</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ca="1">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ca="1">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91.333333333333329</v>
      </c>
      <c r="M65" s="124" cm="1">
        <f t="array" aca="1" ref="M65" ca="1">INDIRECT("R[40]C["&amp;$A$62&amp;"]",FALSE)</f>
        <v>27.777777777777779</v>
      </c>
      <c r="N65" s="124" cm="1">
        <f t="array" aca="1" ref="N65" ca="1">INDIRECT("R[40]C["&amp;$A$62&amp;"]",FALSE)</f>
        <v>177.77777777777777</v>
      </c>
      <c r="O65" s="124" cm="1">
        <f t="array" aca="1" ref="O65" ca="1">INDIRECT("R[40]C["&amp;$A$62&amp;"]",FALSE)</f>
        <v>138.88888888888889</v>
      </c>
      <c r="P65" s="124" cm="1">
        <f t="array" aca="1" ref="P65" ca="1">INDIRECT("R[40]C["&amp;$A$62&amp;"]",FALSE)</f>
        <v>250</v>
      </c>
      <c r="Q65" s="124"/>
      <c r="R65" s="128">
        <f ca="1">SUM(D65:Q65)</f>
        <v>685.77777777777783</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3</v>
      </c>
      <c r="M66" s="124" cm="1">
        <f t="array" aca="1" ref="M66" ca="1">INDIRECT("R[40]C["&amp;$A$62&amp;"]",FALSE)</f>
        <v>1</v>
      </c>
      <c r="N66" s="124" cm="1">
        <f t="array" aca="1" ref="N66" ca="1">INDIRECT("R[40]C["&amp;$A$62&amp;"]",FALSE)</f>
        <v>6</v>
      </c>
      <c r="O66" s="124" cm="1">
        <f t="array" aca="1" ref="O66" ca="1">INDIRECT("R[40]C["&amp;$A$62&amp;"]",FALSE)</f>
        <v>4</v>
      </c>
      <c r="P66" s="124" cm="1">
        <f t="array" aca="1" ref="P66" ca="1">INDIRECT("R[40]C["&amp;$A$62&amp;"]",FALSE)</f>
        <v>8</v>
      </c>
      <c r="Q66" s="124"/>
      <c r="R66" s="128">
        <f ca="1">SUM(D66:Q66)</f>
        <v>22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3</v>
      </c>
      <c r="M68" s="124" cm="1">
        <f t="array" aca="1" ref="M68" ca="1">INDIRECT("R[40]C["&amp;$A$68&amp;"]",FALSE)</f>
        <v>1</v>
      </c>
      <c r="N68" s="124" cm="1">
        <f t="array" aca="1" ref="N68" ca="1">INDIRECT("R[40]C["&amp;$A$68&amp;"]",FALSE)</f>
        <v>6</v>
      </c>
      <c r="O68" s="124" cm="1">
        <f t="array" aca="1" ref="O68" ca="1">INDIRECT("R[40]C["&amp;$A$68&amp;"]",FALSE)</f>
        <v>4</v>
      </c>
      <c r="P68" s="124" cm="1">
        <f t="array" aca="1" ref="P68" ca="1">INDIRECT("R[40]C["&amp;$A$68&amp;"]",FALSE)</f>
        <v>8</v>
      </c>
      <c r="Q68" s="124"/>
      <c r="R68" s="128">
        <f ca="1">SUM(D68:Q68)</f>
        <v>22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334.28</v>
      </c>
      <c r="M70" s="124" cm="1">
        <f t="array" aca="1" ref="M70" ca="1">INDIRECT("R[40]C["&amp;$A$70&amp;"]",FALSE)</f>
        <v>101.66666666666667</v>
      </c>
      <c r="N70" s="124" cm="1">
        <f t="array" aca="1" ref="N70" ca="1">INDIRECT("R[40]C["&amp;$A$70&amp;"]",FALSE)</f>
        <v>650.66666666666674</v>
      </c>
      <c r="O70" s="124" cm="1">
        <f t="array" aca="1" ref="O70" ca="1">INDIRECT("R[40]C["&amp;$A$70&amp;"]",FALSE)</f>
        <v>508.33333333333337</v>
      </c>
      <c r="P70" s="124" cm="1">
        <f t="array" aca="1" ref="P70" ca="1">INDIRECT("R[40]C["&amp;$A$70&amp;"]",FALSE)</f>
        <v>915.00000000000011</v>
      </c>
      <c r="Q70" s="124"/>
      <c r="R70" s="128">
        <f ca="1">SUM(D70:Q70)</f>
        <v>2509.9466666666667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320</v>
      </c>
      <c r="M71" s="124" cm="1">
        <f t="array" aca="1" ref="M71" ca="1">INDIRECT("R[40]C["&amp;$A$70&amp;"]",FALSE)</f>
        <v>105</v>
      </c>
      <c r="N71" s="124" cm="1">
        <f t="array" aca="1" ref="N71" ca="1">INDIRECT("R[40]C["&amp;$A$70&amp;"]",FALSE)</f>
        <v>640</v>
      </c>
      <c r="O71" s="124" cm="1">
        <f t="array" aca="1" ref="O71" ca="1">INDIRECT("R[40]C["&amp;$A$70&amp;"]",FALSE)</f>
        <v>440</v>
      </c>
      <c r="P71" s="124" cm="1">
        <f t="array" aca="1" ref="P71" ca="1">INDIRECT("R[40]C["&amp;$A$70&amp;"]",FALSE)</f>
        <v>830</v>
      </c>
      <c r="Q71" s="124"/>
      <c r="R71" s="128">
        <f ca="1">SUM(D71:Q71)</f>
        <v>2335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0</v>
      </c>
      <c r="J75" s="115">
        <f t="shared" ca="1" si="2"/>
        <v>0</v>
      </c>
      <c r="K75" s="115">
        <f t="shared" ca="1" si="2"/>
        <v>0</v>
      </c>
      <c r="L75" s="115">
        <f t="shared" ca="1" si="2"/>
        <v>91.333333333333329</v>
      </c>
      <c r="M75" s="115">
        <f t="shared" ca="1" si="2"/>
        <v>27.777777777777779</v>
      </c>
      <c r="N75" s="115">
        <f t="shared" ca="1" si="2"/>
        <v>177.77777777777777</v>
      </c>
      <c r="O75" s="115">
        <f t="shared" ca="1" si="2"/>
        <v>138.88888888888889</v>
      </c>
      <c r="P75" s="115">
        <f t="shared" ca="1" si="2"/>
        <v>250</v>
      </c>
      <c r="Q75" s="115">
        <f t="shared" si="2"/>
        <v>0</v>
      </c>
      <c r="R75" s="115">
        <f ca="1">SUM(R46:R48)</f>
        <v>685.77777777777783</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1644</v>
      </c>
      <c r="N82" s="108">
        <f>SUM($E83:N83)</f>
        <v>2144</v>
      </c>
      <c r="O82" s="108">
        <f>SUM($E83:O83)</f>
        <v>5344</v>
      </c>
      <c r="P82" s="108">
        <f>SUM($E83:P83)</f>
        <v>7844</v>
      </c>
      <c r="Q82" s="108">
        <f>SUM($E83:Q83)</f>
        <v>12344</v>
      </c>
      <c r="R82" s="113">
        <f>Q82</f>
        <v>12344</v>
      </c>
    </row>
    <row r="83" spans="1:26" ht="15.5" x14ac:dyDescent="0.35">
      <c r="B83" s="105" t="s">
        <v>363</v>
      </c>
      <c r="C83" s="105"/>
      <c r="D83" s="108">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0</v>
      </c>
      <c r="K83" s="108">
        <f t="shared" si="3"/>
        <v>0</v>
      </c>
      <c r="L83" s="109">
        <f t="shared" si="3"/>
        <v>0</v>
      </c>
      <c r="M83" s="108">
        <f t="shared" si="3"/>
        <v>1644</v>
      </c>
      <c r="N83" s="108">
        <f t="shared" si="3"/>
        <v>500</v>
      </c>
      <c r="O83" s="108">
        <f>SUMPRODUCT(O86:O88,$B$86:$B$88)</f>
        <v>3200</v>
      </c>
      <c r="P83" s="108">
        <f t="shared" si="3"/>
        <v>2500</v>
      </c>
      <c r="Q83" s="108">
        <f t="shared" si="3"/>
        <v>4500</v>
      </c>
      <c r="R83" s="113">
        <f>SUM(D83:Q83)</f>
        <v>12344</v>
      </c>
    </row>
    <row r="84" spans="1:26" ht="15.5" x14ac:dyDescent="0.35">
      <c r="B84" s="105" t="s">
        <v>236</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2</v>
      </c>
      <c r="N84" s="108">
        <f>Aggregated!CS7*$R$4</f>
        <v>1</v>
      </c>
      <c r="O84" s="108">
        <f>Aggregated!CT7*$R$4</f>
        <v>3</v>
      </c>
      <c r="P84" s="108">
        <f>Aggregated!CU7*$R$4</f>
        <v>2</v>
      </c>
      <c r="Q84" s="108">
        <f>Aggregated!CV7*$R$4</f>
        <v>4</v>
      </c>
      <c r="R84" s="113">
        <f>SUM(D84:Q84)</f>
        <v>12</v>
      </c>
    </row>
    <row r="85" spans="1:26" ht="15.5" x14ac:dyDescent="0.35">
      <c r="B85" s="135" t="s">
        <v>275</v>
      </c>
      <c r="C85" s="152">
        <v>0</v>
      </c>
      <c r="D85" s="131">
        <v>0</v>
      </c>
      <c r="E85" s="154">
        <f>SUM(E86:E88)</f>
        <v>0</v>
      </c>
      <c r="F85" s="154">
        <f t="shared" ref="F85:Q85" si="4">SUM(F86:F88)</f>
        <v>0</v>
      </c>
      <c r="G85" s="154">
        <f t="shared" si="4"/>
        <v>0</v>
      </c>
      <c r="H85" s="154">
        <f t="shared" si="4"/>
        <v>0</v>
      </c>
      <c r="I85" s="154">
        <f t="shared" si="4"/>
        <v>0</v>
      </c>
      <c r="J85" s="154">
        <f t="shared" si="4"/>
        <v>0</v>
      </c>
      <c r="K85" s="154">
        <f t="shared" si="4"/>
        <v>0</v>
      </c>
      <c r="L85" s="154">
        <f t="shared" si="4"/>
        <v>0</v>
      </c>
      <c r="M85" s="154">
        <f t="shared" si="4"/>
        <v>91.333333333333329</v>
      </c>
      <c r="N85" s="154">
        <f t="shared" si="4"/>
        <v>27.777777777777779</v>
      </c>
      <c r="O85" s="154">
        <f t="shared" si="4"/>
        <v>177.77777777777777</v>
      </c>
      <c r="P85" s="154">
        <f t="shared" si="4"/>
        <v>138.88888888888889</v>
      </c>
      <c r="Q85" s="154">
        <f t="shared" si="4"/>
        <v>250</v>
      </c>
      <c r="R85" s="130">
        <f>SUM(E85:Q85)</f>
        <v>685.77777777777783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91.333333333333329</v>
      </c>
      <c r="N88" s="108">
        <f>Aggregated!CS11*$R$4</f>
        <v>27.777777777777779</v>
      </c>
      <c r="O88" s="108">
        <f>Aggregated!CT11*$R$4</f>
        <v>177.77777777777777</v>
      </c>
      <c r="P88" s="108">
        <f>Aggregated!CU11*$R$4</f>
        <v>138.88888888888889</v>
      </c>
      <c r="Q88" s="108">
        <f>Aggregated!CV11*$R$4</f>
        <v>250</v>
      </c>
      <c r="R88" s="113">
        <f>SUM(D88:Q88)</f>
        <v>685.77777777777783</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8">
        <f t="shared" ref="D91:Q92" si="6">3*D87</f>
        <v>0</v>
      </c>
      <c r="E91" s="108">
        <f t="shared" si="6"/>
        <v>0</v>
      </c>
      <c r="F91" s="108">
        <f t="shared" si="6"/>
        <v>0</v>
      </c>
      <c r="G91" s="108">
        <f t="shared" si="6"/>
        <v>0</v>
      </c>
      <c r="H91" s="108">
        <f t="shared" si="6"/>
        <v>0</v>
      </c>
      <c r="I91" s="108">
        <f t="shared" si="6"/>
        <v>0</v>
      </c>
      <c r="J91" s="108">
        <f t="shared" si="6"/>
        <v>0</v>
      </c>
      <c r="K91" s="108">
        <f t="shared" si="6"/>
        <v>0</v>
      </c>
      <c r="L91" s="109">
        <f t="shared" si="6"/>
        <v>0</v>
      </c>
      <c r="M91" s="108">
        <f t="shared" si="6"/>
        <v>0</v>
      </c>
      <c r="N91" s="108">
        <f t="shared" si="6"/>
        <v>0</v>
      </c>
      <c r="O91" s="108">
        <f t="shared" si="6"/>
        <v>0</v>
      </c>
      <c r="P91" s="108">
        <f t="shared" si="6"/>
        <v>0</v>
      </c>
      <c r="Q91" s="108">
        <f t="shared" si="6"/>
        <v>0</v>
      </c>
      <c r="R91" s="113">
        <f>SUM(D91:Q91)</f>
        <v>0</v>
      </c>
    </row>
    <row r="92" spans="1:26" ht="15.5" x14ac:dyDescent="0.35">
      <c r="B92" s="111">
        <f>B88</f>
        <v>18</v>
      </c>
      <c r="C92" s="111"/>
      <c r="D92" s="108">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274</v>
      </c>
      <c r="N92" s="108">
        <f t="shared" si="6"/>
        <v>83.333333333333343</v>
      </c>
      <c r="O92" s="108">
        <f t="shared" si="6"/>
        <v>533.33333333333326</v>
      </c>
      <c r="P92" s="108">
        <f t="shared" si="6"/>
        <v>416.66666666666663</v>
      </c>
      <c r="Q92" s="108">
        <f t="shared" si="6"/>
        <v>750</v>
      </c>
      <c r="R92" s="113">
        <f>SUM(D92:Q92)</f>
        <v>2057.333333333333</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8">
        <f t="shared" ref="D95:Q96" si="8">D87</f>
        <v>0</v>
      </c>
      <c r="E95" s="108">
        <f t="shared" si="8"/>
        <v>0</v>
      </c>
      <c r="F95" s="108">
        <f t="shared" si="8"/>
        <v>0</v>
      </c>
      <c r="G95" s="108">
        <f t="shared" si="8"/>
        <v>0</v>
      </c>
      <c r="H95" s="108">
        <f t="shared" si="8"/>
        <v>0</v>
      </c>
      <c r="I95" s="108">
        <f t="shared" si="8"/>
        <v>0</v>
      </c>
      <c r="J95" s="108">
        <f t="shared" si="8"/>
        <v>0</v>
      </c>
      <c r="K95" s="108">
        <f t="shared" si="8"/>
        <v>0</v>
      </c>
      <c r="L95" s="109">
        <f t="shared" si="8"/>
        <v>0</v>
      </c>
      <c r="M95" s="108">
        <f t="shared" si="8"/>
        <v>0</v>
      </c>
      <c r="N95" s="108">
        <f t="shared" si="8"/>
        <v>0</v>
      </c>
      <c r="O95" s="108">
        <f t="shared" si="8"/>
        <v>0</v>
      </c>
      <c r="P95" s="108">
        <f t="shared" si="8"/>
        <v>0</v>
      </c>
      <c r="Q95" s="108">
        <f t="shared" si="8"/>
        <v>0</v>
      </c>
      <c r="R95" s="113">
        <f>SUM(D95:Q95)</f>
        <v>0</v>
      </c>
    </row>
    <row r="96" spans="1:26" ht="15.5" x14ac:dyDescent="0.35">
      <c r="B96" s="111">
        <f>B88</f>
        <v>18</v>
      </c>
      <c r="C96" s="111"/>
      <c r="D96" s="108">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91.333333333333329</v>
      </c>
      <c r="N96" s="108">
        <f t="shared" si="8"/>
        <v>27.777777777777779</v>
      </c>
      <c r="O96" s="108">
        <f t="shared" si="8"/>
        <v>177.77777777777777</v>
      </c>
      <c r="P96" s="108">
        <f t="shared" si="8"/>
        <v>138.88888888888889</v>
      </c>
      <c r="Q96" s="108">
        <f t="shared" si="8"/>
        <v>250</v>
      </c>
      <c r="R96" s="113">
        <f>SUM(D96:Q96)</f>
        <v>685.77777777777783</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8">
        <f t="shared" ref="D99:Q100" si="10">D87</f>
        <v>0</v>
      </c>
      <c r="E99" s="108">
        <f t="shared" si="10"/>
        <v>0</v>
      </c>
      <c r="F99" s="108">
        <f t="shared" si="10"/>
        <v>0</v>
      </c>
      <c r="G99" s="108">
        <f t="shared" si="10"/>
        <v>0</v>
      </c>
      <c r="H99" s="108">
        <f t="shared" si="10"/>
        <v>0</v>
      </c>
      <c r="I99" s="108">
        <f t="shared" si="10"/>
        <v>0</v>
      </c>
      <c r="J99" s="108">
        <f t="shared" si="10"/>
        <v>0</v>
      </c>
      <c r="K99" s="108">
        <f t="shared" si="10"/>
        <v>0</v>
      </c>
      <c r="L99" s="109">
        <f t="shared" si="10"/>
        <v>0</v>
      </c>
      <c r="M99" s="108">
        <f t="shared" si="10"/>
        <v>0</v>
      </c>
      <c r="N99" s="108">
        <f t="shared" si="10"/>
        <v>0</v>
      </c>
      <c r="O99" s="108">
        <f t="shared" si="10"/>
        <v>0</v>
      </c>
      <c r="P99" s="108">
        <f t="shared" si="10"/>
        <v>0</v>
      </c>
      <c r="Q99" s="108">
        <f t="shared" si="10"/>
        <v>0</v>
      </c>
      <c r="R99" s="113">
        <f>SUM(D99:Q99)</f>
        <v>0</v>
      </c>
    </row>
    <row r="100" spans="2:19" ht="15.5" x14ac:dyDescent="0.35">
      <c r="B100" s="111">
        <f>B88</f>
        <v>18</v>
      </c>
      <c r="C100" s="111"/>
      <c r="D100" s="108">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91.333333333333329</v>
      </c>
      <c r="N100" s="108">
        <f t="shared" si="10"/>
        <v>27.777777777777779</v>
      </c>
      <c r="O100" s="108">
        <f t="shared" si="10"/>
        <v>177.77777777777777</v>
      </c>
      <c r="P100" s="108">
        <f t="shared" si="10"/>
        <v>138.88888888888889</v>
      </c>
      <c r="Q100" s="108">
        <f t="shared" si="10"/>
        <v>250</v>
      </c>
      <c r="R100" s="113">
        <f>SUM(D100:Q100)</f>
        <v>685.77777777777783</v>
      </c>
    </row>
    <row r="101" spans="2:19" ht="15.5" x14ac:dyDescent="0.35">
      <c r="B101" s="135" t="s">
        <v>116</v>
      </c>
      <c r="C101" s="139"/>
      <c r="D101" s="151">
        <f t="shared" ref="D101:Q101" si="11">SUM(D103:D103)</f>
        <v>0</v>
      </c>
      <c r="E101" s="151">
        <f t="shared" si="11"/>
        <v>0</v>
      </c>
      <c r="F101" s="151">
        <f t="shared" si="11"/>
        <v>0</v>
      </c>
      <c r="G101" s="151">
        <f t="shared" si="11"/>
        <v>0</v>
      </c>
      <c r="H101" s="151">
        <f t="shared" si="11"/>
        <v>0</v>
      </c>
      <c r="I101" s="151">
        <f t="shared" si="11"/>
        <v>0</v>
      </c>
      <c r="J101" s="151">
        <f t="shared" si="11"/>
        <v>0</v>
      </c>
      <c r="K101" s="151">
        <f t="shared" si="11"/>
        <v>0</v>
      </c>
      <c r="L101" s="151">
        <f t="shared" si="11"/>
        <v>0</v>
      </c>
      <c r="M101" s="151">
        <f t="shared" si="11"/>
        <v>0</v>
      </c>
      <c r="N101" s="151">
        <f t="shared" si="11"/>
        <v>0</v>
      </c>
      <c r="O101" s="151">
        <f t="shared" si="11"/>
        <v>0</v>
      </c>
      <c r="P101" s="151">
        <f t="shared" si="11"/>
        <v>0</v>
      </c>
      <c r="Q101" s="151">
        <f t="shared" si="11"/>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91.333333333333329</v>
      </c>
      <c r="N105" s="108">
        <f>Aggregated!CS16*$R$4</f>
        <v>27.777777777777779</v>
      </c>
      <c r="O105" s="108">
        <f>Aggregated!CT16*$R$4</f>
        <v>177.77777777777777</v>
      </c>
      <c r="P105" s="108">
        <f>Aggregated!CU16*$R$4</f>
        <v>138.88888888888889</v>
      </c>
      <c r="Q105" s="108">
        <f>Aggregated!CV16*$R$4</f>
        <v>250</v>
      </c>
      <c r="R105" s="113">
        <f t="shared" ref="R105:R111" si="12">SUM(D105:Q105)</f>
        <v>685.77777777777783</v>
      </c>
    </row>
    <row r="106" spans="2:19" ht="15.5" x14ac:dyDescent="0.35">
      <c r="B106" s="106" t="s">
        <v>268</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3</v>
      </c>
      <c r="N106" s="108">
        <f>Aggregated!CS18*$R$4</f>
        <v>1</v>
      </c>
      <c r="O106" s="108">
        <f>Aggregated!CT18*$R$4</f>
        <v>6</v>
      </c>
      <c r="P106" s="108">
        <f>Aggregated!CU18*$R$4</f>
        <v>4</v>
      </c>
      <c r="Q106" s="108">
        <f>Aggregated!CV18*$R$4</f>
        <v>8</v>
      </c>
      <c r="R106" s="113">
        <f t="shared" si="12"/>
        <v>22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3</v>
      </c>
      <c r="N108" s="108">
        <f>Aggregated!CS19*$R$4</f>
        <v>1</v>
      </c>
      <c r="O108" s="108">
        <f>Aggregated!CT19*$R$4</f>
        <v>6</v>
      </c>
      <c r="P108" s="108">
        <f>Aggregated!CU19*$R$4</f>
        <v>4</v>
      </c>
      <c r="Q108" s="108">
        <f>Aggregated!CV19*$R$4</f>
        <v>8</v>
      </c>
      <c r="R108" s="113">
        <f t="shared" si="12"/>
        <v>22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334.28</v>
      </c>
      <c r="N110" s="108">
        <f>Aggregated!CS21*$R$4</f>
        <v>101.66666666666667</v>
      </c>
      <c r="O110" s="108">
        <f>Aggregated!CT21*$R$4</f>
        <v>650.66666666666674</v>
      </c>
      <c r="P110" s="108">
        <f>Aggregated!CU21*$R$4</f>
        <v>508.33333333333337</v>
      </c>
      <c r="Q110" s="108">
        <f>Aggregated!CV21*$R$4</f>
        <v>915.00000000000011</v>
      </c>
      <c r="R110" s="113">
        <f t="shared" si="12"/>
        <v>2509.9466666666667</v>
      </c>
    </row>
    <row r="111" spans="2:19" ht="15.5" x14ac:dyDescent="0.35">
      <c r="B111" s="106" t="s">
        <v>274</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320</v>
      </c>
      <c r="N111" s="108">
        <f>Aggregated!CS24*$R$4</f>
        <v>105</v>
      </c>
      <c r="O111" s="108">
        <f>Aggregated!CT24*$R$4</f>
        <v>640</v>
      </c>
      <c r="P111" s="108">
        <f>Aggregated!CU24*$R$4</f>
        <v>440</v>
      </c>
      <c r="Q111" s="108">
        <f>Aggregated!CV24*$R$4</f>
        <v>830</v>
      </c>
      <c r="R111" s="113">
        <f t="shared" si="12"/>
        <v>2335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992.77920962199312</v>
      </c>
      <c r="N113" s="108">
        <f>N105*Assumptions!$K$61/24*2</f>
        <v>301.94014891179842</v>
      </c>
      <c r="O113" s="108">
        <f>O105*Assumptions!$K$61/24*2</f>
        <v>1932.4169530355096</v>
      </c>
      <c r="P113" s="108">
        <f>P105*Assumptions!$K$61/24*2</f>
        <v>1509.7007445589923</v>
      </c>
      <c r="Q113" s="108">
        <f>Q105*Assumptions!$K$61/24*2</f>
        <v>2717.4613402061855</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440.12361588392514</v>
      </c>
      <c r="N114" s="108">
        <f>N105*Assumptions!$K$64/24</f>
        <v>133.8575474099529</v>
      </c>
      <c r="O114" s="108">
        <f>O105*Assumptions!$K$64/24</f>
        <v>856.68830342369858</v>
      </c>
      <c r="P114" s="108">
        <f>P105*Assumptions!$K$64/24</f>
        <v>669.28773704976459</v>
      </c>
      <c r="Q114" s="108">
        <f>Q105*Assumptions!$K$64/24</f>
        <v>1204.7179266895762</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30</v>
      </c>
      <c r="N116" s="108">
        <f>N108*Assumptions!$K$27/24</f>
        <v>10</v>
      </c>
      <c r="O116" s="108">
        <f>O108*Assumptions!$K$27/24</f>
        <v>60</v>
      </c>
      <c r="P116" s="108">
        <f>P108*Assumptions!$K$27/24</f>
        <v>40</v>
      </c>
      <c r="Q116" s="108">
        <f>Q108*Assumptions!$K$27/24</f>
        <v>80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287.57</v>
      </c>
      <c r="N117" s="108">
        <f>(ROUNDUP(N83/400,1)+N84)*Assumptions!$K$45+SUM(N110:N111)/Assumptions!$K$44</f>
        <v>97.666666666666671</v>
      </c>
      <c r="O117" s="108">
        <f>(ROUNDUP(O83/400,1)+O84)*Assumptions!$K$45+SUM(O110:O111)/Assumptions!$K$44</f>
        <v>542.66666666666674</v>
      </c>
      <c r="P117" s="108">
        <f>(ROUNDUP(P83/400,1)+P84)*Assumptions!$K$45+SUM(P110:P111)/Assumptions!$K$44</f>
        <v>403.08333333333337</v>
      </c>
      <c r="Q117" s="108">
        <f>(ROUNDUP(Q83/400,1)+Q84)*Assumptions!$K$45+SUM(Q110:Q111)/Assumptions!$K$44</f>
        <v>742.25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4</v>
      </c>
      <c r="N120" s="108">
        <f>ROUNDUP(N113/(Assumptions!$K$65*365),0)</f>
        <v>2</v>
      </c>
      <c r="O120" s="108">
        <f>ROUNDUP(O113/(Assumptions!$K$65*365),0)</f>
        <v>8</v>
      </c>
      <c r="P120" s="108">
        <f>ROUNDUP(P113/(Assumptions!$K$65*365),0)</f>
        <v>6</v>
      </c>
      <c r="Q120" s="108">
        <f>ROUNDUP(Q113/(Assumptions!$K$65*365),0)</f>
        <v>10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2</v>
      </c>
      <c r="N121" s="108">
        <f>ROUNDUP(N114/(Assumptions!$K$65*365),0)</f>
        <v>1</v>
      </c>
      <c r="O121" s="108">
        <f>ROUNDUP(O114/(Assumptions!$K$65*365),0)</f>
        <v>4</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6</v>
      </c>
      <c r="N123" s="108">
        <f>IF(N82=0,0,N84*Assumptions!$K$35+M84*Assumptions!$K$36+SUM($C84:L84)*Assumptions!$K$37+Assumptions!$K$38)</f>
        <v>8</v>
      </c>
      <c r="O123" s="108">
        <f>IF(O82=0,0,O84*Assumptions!$K$35+N84*Assumptions!$K$36+SUM($C84:M84)*Assumptions!$K$37+Assumptions!$K$38)</f>
        <v>12</v>
      </c>
      <c r="P123" s="108">
        <f>IF(P82=0,0,P84*Assumptions!$K$35+O84*Assumptions!$K$36+SUM($C84:N84)*Assumptions!$K$37+Assumptions!$K$38)</f>
        <v>15</v>
      </c>
      <c r="Q123" s="108">
        <f>IF(Q82=0,0,Q84*Assumptions!$K$35+P84*Assumptions!$K$36+SUM($C84:O84)*Assumptions!$K$37+Assumptions!$K$38)</f>
        <v>20</v>
      </c>
      <c r="R123" s="113">
        <f>Q123</f>
        <v>20</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1</v>
      </c>
      <c r="N124" s="108">
        <f>ROUNDUP((SUM($E86:N88)+M124)/Assumptions!$K$41,0)</f>
        <v>1</v>
      </c>
      <c r="O124" s="108">
        <f>ROUNDUP((SUM($E86:O88)+N124)/Assumptions!$K$41,0)</f>
        <v>2</v>
      </c>
      <c r="P124" s="108">
        <f>ROUNDUP((SUM($E86:P88)+O124)/Assumptions!$K$41,0)</f>
        <v>3</v>
      </c>
      <c r="Q124" s="108">
        <f>ROUNDUP((SUM($E86:Q88)+P124)/Assumptions!$K$41,0)</f>
        <v>4</v>
      </c>
      <c r="R124" s="113">
        <f>Q124</f>
        <v>4</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2</v>
      </c>
      <c r="N125" s="108">
        <f>ROUNDUP(N117/(Assumptions!$C$36*365),0)</f>
        <v>1</v>
      </c>
      <c r="O125" s="108">
        <f>ROUNDUP(O117/(Assumptions!$C$36*365),0)</f>
        <v>3</v>
      </c>
      <c r="P125" s="108">
        <f>ROUNDUP(P117/(Assumptions!$C$36*365),0)</f>
        <v>2</v>
      </c>
      <c r="Q125" s="108">
        <f>ROUNDUP(Q117/(Assumptions!$C$36*365),0)</f>
        <v>4</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13">C6</f>
        <v>2021</v>
      </c>
      <c r="D128" s="143">
        <f t="shared" si="13"/>
        <v>2022</v>
      </c>
      <c r="E128" s="143">
        <f t="shared" si="13"/>
        <v>2023</v>
      </c>
      <c r="F128" s="143">
        <f t="shared" si="13"/>
        <v>2024</v>
      </c>
      <c r="G128" s="143">
        <f t="shared" si="13"/>
        <v>2025</v>
      </c>
      <c r="H128" s="143">
        <f t="shared" si="13"/>
        <v>2026</v>
      </c>
      <c r="I128" s="143">
        <f t="shared" si="13"/>
        <v>2027</v>
      </c>
      <c r="J128" s="143">
        <f t="shared" si="13"/>
        <v>2028</v>
      </c>
      <c r="K128" s="143">
        <f t="shared" si="13"/>
        <v>2029</v>
      </c>
      <c r="L128" s="143">
        <f t="shared" si="13"/>
        <v>2030</v>
      </c>
      <c r="M128" s="143">
        <f t="shared" si="13"/>
        <v>2031</v>
      </c>
      <c r="N128" s="143">
        <f t="shared" si="13"/>
        <v>2032</v>
      </c>
      <c r="O128" s="143">
        <f t="shared" si="13"/>
        <v>2033</v>
      </c>
      <c r="P128" s="143">
        <f t="shared" si="13"/>
        <v>2034</v>
      </c>
      <c r="Q128" s="143">
        <f t="shared" si="13"/>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18.121693121693124</v>
      </c>
      <c r="N129" s="22">
        <f>N105*Assumptions!$L$77</f>
        <v>5.5114638447971789</v>
      </c>
      <c r="O129" s="22">
        <f>O105*Assumptions!$L$77</f>
        <v>35.273368606701943</v>
      </c>
      <c r="P129" s="22">
        <f>P105*Assumptions!$L$77</f>
        <v>27.557319223985893</v>
      </c>
      <c r="Q129" s="22">
        <f>Q105*Assumptions!$L$77</f>
        <v>49.603174603174608</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182.66666666666666</v>
      </c>
      <c r="N130" s="145">
        <f>N105*Assumptions!$K$77</f>
        <v>55.555555555555557</v>
      </c>
      <c r="O130" s="145">
        <f>O105*Assumptions!$K$77</f>
        <v>355.55555555555554</v>
      </c>
      <c r="P130" s="145">
        <f>P105*Assumptions!$K$77</f>
        <v>277.77777777777777</v>
      </c>
      <c r="Q130" s="145">
        <f>Q105*Assumptions!$K$77</f>
        <v>500</v>
      </c>
    </row>
    <row r="132" spans="2:18" ht="15.5" x14ac:dyDescent="0.35">
      <c r="B132" t="s">
        <v>235</v>
      </c>
      <c r="D132" s="115">
        <f t="shared" ref="D132:R132" si="14">SUM(D86:D88)</f>
        <v>0</v>
      </c>
      <c r="E132" s="115">
        <f t="shared" si="14"/>
        <v>0</v>
      </c>
      <c r="F132" s="115">
        <f t="shared" si="14"/>
        <v>0</v>
      </c>
      <c r="G132" s="115">
        <f t="shared" si="14"/>
        <v>0</v>
      </c>
      <c r="H132" s="115">
        <f t="shared" si="14"/>
        <v>0</v>
      </c>
      <c r="I132" s="115">
        <f t="shared" si="14"/>
        <v>0</v>
      </c>
      <c r="J132" s="115">
        <f t="shared" si="14"/>
        <v>0</v>
      </c>
      <c r="K132" s="115">
        <f t="shared" si="14"/>
        <v>0</v>
      </c>
      <c r="L132" s="115">
        <f t="shared" si="14"/>
        <v>0</v>
      </c>
      <c r="M132" s="115">
        <f t="shared" si="14"/>
        <v>91.333333333333329</v>
      </c>
      <c r="N132" s="115">
        <f t="shared" si="14"/>
        <v>27.777777777777779</v>
      </c>
      <c r="O132" s="115">
        <f t="shared" si="14"/>
        <v>177.77777777777777</v>
      </c>
      <c r="P132" s="115">
        <f t="shared" si="14"/>
        <v>138.88888888888889</v>
      </c>
      <c r="Q132" s="115">
        <f t="shared" si="14"/>
        <v>250</v>
      </c>
      <c r="R132" s="115">
        <f t="shared" si="14"/>
        <v>685.77777777777783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34"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299</v>
      </c>
      <c r="C2" s="30"/>
      <c r="D2" s="30"/>
      <c r="E2" s="30"/>
      <c r="F2" s="30"/>
      <c r="G2" s="30"/>
      <c r="Q2" s="4" t="s">
        <v>266</v>
      </c>
      <c r="R2" s="23">
        <v>1</v>
      </c>
    </row>
    <row r="3" spans="1:20" x14ac:dyDescent="0.35">
      <c r="C3" t="s">
        <v>373</v>
      </c>
      <c r="Q3" s="4" t="s">
        <v>255</v>
      </c>
      <c r="R3" s="23">
        <v>1</v>
      </c>
      <c r="T3" s="138" t="s">
        <v>133</v>
      </c>
    </row>
    <row r="4" spans="1:20" x14ac:dyDescent="0.35">
      <c r="Q4" s="20" t="s">
        <v>256</v>
      </c>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300.62599050437262</v>
      </c>
      <c r="M12" s="108" cm="1">
        <f t="array" aca="1" ref="M12" ca="1">INDIRECT("R[36]C["&amp;$A$12&amp;"]",FALSE)</f>
        <v>198.16666666666666</v>
      </c>
      <c r="N12" s="108" cm="1">
        <f t="array" aca="1" ref="N12" ca="1">INDIRECT("R[36]C["&amp;$A$12&amp;"]",FALSE)</f>
        <v>135.63842336953189</v>
      </c>
      <c r="O12" s="108" cm="1">
        <f t="array" aca="1" ref="O12" ca="1">INDIRECT("R[36]C["&amp;$A$12&amp;"]",FALSE)</f>
        <v>51.333333333333336</v>
      </c>
      <c r="P12" s="110"/>
      <c r="Q12" s="110"/>
      <c r="R12" s="113">
        <f ca="1">SUM(C12:P12)</f>
        <v>852.54985159401008</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901.87797151311793</v>
      </c>
      <c r="M16" s="108" cm="1">
        <f t="array" aca="1" ref="M16" ca="1">INDIRECT("R[36]C["&amp;$A$16&amp;"]",FALSE)</f>
        <v>594.5</v>
      </c>
      <c r="N16" s="108" cm="1">
        <f t="array" aca="1" ref="N16" ca="1">INDIRECT("R[36]C["&amp;$A$16&amp;"]",FALSE)</f>
        <v>406.91527010859568</v>
      </c>
      <c r="O16" s="108" cm="1">
        <f t="array" aca="1" ref="O16" ca="1">INDIRECT("R[36]C["&amp;$A$16&amp;"]",FALSE)</f>
        <v>154</v>
      </c>
      <c r="P16" s="106"/>
      <c r="Q16" s="106"/>
      <c r="R16" s="113">
        <f ca="1">SUM(C16:P16)</f>
        <v>2557.6495547820305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300.62599050437262</v>
      </c>
      <c r="M20" s="108" cm="1">
        <f t="array" aca="1" ref="M20" ca="1">INDIRECT("R[36]C["&amp;$A$20&amp;"]",FALSE)</f>
        <v>198.16666666666666</v>
      </c>
      <c r="N20" s="108" cm="1">
        <f t="array" aca="1" ref="N20" ca="1">INDIRECT("R[36]C["&amp;$A$20&amp;"]",FALSE)</f>
        <v>135.63842336953189</v>
      </c>
      <c r="O20" s="108" cm="1">
        <f t="array" aca="1" ref="O20" ca="1">INDIRECT("R[36]C["&amp;$A$20&amp;"]",FALSE)</f>
        <v>51.333333333333336</v>
      </c>
      <c r="P20" s="106"/>
      <c r="Q20" s="106"/>
      <c r="R20" s="113">
        <f ca="1">SUM(C20:P20)</f>
        <v>852.54985159401008</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300.62599050437262</v>
      </c>
      <c r="M24" s="108" cm="1">
        <f t="array" aca="1" ref="M24" ca="1">INDIRECT("R[36]C["&amp;$A$20&amp;"]",FALSE)</f>
        <v>198.16666666666666</v>
      </c>
      <c r="N24" s="108" cm="1">
        <f t="array" aca="1" ref="N24" ca="1">INDIRECT("R[36]C["&amp;$A$20&amp;"]",FALSE)</f>
        <v>135.63842336953189</v>
      </c>
      <c r="O24" s="108" cm="1">
        <f t="array" aca="1" ref="O24" ca="1">INDIRECT("R[36]C["&amp;$A$20&amp;"]",FALSE)</f>
        <v>51.333333333333336</v>
      </c>
      <c r="P24" s="111"/>
      <c r="Q24" s="111"/>
      <c r="R24" s="113">
        <f ca="1">SUM(C24:P24)</f>
        <v>852.54985159401008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193.57152668639415</v>
      </c>
      <c r="M26" s="108" cm="1">
        <f t="array" aca="1" ref="M26" ca="1">INDIRECT("R[36]C["&amp;$A$18&amp;"]",FALSE)</f>
        <v>138.71666666666664</v>
      </c>
      <c r="N26" s="108" cm="1">
        <f t="array" aca="1" ref="N26" ca="1">INDIRECT("R[36]C["&amp;$A$18&amp;"]",FALSE)</f>
        <v>101.62175670286521</v>
      </c>
      <c r="O26" s="108" cm="1">
        <f t="array" aca="1" ref="O26" ca="1">INDIRECT("R[36]C["&amp;$A$18&amp;"]",FALSE)</f>
        <v>35.93333333333333</v>
      </c>
      <c r="P26" s="108"/>
      <c r="Q26" s="108"/>
      <c r="R26" s="113">
        <f ca="1">SUM(C26:Q26)</f>
        <v>1905.8471181073892</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193.57152668639415</v>
      </c>
      <c r="M27" s="108" cm="1">
        <f t="array" aca="1" ref="M27" ca="1">INDIRECT("R[36]C["&amp;$A$19&amp;"]",FALSE)</f>
        <v>138.71666666666664</v>
      </c>
      <c r="N27" s="108" cm="1">
        <f t="array" aca="1" ref="N27" ca="1">INDIRECT("R[36]C["&amp;$A$19&amp;"]",FALSE)</f>
        <v>101.62175670286521</v>
      </c>
      <c r="O27" s="108" cm="1">
        <f t="array" aca="1" ref="O27" ca="1">INDIRECT("R[36]C["&amp;$A$19&amp;"]",FALSE)</f>
        <v>35.93333333333333</v>
      </c>
      <c r="P27" s="108"/>
      <c r="Q27" s="108"/>
      <c r="R27" s="113">
        <f ca="1">SUM(C27:Q27)</f>
        <v>1905.8471181073892</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38.768898575655896</v>
      </c>
      <c r="M28" s="108" cm="1">
        <f t="array" aca="1" ref="M28" ca="1">INDIRECT("R[36]C["&amp;$A$28&amp;"]",FALSE)</f>
        <v>29.724999999999998</v>
      </c>
      <c r="N28" s="108" cm="1">
        <f t="array" aca="1" ref="N28" ca="1">INDIRECT("R[36]C["&amp;$A$28&amp;"]",FALSE)</f>
        <v>17.008333333333333</v>
      </c>
      <c r="O28" s="108" cm="1">
        <f t="array" aca="1" ref="O28" ca="1">INDIRECT("R[36]C["&amp;$A$28&amp;"]",FALSE)</f>
        <v>7.7</v>
      </c>
      <c r="P28" s="108"/>
      <c r="Q28" s="108"/>
      <c r="R28" s="113">
        <f ca="1">SUM(C28:Q28)</f>
        <v>229.39508905184633</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68.285565242322562</v>
      </c>
      <c r="M29" s="108" cm="1">
        <f t="array" aca="1" ref="M29" ca="1">INDIRECT("R[36]C["&amp;$A$29&amp;"]",FALSE)</f>
        <v>29.724999999999998</v>
      </c>
      <c r="N29" s="108" cm="1">
        <f t="array" aca="1" ref="N29" ca="1">INDIRECT("R[36]C["&amp;$A$29&amp;"]",FALSE)</f>
        <v>17.008333333333333</v>
      </c>
      <c r="O29" s="108" cm="1">
        <f t="array" aca="1" ref="O29" ca="1">INDIRECT("R[36]C["&amp;$A$29&amp;"]",FALSE)</f>
        <v>7.7</v>
      </c>
      <c r="P29" s="108"/>
      <c r="Q29" s="108"/>
      <c r="R29" s="113">
        <f ca="1">SUM(C29:Q29)</f>
        <v>556.36479601155338</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10</v>
      </c>
      <c r="M30" s="108" cm="1">
        <f t="array" aca="1" ref="M30" ca="1">INDIRECT("R[36]C["&amp;$A$30&amp;"]",FALSE)</f>
        <v>6</v>
      </c>
      <c r="N30" s="108" cm="1">
        <f t="array" aca="1" ref="N30" ca="1">INDIRECT("R[36]C["&amp;$A$30&amp;"]",FALSE)</f>
        <v>5</v>
      </c>
      <c r="O30" s="108" cm="1">
        <f t="array" aca="1" ref="O30" ca="1">INDIRECT("R[36]C["&amp;$A$30&amp;"]",FALSE)</f>
        <v>2</v>
      </c>
      <c r="P30" s="108"/>
      <c r="Q30" s="108"/>
      <c r="R30" s="113">
        <f ca="1">SUM(C30:Q30)</f>
        <v>83</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10</v>
      </c>
      <c r="L32" s="108" cm="1">
        <f t="array" aca="1" ref="L32" ca="1">INDIRECT("R[36]C["&amp;$A$32&amp;"]",FALSE)</f>
        <v>6</v>
      </c>
      <c r="M32" s="108" cm="1">
        <f t="array" aca="1" ref="M32" ca="1">INDIRECT("R[36]C["&amp;$A$32&amp;"]",FALSE)</f>
        <v>5</v>
      </c>
      <c r="N32" s="108" cm="1">
        <f t="array" aca="1" ref="N32" ca="1">INDIRECT("R[36]C["&amp;$A$32&amp;"]",FALSE)</f>
        <v>2</v>
      </c>
      <c r="O32" s="108" cm="1">
        <f t="array" aca="1" ref="O32" ca="1">INDIRECT("R[36]C["&amp;$A$32&amp;"]",FALSE)</f>
        <v>0</v>
      </c>
      <c r="P32" s="108"/>
      <c r="Q32" s="108"/>
      <c r="R32" s="113">
        <f ca="1">SUM(C32:Q32)</f>
        <v>75</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866.85067514760226</v>
      </c>
      <c r="M34" s="108" cm="1">
        <f t="array" aca="1" ref="M34" ca="1">INDIRECT("R[36]C["&amp;$A$34&amp;"]",FALSE)</f>
        <v>435.17399999999998</v>
      </c>
      <c r="N34" s="108" cm="1">
        <f t="array" aca="1" ref="N34" ca="1">INDIRECT("R[36]C["&amp;$A$34&amp;"]",FALSE)</f>
        <v>297.86197771949202</v>
      </c>
      <c r="O34" s="108" cm="1">
        <f t="array" aca="1" ref="O34" ca="1">INDIRECT("R[36]C["&amp;$A$34&amp;"]",FALSE)</f>
        <v>112.72800000000001</v>
      </c>
      <c r="P34" s="108"/>
      <c r="Q34" s="108"/>
      <c r="R34" s="113">
        <f ca="1">SUM(C34:Q34)</f>
        <v>6927.3295637353003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1402.405</v>
      </c>
      <c r="M35" s="108" cm="1">
        <f t="array" aca="1" ref="M35" ca="1">INDIRECT("R[36]C["&amp;$A$35&amp;"]",FALSE)</f>
        <v>900</v>
      </c>
      <c r="N35" s="108" cm="1">
        <f t="array" aca="1" ref="N35" ca="1">INDIRECT("R[36]C["&amp;$A$35&amp;"]",FALSE)</f>
        <v>672.40499999999997</v>
      </c>
      <c r="O35" s="108" cm="1">
        <f t="array" aca="1" ref="O35" ca="1">INDIRECT("R[36]C["&amp;$A$35&amp;"]",FALSE)</f>
        <v>280</v>
      </c>
      <c r="P35" s="108"/>
      <c r="Q35" s="108"/>
      <c r="R35" s="113">
        <f ca="1">SUM(C35:Q35)</f>
        <v>8359.2331999999988</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1">SUM(E10:E12)</f>
        <v>289.84615384615381</v>
      </c>
      <c r="F39" s="115">
        <f t="shared" ca="1" si="1"/>
        <v>243.73333333333332</v>
      </c>
      <c r="G39" s="115">
        <f t="shared" ca="1" si="1"/>
        <v>193.64</v>
      </c>
      <c r="H39" s="115">
        <f t="shared" ca="1" si="1"/>
        <v>375.06625590388217</v>
      </c>
      <c r="I39" s="115">
        <f t="shared" ca="1" si="1"/>
        <v>152.93333333333334</v>
      </c>
      <c r="J39" s="115">
        <f t="shared" ca="1" si="1"/>
        <v>315.26251267836159</v>
      </c>
      <c r="K39" s="115">
        <f t="shared" ca="1" si="1"/>
        <v>166.78543772010551</v>
      </c>
      <c r="L39" s="115">
        <f t="shared" ca="1" si="1"/>
        <v>300.62599050437262</v>
      </c>
      <c r="M39" s="115">
        <f t="shared" ca="1" si="1"/>
        <v>198.16666666666666</v>
      </c>
      <c r="N39" s="115">
        <f t="shared" ca="1" si="1"/>
        <v>135.63842336953189</v>
      </c>
      <c r="O39" s="115">
        <f t="shared" ca="1" si="1"/>
        <v>51.333333333333336</v>
      </c>
      <c r="P39" s="115">
        <f t="shared" si="1"/>
        <v>0</v>
      </c>
      <c r="Q39" s="115">
        <f t="shared" si="1"/>
        <v>0</v>
      </c>
      <c r="R39" s="115">
        <f ca="1">SUM(R10:R12)</f>
        <v>2804.1165516565379</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300.62599050437262</v>
      </c>
      <c r="N48" s="124" cm="1">
        <f t="array" aca="1" ref="N48" ca="1">INDIRECT("R[40]C["&amp;$A$46&amp;"]",FALSE)</f>
        <v>198.16666666666666</v>
      </c>
      <c r="O48" s="124" cm="1">
        <f t="array" aca="1" ref="O48" ca="1">INDIRECT("R[40]C["&amp;$A$46&amp;"]",FALSE)</f>
        <v>135.63842336953189</v>
      </c>
      <c r="P48" s="124" cm="1">
        <f t="array" aca="1" ref="P48" ca="1">INDIRECT("R[40]C["&amp;$A$46&amp;"]",FALSE)</f>
        <v>51.333333333333336</v>
      </c>
      <c r="Q48" s="125"/>
      <c r="R48" s="128">
        <f ca="1">SUM(D48:P48)</f>
        <v>852.54985159401008</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901.87797151311793</v>
      </c>
      <c r="N52" s="124" cm="1">
        <f t="array" aca="1" ref="N52" ca="1">INDIRECT("R[40]C["&amp;$A$50&amp;"]",FALSE)</f>
        <v>594.5</v>
      </c>
      <c r="O52" s="124" cm="1">
        <f t="array" aca="1" ref="O52" ca="1">INDIRECT("R[40]C["&amp;$A$50&amp;"]",FALSE)</f>
        <v>406.91527010859568</v>
      </c>
      <c r="P52" s="124" cm="1">
        <f t="array" aca="1" ref="P52" ca="1">INDIRECT("R[40]C["&amp;$A$50&amp;"]",FALSE)</f>
        <v>154</v>
      </c>
      <c r="Q52" s="126"/>
      <c r="R52" s="128">
        <f ca="1">SUM(D52:P52)</f>
        <v>2557.6495547820305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300.62599050437262</v>
      </c>
      <c r="N56" s="124" cm="1">
        <f t="array" aca="1" ref="N56" ca="1">INDIRECT("R[40]C["&amp;$A$46&amp;"]",FALSE)</f>
        <v>198.16666666666666</v>
      </c>
      <c r="O56" s="124" cm="1">
        <f t="array" aca="1" ref="O56" ca="1">INDIRECT("R[40]C["&amp;$A$46&amp;"]",FALSE)</f>
        <v>135.63842336953189</v>
      </c>
      <c r="P56" s="124" cm="1">
        <f t="array" aca="1" ref="P56" ca="1">INDIRECT("R[40]C["&amp;$A$46&amp;"]",FALSE)</f>
        <v>51.333333333333336</v>
      </c>
      <c r="Q56" s="123"/>
      <c r="R56" s="128">
        <f ca="1">SUM(D56:P56)</f>
        <v>852.54985159401008</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300.62599050437262</v>
      </c>
      <c r="N60" s="124" cm="1">
        <f t="array" aca="1" ref="N60" ca="1">INDIRECT("R[40]C["&amp;$A$58&amp;"]",FALSE)</f>
        <v>198.16666666666666</v>
      </c>
      <c r="O60" s="124" cm="1">
        <f t="array" aca="1" ref="O60" ca="1">INDIRECT("R[40]C["&amp;$A$58&amp;"]",FALSE)</f>
        <v>135.63842336953189</v>
      </c>
      <c r="P60" s="124" cm="1">
        <f t="array" aca="1" ref="P60" ca="1">INDIRECT("R[40]C["&amp;$A$58&amp;"]",FALSE)</f>
        <v>51.333333333333336</v>
      </c>
      <c r="Q60" s="125"/>
      <c r="R60" s="128">
        <f ca="1">SUM(D60:P60)</f>
        <v>852.54985159401008</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193.57152668639415</v>
      </c>
      <c r="N62" s="124" cm="1">
        <f t="array" aca="1" ref="N62" ca="1">INDIRECT("R[40]C["&amp;$A$62&amp;"]",FALSE)</f>
        <v>138.71666666666664</v>
      </c>
      <c r="O62" s="124" cm="1">
        <f t="array" aca="1" ref="O62" ca="1">INDIRECT("R[40]C["&amp;$A$62&amp;"]",FALSE)</f>
        <v>101.62175670286521</v>
      </c>
      <c r="P62" s="124" cm="1">
        <f t="array" aca="1" ref="P62" ca="1">INDIRECT("R[40]C["&amp;$A$62&amp;"]",FALSE)</f>
        <v>35.93333333333333</v>
      </c>
      <c r="Q62" s="124"/>
      <c r="R62" s="128">
        <f ca="1">SUM(D62:Q62)</f>
        <v>1905.8471181073892</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193.57152668639415</v>
      </c>
      <c r="N63" s="124" cm="1">
        <f t="array" aca="1" ref="N63" ca="1">INDIRECT("R[40]C["&amp;$A$62&amp;"]",FALSE)</f>
        <v>138.71666666666664</v>
      </c>
      <c r="O63" s="124" cm="1">
        <f t="array" aca="1" ref="O63" ca="1">INDIRECT("R[40]C["&amp;$A$62&amp;"]",FALSE)</f>
        <v>101.62175670286521</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38.768898575655896</v>
      </c>
      <c r="N64" s="124" cm="1">
        <f t="array" aca="1" ref="N64" ca="1">INDIRECT("R[40]C["&amp;$A$62&amp;"]",FALSE)</f>
        <v>29.724999999999998</v>
      </c>
      <c r="O64" s="124" cm="1">
        <f t="array" aca="1" ref="O64" ca="1">INDIRECT("R[40]C["&amp;$A$62&amp;"]",FALSE)</f>
        <v>17.008333333333333</v>
      </c>
      <c r="P64" s="124" cm="1">
        <f t="array" aca="1" ref="P64" ca="1">INDIRECT("R[40]C["&amp;$A$62&amp;"]",FALSE)</f>
        <v>7.7</v>
      </c>
      <c r="Q64" s="124"/>
      <c r="R64" s="128">
        <f ca="1">SUM(D64:Q64)</f>
        <v>229.39508905184633</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68.285565242322562</v>
      </c>
      <c r="N65" s="124" cm="1">
        <f t="array" aca="1" ref="N65" ca="1">INDIRECT("R[40]C["&amp;$A$62&amp;"]",FALSE)</f>
        <v>29.724999999999998</v>
      </c>
      <c r="O65" s="124" cm="1">
        <f t="array" aca="1" ref="O65" ca="1">INDIRECT("R[40]C["&amp;$A$62&amp;"]",FALSE)</f>
        <v>17.008333333333333</v>
      </c>
      <c r="P65" s="124" cm="1">
        <f t="array" aca="1" ref="P65" ca="1">INDIRECT("R[40]C["&amp;$A$62&amp;"]",FALSE)</f>
        <v>7.7</v>
      </c>
      <c r="Q65" s="124"/>
      <c r="R65" s="128">
        <f ca="1">SUM(D65:Q65)</f>
        <v>556.36479601155338</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10</v>
      </c>
      <c r="N66" s="124" cm="1">
        <f t="array" aca="1" ref="N66" ca="1">INDIRECT("R[40]C["&amp;$A$62&amp;"]",FALSE)</f>
        <v>6</v>
      </c>
      <c r="O66" s="124" cm="1">
        <f t="array" aca="1" ref="O66" ca="1">INDIRECT("R[40]C["&amp;$A$62&amp;"]",FALSE)</f>
        <v>5</v>
      </c>
      <c r="P66" s="124" cm="1">
        <f t="array" aca="1" ref="P66" ca="1">INDIRECT("R[40]C["&amp;$A$62&amp;"]",FALSE)</f>
        <v>2</v>
      </c>
      <c r="Q66" s="124"/>
      <c r="R66" s="128">
        <f ca="1">SUM(D66:Q66)</f>
        <v>83</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10</v>
      </c>
      <c r="N68" s="124" cm="1">
        <f t="array" aca="1" ref="N68" ca="1">INDIRECT("R[40]C["&amp;$A$68&amp;"]",FALSE)</f>
        <v>6</v>
      </c>
      <c r="O68" s="124" cm="1">
        <f t="array" aca="1" ref="O68" ca="1">INDIRECT("R[40]C["&amp;$A$68&amp;"]",FALSE)</f>
        <v>5</v>
      </c>
      <c r="P68" s="124" cm="1">
        <f t="array" aca="1" ref="P68" ca="1">INDIRECT("R[40]C["&amp;$A$68&amp;"]",FALSE)</f>
        <v>2</v>
      </c>
      <c r="Q68" s="124"/>
      <c r="R68" s="128">
        <f ca="1">SUM(D68:Q68)</f>
        <v>77</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866.85067514760226</v>
      </c>
      <c r="N70" s="124" cm="1">
        <f t="array" aca="1" ref="N70" ca="1">INDIRECT("R[40]C["&amp;$A$70&amp;"]",FALSE)</f>
        <v>435.17399999999998</v>
      </c>
      <c r="O70" s="124" cm="1">
        <f t="array" aca="1" ref="O70" ca="1">INDIRECT("R[40]C["&amp;$A$70&amp;"]",FALSE)</f>
        <v>297.86197771949202</v>
      </c>
      <c r="P70" s="124" cm="1">
        <f t="array" aca="1" ref="P70" ca="1">INDIRECT("R[40]C["&amp;$A$70&amp;"]",FALSE)</f>
        <v>112.72800000000001</v>
      </c>
      <c r="Q70" s="124"/>
      <c r="R70" s="128">
        <f ca="1">SUM(D70:Q70)</f>
        <v>6927.3295637353003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1402.405</v>
      </c>
      <c r="N71" s="124" cm="1">
        <f t="array" aca="1" ref="N71" ca="1">INDIRECT("R[40]C["&amp;$A$70&amp;"]",FALSE)</f>
        <v>900</v>
      </c>
      <c r="O71" s="124" cm="1">
        <f t="array" aca="1" ref="O71" ca="1">INDIRECT("R[40]C["&amp;$A$70&amp;"]",FALSE)</f>
        <v>672.40499999999997</v>
      </c>
      <c r="P71" s="124" cm="1">
        <f t="array" aca="1" ref="P71" ca="1">INDIRECT("R[40]C["&amp;$A$70&amp;"]",FALSE)</f>
        <v>280</v>
      </c>
      <c r="Q71" s="124"/>
      <c r="R71" s="128">
        <f ca="1">SUM(D71:Q71)</f>
        <v>8359.2331999999988</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375.06625590388217</v>
      </c>
      <c r="J75" s="115">
        <f t="shared" ca="1" si="2"/>
        <v>152.93333333333334</v>
      </c>
      <c r="K75" s="115">
        <f t="shared" ca="1" si="2"/>
        <v>315.26251267836159</v>
      </c>
      <c r="L75" s="115">
        <f t="shared" ca="1" si="2"/>
        <v>166.78543772010551</v>
      </c>
      <c r="M75" s="115">
        <f t="shared" ca="1" si="2"/>
        <v>300.62599050437262</v>
      </c>
      <c r="N75" s="115">
        <f t="shared" ca="1" si="2"/>
        <v>198.16666666666666</v>
      </c>
      <c r="O75" s="115">
        <f t="shared" ca="1" si="2"/>
        <v>135.63842336953189</v>
      </c>
      <c r="P75" s="115">
        <f t="shared" ca="1" si="2"/>
        <v>51.333333333333336</v>
      </c>
      <c r="Q75" s="115">
        <f t="shared" si="2"/>
        <v>0</v>
      </c>
      <c r="R75" s="115">
        <f ca="1">SUM(R46:R48)</f>
        <v>2804.1165516565379</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36028.675439747763</v>
      </c>
      <c r="O82" s="108">
        <f>SUM($E83:O83)</f>
        <v>39595.675439747763</v>
      </c>
      <c r="P82" s="108">
        <f>SUM($E83:P83)</f>
        <v>42037.167060399341</v>
      </c>
      <c r="Q82" s="108">
        <f>SUM($E83:Q83)</f>
        <v>42961.167060399341</v>
      </c>
      <c r="R82" s="113">
        <f>Q82</f>
        <v>42961.167060399341</v>
      </c>
    </row>
    <row r="83" spans="1:26" ht="15.5" x14ac:dyDescent="0.35">
      <c r="B83" s="105" t="s">
        <v>360</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5625.9938385582327</v>
      </c>
      <c r="K83" s="108">
        <f t="shared" si="3"/>
        <v>2294</v>
      </c>
      <c r="L83" s="109">
        <f t="shared" si="3"/>
        <v>4728.937690175424</v>
      </c>
      <c r="M83" s="108">
        <f>SUMPRODUCT(M86:M88,$B$86:$B$88)</f>
        <v>3002.1378789618993</v>
      </c>
      <c r="N83" s="108">
        <f t="shared" si="3"/>
        <v>5411.2678290787071</v>
      </c>
      <c r="O83" s="108">
        <f>SUMPRODUCT(O86:O88,$B$86:$B$88)</f>
        <v>3567</v>
      </c>
      <c r="P83" s="108">
        <f t="shared" si="3"/>
        <v>2441.4916206515741</v>
      </c>
      <c r="Q83" s="108">
        <f t="shared" si="3"/>
        <v>924</v>
      </c>
      <c r="R83" s="113">
        <f>SUM(D83:Q83)</f>
        <v>42961.167060399341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375.06625590388217</v>
      </c>
      <c r="K85" s="154">
        <f t="shared" si="4"/>
        <v>152.93333333333334</v>
      </c>
      <c r="L85" s="154">
        <f t="shared" si="4"/>
        <v>315.26251267836159</v>
      </c>
      <c r="M85" s="154">
        <f t="shared" si="4"/>
        <v>166.78543772010551</v>
      </c>
      <c r="N85" s="154">
        <f t="shared" si="4"/>
        <v>300.62599050437262</v>
      </c>
      <c r="O85" s="154">
        <f t="shared" si="4"/>
        <v>198.16666666666666</v>
      </c>
      <c r="P85" s="154">
        <f t="shared" si="4"/>
        <v>135.63842336953189</v>
      </c>
      <c r="Q85" s="154">
        <f t="shared" si="4"/>
        <v>51.333333333333336</v>
      </c>
      <c r="R85" s="130">
        <f>SUM(E85:Q85)</f>
        <v>2804.1165516565384</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300.62599050437262</v>
      </c>
      <c r="O88" s="108">
        <f>Aggregated!AL11*$R$2+Aggregated!BA11*$R$3+Aggregated!CE11</f>
        <v>198.16666666666666</v>
      </c>
      <c r="P88" s="108">
        <f>Aggregated!AM11*$R$2+Aggregated!BB11*$R$3+Aggregated!CF11</f>
        <v>135.63842336953189</v>
      </c>
      <c r="Q88" s="108">
        <f>Aggregated!AN11*$R$2+Aggregated!BC11*$R$3+Aggregated!CG11</f>
        <v>51.333333333333336</v>
      </c>
      <c r="R88" s="113">
        <f>SUM(D88:Q88)</f>
        <v>852.54985159401008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128.30769230769232</v>
      </c>
      <c r="F90" s="108">
        <f t="shared" si="5"/>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1125.1987677116465</v>
      </c>
      <c r="K91" s="108">
        <f t="shared" si="6"/>
        <v>458.8</v>
      </c>
      <c r="L91" s="109">
        <f t="shared" si="6"/>
        <v>945.78753803508471</v>
      </c>
      <c r="M91" s="108">
        <f t="shared" si="6"/>
        <v>0</v>
      </c>
      <c r="N91" s="108">
        <f t="shared" si="6"/>
        <v>0</v>
      </c>
      <c r="O91" s="108">
        <f t="shared" si="6"/>
        <v>0</v>
      </c>
      <c r="P91" s="108">
        <f t="shared" si="6"/>
        <v>0</v>
      </c>
      <c r="Q91" s="108">
        <f t="shared" si="6"/>
        <v>0</v>
      </c>
      <c r="R91" s="113">
        <f>SUM(D91:Q91)</f>
        <v>4196.4693309568156</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500.35631316031652</v>
      </c>
      <c r="N92" s="108">
        <f t="shared" si="6"/>
        <v>901.87797151311793</v>
      </c>
      <c r="O92" s="108">
        <f t="shared" si="6"/>
        <v>594.5</v>
      </c>
      <c r="P92" s="108">
        <f t="shared" si="6"/>
        <v>406.91527010859568</v>
      </c>
      <c r="Q92" s="108">
        <f t="shared" si="6"/>
        <v>154</v>
      </c>
      <c r="R92" s="113">
        <f>SUM(D92:Q92)</f>
        <v>2557.6495547820305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 t="shared" si="7"/>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375.06625590388217</v>
      </c>
      <c r="K95" s="108">
        <f t="shared" si="8"/>
        <v>152.93333333333334</v>
      </c>
      <c r="L95" s="109">
        <f t="shared" si="8"/>
        <v>315.26251267836159</v>
      </c>
      <c r="M95" s="108">
        <f t="shared" si="8"/>
        <v>0</v>
      </c>
      <c r="N95" s="108">
        <f t="shared" si="8"/>
        <v>0</v>
      </c>
      <c r="O95" s="108">
        <f t="shared" si="8"/>
        <v>0</v>
      </c>
      <c r="P95" s="108">
        <f t="shared" si="8"/>
        <v>0</v>
      </c>
      <c r="Q95" s="108">
        <f t="shared" si="8"/>
        <v>0</v>
      </c>
      <c r="R95" s="113">
        <f>SUM(D95:Q95)</f>
        <v>1398.8231103189385</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166.78543772010551</v>
      </c>
      <c r="N96" s="108">
        <f t="shared" si="8"/>
        <v>300.62599050437262</v>
      </c>
      <c r="O96" s="108">
        <f t="shared" si="8"/>
        <v>198.16666666666666</v>
      </c>
      <c r="P96" s="108">
        <f t="shared" si="8"/>
        <v>135.63842336953189</v>
      </c>
      <c r="Q96" s="108">
        <f t="shared" si="8"/>
        <v>51.333333333333336</v>
      </c>
      <c r="R96" s="113">
        <f>SUM(D96:Q96)</f>
        <v>852.54985159401008</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375.06625590388217</v>
      </c>
      <c r="K99" s="108">
        <f t="shared" si="10"/>
        <v>152.93333333333334</v>
      </c>
      <c r="L99" s="109">
        <f t="shared" si="10"/>
        <v>315.26251267836159</v>
      </c>
      <c r="M99" s="108">
        <f t="shared" si="10"/>
        <v>0</v>
      </c>
      <c r="N99" s="108">
        <f t="shared" si="10"/>
        <v>0</v>
      </c>
      <c r="O99" s="108">
        <f t="shared" si="10"/>
        <v>0</v>
      </c>
      <c r="P99" s="108">
        <f t="shared" si="10"/>
        <v>0</v>
      </c>
      <c r="Q99" s="108">
        <f t="shared" si="10"/>
        <v>0</v>
      </c>
      <c r="R99" s="113">
        <f>SUM(D99:Q99)</f>
        <v>1398.8231103189385</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166.78543772010551</v>
      </c>
      <c r="N100" s="108">
        <f t="shared" si="10"/>
        <v>300.62599050437262</v>
      </c>
      <c r="O100" s="108">
        <f t="shared" si="10"/>
        <v>198.16666666666666</v>
      </c>
      <c r="P100" s="108">
        <f t="shared" si="10"/>
        <v>135.63842336953189</v>
      </c>
      <c r="Q100" s="108">
        <f t="shared" si="10"/>
        <v>51.333333333333336</v>
      </c>
      <c r="R100" s="113">
        <f>SUM(D100:Q100)</f>
        <v>852.54985159401008</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122.21947897794578</v>
      </c>
      <c r="N101" s="151">
        <f t="shared" si="11"/>
        <v>300.62599050437262</v>
      </c>
      <c r="O101" s="151">
        <f t="shared" si="11"/>
        <v>198.16666666666663</v>
      </c>
      <c r="P101" s="151">
        <f t="shared" si="11"/>
        <v>135.63842336953186</v>
      </c>
      <c r="Q101" s="151">
        <f t="shared" si="11"/>
        <v>51.333333333333336</v>
      </c>
      <c r="R101" s="130">
        <f>SUM(C101:Q101)</f>
        <v>2691.6070031707886</v>
      </c>
    </row>
    <row r="102" spans="2:19" ht="15.5" x14ac:dyDescent="0.35">
      <c r="B102" s="106" t="s">
        <v>257</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193.57152668639415</v>
      </c>
      <c r="O102" s="108">
        <f>Aggregated!AL15*$R$2+Aggregated!BA15*$R$3+Aggregated!CE15</f>
        <v>138.71666666666664</v>
      </c>
      <c r="P102" s="108">
        <f>Aggregated!AM15*$R$2+Aggregated!BB15*$R$3+Aggregated!CF15</f>
        <v>101.62175670286521</v>
      </c>
      <c r="Q102" s="108">
        <f>Aggregated!AN15*$R$2+Aggregated!BC15*$R$3+Aggregated!CG15</f>
        <v>35.93333333333333</v>
      </c>
      <c r="R102" s="113">
        <f t="shared" ref="R102:R111" si="12">SUM(D102:Q102)</f>
        <v>1905.8471181073892</v>
      </c>
    </row>
    <row r="103" spans="2:19" ht="15.5" x14ac:dyDescent="0.35">
      <c r="B103" s="106" t="s">
        <v>258</v>
      </c>
      <c r="C103" s="106"/>
      <c r="D103" s="108">
        <f t="shared" ref="D103:Q103" si="13">D102</f>
        <v>0</v>
      </c>
      <c r="E103" s="108">
        <f t="shared" si="13"/>
        <v>32.769230769230774</v>
      </c>
      <c r="F103" s="108">
        <f t="shared" si="13"/>
        <v>229.49353587588882</v>
      </c>
      <c r="G103" s="108">
        <f t="shared" si="13"/>
        <v>179.50641025641025</v>
      </c>
      <c r="H103" s="108">
        <f t="shared" si="13"/>
        <v>160.73333333333332</v>
      </c>
      <c r="I103" s="108">
        <f t="shared" si="13"/>
        <v>97.213333333333338</v>
      </c>
      <c r="J103" s="108">
        <f t="shared" si="13"/>
        <v>226.77599949362576</v>
      </c>
      <c r="K103" s="108">
        <f t="shared" si="13"/>
        <v>150.25333333333333</v>
      </c>
      <c r="L103" s="108">
        <f t="shared" si="13"/>
        <v>262.03917934502823</v>
      </c>
      <c r="M103" s="108">
        <f t="shared" si="13"/>
        <v>97.219478977945784</v>
      </c>
      <c r="N103" s="108">
        <f t="shared" si="13"/>
        <v>193.57152668639415</v>
      </c>
      <c r="O103" s="108">
        <f t="shared" si="13"/>
        <v>138.71666666666664</v>
      </c>
      <c r="P103" s="108">
        <f t="shared" si="13"/>
        <v>101.62175670286521</v>
      </c>
      <c r="Q103" s="108">
        <f t="shared" si="13"/>
        <v>35.93333333333333</v>
      </c>
      <c r="R103" s="113">
        <f t="shared" si="12"/>
        <v>1905.8471181073892</v>
      </c>
      <c r="S103" s="140"/>
    </row>
    <row r="104" spans="2:19" ht="15.5" x14ac:dyDescent="0.35">
      <c r="B104" s="106" t="s">
        <v>117</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38.768898575655896</v>
      </c>
      <c r="O104" s="108">
        <f>Aggregated!AL16*$R$2+Aggregated!BA16*$R$3+Aggregated!CE16</f>
        <v>29.724999999999998</v>
      </c>
      <c r="P104" s="108">
        <f>Aggregated!AM16*$R$2+Aggregated!BB16*$R$3+Aggregated!CF16</f>
        <v>17.008333333333333</v>
      </c>
      <c r="Q104" s="108">
        <f>Aggregated!AN16*$R$2+Aggregated!BC16*$R$3+Aggregated!CG16</f>
        <v>7.7</v>
      </c>
      <c r="R104" s="113">
        <f t="shared" si="12"/>
        <v>229.39508905184633</v>
      </c>
      <c r="S104" s="140"/>
    </row>
    <row r="105" spans="2:19" ht="15.5" x14ac:dyDescent="0.35">
      <c r="B105" s="106" t="s">
        <v>118</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68.285565242322562</v>
      </c>
      <c r="O105" s="108">
        <f>Aggregated!AL17*$R$2+Aggregated!BA17*$R$3+Aggregated!CE17</f>
        <v>29.724999999999998</v>
      </c>
      <c r="P105" s="108">
        <f>Aggregated!AM17*$R$2+Aggregated!BB17*$R$3+Aggregated!CF17</f>
        <v>17.008333333333333</v>
      </c>
      <c r="Q105" s="108">
        <f>Aggregated!AN17*$R$2+Aggregated!BC17*$R$3+Aggregated!CG17</f>
        <v>7.7</v>
      </c>
      <c r="R105" s="113">
        <f t="shared" si="12"/>
        <v>556.36479601155338</v>
      </c>
      <c r="S105" s="140"/>
    </row>
    <row r="106" spans="2:19" ht="15.5" x14ac:dyDescent="0.35">
      <c r="B106" s="106" t="s">
        <v>259</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10</v>
      </c>
      <c r="O106" s="108">
        <f>Aggregated!AL18*$R$2+Aggregated!BA18*$R$3+Aggregated!CE18</f>
        <v>6</v>
      </c>
      <c r="P106" s="108">
        <f>Aggregated!AM18*$R$2+Aggregated!BB18*$R$3+Aggregated!CF18</f>
        <v>5</v>
      </c>
      <c r="Q106" s="108">
        <f>Aggregated!AN18*$R$2+Aggregated!BC18*$R$3+Aggregated!CG18</f>
        <v>2</v>
      </c>
      <c r="R106" s="113">
        <f t="shared" si="12"/>
        <v>83</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10</v>
      </c>
      <c r="O108" s="108">
        <f>Aggregated!AL19*$R$2+Aggregated!BA19*$R$3+Aggregated!CE19</f>
        <v>6</v>
      </c>
      <c r="P108" s="108">
        <f>Aggregated!AM19*$R$2+Aggregated!BB19*$R$3+Aggregated!CF19</f>
        <v>5</v>
      </c>
      <c r="Q108" s="108">
        <f>Aggregated!AN19*$R$2+Aggregated!BC19*$R$3+Aggregated!CG19</f>
        <v>2</v>
      </c>
      <c r="R108" s="113">
        <f t="shared" si="12"/>
        <v>77</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866.85067514760226</v>
      </c>
      <c r="O110" s="108">
        <f>Aggregated!AL21*$R$2+Aggregated!BA21*$R$3+Aggregated!CE21</f>
        <v>435.17399999999998</v>
      </c>
      <c r="P110" s="108">
        <f>Aggregated!AM21*$R$2+Aggregated!BB21*$R$3+Aggregated!CF21</f>
        <v>297.86197771949202</v>
      </c>
      <c r="Q110" s="108">
        <f>Aggregated!AN21*$R$2+Aggregated!BC21*$R$3+Aggregated!CG21</f>
        <v>112.72800000000001</v>
      </c>
      <c r="R110" s="113">
        <f t="shared" si="12"/>
        <v>6927.3295637353003</v>
      </c>
    </row>
    <row r="111" spans="2:19" ht="15.5" x14ac:dyDescent="0.35">
      <c r="B111" s="106" t="s">
        <v>273</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1402.405</v>
      </c>
      <c r="O111" s="108">
        <f>Aggregated!AL24*$R$2+Aggregated!BA24*$R$3+Aggregated!CE24</f>
        <v>900</v>
      </c>
      <c r="P111" s="108">
        <f>Aggregated!AM24*$R$2+Aggregated!BB24*$R$3+Aggregated!CF24</f>
        <v>672.40499999999997</v>
      </c>
      <c r="Q111" s="108">
        <f>Aggregated!AN24*$R$2+Aggregated!BC24*$R$3+Aggregated!CG24</f>
        <v>280</v>
      </c>
      <c r="R111" s="113">
        <f t="shared" si="12"/>
        <v>8359.2331999999988</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450.93898575655891</v>
      </c>
      <c r="O115" s="108">
        <f>O88*Assumptions!$K$25/24</f>
        <v>297.25</v>
      </c>
      <c r="P115" s="108">
        <f>P88*Assumptions!$K$25/24</f>
        <v>203.45763505429784</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392.78563789307509</v>
      </c>
      <c r="O116" s="108">
        <f>(O102+O105)*Assumptions!$K$26/24</f>
        <v>252.66249999999994</v>
      </c>
      <c r="P116" s="108">
        <f>(P102+P105)*Assumptions!$K$26/24</f>
        <v>177.94513505429779</v>
      </c>
      <c r="Q116" s="108">
        <f>(Q102+Q105)*Assumptions!$K$26/24</f>
        <v>65.45</v>
      </c>
      <c r="R116" s="113"/>
    </row>
    <row r="117" spans="2:21" ht="15.5" x14ac:dyDescent="0.35">
      <c r="B117" s="106" t="s">
        <v>252</v>
      </c>
      <c r="C117" s="106"/>
      <c r="D117" s="108"/>
      <c r="E117" s="108">
        <f>SUM(E113:E116)</f>
        <v>128.30769230769232</v>
      </c>
      <c r="F117" s="108">
        <f t="shared" ref="F117:Q117" si="14">SUM(F113:F116)</f>
        <v>971.2333548804138</v>
      </c>
      <c r="G117" s="108">
        <f t="shared" si="14"/>
        <v>818.53846153846166</v>
      </c>
      <c r="H117" s="108">
        <f t="shared" si="14"/>
        <v>681.69999999999993</v>
      </c>
      <c r="I117" s="108">
        <f t="shared" si="14"/>
        <v>572.88</v>
      </c>
      <c r="J117" s="108">
        <f t="shared" si="14"/>
        <v>1025.2383830962619</v>
      </c>
      <c r="K117" s="108">
        <f>SUM(K113:K116)</f>
        <v>470.14</v>
      </c>
      <c r="L117" s="108">
        <f t="shared" si="14"/>
        <v>899.20753803508478</v>
      </c>
      <c r="M117" s="108">
        <f t="shared" si="14"/>
        <v>414.75737504707695</v>
      </c>
      <c r="N117" s="108">
        <f t="shared" si="14"/>
        <v>843.72462364963394</v>
      </c>
      <c r="O117" s="108">
        <f t="shared" si="14"/>
        <v>549.91249999999991</v>
      </c>
      <c r="P117" s="108">
        <f t="shared" si="14"/>
        <v>381.40277010859563</v>
      </c>
      <c r="Q117" s="108">
        <f t="shared" si="14"/>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100</v>
      </c>
      <c r="O118" s="108">
        <f>O108*Assumptions!$K$27/24</f>
        <v>60</v>
      </c>
      <c r="P118" s="108">
        <f>P108*Assumptions!$K$27/24</f>
        <v>50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899.31391878690056</v>
      </c>
      <c r="O119" s="108">
        <f>(ROUNDUP(O83/400,1)+O84)*Assumptions!$K$45+SUM(O110:O111)/Assumptions!$K$44</f>
        <v>533.79349999999999</v>
      </c>
      <c r="P119" s="108">
        <f>(ROUNDUP(P83/400,1)+P84)*Assumptions!$K$45+SUM(P110:P111)/Assumptions!$K$44</f>
        <v>406.56674442987298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290.35729002959124</v>
      </c>
      <c r="O120" s="108">
        <f>O102*Assumptions!$K$28/24</f>
        <v>208.07499999999996</v>
      </c>
      <c r="P120" s="108">
        <f>P102*Assumptions!$K$28/24</f>
        <v>152.43263505429783</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149</v>
      </c>
      <c r="C126" s="106"/>
      <c r="D126" s="108">
        <f>SUM(D122:D125)</f>
        <v>0</v>
      </c>
      <c r="E126" s="108">
        <f t="shared" ref="E126:Q126" si="15">SUM(E122:E125)</f>
        <v>2</v>
      </c>
      <c r="F126" s="108">
        <f t="shared" si="15"/>
        <v>5</v>
      </c>
      <c r="G126" s="108">
        <f t="shared" si="15"/>
        <v>5</v>
      </c>
      <c r="H126" s="108">
        <f t="shared" si="15"/>
        <v>5</v>
      </c>
      <c r="I126" s="108">
        <f>SUM(I122:I125)</f>
        <v>4</v>
      </c>
      <c r="J126" s="108">
        <f t="shared" si="15"/>
        <v>5</v>
      </c>
      <c r="K126" s="108">
        <f t="shared" si="15"/>
        <v>2</v>
      </c>
      <c r="L126" s="109">
        <f t="shared" si="15"/>
        <v>4</v>
      </c>
      <c r="M126" s="108">
        <f t="shared" si="15"/>
        <v>3</v>
      </c>
      <c r="N126" s="108">
        <f t="shared" si="15"/>
        <v>4</v>
      </c>
      <c r="O126" s="108">
        <f t="shared" si="15"/>
        <v>4</v>
      </c>
      <c r="P126" s="108">
        <f t="shared" si="15"/>
        <v>2</v>
      </c>
      <c r="Q126" s="108">
        <f t="shared" si="15"/>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4</v>
      </c>
      <c r="O127" s="108">
        <f>ROUNDUP(O117/(Assumptions!$C$36*365),0)</f>
        <v>3</v>
      </c>
      <c r="P127" s="108">
        <f>ROUNDUP(P117/(Assumptions!$C$36*365),0)</f>
        <v>2</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16">E126*2</f>
        <v>4</v>
      </c>
      <c r="F129" s="108">
        <f t="shared" si="16"/>
        <v>10</v>
      </c>
      <c r="G129" s="108">
        <f t="shared" si="16"/>
        <v>10</v>
      </c>
      <c r="H129" s="108">
        <f t="shared" si="16"/>
        <v>10</v>
      </c>
      <c r="I129" s="108">
        <f t="shared" si="16"/>
        <v>8</v>
      </c>
      <c r="J129" s="108">
        <f t="shared" si="16"/>
        <v>10</v>
      </c>
      <c r="K129" s="108">
        <f t="shared" si="16"/>
        <v>4</v>
      </c>
      <c r="L129" s="109">
        <f t="shared" si="16"/>
        <v>8</v>
      </c>
      <c r="M129" s="108">
        <f t="shared" si="16"/>
        <v>6</v>
      </c>
      <c r="N129" s="108">
        <f t="shared" si="16"/>
        <v>8</v>
      </c>
      <c r="O129" s="108">
        <f t="shared" si="16"/>
        <v>8</v>
      </c>
      <c r="P129" s="108">
        <f t="shared" si="16"/>
        <v>4</v>
      </c>
      <c r="Q129" s="108">
        <f t="shared" si="16"/>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4</v>
      </c>
      <c r="O132" s="108">
        <f>ROUNDUP(O119/(Assumptions!$C$36*365),0)</f>
        <v>3</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2</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3</v>
      </c>
      <c r="F137" s="144">
        <f t="shared" ref="F137:Q137" si="18">ROUNDUP(F126*1.5,0)</f>
        <v>8</v>
      </c>
      <c r="G137" s="144">
        <f t="shared" si="18"/>
        <v>8</v>
      </c>
      <c r="H137" s="144">
        <f t="shared" si="18"/>
        <v>8</v>
      </c>
      <c r="I137" s="144">
        <f>ROUNDUP(I126*1.5,0)</f>
        <v>6</v>
      </c>
      <c r="J137" s="144">
        <f t="shared" si="18"/>
        <v>8</v>
      </c>
      <c r="K137" s="144">
        <f t="shared" si="18"/>
        <v>3</v>
      </c>
      <c r="L137" s="144">
        <f t="shared" si="18"/>
        <v>6</v>
      </c>
      <c r="M137" s="144">
        <f t="shared" si="18"/>
        <v>5</v>
      </c>
      <c r="N137" s="144">
        <f t="shared" si="18"/>
        <v>6</v>
      </c>
      <c r="O137" s="144">
        <f t="shared" si="18"/>
        <v>6</v>
      </c>
      <c r="P137" s="144">
        <f t="shared" si="18"/>
        <v>3</v>
      </c>
      <c r="Q137" s="144">
        <f t="shared" si="18"/>
        <v>3</v>
      </c>
      <c r="R137" s="144"/>
    </row>
    <row r="138" spans="2:18" x14ac:dyDescent="0.35">
      <c r="B138" s="144" t="s">
        <v>269</v>
      </c>
      <c r="C138" s="145"/>
      <c r="D138" s="145">
        <f>D127*29*$R$2*$R$3</f>
        <v>0</v>
      </c>
      <c r="E138" s="145">
        <f t="shared" ref="E138:Q138" si="19">E127*40*$R$2*$R$3</f>
        <v>40</v>
      </c>
      <c r="F138" s="145">
        <f t="shared" si="19"/>
        <v>160</v>
      </c>
      <c r="G138" s="145">
        <f t="shared" si="19"/>
        <v>160</v>
      </c>
      <c r="H138" s="145">
        <f t="shared" si="19"/>
        <v>120</v>
      </c>
      <c r="I138" s="145">
        <f t="shared" si="19"/>
        <v>120</v>
      </c>
      <c r="J138" s="145">
        <f t="shared" si="19"/>
        <v>200</v>
      </c>
      <c r="K138" s="145">
        <f t="shared" si="19"/>
        <v>80</v>
      </c>
      <c r="L138" s="145">
        <f t="shared" si="19"/>
        <v>160</v>
      </c>
      <c r="M138" s="145">
        <f t="shared" si="19"/>
        <v>80</v>
      </c>
      <c r="N138" s="145">
        <f t="shared" si="19"/>
        <v>160</v>
      </c>
      <c r="O138" s="145">
        <f t="shared" si="19"/>
        <v>120</v>
      </c>
      <c r="P138" s="145">
        <f t="shared" si="19"/>
        <v>80</v>
      </c>
      <c r="Q138" s="145">
        <f t="shared" si="19"/>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42.769230769230774</v>
      </c>
      <c r="F142" s="115">
        <f t="shared" si="20"/>
        <v>338.31588019823317</v>
      </c>
      <c r="G142" s="115">
        <f t="shared" si="20"/>
        <v>289.84615384615381</v>
      </c>
      <c r="H142" s="115">
        <f t="shared" si="20"/>
        <v>243.73333333333332</v>
      </c>
      <c r="I142" s="115">
        <f t="shared" si="20"/>
        <v>193.64</v>
      </c>
      <c r="J142" s="115">
        <f t="shared" si="20"/>
        <v>375.06625590388217</v>
      </c>
      <c r="K142" s="115">
        <f t="shared" si="20"/>
        <v>152.93333333333334</v>
      </c>
      <c r="L142" s="115">
        <f t="shared" si="20"/>
        <v>315.26251267836159</v>
      </c>
      <c r="M142" s="115">
        <f t="shared" si="20"/>
        <v>166.78543772010551</v>
      </c>
      <c r="N142" s="115">
        <f t="shared" si="20"/>
        <v>300.62599050437262</v>
      </c>
      <c r="O142" s="115">
        <f t="shared" si="20"/>
        <v>198.16666666666666</v>
      </c>
      <c r="P142" s="115">
        <f t="shared" si="20"/>
        <v>135.63842336953189</v>
      </c>
      <c r="Q142" s="115">
        <f t="shared" si="20"/>
        <v>51.333333333333336</v>
      </c>
      <c r="R142" s="115">
        <f t="shared" si="20"/>
        <v>2804.1165516565379</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81" activePane="bottomLeft" state="frozen"/>
      <selection pane="bottomLeft" activeCell="D112" sqref="D112"/>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188</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t="shared" ref="C9:Q9" ca="1" si="1">SUM(C10:C12)</f>
        <v>42.769230769230774</v>
      </c>
      <c r="D9" s="180">
        <f t="shared" ca="1" si="1"/>
        <v>154</v>
      </c>
      <c r="E9" s="180">
        <f t="shared" ca="1" si="1"/>
        <v>254.66666666666669</v>
      </c>
      <c r="F9" s="180">
        <f t="shared" ca="1" si="1"/>
        <v>300</v>
      </c>
      <c r="G9" s="180">
        <f t="shared" ca="1" si="1"/>
        <v>199.97435897435898</v>
      </c>
      <c r="H9" s="180">
        <f t="shared" ca="1" si="1"/>
        <v>266.66666666666669</v>
      </c>
      <c r="I9" s="180">
        <f t="shared" ca="1" si="1"/>
        <v>266.66666666666669</v>
      </c>
      <c r="J9" s="180">
        <f t="shared" ca="1" si="1"/>
        <v>266.66666666666669</v>
      </c>
      <c r="K9" s="180">
        <f t="shared" ca="1" si="1"/>
        <v>182.22222222222223</v>
      </c>
      <c r="L9" s="180">
        <f t="shared" ca="1" si="1"/>
        <v>177.93422143004935</v>
      </c>
      <c r="M9" s="180">
        <f t="shared" ca="1" si="1"/>
        <v>111.11111111111111</v>
      </c>
      <c r="N9" s="180">
        <f t="shared" ca="1" si="1"/>
        <v>111.11111111111111</v>
      </c>
      <c r="O9" s="180">
        <f t="shared" ca="1" si="1"/>
        <v>111.11111111111111</v>
      </c>
      <c r="P9" s="180">
        <f t="shared" si="1"/>
        <v>0</v>
      </c>
      <c r="Q9" s="180">
        <f t="shared" si="1"/>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ca="1">SUM(C12:P12)</f>
        <v>493.33333333333326</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ca="1">SUM(C16:P16)</f>
        <v>1480.0000000000005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ca="1">SUM(C20:P20)</f>
        <v>493.33333333333326</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ca="1">SUM(C24:P24)</f>
        <v>493.33333333333326</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114.57092859530582</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1697.6506457928554</v>
      </c>
    </row>
    <row r="27" spans="1:18" ht="15.5" x14ac:dyDescent="0.35">
      <c r="A27" s="121">
        <f>A26</f>
        <v>1</v>
      </c>
      <c r="B27" s="106" t="s">
        <v>258</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114.57092859530582</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ca="1">SUM(C27:Q27)</f>
        <v>1697.6506457928554</v>
      </c>
    </row>
    <row r="28" spans="1:18" ht="15.5" x14ac:dyDescent="0.35">
      <c r="A28" s="121">
        <f>Assumptions!C53</f>
        <v>1</v>
      </c>
      <c r="B28" s="106" t="s">
        <v>353</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22.94649831235914</v>
      </c>
      <c r="M28" s="183" cm="1">
        <f t="array" aca="1" ref="M28" ca="1">INDIRECT("R[36]C["&amp;$A$28&amp;"]",FALSE)</f>
        <v>16.666666666666668</v>
      </c>
      <c r="N28" s="183" cm="1">
        <f t="array" aca="1" ref="N28" ca="1">INDIRECT("R[36]C["&amp;$A$28&amp;"]",FALSE)</f>
        <v>13.93273946915634</v>
      </c>
      <c r="O28" s="183" cm="1">
        <f t="array" aca="1" ref="O28" ca="1">INDIRECT("R[36]C["&amp;$A$28&amp;"]",FALSE)</f>
        <v>16.666666666666664</v>
      </c>
      <c r="P28" s="183"/>
      <c r="Q28" s="183"/>
      <c r="R28" s="115">
        <f ca="1">SUM(C28:Q28)</f>
        <v>185.69931629902399</v>
      </c>
    </row>
    <row r="29" spans="1:18" ht="15.5" x14ac:dyDescent="0.35">
      <c r="A29" s="121">
        <f>Assumptions!C52</f>
        <v>1</v>
      </c>
      <c r="B29" s="106" t="s">
        <v>117</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40.416794522384372</v>
      </c>
      <c r="M29" s="183" cm="1">
        <f t="array" aca="1" ref="M29" ca="1">INDIRECT("R[36]C["&amp;$A$29&amp;"]",FALSE)</f>
        <v>16.666666666666668</v>
      </c>
      <c r="N29" s="183" cm="1">
        <f t="array" aca="1" ref="N29" ca="1">INDIRECT("R[36]C["&amp;$A$29&amp;"]",FALSE)</f>
        <v>13.93273946915634</v>
      </c>
      <c r="O29" s="183" cm="1">
        <f t="array" aca="1" ref="O29" ca="1">INDIRECT("R[36]C["&amp;$A$29&amp;"]",FALSE)</f>
        <v>16.666666666666664</v>
      </c>
      <c r="P29" s="183"/>
      <c r="Q29" s="183"/>
      <c r="R29" s="115">
        <f ca="1">SUM(C29:Q29)</f>
        <v>464.93191834415802</v>
      </c>
    </row>
    <row r="30" spans="1:18" ht="15.5" x14ac:dyDescent="0.35">
      <c r="A30" s="121">
        <f>Assumptions!C54</f>
        <v>1</v>
      </c>
      <c r="B30" s="106" t="s">
        <v>354</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5.9187903591276907</v>
      </c>
      <c r="M30" s="183" cm="1">
        <f t="array" aca="1" ref="M30" ca="1">INDIRECT("R[36]C["&amp;$A$30&amp;"]",FALSE)</f>
        <v>3.3641715727502106</v>
      </c>
      <c r="N30" s="183" cm="1">
        <f t="array" aca="1" ref="N30" ca="1">INDIRECT("R[36]C["&amp;$A$30&amp;"]",FALSE)</f>
        <v>4.0958567768220497</v>
      </c>
      <c r="O30" s="183" cm="1">
        <f t="array" aca="1" ref="O30" ca="1">INDIRECT("R[36]C["&amp;$A$30&amp;"]",FALSE)</f>
        <v>4.329004329004329</v>
      </c>
      <c r="P30" s="183"/>
      <c r="Q30" s="183"/>
      <c r="R30" s="115">
        <f ca="1">SUM(C30:Q30)</f>
        <v>72.935318497005198</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5.5483238856710528</v>
      </c>
      <c r="L32" s="183" cm="1">
        <f t="array" aca="1" ref="L32" ca="1">INDIRECT("R[36]C["&amp;$A$32&amp;"]",FALSE)</f>
        <v>3.3641715727502102</v>
      </c>
      <c r="M32" s="183" cm="1">
        <f t="array" aca="1" ref="M32" ca="1">INDIRECT("R[36]C["&amp;$A$32&amp;"]",FALSE)</f>
        <v>4.0958567768220506</v>
      </c>
      <c r="N32" s="183" cm="1">
        <f t="array" aca="1" ref="N32" ca="1">INDIRECT("R[36]C["&amp;$A$32&amp;"]",FALSE)</f>
        <v>4.329004329004329</v>
      </c>
      <c r="O32" s="183" cm="1">
        <f t="array" aca="1" ref="O32" ca="1">INDIRECT("R[36]C["&amp;$A$32&amp;"]",FALSE)</f>
        <v>0</v>
      </c>
      <c r="P32" s="183"/>
      <c r="Q32" s="183"/>
      <c r="R32" s="115">
        <f ca="1">SUM(C32:Q32)</f>
        <v>64.146463384235545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480.95683062315203</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5739.2611938658356</v>
      </c>
    </row>
    <row r="35" spans="1:19" ht="15.5" x14ac:dyDescent="0.35">
      <c r="A35" s="121">
        <f>Assumptions!C50</f>
        <v>1</v>
      </c>
      <c r="B35" s="106" t="s">
        <v>358</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778.09971588845133</v>
      </c>
      <c r="M35" s="183" cm="1">
        <f t="array" aca="1" ref="M35" ca="1">INDIRECT("R[36]C["&amp;$A$35&amp;"]",FALSE)</f>
        <v>504.62573591253152</v>
      </c>
      <c r="N35" s="183" cm="1">
        <f t="array" aca="1" ref="N35" ca="1">INDIRECT("R[36]C["&amp;$A$35&amp;"]",FALSE)</f>
        <v>550.81491520380609</v>
      </c>
      <c r="O35" s="183" cm="1">
        <f t="array" aca="1" ref="O35" ca="1">INDIRECT("R[36]C["&amp;$A$35&amp;"]",FALSE)</f>
        <v>606.06060606060601</v>
      </c>
      <c r="P35" s="183"/>
      <c r="Q35" s="183"/>
      <c r="R35" s="115">
        <f ca="1">SUM(C35:Q35)</f>
        <v>7243.0342865460216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t="shared" ref="C45:Q45" ca="1" si="2">SUM(C46:C48)</f>
        <v>0</v>
      </c>
      <c r="D45" s="180">
        <f t="shared" ca="1" si="2"/>
        <v>42.769230769230774</v>
      </c>
      <c r="E45" s="180">
        <f t="shared" ca="1" si="2"/>
        <v>154</v>
      </c>
      <c r="F45" s="180">
        <f t="shared" ca="1" si="2"/>
        <v>254.66666666666669</v>
      </c>
      <c r="G45" s="180">
        <f t="shared" ca="1" si="2"/>
        <v>300</v>
      </c>
      <c r="H45" s="180">
        <f t="shared" ca="1" si="2"/>
        <v>199.97435897435898</v>
      </c>
      <c r="I45" s="180">
        <f t="shared" ca="1" si="2"/>
        <v>266.66666666666669</v>
      </c>
      <c r="J45" s="180">
        <f t="shared" ca="1" si="2"/>
        <v>266.66666666666669</v>
      </c>
      <c r="K45" s="180">
        <f t="shared" ca="1" si="2"/>
        <v>266.66666666666669</v>
      </c>
      <c r="L45" s="180">
        <f t="shared" ca="1" si="2"/>
        <v>182.22222222222223</v>
      </c>
      <c r="M45" s="180">
        <f t="shared" ca="1" si="2"/>
        <v>177.93422143004935</v>
      </c>
      <c r="N45" s="180">
        <f t="shared" ca="1" si="2"/>
        <v>111.11111111111111</v>
      </c>
      <c r="O45" s="180">
        <f t="shared" ca="1" si="2"/>
        <v>111.11111111111111</v>
      </c>
      <c r="P45" s="180">
        <f t="shared" ca="1" si="2"/>
        <v>111.11111111111111</v>
      </c>
      <c r="Q45" s="180">
        <f t="shared" si="2"/>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116</v>
      </c>
      <c r="C61" s="179"/>
      <c r="D61" s="180">
        <f ca="1">SUM(D63:D65)</f>
        <v>42.769230769230774</v>
      </c>
      <c r="E61" s="180">
        <f t="shared" ref="E61:Q61" ca="1" si="3">SUM(E63:E65)</f>
        <v>154</v>
      </c>
      <c r="F61" s="180">
        <f t="shared" ca="1" si="3"/>
        <v>235.33687190375093</v>
      </c>
      <c r="G61" s="180">
        <f t="shared" ca="1" si="3"/>
        <v>272.92122538293216</v>
      </c>
      <c r="H61" s="180">
        <f t="shared" ca="1" si="3"/>
        <v>199.97435897435901</v>
      </c>
      <c r="I61" s="180">
        <f t="shared" ca="1" si="3"/>
        <v>252.15527046116574</v>
      </c>
      <c r="J61" s="180">
        <f t="shared" ca="1" si="3"/>
        <v>297.70415576867185</v>
      </c>
      <c r="K61" s="180">
        <f t="shared" ca="1" si="3"/>
        <v>248.6217401051226</v>
      </c>
      <c r="L61" s="180">
        <f t="shared" ca="1" si="3"/>
        <v>133.53147230742158</v>
      </c>
      <c r="M61" s="180">
        <f t="shared" ca="1" si="3"/>
        <v>177.93422143004935</v>
      </c>
      <c r="N61" s="180">
        <f t="shared" ca="1" si="3"/>
        <v>111.11111111111111</v>
      </c>
      <c r="O61" s="180">
        <f t="shared" ca="1" si="3"/>
        <v>111.11111111111111</v>
      </c>
      <c r="P61" s="180">
        <f t="shared" ca="1" si="3"/>
        <v>111.11111111111109</v>
      </c>
      <c r="Q61" s="180">
        <f t="shared" si="3"/>
        <v>0</v>
      </c>
      <c r="R61" s="181">
        <f ca="1">SUM(C61:Q61)</f>
        <v>2348.2818804360377</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114.57092859530582</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1697.6506457928554</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114.57092859530582</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22.94649831235914</v>
      </c>
      <c r="N64" s="183" cm="1">
        <f t="array" aca="1" ref="N64" ca="1">INDIRECT("R[40]C["&amp;$A$62&amp;"]",FALSE)</f>
        <v>16.666666666666668</v>
      </c>
      <c r="O64" s="183" cm="1">
        <f t="array" aca="1" ref="O64" ca="1">INDIRECT("R[40]C["&amp;$A$62&amp;"]",FALSE)</f>
        <v>13.93273946915634</v>
      </c>
      <c r="P64" s="183" cm="1">
        <f t="array" aca="1" ref="P64" ca="1">INDIRECT("R[40]C["&amp;$A$62&amp;"]",FALSE)</f>
        <v>16.666666666666664</v>
      </c>
      <c r="Q64" s="183"/>
      <c r="R64" s="115">
        <f ca="1">SUM(D64:Q64)</f>
        <v>185.69931629902399</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40.416794522384372</v>
      </c>
      <c r="N65" s="183" cm="1">
        <f t="array" aca="1" ref="N65" ca="1">INDIRECT("R[40]C["&amp;$A$62&amp;"]",FALSE)</f>
        <v>16.666666666666668</v>
      </c>
      <c r="O65" s="183" cm="1">
        <f t="array" aca="1" ref="O65" ca="1">INDIRECT("R[40]C["&amp;$A$62&amp;"]",FALSE)</f>
        <v>13.93273946915634</v>
      </c>
      <c r="P65" s="183" cm="1">
        <f t="array" aca="1" ref="P65" ca="1">INDIRECT("R[40]C["&amp;$A$62&amp;"]",FALSE)</f>
        <v>16.666666666666664</v>
      </c>
      <c r="Q65" s="183"/>
      <c r="R65" s="115">
        <f ca="1">SUM(D65:Q65)</f>
        <v>464.93191834415802</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5.9187903591276907</v>
      </c>
      <c r="N66" s="183" cm="1">
        <f t="array" aca="1" ref="N66" ca="1">INDIRECT("R[40]C["&amp;$A$62&amp;"]",FALSE)</f>
        <v>3.3641715727502106</v>
      </c>
      <c r="O66" s="183" cm="1">
        <f t="array" aca="1" ref="O66" ca="1">INDIRECT("R[40]C["&amp;$A$62&amp;"]",FALSE)</f>
        <v>4.0958567768220497</v>
      </c>
      <c r="P66" s="183" cm="1">
        <f t="array" aca="1" ref="P66" ca="1">INDIRECT("R[40]C["&amp;$A$62&amp;"]",FALSE)</f>
        <v>4.329004329004329</v>
      </c>
      <c r="Q66" s="183"/>
      <c r="R66" s="115">
        <f ca="1">SUM(D66:Q66)</f>
        <v>72.935318497005198</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5.5483238856710528</v>
      </c>
      <c r="N68" s="183" cm="1">
        <f t="array" aca="1" ref="N68" ca="1">INDIRECT("R[40]C["&amp;$A$68&amp;"]",FALSE)</f>
        <v>3.3641715727502102</v>
      </c>
      <c r="O68" s="183" cm="1">
        <f t="array" aca="1" ref="O68" ca="1">INDIRECT("R[40]C["&amp;$A$68&amp;"]",FALSE)</f>
        <v>4.0958567768220506</v>
      </c>
      <c r="P68" s="183" cm="1">
        <f t="array" aca="1" ref="P68" ca="1">INDIRECT("R[40]C["&amp;$A$68&amp;"]",FALSE)</f>
        <v>4.329004329004329</v>
      </c>
      <c r="Q68" s="183"/>
      <c r="R68" s="115">
        <f ca="1">SUM(D68:Q68)</f>
        <v>66.146463384235545</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480.95683062315203</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5739.2611938658356</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778.09971588845133</v>
      </c>
      <c r="N71" s="183" cm="1">
        <f t="array" aca="1" ref="N71" ca="1">INDIRECT("R[40]C["&amp;$A$70&amp;"]",FALSE)</f>
        <v>504.62573591253152</v>
      </c>
      <c r="O71" s="183" cm="1">
        <f t="array" aca="1" ref="O71" ca="1">INDIRECT("R[40]C["&amp;$A$70&amp;"]",FALSE)</f>
        <v>550.81491520380609</v>
      </c>
      <c r="P71" s="183" cm="1">
        <f t="array" aca="1" ref="P71" ca="1">INDIRECT("R[40]C["&amp;$A$70&amp;"]",FALSE)</f>
        <v>606.06060606060601</v>
      </c>
      <c r="Q71" s="183"/>
      <c r="R71" s="115">
        <f ca="1">SUM(D71:Q71)</f>
        <v>7243.0342865460216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4">E83+D82</f>
        <v>513.23076923076928</v>
      </c>
      <c r="F82" s="183">
        <f t="shared" si="4"/>
        <v>2493.2307692307695</v>
      </c>
      <c r="G82" s="183">
        <f t="shared" si="4"/>
        <v>5813.2307692307695</v>
      </c>
      <c r="H82" s="183">
        <f t="shared" si="4"/>
        <v>9813.2307692307695</v>
      </c>
      <c r="I82" s="183">
        <f t="shared" si="4"/>
        <v>12612.923076923078</v>
      </c>
      <c r="J82" s="183">
        <f t="shared" si="4"/>
        <v>16612.923076923078</v>
      </c>
      <c r="K82" s="183">
        <f t="shared" si="4"/>
        <v>20612.923076923078</v>
      </c>
      <c r="L82" s="186">
        <f t="shared" si="4"/>
        <v>24612.923076923078</v>
      </c>
      <c r="M82" s="183">
        <f t="shared" si="4"/>
        <v>27492.923076923078</v>
      </c>
      <c r="N82" s="183">
        <f t="shared" si="4"/>
        <v>30495.269731707151</v>
      </c>
      <c r="O82" s="183">
        <f t="shared" si="4"/>
        <v>32495.269731707151</v>
      </c>
      <c r="P82" s="183">
        <f t="shared" si="4"/>
        <v>34495.269731707151</v>
      </c>
      <c r="Q82" s="183">
        <f t="shared" si="4"/>
        <v>36495.269731707151</v>
      </c>
      <c r="R82" s="115">
        <f>Q82</f>
        <v>36495.269731707151</v>
      </c>
    </row>
    <row r="83" spans="1:19" ht="15.5" x14ac:dyDescent="0.35">
      <c r="A83" s="116"/>
      <c r="B83" s="120" t="s">
        <v>111</v>
      </c>
      <c r="C83" s="120"/>
      <c r="D83" s="183">
        <f t="shared" ref="D83:Q83" si="5">SUMPRODUCT(D86:D88,$B$86:$B$88)</f>
        <v>0</v>
      </c>
      <c r="E83" s="183">
        <f>SUMPRODUCT(E86:E88,$B$86:$B$88)</f>
        <v>513.23076923076928</v>
      </c>
      <c r="F83" s="183">
        <f>SUMPRODUCT(F86:F88,$B$86:$B$88)</f>
        <v>1980</v>
      </c>
      <c r="G83" s="183">
        <f t="shared" si="5"/>
        <v>3320</v>
      </c>
      <c r="H83" s="183">
        <f>SUMPRODUCT(H86:H88,$B$86:$B$88)</f>
        <v>4000</v>
      </c>
      <c r="I83" s="183">
        <f>SUMPRODUCT(I86:I88,$B$86:$B$88)</f>
        <v>2799.6923076923076</v>
      </c>
      <c r="J83" s="183">
        <f t="shared" si="5"/>
        <v>4000.0000000000005</v>
      </c>
      <c r="K83" s="183">
        <f t="shared" si="5"/>
        <v>4000.0000000000005</v>
      </c>
      <c r="L83" s="186">
        <f t="shared" si="5"/>
        <v>4000.0000000000005</v>
      </c>
      <c r="M83" s="183">
        <f t="shared" si="5"/>
        <v>2880.0000000000005</v>
      </c>
      <c r="N83" s="183">
        <f t="shared" si="5"/>
        <v>3002.3466547840735</v>
      </c>
      <c r="O83" s="183">
        <f t="shared" si="5"/>
        <v>2000</v>
      </c>
      <c r="P83" s="183">
        <f t="shared" si="5"/>
        <v>2000</v>
      </c>
      <c r="Q83" s="183">
        <f t="shared" si="5"/>
        <v>2000</v>
      </c>
      <c r="R83" s="115">
        <f>SUM(D83:Q83)</f>
        <v>36495.269731707151</v>
      </c>
    </row>
    <row r="84" spans="1:19" ht="15.5" x14ac:dyDescent="0.35">
      <c r="A84" s="116"/>
      <c r="B84" s="120" t="s">
        <v>84</v>
      </c>
      <c r="C84" s="120"/>
      <c r="D84" s="183">
        <f>ROUNDUP(D83/500,0)</f>
        <v>0</v>
      </c>
      <c r="E84" s="183">
        <f>ROUNDUP(E83/500,0)</f>
        <v>2</v>
      </c>
      <c r="F84" s="183">
        <f>ROUNDUP(F83/800,0)</f>
        <v>3</v>
      </c>
      <c r="G84" s="183">
        <f t="shared" ref="G84:Q84" si="6">ROUNDUP(G83/800,0)</f>
        <v>5</v>
      </c>
      <c r="H84" s="183">
        <f t="shared" si="6"/>
        <v>5</v>
      </c>
      <c r="I84" s="183">
        <f t="shared" si="6"/>
        <v>4</v>
      </c>
      <c r="J84" s="183">
        <f t="shared" si="6"/>
        <v>5</v>
      </c>
      <c r="K84" s="183">
        <f>ROUNDUP(K83/800,0)</f>
        <v>5</v>
      </c>
      <c r="L84" s="183">
        <f t="shared" si="6"/>
        <v>5</v>
      </c>
      <c r="M84" s="183">
        <f t="shared" si="6"/>
        <v>4</v>
      </c>
      <c r="N84" s="183">
        <f t="shared" si="6"/>
        <v>4</v>
      </c>
      <c r="O84" s="183">
        <f t="shared" si="6"/>
        <v>3</v>
      </c>
      <c r="P84" s="183">
        <f t="shared" si="6"/>
        <v>3</v>
      </c>
      <c r="Q84" s="183">
        <f t="shared" si="6"/>
        <v>3</v>
      </c>
      <c r="R84" s="115">
        <f>SUM(D84:Q84)</f>
        <v>51</v>
      </c>
    </row>
    <row r="85" spans="1:19" ht="15.5" x14ac:dyDescent="0.35">
      <c r="A85" s="116"/>
      <c r="B85" s="179" t="s">
        <v>245</v>
      </c>
      <c r="C85" s="179"/>
      <c r="D85" s="180">
        <f>SUM(D86:D88)</f>
        <v>0</v>
      </c>
      <c r="E85" s="180">
        <f t="shared" ref="E85:Q85" si="7">SUM(E86:E88)</f>
        <v>42.769230769230774</v>
      </c>
      <c r="F85" s="180">
        <f t="shared" si="7"/>
        <v>154</v>
      </c>
      <c r="G85" s="180">
        <f t="shared" si="7"/>
        <v>254.66666666666669</v>
      </c>
      <c r="H85" s="180">
        <f t="shared" si="7"/>
        <v>300</v>
      </c>
      <c r="I85" s="180">
        <f t="shared" si="7"/>
        <v>199.97435897435898</v>
      </c>
      <c r="J85" s="180">
        <f t="shared" si="7"/>
        <v>266.66666666666669</v>
      </c>
      <c r="K85" s="180">
        <f t="shared" si="7"/>
        <v>266.66666666666669</v>
      </c>
      <c r="L85" s="180">
        <f t="shared" si="7"/>
        <v>266.66666666666669</v>
      </c>
      <c r="M85" s="180">
        <f t="shared" si="7"/>
        <v>182.22222222222223</v>
      </c>
      <c r="N85" s="180">
        <f t="shared" si="7"/>
        <v>177.93422143004935</v>
      </c>
      <c r="O85" s="180">
        <f t="shared" si="7"/>
        <v>111.11111111111111</v>
      </c>
      <c r="P85" s="180">
        <f t="shared" si="7"/>
        <v>111.11111111111111</v>
      </c>
      <c r="Q85" s="180">
        <f t="shared" si="7"/>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239</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8">3*D86</f>
        <v>0</v>
      </c>
      <c r="E90" s="183">
        <f t="shared" si="8"/>
        <v>128.30769230769232</v>
      </c>
      <c r="F90" s="183">
        <f t="shared" si="8"/>
        <v>330</v>
      </c>
      <c r="G90" s="183">
        <f t="shared" si="8"/>
        <v>500</v>
      </c>
      <c r="H90" s="183">
        <f t="shared" si="8"/>
        <v>500</v>
      </c>
      <c r="I90" s="183">
        <f t="shared" si="8"/>
        <v>199.92307692307691</v>
      </c>
      <c r="J90" s="183">
        <f t="shared" si="8"/>
        <v>0</v>
      </c>
      <c r="K90" s="183">
        <f t="shared" si="8"/>
        <v>0</v>
      </c>
      <c r="L90" s="186">
        <f t="shared" si="8"/>
        <v>0</v>
      </c>
      <c r="M90" s="183">
        <f t="shared" si="8"/>
        <v>0</v>
      </c>
      <c r="N90" s="183">
        <f t="shared" si="8"/>
        <v>0</v>
      </c>
      <c r="O90" s="183">
        <f t="shared" si="8"/>
        <v>0</v>
      </c>
      <c r="P90" s="183">
        <f t="shared" si="8"/>
        <v>0</v>
      </c>
      <c r="Q90" s="183">
        <f t="shared" si="8"/>
        <v>0</v>
      </c>
      <c r="R90" s="115">
        <f>SUM(D90:Q90)</f>
        <v>1658.2307692307693</v>
      </c>
    </row>
    <row r="91" spans="1:19" ht="15.5" x14ac:dyDescent="0.35">
      <c r="A91" s="116"/>
      <c r="B91" s="182">
        <f>B87</f>
        <v>15</v>
      </c>
      <c r="C91" s="182"/>
      <c r="D91" s="183">
        <f t="shared" si="8"/>
        <v>0</v>
      </c>
      <c r="E91" s="183">
        <f t="shared" si="8"/>
        <v>0</v>
      </c>
      <c r="F91" s="183">
        <f t="shared" si="8"/>
        <v>132.00000000000003</v>
      </c>
      <c r="G91" s="183">
        <f t="shared" si="8"/>
        <v>264.00000000000006</v>
      </c>
      <c r="H91" s="183">
        <f t="shared" si="8"/>
        <v>400</v>
      </c>
      <c r="I91" s="183">
        <f t="shared" si="8"/>
        <v>400</v>
      </c>
      <c r="J91" s="183">
        <f t="shared" si="8"/>
        <v>800</v>
      </c>
      <c r="K91" s="183">
        <f t="shared" si="8"/>
        <v>800</v>
      </c>
      <c r="L91" s="186">
        <f t="shared" si="8"/>
        <v>800</v>
      </c>
      <c r="M91" s="183">
        <f t="shared" si="8"/>
        <v>400</v>
      </c>
      <c r="N91" s="183">
        <f t="shared" si="8"/>
        <v>200.4693309568147</v>
      </c>
      <c r="O91" s="183">
        <f t="shared" si="8"/>
        <v>0</v>
      </c>
      <c r="P91" s="183">
        <f t="shared" si="8"/>
        <v>0</v>
      </c>
      <c r="Q91" s="183">
        <f t="shared" si="8"/>
        <v>0</v>
      </c>
      <c r="R91" s="115">
        <f>SUM(D91:Q91)</f>
        <v>4196.4693309568147</v>
      </c>
    </row>
    <row r="92" spans="1:19" ht="15.5" x14ac:dyDescent="0.35">
      <c r="A92" s="116"/>
      <c r="B92" s="182">
        <f>B88</f>
        <v>18</v>
      </c>
      <c r="C92" s="182"/>
      <c r="D92" s="183">
        <f t="shared" si="8"/>
        <v>0</v>
      </c>
      <c r="E92" s="183">
        <f t="shared" si="8"/>
        <v>0</v>
      </c>
      <c r="F92" s="183">
        <f t="shared" si="8"/>
        <v>0</v>
      </c>
      <c r="G92" s="183">
        <f t="shared" si="8"/>
        <v>0</v>
      </c>
      <c r="H92" s="183">
        <f t="shared" si="8"/>
        <v>0</v>
      </c>
      <c r="I92" s="183">
        <f t="shared" si="8"/>
        <v>0</v>
      </c>
      <c r="J92" s="183">
        <f t="shared" si="8"/>
        <v>0</v>
      </c>
      <c r="K92" s="183">
        <f t="shared" si="8"/>
        <v>0</v>
      </c>
      <c r="L92" s="186">
        <f t="shared" si="8"/>
        <v>0</v>
      </c>
      <c r="M92" s="183">
        <f t="shared" si="8"/>
        <v>146.66666666666669</v>
      </c>
      <c r="N92" s="183">
        <f t="shared" si="8"/>
        <v>333.33333333333337</v>
      </c>
      <c r="O92" s="183">
        <f t="shared" si="8"/>
        <v>333.33333333333337</v>
      </c>
      <c r="P92" s="183">
        <f t="shared" si="8"/>
        <v>333.33333333333337</v>
      </c>
      <c r="Q92" s="183">
        <f t="shared" si="8"/>
        <v>333.33333333333337</v>
      </c>
      <c r="R92" s="115">
        <f>SUM(D92:Q92)</f>
        <v>1480.0000000000005</v>
      </c>
    </row>
    <row r="93" spans="1:19" ht="15.5" x14ac:dyDescent="0.35">
      <c r="A93" s="116"/>
      <c r="B93" s="179" t="s">
        <v>240</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9">D86</f>
        <v>0</v>
      </c>
      <c r="E94" s="183">
        <f t="shared" si="9"/>
        <v>42.769230769230774</v>
      </c>
      <c r="F94" s="183">
        <f t="shared" si="9"/>
        <v>110</v>
      </c>
      <c r="G94" s="183">
        <f t="shared" si="9"/>
        <v>166.66666666666666</v>
      </c>
      <c r="H94" s="183">
        <f t="shared" si="9"/>
        <v>166.66666666666666</v>
      </c>
      <c r="I94" s="183">
        <f t="shared" si="9"/>
        <v>66.641025641025635</v>
      </c>
      <c r="J94" s="183">
        <f t="shared" si="9"/>
        <v>0</v>
      </c>
      <c r="K94" s="183">
        <f t="shared" si="9"/>
        <v>0</v>
      </c>
      <c r="L94" s="186">
        <f t="shared" si="9"/>
        <v>0</v>
      </c>
      <c r="M94" s="183">
        <f t="shared" si="9"/>
        <v>0</v>
      </c>
      <c r="N94" s="183">
        <f t="shared" si="9"/>
        <v>0</v>
      </c>
      <c r="O94" s="183">
        <f t="shared" si="9"/>
        <v>0</v>
      </c>
      <c r="P94" s="183">
        <f t="shared" si="9"/>
        <v>0</v>
      </c>
      <c r="Q94" s="183">
        <f t="shared" si="9"/>
        <v>0</v>
      </c>
      <c r="R94" s="115">
        <f>SUM(D94:Q94)</f>
        <v>552.74358974358972</v>
      </c>
    </row>
    <row r="95" spans="1:19" ht="15.5" x14ac:dyDescent="0.35">
      <c r="A95" s="116"/>
      <c r="B95" s="182">
        <f>B87</f>
        <v>15</v>
      </c>
      <c r="C95" s="182"/>
      <c r="D95" s="183">
        <f t="shared" si="9"/>
        <v>0</v>
      </c>
      <c r="E95" s="183">
        <f t="shared" si="9"/>
        <v>0</v>
      </c>
      <c r="F95" s="183">
        <f t="shared" si="9"/>
        <v>44.000000000000007</v>
      </c>
      <c r="G95" s="183">
        <f t="shared" si="9"/>
        <v>88.000000000000014</v>
      </c>
      <c r="H95" s="183">
        <f t="shared" si="9"/>
        <v>133.33333333333334</v>
      </c>
      <c r="I95" s="183">
        <f t="shared" si="9"/>
        <v>133.33333333333334</v>
      </c>
      <c r="J95" s="183">
        <f t="shared" si="9"/>
        <v>266.66666666666669</v>
      </c>
      <c r="K95" s="183">
        <f t="shared" si="9"/>
        <v>266.66666666666669</v>
      </c>
      <c r="L95" s="186">
        <f t="shared" si="9"/>
        <v>266.66666666666669</v>
      </c>
      <c r="M95" s="183">
        <f t="shared" si="9"/>
        <v>133.33333333333334</v>
      </c>
      <c r="N95" s="183">
        <f t="shared" si="9"/>
        <v>66.823110318938234</v>
      </c>
      <c r="O95" s="183">
        <f t="shared" si="9"/>
        <v>0</v>
      </c>
      <c r="P95" s="183">
        <f t="shared" si="9"/>
        <v>0</v>
      </c>
      <c r="Q95" s="183">
        <f t="shared" si="9"/>
        <v>0</v>
      </c>
      <c r="R95" s="115">
        <f>SUM(D95:Q95)</f>
        <v>1398.8231103189385</v>
      </c>
    </row>
    <row r="96" spans="1:19" ht="15.5" x14ac:dyDescent="0.35">
      <c r="A96" s="116"/>
      <c r="B96" s="182">
        <f>B88</f>
        <v>18</v>
      </c>
      <c r="C96" s="182"/>
      <c r="D96" s="183">
        <f t="shared" si="9"/>
        <v>0</v>
      </c>
      <c r="E96" s="183">
        <f t="shared" si="9"/>
        <v>0</v>
      </c>
      <c r="F96" s="183">
        <f t="shared" si="9"/>
        <v>0</v>
      </c>
      <c r="G96" s="183">
        <f t="shared" si="9"/>
        <v>0</v>
      </c>
      <c r="H96" s="183">
        <f t="shared" si="9"/>
        <v>0</v>
      </c>
      <c r="I96" s="183">
        <f t="shared" si="9"/>
        <v>0</v>
      </c>
      <c r="J96" s="183">
        <f t="shared" si="9"/>
        <v>0</v>
      </c>
      <c r="K96" s="183">
        <f t="shared" si="9"/>
        <v>0</v>
      </c>
      <c r="L96" s="186">
        <f t="shared" si="9"/>
        <v>0</v>
      </c>
      <c r="M96" s="183">
        <f t="shared" si="9"/>
        <v>48.888888888888893</v>
      </c>
      <c r="N96" s="183">
        <f t="shared" si="9"/>
        <v>111.11111111111111</v>
      </c>
      <c r="O96" s="183">
        <f t="shared" si="9"/>
        <v>111.11111111111111</v>
      </c>
      <c r="P96" s="183">
        <f t="shared" si="9"/>
        <v>111.11111111111111</v>
      </c>
      <c r="Q96" s="183">
        <f t="shared" si="9"/>
        <v>111.11111111111111</v>
      </c>
      <c r="R96" s="115">
        <f>SUM(D96:Q96)</f>
        <v>493.33333333333326</v>
      </c>
    </row>
    <row r="97" spans="1:18" ht="15.5" x14ac:dyDescent="0.35">
      <c r="A97" s="116"/>
      <c r="B97" s="179" t="s">
        <v>241</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10">D86</f>
        <v>0</v>
      </c>
      <c r="E98" s="183">
        <f t="shared" si="10"/>
        <v>42.769230769230774</v>
      </c>
      <c r="F98" s="183">
        <f t="shared" si="10"/>
        <v>110</v>
      </c>
      <c r="G98" s="183">
        <f t="shared" si="10"/>
        <v>166.66666666666666</v>
      </c>
      <c r="H98" s="183">
        <f t="shared" si="10"/>
        <v>166.66666666666666</v>
      </c>
      <c r="I98" s="183">
        <f t="shared" si="10"/>
        <v>66.641025641025635</v>
      </c>
      <c r="J98" s="183">
        <f t="shared" si="10"/>
        <v>0</v>
      </c>
      <c r="K98" s="183">
        <f t="shared" si="10"/>
        <v>0</v>
      </c>
      <c r="L98" s="186">
        <f t="shared" si="10"/>
        <v>0</v>
      </c>
      <c r="M98" s="183">
        <f t="shared" si="10"/>
        <v>0</v>
      </c>
      <c r="N98" s="183">
        <f t="shared" si="10"/>
        <v>0</v>
      </c>
      <c r="O98" s="183">
        <f t="shared" si="10"/>
        <v>0</v>
      </c>
      <c r="P98" s="183">
        <f t="shared" si="10"/>
        <v>0</v>
      </c>
      <c r="Q98" s="183">
        <f t="shared" si="10"/>
        <v>0</v>
      </c>
      <c r="R98" s="115">
        <f>SUM(D98:Q98)</f>
        <v>552.74358974358972</v>
      </c>
    </row>
    <row r="99" spans="1:18" ht="15.5" x14ac:dyDescent="0.35">
      <c r="A99" s="116"/>
      <c r="B99" s="182">
        <f>B87</f>
        <v>15</v>
      </c>
      <c r="C99" s="182"/>
      <c r="D99" s="183">
        <f t="shared" si="10"/>
        <v>0</v>
      </c>
      <c r="E99" s="183">
        <f t="shared" si="10"/>
        <v>0</v>
      </c>
      <c r="F99" s="183">
        <f t="shared" si="10"/>
        <v>44.000000000000007</v>
      </c>
      <c r="G99" s="183">
        <f t="shared" si="10"/>
        <v>88.000000000000014</v>
      </c>
      <c r="H99" s="183">
        <f t="shared" si="10"/>
        <v>133.33333333333334</v>
      </c>
      <c r="I99" s="183">
        <f t="shared" si="10"/>
        <v>133.33333333333334</v>
      </c>
      <c r="J99" s="183">
        <f t="shared" si="10"/>
        <v>266.66666666666669</v>
      </c>
      <c r="K99" s="183">
        <f t="shared" si="10"/>
        <v>266.66666666666669</v>
      </c>
      <c r="L99" s="186">
        <f t="shared" si="10"/>
        <v>266.66666666666669</v>
      </c>
      <c r="M99" s="183">
        <f t="shared" si="10"/>
        <v>133.33333333333334</v>
      </c>
      <c r="N99" s="183">
        <f t="shared" si="10"/>
        <v>66.823110318938234</v>
      </c>
      <c r="O99" s="183">
        <f t="shared" si="10"/>
        <v>0</v>
      </c>
      <c r="P99" s="183">
        <f t="shared" si="10"/>
        <v>0</v>
      </c>
      <c r="Q99" s="183">
        <f t="shared" si="10"/>
        <v>0</v>
      </c>
      <c r="R99" s="115">
        <f>SUM(D99:Q99)</f>
        <v>1398.8231103189385</v>
      </c>
    </row>
    <row r="100" spans="1:18" ht="15.5" x14ac:dyDescent="0.35">
      <c r="A100" s="116"/>
      <c r="B100" s="182">
        <f>B88</f>
        <v>18</v>
      </c>
      <c r="C100" s="182"/>
      <c r="D100" s="183">
        <f t="shared" si="10"/>
        <v>0</v>
      </c>
      <c r="E100" s="183">
        <f t="shared" si="10"/>
        <v>0</v>
      </c>
      <c r="F100" s="183">
        <f t="shared" si="10"/>
        <v>0</v>
      </c>
      <c r="G100" s="183">
        <f t="shared" si="10"/>
        <v>0</v>
      </c>
      <c r="H100" s="183">
        <f t="shared" si="10"/>
        <v>0</v>
      </c>
      <c r="I100" s="183">
        <f t="shared" si="10"/>
        <v>0</v>
      </c>
      <c r="J100" s="183">
        <f t="shared" si="10"/>
        <v>0</v>
      </c>
      <c r="K100" s="183">
        <f t="shared" si="10"/>
        <v>0</v>
      </c>
      <c r="L100" s="186">
        <f t="shared" si="10"/>
        <v>0</v>
      </c>
      <c r="M100" s="183">
        <f t="shared" si="10"/>
        <v>48.888888888888893</v>
      </c>
      <c r="N100" s="183">
        <f t="shared" si="10"/>
        <v>111.11111111111111</v>
      </c>
      <c r="O100" s="183">
        <f t="shared" si="10"/>
        <v>111.11111111111111</v>
      </c>
      <c r="P100" s="183">
        <f t="shared" si="10"/>
        <v>111.11111111111111</v>
      </c>
      <c r="Q100" s="183">
        <f t="shared" si="10"/>
        <v>111.11111111111111</v>
      </c>
      <c r="R100" s="115">
        <f>SUM(D100:Q100)</f>
        <v>493.33333333333326</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114.57092859530582</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1697.6506457928554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114.57092859530582</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1697.6506457928554</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22.94649831235914</v>
      </c>
      <c r="O104" s="183">
        <f>IF(SUM('EC-UNC'!O$86:O$88)=0,0,'EC-UNC'!O104*SUM(O$86:O$88)/SUM('EC-UNC'!O$86:O$88))</f>
        <v>16.666666666666668</v>
      </c>
      <c r="P104" s="183">
        <f>IF(SUM('EC-UNC'!P$86:P$88)=0,0,'EC-UNC'!P104*SUM(P$86:P$88)/SUM('EC-UNC'!P$86:P$88))</f>
        <v>13.93273946915634</v>
      </c>
      <c r="Q104" s="183">
        <f>IF(SUM('EC-UNC'!Q$86:Q$88)=0,0,'EC-UNC'!Q104*SUM(Q$86:Q$88)/SUM('EC-UNC'!Q$86:Q$88))</f>
        <v>16.666666666666664</v>
      </c>
      <c r="R104" s="115">
        <f>SUM(D104:Q104)</f>
        <v>185.69931629902399</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40.416794522384372</v>
      </c>
      <c r="O105" s="183">
        <f>IF(SUM('EC-UNC'!O$86:O$88)=0,0,'EC-UNC'!O105*SUM(O$86:O$88)/SUM('EC-UNC'!O$86:O$88))</f>
        <v>16.666666666666668</v>
      </c>
      <c r="P105" s="183">
        <f>IF(SUM('EC-UNC'!P$86:P$88)=0,0,'EC-UNC'!P105*SUM(P$86:P$88)/SUM('EC-UNC'!P$86:P$88))</f>
        <v>13.93273946915634</v>
      </c>
      <c r="Q105" s="183">
        <f>IF(SUM('EC-UNC'!Q$86:Q$88)=0,0,'EC-UNC'!Q105*SUM(Q$86:Q$88)/SUM('EC-UNC'!Q$86:Q$88))</f>
        <v>16.666666666666664</v>
      </c>
      <c r="R105" s="115">
        <f>SUM(D105:Q105)</f>
        <v>464.93191834415802</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5.9187903591276907</v>
      </c>
      <c r="O106" s="183">
        <f>IF(SUM('EC-UNC'!O$86:O$88)=0,0,'EC-UNC'!O106*SUM(O$86:O$88)/SUM('EC-UNC'!O$86:O$88))</f>
        <v>3.3641715727502106</v>
      </c>
      <c r="P106" s="183">
        <f>IF(SUM('EC-UNC'!P$86:P$88)=0,0,'EC-UNC'!P106*SUM(P$86:P$88)/SUM('EC-UNC'!P$86:P$88))</f>
        <v>4.0958567768220497</v>
      </c>
      <c r="Q106" s="183">
        <f>IF(SUM('EC-UNC'!Q$86:Q$88)=0,0,'EC-UNC'!Q106*SUM(Q$86:Q$88)/SUM('EC-UNC'!Q$86:Q$88))</f>
        <v>4.329004329004329</v>
      </c>
      <c r="R106" s="115">
        <f>SUM(D106:Q106)</f>
        <v>72.935318497005198</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5.5483238856710528</v>
      </c>
      <c r="O108" s="183">
        <f>IF('EC-UNC'!O$83=0,0,'EC-UNC'!O108*O$83/'EC-UNC'!O$83)</f>
        <v>3.3641715727502102</v>
      </c>
      <c r="P108" s="183">
        <f>IF('EC-UNC'!P$83=0,0,'EC-UNC'!P108*P$83/'EC-UNC'!P$83)</f>
        <v>4.0958567768220506</v>
      </c>
      <c r="Q108" s="183">
        <f>IF('EC-UNC'!Q$83=0,0,'EC-UNC'!Q108*Q$83/'EC-UNC'!Q$83)</f>
        <v>4.329004329004329</v>
      </c>
      <c r="R108" s="115">
        <f>SUM(D108:Q108)</f>
        <v>66.146463384235545</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v>0</v>
      </c>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480.95683062315203</v>
      </c>
      <c r="O110" s="183">
        <f>IF('EC-UNC'!O$83=0,0,'EC-UNC'!O110*O$83/'EC-UNC'!O$83)</f>
        <v>244</v>
      </c>
      <c r="P110" s="183">
        <f>IF('EC-UNC'!P$83=0,0,'EC-UNC'!P110*P$83/'EC-UNC'!P$83)</f>
        <v>244</v>
      </c>
      <c r="Q110" s="183">
        <f>IF('EC-UNC'!Q$83=0,0,'EC-UNC'!Q110*Q$83/'EC-UNC'!Q$83)</f>
        <v>244.00000000000003</v>
      </c>
      <c r="R110" s="115">
        <f>SUM(D110:Q110)</f>
        <v>5739.2611938658356</v>
      </c>
    </row>
    <row r="111" spans="1:18" ht="15.5" x14ac:dyDescent="0.35">
      <c r="A111" s="116"/>
      <c r="B111" s="116" t="str">
        <f>[1]Detailed!B101</f>
        <v>Export cable, km</v>
      </c>
      <c r="C111" s="116"/>
      <c r="D111" s="183">
        <v>0</v>
      </c>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778.09971588845133</v>
      </c>
      <c r="O111" s="183">
        <f>IF('EC-UNC'!O$83=0,0,'EC-UNC'!O111*O$83/'EC-UNC'!O$83)</f>
        <v>504.62573591253152</v>
      </c>
      <c r="P111" s="183">
        <f>IF('EC-UNC'!P$83=0,0,'EC-UNC'!P111*P$83/'EC-UNC'!P$83)</f>
        <v>550.81491520380609</v>
      </c>
      <c r="Q111" s="183">
        <f>IF('EC-UNC'!Q$83=0,0,'EC-UNC'!Q111*Q$83/'EC-UNC'!Q$83)</f>
        <v>606.06060606060601</v>
      </c>
      <c r="R111" s="115">
        <f>SUM(D111:Q111)</f>
        <v>7243.0342865460216</v>
      </c>
    </row>
    <row r="112" spans="1:18" ht="15.5" x14ac:dyDescent="0.35">
      <c r="A112" s="116"/>
      <c r="B112" s="135" t="s">
        <v>244</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140</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232.48158467653528</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293</v>
      </c>
      <c r="C117" s="116"/>
      <c r="D117" s="107"/>
      <c r="E117" s="108">
        <f>SUM(E113:E116)</f>
        <v>128.30769230769232</v>
      </c>
      <c r="F117" s="108">
        <f t="shared" ref="F117:Q117" si="11">SUM(F113:F116)</f>
        <v>442.10143657443609</v>
      </c>
      <c r="G117" s="108">
        <f t="shared" si="11"/>
        <v>719.19002123142263</v>
      </c>
      <c r="H117" s="108">
        <f t="shared" si="11"/>
        <v>839.07275711159741</v>
      </c>
      <c r="I117" s="108">
        <f t="shared" si="11"/>
        <v>591.62007214021264</v>
      </c>
      <c r="J117" s="108">
        <f t="shared" si="11"/>
        <v>728.92961671568332</v>
      </c>
      <c r="K117" s="108">
        <f>SUM(K113:K116)</f>
        <v>819.7733217088055</v>
      </c>
      <c r="L117" s="108">
        <f t="shared" si="11"/>
        <v>760.60003066077866</v>
      </c>
      <c r="M117" s="108">
        <f t="shared" si="11"/>
        <v>453.14514023080869</v>
      </c>
      <c r="N117" s="108">
        <f t="shared" si="11"/>
        <v>499.38291682160923</v>
      </c>
      <c r="O117" s="108">
        <f t="shared" si="11"/>
        <v>308.33333333333331</v>
      </c>
      <c r="P117" s="108">
        <f t="shared" si="11"/>
        <v>312.43422412959882</v>
      </c>
      <c r="Q117" s="108">
        <f t="shared" si="11"/>
        <v>308.33333333333331</v>
      </c>
      <c r="R117" s="115"/>
    </row>
    <row r="118" spans="1:18" ht="15.5" x14ac:dyDescent="0.35">
      <c r="A118" s="116"/>
      <c r="B118" s="116" t="s">
        <v>138</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55.483238856710528</v>
      </c>
      <c r="O118" s="183">
        <f>O108*Assumptions!$K$27/24</f>
        <v>33.641715727502103</v>
      </c>
      <c r="P118" s="183">
        <f>P108*Assumptions!$K$27/24</f>
        <v>40.958567768220504</v>
      </c>
      <c r="Q118" s="183">
        <f>Q108*Assumptions!$K$27/24</f>
        <v>43.290043290043286</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546.76413662790083</v>
      </c>
      <c r="O119" s="183">
        <f>(ROUNDUP(O83/400,1)+O84)*Assumptions!$K$45+SUM(O110:O111)/Assumptions!$K$44</f>
        <v>347.1564339781329</v>
      </c>
      <c r="P119" s="183">
        <f>(ROUNDUP(P83/400,1)+P84)*Assumptions!$K$45+SUM(P110:P111)/Assumptions!$K$44</f>
        <v>358.70372880095152</v>
      </c>
      <c r="Q119" s="183">
        <f>(ROUNDUP(Q83/400,1)+Q84)*Assumptions!$K$45+SUM(Q110:Q111)/Assumptions!$K$44</f>
        <v>372.5151515151515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171.85639289295872</v>
      </c>
      <c r="O120" s="108">
        <f>O102*Assumptions!$K$28/24</f>
        <v>116.66666666666667</v>
      </c>
      <c r="P120" s="108">
        <f>P102*Assumptions!$K$28/24</f>
        <v>124.86844825919763</v>
      </c>
      <c r="Q120" s="108">
        <f>Q102*Assumptions!$K$28/24</f>
        <v>116.66666666666667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2">SUM(E122:E125)</f>
        <v>2</v>
      </c>
      <c r="F126" s="124">
        <f t="shared" si="12"/>
        <v>3</v>
      </c>
      <c r="G126" s="124">
        <f t="shared" si="12"/>
        <v>5</v>
      </c>
      <c r="H126" s="124">
        <f t="shared" si="12"/>
        <v>5</v>
      </c>
      <c r="I126" s="124">
        <f>SUM(I122:I125)</f>
        <v>4</v>
      </c>
      <c r="J126" s="124">
        <f t="shared" si="12"/>
        <v>4</v>
      </c>
      <c r="K126" s="124">
        <f t="shared" si="12"/>
        <v>4</v>
      </c>
      <c r="L126" s="190">
        <f t="shared" si="12"/>
        <v>4</v>
      </c>
      <c r="M126" s="124">
        <f t="shared" si="12"/>
        <v>3</v>
      </c>
      <c r="N126" s="124">
        <f t="shared" si="12"/>
        <v>3</v>
      </c>
      <c r="O126" s="124">
        <f t="shared" si="12"/>
        <v>2</v>
      </c>
      <c r="P126" s="124">
        <f t="shared" si="12"/>
        <v>2</v>
      </c>
      <c r="Q126" s="124">
        <f t="shared" si="12"/>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142</v>
      </c>
      <c r="C129" s="116"/>
      <c r="D129" s="183">
        <f>D126*2</f>
        <v>0</v>
      </c>
      <c r="E129" s="183">
        <f t="shared" ref="E129:Q129" si="13">E126*2</f>
        <v>4</v>
      </c>
      <c r="F129" s="183">
        <f t="shared" si="13"/>
        <v>6</v>
      </c>
      <c r="G129" s="183">
        <f t="shared" si="13"/>
        <v>10</v>
      </c>
      <c r="H129" s="183">
        <f t="shared" si="13"/>
        <v>10</v>
      </c>
      <c r="I129" s="183">
        <f t="shared" si="13"/>
        <v>8</v>
      </c>
      <c r="J129" s="183">
        <f t="shared" si="13"/>
        <v>8</v>
      </c>
      <c r="K129" s="183">
        <f t="shared" si="13"/>
        <v>8</v>
      </c>
      <c r="L129" s="186">
        <f t="shared" si="13"/>
        <v>8</v>
      </c>
      <c r="M129" s="183">
        <f t="shared" si="13"/>
        <v>6</v>
      </c>
      <c r="N129" s="183">
        <f t="shared" si="13"/>
        <v>6</v>
      </c>
      <c r="O129" s="183">
        <f t="shared" si="13"/>
        <v>4</v>
      </c>
      <c r="P129" s="183">
        <f t="shared" si="13"/>
        <v>4</v>
      </c>
      <c r="Q129" s="183">
        <f t="shared" si="13"/>
        <v>4</v>
      </c>
      <c r="R129" s="115"/>
    </row>
    <row r="130" spans="1:24"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343</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195</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246</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14">G138*$B138+G139*$B139+G140*$B140</f>
        <v>3320</v>
      </c>
      <c r="H144" s="116">
        <f t="shared" si="14"/>
        <v>4000</v>
      </c>
      <c r="I144" s="116">
        <f t="shared" si="14"/>
        <v>4000</v>
      </c>
      <c r="J144" s="116">
        <f t="shared" si="14"/>
        <v>4000.0000000000005</v>
      </c>
      <c r="K144" s="116">
        <f t="shared" si="14"/>
        <v>4000.0000000000005</v>
      </c>
      <c r="L144" s="116">
        <f t="shared" si="14"/>
        <v>4000.0000000000005</v>
      </c>
      <c r="M144" s="116">
        <f t="shared" si="14"/>
        <v>2880.0000000000005</v>
      </c>
      <c r="N144" s="116">
        <f t="shared" si="14"/>
        <v>4000</v>
      </c>
      <c r="O144" s="116">
        <f t="shared" si="14"/>
        <v>4000</v>
      </c>
      <c r="P144" s="116">
        <f t="shared" si="14"/>
        <v>4000</v>
      </c>
      <c r="Q144" s="116">
        <f t="shared" si="14"/>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78" activePane="bottomLeft" state="frozen"/>
      <selection pane="bottomLeft"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189</v>
      </c>
      <c r="Q2" s="83"/>
      <c r="R2" s="83"/>
    </row>
    <row r="3" spans="1:19" x14ac:dyDescent="0.35">
      <c r="Q3" s="83"/>
      <c r="R3" s="83"/>
    </row>
    <row r="4" spans="1:19" x14ac:dyDescent="0.35">
      <c r="Q4" s="83"/>
      <c r="R4" s="83"/>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ca="1">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ca="1">SUM(C12:P12)</f>
        <v>416.66666666666663</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ca="1">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ca="1">SUM(C16:P16)</f>
        <v>1250</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ca="1">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ca="1">SUM(C20:P20)</f>
        <v>416.66666666666663</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ca="1">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ca="1">SUM(C24:P24)</f>
        <v>416.66666666666663</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118.0473889376599</v>
      </c>
      <c r="M26" s="183" cm="1">
        <f t="array" aca="1" ref="M26" ca="1">INDIRECT("R[36]C["&amp;$A$18&amp;"]",FALSE)</f>
        <v>128.33333333333329</v>
      </c>
      <c r="N26" s="183" cm="1">
        <f t="array" aca="1" ref="N26" ca="1">INDIRECT("R[36]C["&amp;$A$18&amp;"]",FALSE)</f>
        <v>137.35529308511735</v>
      </c>
      <c r="O26" s="183" cm="1">
        <f t="array" aca="1" ref="O26" ca="1">INDIRECT("R[36]C["&amp;$A$18&amp;"]",FALSE)</f>
        <v>128.33333333333331</v>
      </c>
      <c r="P26" s="183"/>
      <c r="Q26" s="183"/>
      <c r="R26" s="115">
        <f ca="1">SUM(C26:Q26)</f>
        <v>1566.6263083061153</v>
      </c>
    </row>
    <row r="27" spans="1:18" ht="15.5" x14ac:dyDescent="0.35">
      <c r="A27" s="121">
        <f>A26</f>
        <v>1</v>
      </c>
      <c r="B27" s="106" t="s">
        <v>258</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118.0473889376599</v>
      </c>
      <c r="M27" s="183" cm="1">
        <f t="array" aca="1" ref="M27" ca="1">INDIRECT("R[36]C["&amp;$A$19&amp;"]",FALSE)</f>
        <v>128.33333333333329</v>
      </c>
      <c r="N27" s="183" cm="1">
        <f t="array" aca="1" ref="N27" ca="1">INDIRECT("R[36]C["&amp;$A$19&amp;"]",FALSE)</f>
        <v>137.35529308511735</v>
      </c>
      <c r="O27" s="183" cm="1">
        <f t="array" aca="1" ref="O27" ca="1">INDIRECT("R[36]C["&amp;$A$19&amp;"]",FALSE)</f>
        <v>128.33333333333331</v>
      </c>
      <c r="P27" s="183"/>
      <c r="Q27" s="183"/>
      <c r="R27" s="115">
        <f ca="1">SUM(C27:Q27)</f>
        <v>1566.6263083061153</v>
      </c>
    </row>
    <row r="28" spans="1:18" ht="15.5" x14ac:dyDescent="0.35">
      <c r="A28" s="121">
        <f>Assumptions!C53</f>
        <v>1</v>
      </c>
      <c r="B28" s="106" t="s">
        <v>353</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23.642770851622469</v>
      </c>
      <c r="M28" s="183" cm="1">
        <f t="array" aca="1" ref="M28" ca="1">INDIRECT("R[36]C["&amp;$A$28&amp;"]",FALSE)</f>
        <v>27.499999999999996</v>
      </c>
      <c r="N28" s="183" cm="1">
        <f t="array" aca="1" ref="N28" ca="1">INDIRECT("R[36]C["&amp;$A$28&amp;"]",FALSE)</f>
        <v>22.989020124107959</v>
      </c>
      <c r="O28" s="183" cm="1">
        <f t="array" aca="1" ref="O28" ca="1">INDIRECT("R[36]C["&amp;$A$28&amp;"]",FALSE)</f>
        <v>27.499999999999996</v>
      </c>
      <c r="P28" s="183"/>
      <c r="Q28" s="183"/>
      <c r="R28" s="115">
        <f ca="1">SUM(C28:Q28)</f>
        <v>186.94225655985622</v>
      </c>
    </row>
    <row r="29" spans="1:18" ht="15.5" x14ac:dyDescent="0.35">
      <c r="A29" s="121">
        <f>Assumptions!C52</f>
        <v>1</v>
      </c>
      <c r="B29" s="106" t="s">
        <v>117</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41.643173544050946</v>
      </c>
      <c r="M29" s="183" cm="1">
        <f t="array" aca="1" ref="M29" ca="1">INDIRECT("R[36]C["&amp;$A$29&amp;"]",FALSE)</f>
        <v>27.499999999999996</v>
      </c>
      <c r="N29" s="183" cm="1">
        <f t="array" aca="1" ref="N29" ca="1">INDIRECT("R[36]C["&amp;$A$29&amp;"]",FALSE)</f>
        <v>22.989020124107959</v>
      </c>
      <c r="O29" s="183" cm="1">
        <f t="array" aca="1" ref="O29" ca="1">INDIRECT("R[36]C["&amp;$A$29&amp;"]",FALSE)</f>
        <v>27.499999999999996</v>
      </c>
      <c r="P29" s="183"/>
      <c r="Q29" s="183"/>
      <c r="R29" s="115">
        <f ca="1">SUM(C29:Q29)</f>
        <v>433.99122003851835</v>
      </c>
    </row>
    <row r="30" spans="1:18" ht="15.5" x14ac:dyDescent="0.35">
      <c r="A30" s="121">
        <f>Assumptions!C54</f>
        <v>1</v>
      </c>
      <c r="B30" s="106" t="s">
        <v>354</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6.0983860053399708</v>
      </c>
      <c r="M30" s="183" cm="1">
        <f t="array" aca="1" ref="M30" ca="1">INDIRECT("R[36]C["&amp;$A$30&amp;"]",FALSE)</f>
        <v>5.5508830950378476</v>
      </c>
      <c r="N30" s="183" cm="1">
        <f t="array" aca="1" ref="N30" ca="1">INDIRECT("R[36]C["&amp;$A$30&amp;"]",FALSE)</f>
        <v>6.7581636817563817</v>
      </c>
      <c r="O30" s="183" cm="1">
        <f t="array" aca="1" ref="O30" ca="1">INDIRECT("R[36]C["&amp;$A$30&amp;"]",FALSE)</f>
        <v>7.1428571428571415</v>
      </c>
      <c r="P30" s="183"/>
      <c r="Q30" s="183"/>
      <c r="R30" s="115">
        <f ca="1">SUM(C30:Q30)</f>
        <v>69.459978793154463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5.5439872775817927</v>
      </c>
      <c r="L32" s="183" cm="1">
        <f t="array" aca="1" ref="L32" ca="1">INDIRECT("R[36]C["&amp;$A$32&amp;"]",FALSE)</f>
        <v>5.046257359125315</v>
      </c>
      <c r="M32" s="183" cm="1">
        <f t="array" aca="1" ref="M32" ca="1">INDIRECT("R[36]C["&amp;$A$32&amp;"]",FALSE)</f>
        <v>6.1437851652330755</v>
      </c>
      <c r="N32" s="183" cm="1">
        <f t="array" aca="1" ref="N32" ca="1">INDIRECT("R[36]C["&amp;$A$32&amp;"]",FALSE)</f>
        <v>6.4935064935064934</v>
      </c>
      <c r="O32" s="183" cm="1">
        <f t="array" aca="1" ref="O32" ca="1">INDIRECT("R[36]C["&amp;$A$32&amp;"]",FALSE)</f>
        <v>0</v>
      </c>
      <c r="P32" s="183"/>
      <c r="Q32" s="183"/>
      <c r="R32" s="115">
        <f ca="1">SUM(C32:Q32)</f>
        <v>59.785976140956187</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480.5809114581495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5061.1502698061377</v>
      </c>
    </row>
    <row r="35" spans="1:19" ht="15.5" x14ac:dyDescent="0.35">
      <c r="A35" s="121">
        <f>Assumptions!C50</f>
        <v>1</v>
      </c>
      <c r="B35" s="106" t="s">
        <v>358</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777.49154780170943</v>
      </c>
      <c r="M35" s="183" cm="1">
        <f t="array" aca="1" ref="M35" ca="1">INDIRECT("R[36]C["&amp;$A$35&amp;"]",FALSE)</f>
        <v>756.93860386879726</v>
      </c>
      <c r="N35" s="183" cm="1">
        <f t="array" aca="1" ref="N35" ca="1">INDIRECT("R[36]C["&amp;$A$35&amp;"]",FALSE)</f>
        <v>826.22237280570926</v>
      </c>
      <c r="O35" s="183" cm="1">
        <f t="array" aca="1" ref="O35" ca="1">INDIRECT("R[36]C["&amp;$A$35&amp;"]",FALSE)</f>
        <v>909.09090909090912</v>
      </c>
      <c r="P35" s="183"/>
      <c r="Q35" s="183"/>
      <c r="R35" s="115">
        <f ca="1">SUM(C35:Q35)</f>
        <v>7131.6575431757092</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143</v>
      </c>
      <c r="F45" s="180">
        <f t="shared" ca="1" si="2"/>
        <v>191</v>
      </c>
      <c r="G45" s="180">
        <f t="shared" ca="1" si="2"/>
        <v>225</v>
      </c>
      <c r="H45" s="180">
        <f t="shared" ca="1" si="2"/>
        <v>225</v>
      </c>
      <c r="I45" s="180">
        <f t="shared" ca="1" si="2"/>
        <v>124.97435897435901</v>
      </c>
      <c r="J45" s="180">
        <f t="shared" ca="1" si="2"/>
        <v>200</v>
      </c>
      <c r="K45" s="180">
        <f t="shared" ca="1" si="2"/>
        <v>200</v>
      </c>
      <c r="L45" s="180">
        <f t="shared" ca="1" si="2"/>
        <v>183.33333333333331</v>
      </c>
      <c r="M45" s="180">
        <f t="shared" ca="1" si="2"/>
        <v>183.33333333333331</v>
      </c>
      <c r="N45" s="180">
        <f t="shared" ca="1" si="2"/>
        <v>183.33333333333331</v>
      </c>
      <c r="O45" s="180">
        <f t="shared" ca="1" si="2"/>
        <v>183.33333333333331</v>
      </c>
      <c r="P45" s="180">
        <f t="shared" ca="1" si="2"/>
        <v>183.33333333333331</v>
      </c>
      <c r="Q45" s="180">
        <f t="shared" si="2"/>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116</v>
      </c>
      <c r="C61" s="179"/>
      <c r="D61" s="180">
        <f ca="1">SUM(D63:D65)</f>
        <v>42.769230769230774</v>
      </c>
      <c r="E61" s="180">
        <f t="shared" ref="E61:Q61" ca="1" si="3">SUM(E63:E65)</f>
        <v>143</v>
      </c>
      <c r="F61" s="180">
        <f t="shared" ca="1" si="3"/>
        <v>176.50265392781318</v>
      </c>
      <c r="G61" s="180">
        <f t="shared" ca="1" si="3"/>
        <v>204.69091903719914</v>
      </c>
      <c r="H61" s="180">
        <f t="shared" ca="1" si="3"/>
        <v>225.00000000000006</v>
      </c>
      <c r="I61" s="180">
        <f t="shared" ca="1" si="3"/>
        <v>118.17353732958865</v>
      </c>
      <c r="J61" s="180">
        <f t="shared" ca="1" si="3"/>
        <v>223.27811682650392</v>
      </c>
      <c r="K61" s="180">
        <f t="shared" ca="1" si="3"/>
        <v>186.46630507884194</v>
      </c>
      <c r="L61" s="180">
        <f t="shared" ca="1" si="3"/>
        <v>134.34568860197899</v>
      </c>
      <c r="M61" s="180">
        <f t="shared" ca="1" si="3"/>
        <v>183.33333333333331</v>
      </c>
      <c r="N61" s="180">
        <f t="shared" ca="1" si="3"/>
        <v>183.33333333333329</v>
      </c>
      <c r="O61" s="180">
        <f t="shared" ca="1" si="3"/>
        <v>183.33333333333326</v>
      </c>
      <c r="P61" s="180">
        <f t="shared" ca="1" si="3"/>
        <v>183.33333333333331</v>
      </c>
      <c r="Q61" s="180">
        <f t="shared" si="3"/>
        <v>0</v>
      </c>
      <c r="R61" s="181">
        <f ca="1">SUM(C61:Q61)</f>
        <v>2187.5597849044898</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118.0473889376599</v>
      </c>
      <c r="N62" s="183" cm="1">
        <f t="array" aca="1" ref="N62" ca="1">INDIRECT("R[40]C["&amp;$A$62&amp;"]",FALSE)</f>
        <v>128.33333333333329</v>
      </c>
      <c r="O62" s="183" cm="1">
        <f t="array" aca="1" ref="O62" ca="1">INDIRECT("R[40]C["&amp;$A$62&amp;"]",FALSE)</f>
        <v>137.35529308511735</v>
      </c>
      <c r="P62" s="183" cm="1">
        <f t="array" aca="1" ref="P62" ca="1">INDIRECT("R[40]C["&amp;$A$62&amp;"]",FALSE)</f>
        <v>128.33333333333331</v>
      </c>
      <c r="Q62" s="183"/>
      <c r="R62" s="115">
        <f ca="1">SUM(D62:Q62)</f>
        <v>1566.6263083061153</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118.0473889376599</v>
      </c>
      <c r="N63" s="183" cm="1">
        <f t="array" aca="1" ref="N63" ca="1">INDIRECT("R[40]C["&amp;$A$62&amp;"]",FALSE)</f>
        <v>128.33333333333329</v>
      </c>
      <c r="O63" s="183" cm="1">
        <f t="array" aca="1" ref="O63" ca="1">INDIRECT("R[40]C["&amp;$A$62&amp;"]",FALSE)</f>
        <v>137.35529308511735</v>
      </c>
      <c r="P63" s="183" cm="1">
        <f t="array" aca="1" ref="P63" ca="1">INDIRECT("R[40]C["&amp;$A$62&amp;"]",FALSE)</f>
        <v>128.33333333333331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23.642770851622469</v>
      </c>
      <c r="N64" s="183" cm="1">
        <f t="array" aca="1" ref="N64" ca="1">INDIRECT("R[40]C["&amp;$A$62&amp;"]",FALSE)</f>
        <v>27.499999999999996</v>
      </c>
      <c r="O64" s="183" cm="1">
        <f t="array" aca="1" ref="O64" ca="1">INDIRECT("R[40]C["&amp;$A$62&amp;"]",FALSE)</f>
        <v>22.989020124107959</v>
      </c>
      <c r="P64" s="183" cm="1">
        <f t="array" aca="1" ref="P64" ca="1">INDIRECT("R[40]C["&amp;$A$62&amp;"]",FALSE)</f>
        <v>27.499999999999996</v>
      </c>
      <c r="Q64" s="183"/>
      <c r="R64" s="115">
        <f ca="1">SUM(D64:Q64)</f>
        <v>186.94225655985622</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41.643173544050946</v>
      </c>
      <c r="N65" s="183" cm="1">
        <f t="array" aca="1" ref="N65" ca="1">INDIRECT("R[40]C["&amp;$A$62&amp;"]",FALSE)</f>
        <v>27.499999999999996</v>
      </c>
      <c r="O65" s="183" cm="1">
        <f t="array" aca="1" ref="O65" ca="1">INDIRECT("R[40]C["&amp;$A$62&amp;"]",FALSE)</f>
        <v>22.989020124107959</v>
      </c>
      <c r="P65" s="183" cm="1">
        <f t="array" aca="1" ref="P65" ca="1">INDIRECT("R[40]C["&amp;$A$62&amp;"]",FALSE)</f>
        <v>27.499999999999996</v>
      </c>
      <c r="Q65" s="183"/>
      <c r="R65" s="115">
        <f ca="1">SUM(D65:Q65)</f>
        <v>433.99122003851835</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6.0983860053399708</v>
      </c>
      <c r="N66" s="183" cm="1">
        <f t="array" aca="1" ref="N66" ca="1">INDIRECT("R[40]C["&amp;$A$62&amp;"]",FALSE)</f>
        <v>5.5508830950378476</v>
      </c>
      <c r="O66" s="183" cm="1">
        <f t="array" aca="1" ref="O66" ca="1">INDIRECT("R[40]C["&amp;$A$62&amp;"]",FALSE)</f>
        <v>6.7581636817563817</v>
      </c>
      <c r="P66" s="183" cm="1">
        <f t="array" aca="1" ref="P66" ca="1">INDIRECT("R[40]C["&amp;$A$62&amp;"]",FALSE)</f>
        <v>7.1428571428571415</v>
      </c>
      <c r="Q66" s="183"/>
      <c r="R66" s="115">
        <f ca="1">SUM(D66:Q66)</f>
        <v>69.459978793154463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5.5439872775817927</v>
      </c>
      <c r="N68" s="183" cm="1">
        <f t="array" aca="1" ref="N68" ca="1">INDIRECT("R[40]C["&amp;$A$68&amp;"]",FALSE)</f>
        <v>5.046257359125315</v>
      </c>
      <c r="O68" s="183" cm="1">
        <f t="array" aca="1" ref="O68" ca="1">INDIRECT("R[40]C["&amp;$A$68&amp;"]",FALSE)</f>
        <v>6.1437851652330755</v>
      </c>
      <c r="P68" s="183" cm="1">
        <f t="array" aca="1" ref="P68" ca="1">INDIRECT("R[40]C["&amp;$A$68&amp;"]",FALSE)</f>
        <v>6.4935064935064934</v>
      </c>
      <c r="Q68" s="183"/>
      <c r="R68" s="115">
        <f ca="1">SUM(D68:Q68)</f>
        <v>61.785976140956187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480.5809114581495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5061.1502698061377</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777.49154780170943</v>
      </c>
      <c r="N71" s="183" cm="1">
        <f t="array" aca="1" ref="N71" ca="1">INDIRECT("R[40]C["&amp;$A$70&amp;"]",FALSE)</f>
        <v>756.93860386879726</v>
      </c>
      <c r="O71" s="183" cm="1">
        <f t="array" aca="1" ref="O71" ca="1">INDIRECT("R[40]C["&amp;$A$70&amp;"]",FALSE)</f>
        <v>826.22237280570926</v>
      </c>
      <c r="P71" s="183" cm="1">
        <f t="array" aca="1" ref="P71" ca="1">INDIRECT("R[40]C["&amp;$A$70&amp;"]",FALSE)</f>
        <v>909.09090909090912</v>
      </c>
      <c r="Q71" s="183"/>
      <c r="R71" s="115">
        <f ca="1">SUM(D71:Q71)</f>
        <v>7131.6575431757092</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4">E83+D82</f>
        <v>513.23076923076928</v>
      </c>
      <c r="F82" s="183">
        <f t="shared" si="4"/>
        <v>2328.2307692307695</v>
      </c>
      <c r="G82" s="183">
        <f t="shared" si="4"/>
        <v>4818.2307692307695</v>
      </c>
      <c r="H82" s="183">
        <f t="shared" si="4"/>
        <v>7818.2307692307695</v>
      </c>
      <c r="I82" s="183">
        <f t="shared" si="4"/>
        <v>10818.23076923077</v>
      </c>
      <c r="J82" s="183">
        <f t="shared" si="4"/>
        <v>12617.923076923078</v>
      </c>
      <c r="K82" s="183">
        <f t="shared" si="4"/>
        <v>15617.923076923078</v>
      </c>
      <c r="L82" s="186">
        <f t="shared" si="4"/>
        <v>18617.923076923078</v>
      </c>
      <c r="M82" s="183">
        <f t="shared" si="4"/>
        <v>21617.923076923078</v>
      </c>
      <c r="N82" s="183">
        <f t="shared" si="4"/>
        <v>24617.923076923078</v>
      </c>
      <c r="O82" s="183">
        <f t="shared" si="4"/>
        <v>27617.923076923078</v>
      </c>
      <c r="P82" s="183">
        <f t="shared" si="4"/>
        <v>30617.923076923078</v>
      </c>
      <c r="Q82" s="183">
        <f t="shared" si="4"/>
        <v>33617.923076923078</v>
      </c>
      <c r="R82" s="115">
        <f>Q82</f>
        <v>33617.923076923078</v>
      </c>
    </row>
    <row r="83" spans="1:19" ht="15.5" x14ac:dyDescent="0.35">
      <c r="A83" s="116"/>
      <c r="B83" s="120" t="s">
        <v>111</v>
      </c>
      <c r="C83" s="120"/>
      <c r="D83" s="183">
        <f t="shared" ref="D83:Q83" si="5">SUMPRODUCT(D86:D88,$B$86:$B$88)</f>
        <v>0</v>
      </c>
      <c r="E83" s="183">
        <f>SUMPRODUCT(E86:E88,$B$86:$B$88)</f>
        <v>513.23076923076928</v>
      </c>
      <c r="F83" s="183">
        <f>SUMPRODUCT(F86:F88,$B$86:$B$88)</f>
        <v>1815</v>
      </c>
      <c r="G83" s="183">
        <f t="shared" si="5"/>
        <v>2490</v>
      </c>
      <c r="H83" s="183">
        <f t="shared" si="5"/>
        <v>3000</v>
      </c>
      <c r="I83" s="183">
        <f>SUMPRODUCT(I86:I88,$B$86:$B$88)</f>
        <v>3000</v>
      </c>
      <c r="J83" s="183">
        <f t="shared" si="5"/>
        <v>1799.6923076923081</v>
      </c>
      <c r="K83" s="183">
        <f t="shared" si="5"/>
        <v>3000</v>
      </c>
      <c r="L83" s="186">
        <f>SUMPRODUCT(L86:L88,$B$86:$B$88)</f>
        <v>3000</v>
      </c>
      <c r="M83" s="183">
        <f t="shared" si="5"/>
        <v>3000</v>
      </c>
      <c r="N83" s="183">
        <f t="shared" si="5"/>
        <v>3000</v>
      </c>
      <c r="O83" s="183">
        <f t="shared" si="5"/>
        <v>3000</v>
      </c>
      <c r="P83" s="183">
        <f t="shared" si="5"/>
        <v>3000</v>
      </c>
      <c r="Q83" s="183">
        <f t="shared" si="5"/>
        <v>3000</v>
      </c>
      <c r="R83" s="115">
        <f>SUM(D83:Q83)</f>
        <v>33617.923076923078</v>
      </c>
    </row>
    <row r="84" spans="1:19" ht="15.5" x14ac:dyDescent="0.35">
      <c r="A84" s="116"/>
      <c r="B84" s="120" t="s">
        <v>84</v>
      </c>
      <c r="C84" s="120"/>
      <c r="D84" s="183">
        <f>ROUNDUP(D83/500,0)</f>
        <v>0</v>
      </c>
      <c r="E84" s="183">
        <f>ROUNDUP(E83/500,0)</f>
        <v>2</v>
      </c>
      <c r="F84" s="183">
        <f>ROUNDUP(F83/800,0)</f>
        <v>3</v>
      </c>
      <c r="G84" s="183">
        <f t="shared" ref="G84:Q84" si="6">ROUNDUP(G83/800,0)</f>
        <v>4</v>
      </c>
      <c r="H84" s="183">
        <f t="shared" si="6"/>
        <v>4</v>
      </c>
      <c r="I84" s="183">
        <f t="shared" si="6"/>
        <v>4</v>
      </c>
      <c r="J84" s="183">
        <f t="shared" si="6"/>
        <v>3</v>
      </c>
      <c r="K84" s="183">
        <f t="shared" si="6"/>
        <v>4</v>
      </c>
      <c r="L84" s="183">
        <f t="shared" si="6"/>
        <v>4</v>
      </c>
      <c r="M84" s="183">
        <f t="shared" si="6"/>
        <v>4</v>
      </c>
      <c r="N84" s="183">
        <f t="shared" si="6"/>
        <v>4</v>
      </c>
      <c r="O84" s="183">
        <f t="shared" si="6"/>
        <v>4</v>
      </c>
      <c r="P84" s="183">
        <f t="shared" si="6"/>
        <v>4</v>
      </c>
      <c r="Q84" s="183">
        <f t="shared" si="6"/>
        <v>4</v>
      </c>
      <c r="R84" s="115">
        <f>SUM(D84:Q84)</f>
        <v>48</v>
      </c>
    </row>
    <row r="85" spans="1:19" ht="15.5" x14ac:dyDescent="0.35">
      <c r="A85" s="116"/>
      <c r="B85" s="179" t="s">
        <v>112</v>
      </c>
      <c r="C85" s="180">
        <f>SUM(C86:C88)</f>
        <v>0</v>
      </c>
      <c r="D85" s="180">
        <f t="shared" ref="D85:Q85" si="7">SUM(D86:D88)</f>
        <v>0</v>
      </c>
      <c r="E85" s="180">
        <f t="shared" si="7"/>
        <v>42.769230769230774</v>
      </c>
      <c r="F85" s="180">
        <f t="shared" si="7"/>
        <v>143</v>
      </c>
      <c r="G85" s="180">
        <f t="shared" si="7"/>
        <v>191</v>
      </c>
      <c r="H85" s="180">
        <f t="shared" si="7"/>
        <v>225</v>
      </c>
      <c r="I85" s="180">
        <f t="shared" si="7"/>
        <v>225</v>
      </c>
      <c r="J85" s="180">
        <f t="shared" si="7"/>
        <v>124.97435897435901</v>
      </c>
      <c r="K85" s="180">
        <f t="shared" si="7"/>
        <v>200</v>
      </c>
      <c r="L85" s="180">
        <f t="shared" si="7"/>
        <v>200</v>
      </c>
      <c r="M85" s="180">
        <f t="shared" si="7"/>
        <v>183.33333333333331</v>
      </c>
      <c r="N85" s="180">
        <f t="shared" si="7"/>
        <v>183.33333333333331</v>
      </c>
      <c r="O85" s="180">
        <f t="shared" si="7"/>
        <v>183.33333333333331</v>
      </c>
      <c r="P85" s="180">
        <f t="shared" si="7"/>
        <v>183.33333333333331</v>
      </c>
      <c r="Q85" s="180">
        <f t="shared" si="7"/>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8">3*D86</f>
        <v>0</v>
      </c>
      <c r="E90" s="183">
        <f t="shared" si="8"/>
        <v>128.30769230769232</v>
      </c>
      <c r="F90" s="183">
        <f t="shared" si="8"/>
        <v>330</v>
      </c>
      <c r="G90" s="183">
        <f t="shared" si="8"/>
        <v>375</v>
      </c>
      <c r="H90" s="183">
        <f t="shared" si="8"/>
        <v>375</v>
      </c>
      <c r="I90" s="183">
        <f t="shared" si="8"/>
        <v>375</v>
      </c>
      <c r="J90" s="183">
        <f t="shared" si="8"/>
        <v>74.923076923077019</v>
      </c>
      <c r="K90" s="183">
        <f t="shared" si="8"/>
        <v>0</v>
      </c>
      <c r="L90" s="186">
        <f t="shared" si="8"/>
        <v>0</v>
      </c>
      <c r="M90" s="183">
        <f t="shared" si="8"/>
        <v>0</v>
      </c>
      <c r="N90" s="183">
        <f t="shared" si="8"/>
        <v>0</v>
      </c>
      <c r="O90" s="183">
        <f t="shared" si="8"/>
        <v>0</v>
      </c>
      <c r="P90" s="183">
        <f t="shared" si="8"/>
        <v>0</v>
      </c>
      <c r="Q90" s="183">
        <f t="shared" si="8"/>
        <v>0</v>
      </c>
      <c r="R90" s="115">
        <f>SUM(D90:Q90)</f>
        <v>1658.2307692307695</v>
      </c>
    </row>
    <row r="91" spans="1:19" ht="15.5" x14ac:dyDescent="0.35">
      <c r="A91" s="116"/>
      <c r="B91" s="182">
        <v>15</v>
      </c>
      <c r="C91" s="182"/>
      <c r="D91" s="183">
        <f t="shared" si="8"/>
        <v>0</v>
      </c>
      <c r="E91" s="183">
        <f t="shared" si="8"/>
        <v>0</v>
      </c>
      <c r="F91" s="183">
        <f t="shared" si="8"/>
        <v>99</v>
      </c>
      <c r="G91" s="183">
        <f t="shared" si="8"/>
        <v>198</v>
      </c>
      <c r="H91" s="183">
        <f t="shared" si="8"/>
        <v>300</v>
      </c>
      <c r="I91" s="183">
        <f t="shared" si="8"/>
        <v>300</v>
      </c>
      <c r="J91" s="183">
        <f t="shared" si="8"/>
        <v>300</v>
      </c>
      <c r="K91" s="183">
        <f t="shared" si="8"/>
        <v>600</v>
      </c>
      <c r="L91" s="186">
        <f t="shared" si="8"/>
        <v>600</v>
      </c>
      <c r="M91" s="183">
        <f t="shared" si="8"/>
        <v>300</v>
      </c>
      <c r="N91" s="183">
        <f t="shared" si="8"/>
        <v>300</v>
      </c>
      <c r="O91" s="183">
        <f t="shared" si="8"/>
        <v>300</v>
      </c>
      <c r="P91" s="183">
        <f t="shared" si="8"/>
        <v>300</v>
      </c>
      <c r="Q91" s="183">
        <f t="shared" si="8"/>
        <v>300</v>
      </c>
      <c r="R91" s="115">
        <f>SUM(D91:Q91)</f>
        <v>3897</v>
      </c>
    </row>
    <row r="92" spans="1:19" ht="15.5" x14ac:dyDescent="0.35">
      <c r="A92" s="116"/>
      <c r="B92" s="182">
        <v>18</v>
      </c>
      <c r="C92" s="182"/>
      <c r="D92" s="183">
        <f t="shared" si="8"/>
        <v>0</v>
      </c>
      <c r="E92" s="183">
        <f t="shared" si="8"/>
        <v>0</v>
      </c>
      <c r="F92" s="183">
        <f t="shared" si="8"/>
        <v>0</v>
      </c>
      <c r="G92" s="183">
        <f t="shared" si="8"/>
        <v>0</v>
      </c>
      <c r="H92" s="183">
        <f t="shared" si="8"/>
        <v>0</v>
      </c>
      <c r="I92" s="183">
        <f t="shared" si="8"/>
        <v>0</v>
      </c>
      <c r="J92" s="183">
        <f t="shared" si="8"/>
        <v>0</v>
      </c>
      <c r="K92" s="183">
        <f t="shared" si="8"/>
        <v>0</v>
      </c>
      <c r="L92" s="186">
        <f t="shared" si="8"/>
        <v>0</v>
      </c>
      <c r="M92" s="183">
        <f t="shared" si="8"/>
        <v>250</v>
      </c>
      <c r="N92" s="183">
        <f t="shared" si="8"/>
        <v>250</v>
      </c>
      <c r="O92" s="183">
        <f t="shared" si="8"/>
        <v>250</v>
      </c>
      <c r="P92" s="183">
        <f t="shared" si="8"/>
        <v>250</v>
      </c>
      <c r="Q92" s="183">
        <f t="shared" si="8"/>
        <v>250</v>
      </c>
      <c r="R92" s="115">
        <f>SUM(D92:Q92)</f>
        <v>1250</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9">D86</f>
        <v>0</v>
      </c>
      <c r="E94" s="183">
        <f t="shared" si="9"/>
        <v>42.769230769230774</v>
      </c>
      <c r="F94" s="183">
        <f t="shared" si="9"/>
        <v>110</v>
      </c>
      <c r="G94" s="183">
        <f t="shared" si="9"/>
        <v>125</v>
      </c>
      <c r="H94" s="183">
        <f t="shared" si="9"/>
        <v>125</v>
      </c>
      <c r="I94" s="183">
        <f t="shared" si="9"/>
        <v>125</v>
      </c>
      <c r="J94" s="183">
        <f t="shared" si="9"/>
        <v>24.974358974359006</v>
      </c>
      <c r="K94" s="183">
        <f t="shared" si="9"/>
        <v>0</v>
      </c>
      <c r="L94" s="186">
        <f t="shared" si="9"/>
        <v>0</v>
      </c>
      <c r="M94" s="183">
        <f t="shared" si="9"/>
        <v>0</v>
      </c>
      <c r="N94" s="183">
        <f t="shared" si="9"/>
        <v>0</v>
      </c>
      <c r="O94" s="183">
        <f t="shared" si="9"/>
        <v>0</v>
      </c>
      <c r="P94" s="183">
        <f t="shared" si="9"/>
        <v>0</v>
      </c>
      <c r="Q94" s="183">
        <f t="shared" si="9"/>
        <v>0</v>
      </c>
      <c r="R94" s="115">
        <f>SUM(D94:Q94)</f>
        <v>552.74358974358972</v>
      </c>
    </row>
    <row r="95" spans="1:19" ht="15.5" x14ac:dyDescent="0.35">
      <c r="A95" s="116"/>
      <c r="B95" s="182">
        <v>15</v>
      </c>
      <c r="C95" s="182"/>
      <c r="D95" s="183">
        <f t="shared" si="9"/>
        <v>0</v>
      </c>
      <c r="E95" s="183">
        <f t="shared" si="9"/>
        <v>0</v>
      </c>
      <c r="F95" s="183">
        <f t="shared" si="9"/>
        <v>33</v>
      </c>
      <c r="G95" s="183">
        <f t="shared" si="9"/>
        <v>66</v>
      </c>
      <c r="H95" s="183">
        <f t="shared" si="9"/>
        <v>100</v>
      </c>
      <c r="I95" s="183">
        <f t="shared" si="9"/>
        <v>100</v>
      </c>
      <c r="J95" s="183">
        <f t="shared" si="9"/>
        <v>100</v>
      </c>
      <c r="K95" s="183">
        <f t="shared" si="9"/>
        <v>200</v>
      </c>
      <c r="L95" s="186">
        <f t="shared" si="9"/>
        <v>200</v>
      </c>
      <c r="M95" s="183">
        <f t="shared" si="9"/>
        <v>100</v>
      </c>
      <c r="N95" s="183">
        <f t="shared" si="9"/>
        <v>100</v>
      </c>
      <c r="O95" s="183">
        <f t="shared" si="9"/>
        <v>100</v>
      </c>
      <c r="P95" s="183">
        <f t="shared" si="9"/>
        <v>100</v>
      </c>
      <c r="Q95" s="183">
        <f t="shared" si="9"/>
        <v>100</v>
      </c>
      <c r="R95" s="115">
        <f>SUM(D95:Q95)</f>
        <v>1299</v>
      </c>
    </row>
    <row r="96" spans="1:19" ht="15.5" x14ac:dyDescent="0.35">
      <c r="A96" s="116"/>
      <c r="B96" s="182">
        <v>18</v>
      </c>
      <c r="C96" s="182"/>
      <c r="D96" s="183">
        <f t="shared" si="9"/>
        <v>0</v>
      </c>
      <c r="E96" s="183">
        <f t="shared" si="9"/>
        <v>0</v>
      </c>
      <c r="F96" s="183">
        <f t="shared" si="9"/>
        <v>0</v>
      </c>
      <c r="G96" s="183">
        <f t="shared" si="9"/>
        <v>0</v>
      </c>
      <c r="H96" s="183">
        <f t="shared" si="9"/>
        <v>0</v>
      </c>
      <c r="I96" s="183">
        <f t="shared" si="9"/>
        <v>0</v>
      </c>
      <c r="J96" s="183">
        <f t="shared" si="9"/>
        <v>0</v>
      </c>
      <c r="K96" s="183">
        <f t="shared" si="9"/>
        <v>0</v>
      </c>
      <c r="L96" s="186">
        <f t="shared" si="9"/>
        <v>0</v>
      </c>
      <c r="M96" s="183">
        <f t="shared" si="9"/>
        <v>83.333333333333329</v>
      </c>
      <c r="N96" s="183">
        <f t="shared" si="9"/>
        <v>83.333333333333329</v>
      </c>
      <c r="O96" s="183">
        <f t="shared" si="9"/>
        <v>83.333333333333329</v>
      </c>
      <c r="P96" s="183">
        <f t="shared" si="9"/>
        <v>83.333333333333329</v>
      </c>
      <c r="Q96" s="183">
        <f t="shared" si="9"/>
        <v>83.333333333333329</v>
      </c>
      <c r="R96" s="115">
        <f>SUM(D96:Q96)</f>
        <v>416.66666666666663</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0">D86</f>
        <v>0</v>
      </c>
      <c r="E98" s="183">
        <f t="shared" si="10"/>
        <v>42.769230769230774</v>
      </c>
      <c r="F98" s="183">
        <f t="shared" si="10"/>
        <v>110</v>
      </c>
      <c r="G98" s="183">
        <f t="shared" si="10"/>
        <v>125</v>
      </c>
      <c r="H98" s="183">
        <f t="shared" si="10"/>
        <v>125</v>
      </c>
      <c r="I98" s="183">
        <f t="shared" si="10"/>
        <v>125</v>
      </c>
      <c r="J98" s="183">
        <f t="shared" si="10"/>
        <v>24.974358974359006</v>
      </c>
      <c r="K98" s="183">
        <f t="shared" si="10"/>
        <v>0</v>
      </c>
      <c r="L98" s="186">
        <f t="shared" si="10"/>
        <v>0</v>
      </c>
      <c r="M98" s="183">
        <f t="shared" si="10"/>
        <v>0</v>
      </c>
      <c r="N98" s="183">
        <f t="shared" si="10"/>
        <v>0</v>
      </c>
      <c r="O98" s="183">
        <f t="shared" si="10"/>
        <v>0</v>
      </c>
      <c r="P98" s="183">
        <f t="shared" si="10"/>
        <v>0</v>
      </c>
      <c r="Q98" s="183">
        <f t="shared" si="10"/>
        <v>0</v>
      </c>
      <c r="R98" s="115">
        <f>SUM(D98:Q98)</f>
        <v>552.74358974358972</v>
      </c>
    </row>
    <row r="99" spans="1:18" ht="15.5" x14ac:dyDescent="0.35">
      <c r="A99" s="116"/>
      <c r="B99" s="182">
        <v>15</v>
      </c>
      <c r="C99" s="182"/>
      <c r="D99" s="183">
        <f t="shared" si="10"/>
        <v>0</v>
      </c>
      <c r="E99" s="183">
        <f t="shared" si="10"/>
        <v>0</v>
      </c>
      <c r="F99" s="183">
        <f t="shared" si="10"/>
        <v>33</v>
      </c>
      <c r="G99" s="183">
        <f t="shared" si="10"/>
        <v>66</v>
      </c>
      <c r="H99" s="183">
        <f t="shared" si="10"/>
        <v>100</v>
      </c>
      <c r="I99" s="183">
        <f t="shared" si="10"/>
        <v>100</v>
      </c>
      <c r="J99" s="183">
        <f t="shared" si="10"/>
        <v>100</v>
      </c>
      <c r="K99" s="183">
        <f t="shared" si="10"/>
        <v>200</v>
      </c>
      <c r="L99" s="186">
        <f t="shared" si="10"/>
        <v>200</v>
      </c>
      <c r="M99" s="183">
        <f t="shared" si="10"/>
        <v>100</v>
      </c>
      <c r="N99" s="183">
        <f t="shared" si="10"/>
        <v>100</v>
      </c>
      <c r="O99" s="183">
        <f t="shared" si="10"/>
        <v>100</v>
      </c>
      <c r="P99" s="183">
        <f t="shared" si="10"/>
        <v>100</v>
      </c>
      <c r="Q99" s="183">
        <f t="shared" si="10"/>
        <v>100</v>
      </c>
      <c r="R99" s="115">
        <f>SUM(D99:Q99)</f>
        <v>1299</v>
      </c>
    </row>
    <row r="100" spans="1:18" ht="15.5" x14ac:dyDescent="0.35">
      <c r="A100" s="116"/>
      <c r="B100" s="182">
        <v>18</v>
      </c>
      <c r="C100" s="182"/>
      <c r="D100" s="183">
        <f t="shared" si="10"/>
        <v>0</v>
      </c>
      <c r="E100" s="183">
        <f t="shared" si="10"/>
        <v>0</v>
      </c>
      <c r="F100" s="183">
        <f t="shared" si="10"/>
        <v>0</v>
      </c>
      <c r="G100" s="183">
        <f t="shared" si="10"/>
        <v>0</v>
      </c>
      <c r="H100" s="183">
        <f t="shared" si="10"/>
        <v>0</v>
      </c>
      <c r="I100" s="183">
        <f t="shared" si="10"/>
        <v>0</v>
      </c>
      <c r="J100" s="183">
        <f t="shared" si="10"/>
        <v>0</v>
      </c>
      <c r="K100" s="183">
        <f t="shared" si="10"/>
        <v>0</v>
      </c>
      <c r="L100" s="186">
        <f t="shared" si="10"/>
        <v>0</v>
      </c>
      <c r="M100" s="183">
        <f t="shared" si="10"/>
        <v>83.333333333333329</v>
      </c>
      <c r="N100" s="183">
        <f t="shared" si="10"/>
        <v>83.333333333333329</v>
      </c>
      <c r="O100" s="183">
        <f t="shared" si="10"/>
        <v>83.333333333333329</v>
      </c>
      <c r="P100" s="183">
        <f t="shared" si="10"/>
        <v>83.333333333333329</v>
      </c>
      <c r="Q100" s="183">
        <f t="shared" si="10"/>
        <v>83.333333333333329</v>
      </c>
      <c r="R100" s="115">
        <f>SUM(D100:Q100)</f>
        <v>416.66666666666663</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257</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118.0473889376599</v>
      </c>
      <c r="O102" s="183">
        <f>IF(SUM('EC-UNC'!O$86:O$88)=0,0,'EC-UNC'!O102*SUM(O$86:O$88)/SUM('EC-UNC'!O$86:O$88))</f>
        <v>128.33333333333329</v>
      </c>
      <c r="P102" s="183">
        <f>IF(SUM('EC-UNC'!P$86:P$88)=0,0,'EC-UNC'!P102*SUM(P$86:P$88)/SUM('EC-UNC'!P$86:P$88))</f>
        <v>137.35529308511735</v>
      </c>
      <c r="Q102" s="183">
        <f>IF(SUM('EC-UNC'!Q$86:Q$88)=0,0,'EC-UNC'!Q102*SUM(Q$86:Q$88)/SUM('EC-UNC'!Q$86:Q$88))</f>
        <v>128.33333333333331</v>
      </c>
      <c r="R102" s="115">
        <f>SUM(D102:Q102)</f>
        <v>1566.6263083061153</v>
      </c>
    </row>
    <row r="103" spans="1:18" ht="15.5" x14ac:dyDescent="0.35">
      <c r="A103" s="116"/>
      <c r="B103" s="116" t="s">
        <v>258</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118.0473889376599</v>
      </c>
      <c r="O103" s="183">
        <f>IF(SUM('EC-UNC'!O$86:O$88)=0,0,'EC-UNC'!O103*SUM(O$86:O$88)/SUM('EC-UNC'!O$86:O$88))</f>
        <v>128.33333333333329</v>
      </c>
      <c r="P103" s="183">
        <f>IF(SUM('EC-UNC'!P$86:P$88)=0,0,'EC-UNC'!P103*SUM(P$86:P$88)/SUM('EC-UNC'!P$86:P$88))</f>
        <v>137.35529308511735</v>
      </c>
      <c r="Q103" s="183">
        <f>IF(SUM('EC-UNC'!Q$86:Q$88)=0,0,'EC-UNC'!Q103*SUM(Q$86:Q$88)/SUM('EC-UNC'!Q$86:Q$88))</f>
        <v>128.33333333333331</v>
      </c>
      <c r="R103" s="115">
        <f>SUM(D103:Q103)</f>
        <v>1566.6263083061153</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23.642770851622469</v>
      </c>
      <c r="O104" s="183">
        <f>IF(SUM('EC-UNC'!O$86:O$88)=0,0,'EC-UNC'!O104*SUM(O$86:O$88)/SUM('EC-UNC'!O$86:O$88))</f>
        <v>27.499999999999996</v>
      </c>
      <c r="P104" s="183">
        <f>IF(SUM('EC-UNC'!P$86:P$88)=0,0,'EC-UNC'!P104*SUM(P$86:P$88)/SUM('EC-UNC'!P$86:P$88))</f>
        <v>22.989020124107959</v>
      </c>
      <c r="Q104" s="183">
        <f>IF(SUM('EC-UNC'!Q$86:Q$88)=0,0,'EC-UNC'!Q104*SUM(Q$86:Q$88)/SUM('EC-UNC'!Q$86:Q$88))</f>
        <v>27.499999999999996</v>
      </c>
      <c r="R104" s="115">
        <f>SUM(D104:Q104)</f>
        <v>186.94225655985622</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41.643173544050946</v>
      </c>
      <c r="O105" s="183">
        <f>IF(SUM('EC-UNC'!O$86:O$88)=0,0,'EC-UNC'!O105*SUM(O$86:O$88)/SUM('EC-UNC'!O$86:O$88))</f>
        <v>27.499999999999996</v>
      </c>
      <c r="P105" s="183">
        <f>IF(SUM('EC-UNC'!P$86:P$88)=0,0,'EC-UNC'!P105*SUM(P$86:P$88)/SUM('EC-UNC'!P$86:P$88))</f>
        <v>22.989020124107959</v>
      </c>
      <c r="Q105" s="183">
        <f>IF(SUM('EC-UNC'!Q$86:Q$88)=0,0,'EC-UNC'!Q105*SUM(Q$86:Q$88)/SUM('EC-UNC'!Q$86:Q$88))</f>
        <v>27.499999999999996</v>
      </c>
      <c r="R105" s="115">
        <f>SUM(D105:Q105)</f>
        <v>433.99122003851835</v>
      </c>
    </row>
    <row r="106" spans="1:18" ht="15.5" x14ac:dyDescent="0.35">
      <c r="A106" s="116"/>
      <c r="B106" s="116" t="s">
        <v>354</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6.0983860053399708</v>
      </c>
      <c r="O106" s="183">
        <f>IF(SUM('EC-UNC'!O$86:O$88)=0,0,'EC-UNC'!O106*SUM(O$86:O$88)/SUM('EC-UNC'!O$86:O$88))</f>
        <v>5.5508830950378476</v>
      </c>
      <c r="P106" s="183">
        <f>IF(SUM('EC-UNC'!P$86:P$88)=0,0,'EC-UNC'!P106*SUM(P$86:P$88)/SUM('EC-UNC'!P$86:P$88))</f>
        <v>6.7581636817563817</v>
      </c>
      <c r="Q106" s="183">
        <f>IF(SUM('EC-UNC'!Q$86:Q$88)=0,0,'EC-UNC'!Q106*SUM(Q$86:Q$88)/SUM('EC-UNC'!Q$86:Q$88))</f>
        <v>7.1428571428571415</v>
      </c>
      <c r="R106" s="115">
        <f>SUM(D106:Q106)</f>
        <v>69.459978793154463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5.5439872775817927</v>
      </c>
      <c r="O108" s="183">
        <f>IF('EC-UNC'!O$83=0,0,'EC-UNC'!O108*O$83/'EC-UNC'!O$83)</f>
        <v>5.046257359125315</v>
      </c>
      <c r="P108" s="183">
        <f>IF('EC-UNC'!P$83=0,0,'EC-UNC'!P108*P$83/'EC-UNC'!P$83)</f>
        <v>6.1437851652330755</v>
      </c>
      <c r="Q108" s="183">
        <f>IF('EC-UNC'!Q$83=0,0,'EC-UNC'!Q108*Q$83/'EC-UNC'!Q$83)</f>
        <v>6.4935064935064934</v>
      </c>
      <c r="R108" s="115">
        <f>SUM(D108:Q108)</f>
        <v>61.785976140956187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480.5809114581495</v>
      </c>
      <c r="O110" s="183">
        <f>IF('EC-UNC'!O$83=0,0,'EC-UNC'!O110*O$83/'EC-UNC'!O$83)</f>
        <v>366</v>
      </c>
      <c r="P110" s="183">
        <f>IF('EC-UNC'!P$83=0,0,'EC-UNC'!P110*P$83/'EC-UNC'!P$83)</f>
        <v>365.99999999999994</v>
      </c>
      <c r="Q110" s="183">
        <f>IF('EC-UNC'!Q$83=0,0,'EC-UNC'!Q110*Q$83/'EC-UNC'!Q$83)</f>
        <v>366</v>
      </c>
      <c r="R110" s="115">
        <f>SUM(D110:Q110)</f>
        <v>5061.1502698061377</v>
      </c>
    </row>
    <row r="111" spans="1:18" ht="15.5" x14ac:dyDescent="0.35">
      <c r="A111" s="116"/>
      <c r="B111" s="116" t="s">
        <v>358</v>
      </c>
      <c r="C111" s="116"/>
      <c r="D111" s="183">
        <v>0</v>
      </c>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777.49154780170943</v>
      </c>
      <c r="O111" s="183">
        <f>IF('EC-UNC'!O$83=0,0,'EC-UNC'!O111*O$83/'EC-UNC'!O$83)</f>
        <v>756.93860386879726</v>
      </c>
      <c r="P111" s="183">
        <f>IF('EC-UNC'!P$83=0,0,'EC-UNC'!P111*P$83/'EC-UNC'!P$83)</f>
        <v>826.22237280570926</v>
      </c>
      <c r="Q111" s="183">
        <f>IF('EC-UNC'!Q$83=0,0,'EC-UNC'!Q111*Q$83/'EC-UNC'!Q$83)</f>
        <v>909.09090909090912</v>
      </c>
      <c r="R111" s="115">
        <f>SUM(D111:Q111)</f>
        <v>7131.6575431757092</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140</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239.53584372256628</v>
      </c>
      <c r="O116" s="183">
        <f>(O102+O105)*Assumptions!$K$26/24</f>
        <v>233.74999999999991</v>
      </c>
      <c r="P116" s="183">
        <f>(P102+P105)*Assumptions!$K$26/24</f>
        <v>240.51646981383794</v>
      </c>
      <c r="Q116" s="183">
        <f>(Q102+Q105)*Assumptions!$K$26/24</f>
        <v>233.74999999999997</v>
      </c>
      <c r="R116" s="115"/>
    </row>
    <row r="117" spans="1:18" ht="15.5" x14ac:dyDescent="0.35">
      <c r="A117" s="116"/>
      <c r="B117" s="116" t="s">
        <v>293</v>
      </c>
      <c r="C117" s="116"/>
      <c r="D117" s="107"/>
      <c r="E117" s="108">
        <f>SUM(E113:E116)</f>
        <v>128.30769230769232</v>
      </c>
      <c r="F117" s="108">
        <f t="shared" ref="F117:Q117" si="11">SUM(F113:F116)</f>
        <v>410.52276253340506</v>
      </c>
      <c r="G117" s="108">
        <f t="shared" si="11"/>
        <v>539.39251592356686</v>
      </c>
      <c r="H117" s="108">
        <f t="shared" si="11"/>
        <v>629.304567833698</v>
      </c>
      <c r="I117" s="108">
        <f t="shared" si="11"/>
        <v>665.65792191695937</v>
      </c>
      <c r="J117" s="108">
        <f t="shared" si="11"/>
        <v>341.61566844925392</v>
      </c>
      <c r="K117" s="108">
        <f>SUM(K113:K116)</f>
        <v>614.82999128160418</v>
      </c>
      <c r="L117" s="108">
        <f t="shared" si="11"/>
        <v>570.45002299558394</v>
      </c>
      <c r="M117" s="108">
        <f t="shared" si="11"/>
        <v>455.90822035416727</v>
      </c>
      <c r="N117" s="108">
        <f t="shared" si="11"/>
        <v>514.53584372256626</v>
      </c>
      <c r="O117" s="108">
        <f t="shared" si="11"/>
        <v>508.74999999999989</v>
      </c>
      <c r="P117" s="108">
        <f t="shared" si="11"/>
        <v>515.51646981383794</v>
      </c>
      <c r="Q117" s="108">
        <f t="shared" si="11"/>
        <v>508.75</v>
      </c>
      <c r="R117" s="115"/>
    </row>
    <row r="118" spans="1:18" ht="15.5" x14ac:dyDescent="0.35">
      <c r="A118" s="116"/>
      <c r="B118" s="116" t="s">
        <v>138</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55.439872775817925</v>
      </c>
      <c r="O118" s="183">
        <f>O108*Assumptions!$K$27/24</f>
        <v>50.462573591253147</v>
      </c>
      <c r="P118" s="183">
        <f>P108*Assumptions!$K$27/24</f>
        <v>61.437851652330757</v>
      </c>
      <c r="Q118" s="183">
        <f>Q108*Assumptions!$K$27/24</f>
        <v>64.935064935064943</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544.51811481496475</v>
      </c>
      <c r="O119" s="183">
        <f>(ROUNDUP(O83/400,1)+O84)*Assumptions!$K$45+SUM(O110:O111)/Assumptions!$K$44</f>
        <v>510.73465096719929</v>
      </c>
      <c r="P119" s="183">
        <f>(ROUNDUP(P83/400,1)+P84)*Assumptions!$K$45+SUM(P110:P111)/Assumptions!$K$44</f>
        <v>528.05559320142731</v>
      </c>
      <c r="Q119" s="183">
        <f>(ROUNDUP(Q83/400,1)+Q84)*Assumptions!$K$45+SUM(Q110:Q111)/Assumptions!$K$44</f>
        <v>548.77272727272725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177.07108340648986</v>
      </c>
      <c r="O120" s="108">
        <f>O102*Assumptions!$K$28/24</f>
        <v>192.49999999999991</v>
      </c>
      <c r="P120" s="108">
        <f>P102*Assumptions!$K$28/24</f>
        <v>206.03293962767603</v>
      </c>
      <c r="Q120" s="108">
        <f>Q102*Assumptions!$K$28/24</f>
        <v>192.49999999999997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2">SUM(E122:E125)</f>
        <v>2</v>
      </c>
      <c r="F126" s="124">
        <f t="shared" si="12"/>
        <v>3</v>
      </c>
      <c r="G126" s="124">
        <f t="shared" si="12"/>
        <v>4</v>
      </c>
      <c r="H126" s="124">
        <f t="shared" si="12"/>
        <v>4</v>
      </c>
      <c r="I126" s="124">
        <f>SUM(I122:I125)</f>
        <v>4</v>
      </c>
      <c r="J126" s="124">
        <f t="shared" si="12"/>
        <v>3</v>
      </c>
      <c r="K126" s="124">
        <f t="shared" si="12"/>
        <v>4</v>
      </c>
      <c r="L126" s="190">
        <f t="shared" si="12"/>
        <v>4</v>
      </c>
      <c r="M126" s="124">
        <f t="shared" si="12"/>
        <v>3</v>
      </c>
      <c r="N126" s="124">
        <f t="shared" si="12"/>
        <v>3</v>
      </c>
      <c r="O126" s="124">
        <f t="shared" si="12"/>
        <v>3</v>
      </c>
      <c r="P126" s="124">
        <f t="shared" si="12"/>
        <v>3</v>
      </c>
      <c r="Q126" s="124">
        <f t="shared" si="12"/>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3">E126*2</f>
        <v>4</v>
      </c>
      <c r="F129" s="183">
        <f t="shared" si="13"/>
        <v>6</v>
      </c>
      <c r="G129" s="183">
        <f t="shared" si="13"/>
        <v>8</v>
      </c>
      <c r="H129" s="183">
        <f t="shared" si="13"/>
        <v>8</v>
      </c>
      <c r="I129" s="183">
        <f t="shared" si="13"/>
        <v>8</v>
      </c>
      <c r="J129" s="183">
        <f t="shared" si="13"/>
        <v>6</v>
      </c>
      <c r="K129" s="183">
        <f t="shared" si="13"/>
        <v>8</v>
      </c>
      <c r="L129" s="186">
        <f t="shared" si="13"/>
        <v>8</v>
      </c>
      <c r="M129" s="183">
        <f t="shared" si="13"/>
        <v>6</v>
      </c>
      <c r="N129" s="183">
        <f t="shared" si="13"/>
        <v>6</v>
      </c>
      <c r="O129" s="183">
        <f t="shared" si="13"/>
        <v>6</v>
      </c>
      <c r="P129" s="183">
        <f t="shared" si="13"/>
        <v>6</v>
      </c>
      <c r="Q129" s="183">
        <f t="shared" si="13"/>
        <v>6</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4">G138*$B138+G139*$B139+G140*$B140</f>
        <v>2490</v>
      </c>
      <c r="H144" s="116">
        <f t="shared" si="14"/>
        <v>3000</v>
      </c>
      <c r="I144" s="116">
        <f t="shared" si="14"/>
        <v>3000</v>
      </c>
      <c r="J144" s="116">
        <f t="shared" si="14"/>
        <v>3000</v>
      </c>
      <c r="K144" s="116">
        <f t="shared" si="14"/>
        <v>3000</v>
      </c>
      <c r="L144" s="116">
        <f t="shared" si="14"/>
        <v>3000</v>
      </c>
      <c r="M144" s="116">
        <f t="shared" si="14"/>
        <v>3000</v>
      </c>
      <c r="N144" s="116">
        <f t="shared" si="14"/>
        <v>3000</v>
      </c>
      <c r="O144" s="116">
        <f t="shared" si="14"/>
        <v>3000</v>
      </c>
      <c r="P144" s="116">
        <f t="shared" si="14"/>
        <v>3000</v>
      </c>
      <c r="Q144" s="116">
        <f t="shared" si="14"/>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opLeftCell="B1" zoomScale="70" zoomScaleNormal="70" workbookViewId="0">
      <pane ySplit="6" topLeftCell="A97" activePane="bottomLeft" state="frozen"/>
      <selection pane="bottomLeft" activeCell="D112" sqref="D112"/>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187</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106</v>
      </c>
    </row>
    <row r="7" spans="1:19" ht="15.5" x14ac:dyDescent="0.35">
      <c r="A7" t="s">
        <v>132</v>
      </c>
      <c r="B7" s="117" t="s">
        <v>107</v>
      </c>
      <c r="C7" s="117"/>
      <c r="D7" s="118"/>
      <c r="E7" s="118"/>
      <c r="F7" s="118"/>
      <c r="G7" s="118"/>
      <c r="H7" s="118"/>
      <c r="I7" s="118"/>
      <c r="J7" s="118"/>
      <c r="K7" s="118"/>
      <c r="L7" s="118"/>
      <c r="M7" s="118"/>
      <c r="N7" s="118"/>
      <c r="O7" s="118"/>
      <c r="P7" s="118"/>
      <c r="Q7" s="118"/>
      <c r="R7" s="119"/>
    </row>
    <row r="8" spans="1:19" ht="15.5" x14ac:dyDescent="0.35">
      <c r="B8" s="120" t="s">
        <v>108</v>
      </c>
      <c r="C8" s="120"/>
      <c r="D8" s="116"/>
      <c r="E8" s="116"/>
      <c r="F8" s="116"/>
      <c r="G8" s="116"/>
      <c r="H8" s="116"/>
      <c r="I8" s="116"/>
      <c r="J8" s="116"/>
      <c r="K8" s="116"/>
      <c r="L8" s="116"/>
      <c r="M8" s="116"/>
      <c r="N8" s="116"/>
      <c r="O8" s="116"/>
      <c r="P8" s="116"/>
      <c r="Q8" s="116"/>
      <c r="R8" s="115"/>
    </row>
    <row r="9" spans="1:19" ht="15.5" x14ac:dyDescent="0.35">
      <c r="B9" s="129" t="s">
        <v>350</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ca="1">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ca="1">SUM(C12:P12)</f>
        <v>277.77777777777777</v>
      </c>
      <c r="S12" t="s">
        <v>91</v>
      </c>
    </row>
    <row r="13" spans="1:19" ht="15.5" x14ac:dyDescent="0.35">
      <c r="B13" s="129" t="s">
        <v>351</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ca="1">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ca="1">SUM(C16:P16)</f>
        <v>833.33333333333348</v>
      </c>
    </row>
    <row r="17" spans="1:18" ht="15.5" x14ac:dyDescent="0.35">
      <c r="B17" s="129" t="s">
        <v>114</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ca="1">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ca="1">SUM(C20:P20)</f>
        <v>277.77777777777777</v>
      </c>
    </row>
    <row r="21" spans="1:18" ht="15.5" x14ac:dyDescent="0.35">
      <c r="B21" s="129" t="s">
        <v>352</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ca="1">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ca="1">SUM(C24:P24)</f>
        <v>277.77777777777777</v>
      </c>
    </row>
    <row r="25" spans="1:18" ht="15.5" x14ac:dyDescent="0.35">
      <c r="B25" s="129" t="s">
        <v>116</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257</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258</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ca="1">SUM(C27:Q27)</f>
        <v>1106.2240879274477</v>
      </c>
    </row>
    <row r="28" spans="1:18" ht="15.5" x14ac:dyDescent="0.35">
      <c r="A28" s="57">
        <f>Assumptions!C53</f>
        <v>1</v>
      </c>
      <c r="B28" s="106" t="s">
        <v>353</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ca="1">SUM(C28:Q28)</f>
        <v>123.54186999549833</v>
      </c>
    </row>
    <row r="29" spans="1:18" ht="15.5" x14ac:dyDescent="0.35">
      <c r="A29" s="57">
        <f>Assumptions!C52</f>
        <v>1</v>
      </c>
      <c r="B29" s="106" t="s">
        <v>117</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ca="1">SUM(C29:Q29)</f>
        <v>312.75276510661666</v>
      </c>
    </row>
    <row r="30" spans="1:18" ht="15.5" x14ac:dyDescent="0.35">
      <c r="A30" s="57">
        <f>Assumptions!C54</f>
        <v>1</v>
      </c>
      <c r="B30" s="106" t="s">
        <v>354</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ca="1">SUM(C30:Q30)</f>
        <v>48.999607772095935</v>
      </c>
    </row>
    <row r="31" spans="1:18" ht="15.5" x14ac:dyDescent="0.35">
      <c r="B31" s="129" t="s">
        <v>119</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355</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356</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357</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358</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235</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193</v>
      </c>
      <c r="C44" s="120"/>
      <c r="D44" s="116"/>
      <c r="E44" s="116"/>
      <c r="F44" s="116"/>
      <c r="G44" s="116"/>
      <c r="H44" s="116"/>
      <c r="I44" s="116"/>
      <c r="J44" s="116"/>
      <c r="K44" s="116"/>
      <c r="L44" s="116"/>
      <c r="M44" s="116"/>
      <c r="N44" s="116"/>
      <c r="O44" s="116"/>
      <c r="P44" s="116"/>
      <c r="Q44" s="116"/>
      <c r="R44" s="115"/>
    </row>
    <row r="45" spans="1:19" ht="15.5" x14ac:dyDescent="0.35">
      <c r="B45" s="129" t="s">
        <v>112</v>
      </c>
      <c r="C45" s="180">
        <f ca="1">SUM(C46:C48)</f>
        <v>0</v>
      </c>
      <c r="D45" s="180">
        <f t="shared" ref="D45:Q45" ca="1" si="2">SUM(D46:D48)</f>
        <v>42.769230769230774</v>
      </c>
      <c r="E45" s="180">
        <f t="shared" ca="1" si="2"/>
        <v>121.66666666666667</v>
      </c>
      <c r="F45" s="180">
        <f t="shared" ca="1" si="2"/>
        <v>150</v>
      </c>
      <c r="G45" s="180">
        <f t="shared" ca="1" si="2"/>
        <v>150</v>
      </c>
      <c r="H45" s="180">
        <f t="shared" ca="1" si="2"/>
        <v>150</v>
      </c>
      <c r="I45" s="180">
        <f t="shared" ca="1" si="2"/>
        <v>150</v>
      </c>
      <c r="J45" s="180">
        <f t="shared" ca="1" si="2"/>
        <v>150</v>
      </c>
      <c r="K45" s="180">
        <f t="shared" ca="1" si="2"/>
        <v>104.97435897435905</v>
      </c>
      <c r="L45" s="180">
        <f t="shared" ca="1" si="2"/>
        <v>122.22222222222223</v>
      </c>
      <c r="M45" s="180">
        <f t="shared" ca="1" si="2"/>
        <v>122.22222222222223</v>
      </c>
      <c r="N45" s="180">
        <f t="shared" ca="1" si="2"/>
        <v>122.22222222222223</v>
      </c>
      <c r="O45" s="180">
        <f t="shared" ca="1" si="2"/>
        <v>122.22222222222223</v>
      </c>
      <c r="P45" s="180">
        <f t="shared" ca="1" si="2"/>
        <v>122.22222222222223</v>
      </c>
      <c r="Q45" s="180">
        <f t="shared" si="2"/>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91</v>
      </c>
    </row>
    <row r="49" spans="1:18" ht="15.5" x14ac:dyDescent="0.35">
      <c r="B49" s="129" t="s">
        <v>351</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114</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352</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116</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257</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258</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353</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117</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354</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119</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355</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356</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357</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358</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109</v>
      </c>
      <c r="C80" s="185"/>
      <c r="D80" s="185"/>
      <c r="E80" s="185"/>
      <c r="F80" s="185"/>
      <c r="G80" s="185"/>
      <c r="H80" s="185"/>
      <c r="I80" s="185"/>
      <c r="J80" s="185"/>
      <c r="K80" s="116"/>
      <c r="L80" s="116"/>
      <c r="M80" s="116"/>
      <c r="N80" s="116"/>
      <c r="O80" s="116"/>
      <c r="P80" s="116"/>
      <c r="Q80" s="116"/>
      <c r="R80" s="115"/>
    </row>
    <row r="81" spans="1:19" ht="15.5" x14ac:dyDescent="0.35">
      <c r="B81" s="120" t="s">
        <v>170</v>
      </c>
      <c r="C81" s="120"/>
      <c r="D81" s="116"/>
      <c r="E81" s="116"/>
      <c r="F81" s="116"/>
      <c r="G81" s="116"/>
      <c r="H81" s="116"/>
      <c r="I81" s="116"/>
      <c r="J81" s="116"/>
      <c r="K81" s="116"/>
      <c r="L81" s="116"/>
      <c r="M81" s="116"/>
      <c r="N81" s="116"/>
      <c r="O81" s="116"/>
      <c r="P81" s="116"/>
      <c r="Q81" s="116"/>
      <c r="R81" s="115"/>
    </row>
    <row r="82" spans="1:19" ht="15.5" x14ac:dyDescent="0.35">
      <c r="B82" s="120" t="s">
        <v>110</v>
      </c>
      <c r="C82" s="120"/>
      <c r="D82" s="183">
        <f>D83</f>
        <v>0</v>
      </c>
      <c r="E82" s="183">
        <f t="shared" ref="E82:Q82" si="3">E83+D82</f>
        <v>513.23076923076928</v>
      </c>
      <c r="F82" s="183">
        <f t="shared" si="3"/>
        <v>2173.2307692307695</v>
      </c>
      <c r="G82" s="183">
        <f t="shared" si="3"/>
        <v>4173.2307692307695</v>
      </c>
      <c r="H82" s="183">
        <f t="shared" si="3"/>
        <v>6173.2307692307695</v>
      </c>
      <c r="I82" s="183">
        <f t="shared" si="3"/>
        <v>8173.2307692307695</v>
      </c>
      <c r="J82" s="183">
        <f t="shared" si="3"/>
        <v>10173.23076923077</v>
      </c>
      <c r="K82" s="183">
        <f t="shared" si="3"/>
        <v>12173.23076923077</v>
      </c>
      <c r="L82" s="186">
        <f t="shared" si="3"/>
        <v>13632.923076923078</v>
      </c>
      <c r="M82" s="183">
        <f t="shared" si="3"/>
        <v>15632.923076923078</v>
      </c>
      <c r="N82" s="183">
        <f t="shared" si="3"/>
        <v>17632.923076923078</v>
      </c>
      <c r="O82" s="183">
        <f t="shared" si="3"/>
        <v>19632.923076923078</v>
      </c>
      <c r="P82" s="183">
        <f t="shared" si="3"/>
        <v>21632.923076923078</v>
      </c>
      <c r="Q82" s="183">
        <f t="shared" si="3"/>
        <v>23632.923076923078</v>
      </c>
      <c r="R82" s="115">
        <f>Q82</f>
        <v>23632.923076923078</v>
      </c>
    </row>
    <row r="83" spans="1:19" ht="15.5" x14ac:dyDescent="0.35">
      <c r="B83" s="120" t="s">
        <v>111</v>
      </c>
      <c r="C83" s="120"/>
      <c r="D83" s="183">
        <f t="shared" ref="D83:Q83" si="4">SUMPRODUCT(D86:D88,$B$86:$B$88)</f>
        <v>0</v>
      </c>
      <c r="E83" s="183">
        <f>SUMPRODUCT(E86:E88,$B$86:$B$88)</f>
        <v>513.23076923076928</v>
      </c>
      <c r="F83" s="183">
        <f>SUMPRODUCT(F86:F88,$B$86:$B$88)</f>
        <v>1660</v>
      </c>
      <c r="G83" s="183">
        <f t="shared" si="4"/>
        <v>2000</v>
      </c>
      <c r="H83" s="183">
        <f t="shared" si="4"/>
        <v>2000</v>
      </c>
      <c r="I83" s="183">
        <f>SUMPRODUCT(I86:I88,$B$86:$B$88)</f>
        <v>2000</v>
      </c>
      <c r="J83" s="183">
        <f t="shared" si="4"/>
        <v>2000</v>
      </c>
      <c r="K83" s="183">
        <f t="shared" si="4"/>
        <v>2000</v>
      </c>
      <c r="L83" s="186">
        <f t="shared" si="4"/>
        <v>1459.6923076923085</v>
      </c>
      <c r="M83" s="183">
        <f t="shared" si="4"/>
        <v>2000</v>
      </c>
      <c r="N83" s="183">
        <f t="shared" si="4"/>
        <v>2000</v>
      </c>
      <c r="O83" s="183">
        <f t="shared" si="4"/>
        <v>2000</v>
      </c>
      <c r="P83" s="183">
        <f t="shared" si="4"/>
        <v>2000</v>
      </c>
      <c r="Q83" s="183">
        <f t="shared" si="4"/>
        <v>2000</v>
      </c>
      <c r="R83" s="115">
        <f>SUM(D83:Q83)</f>
        <v>23632.923076923078</v>
      </c>
    </row>
    <row r="84" spans="1:19" ht="15.5" x14ac:dyDescent="0.35">
      <c r="B84" s="120" t="s">
        <v>84</v>
      </c>
      <c r="C84" s="120"/>
      <c r="D84" s="183">
        <f>ROUNDUP(D83/500,0)</f>
        <v>0</v>
      </c>
      <c r="E84" s="183">
        <f>ROUNDUP(E83/500,0)</f>
        <v>2</v>
      </c>
      <c r="F84" s="183">
        <f>ROUNDUP(F83/800,0)</f>
        <v>3</v>
      </c>
      <c r="G84" s="183">
        <f t="shared" ref="G84:Q84" si="5">ROUNDUP(G83/800,0)</f>
        <v>3</v>
      </c>
      <c r="H84" s="183">
        <f t="shared" si="5"/>
        <v>3</v>
      </c>
      <c r="I84" s="183">
        <f t="shared" si="5"/>
        <v>3</v>
      </c>
      <c r="J84" s="183">
        <f t="shared" si="5"/>
        <v>3</v>
      </c>
      <c r="K84" s="183">
        <f t="shared" si="5"/>
        <v>3</v>
      </c>
      <c r="L84" s="183">
        <f t="shared" si="5"/>
        <v>2</v>
      </c>
      <c r="M84" s="183">
        <f t="shared" si="5"/>
        <v>3</v>
      </c>
      <c r="N84" s="183">
        <f t="shared" si="5"/>
        <v>3</v>
      </c>
      <c r="O84" s="183">
        <f t="shared" si="5"/>
        <v>3</v>
      </c>
      <c r="P84" s="183">
        <f t="shared" si="5"/>
        <v>3</v>
      </c>
      <c r="Q84" s="183">
        <f t="shared" si="5"/>
        <v>3</v>
      </c>
      <c r="R84" s="115">
        <f>SUM(D84:Q84)</f>
        <v>37</v>
      </c>
    </row>
    <row r="85" spans="1:19" ht="15.5" x14ac:dyDescent="0.35">
      <c r="B85" s="179" t="s">
        <v>112</v>
      </c>
      <c r="C85" s="180">
        <f>SUM(C86:C88)</f>
        <v>0</v>
      </c>
      <c r="D85" s="180">
        <f t="shared" ref="D85:Q85" si="6">SUM(D86:D88)</f>
        <v>0</v>
      </c>
      <c r="E85" s="180">
        <f t="shared" si="6"/>
        <v>42.769230769230774</v>
      </c>
      <c r="F85" s="180">
        <f t="shared" si="6"/>
        <v>121.66666666666667</v>
      </c>
      <c r="G85" s="180">
        <f t="shared" si="6"/>
        <v>150</v>
      </c>
      <c r="H85" s="180">
        <f t="shared" si="6"/>
        <v>150</v>
      </c>
      <c r="I85" s="180">
        <f t="shared" si="6"/>
        <v>150</v>
      </c>
      <c r="J85" s="180">
        <f t="shared" si="6"/>
        <v>150</v>
      </c>
      <c r="K85" s="180">
        <f t="shared" si="6"/>
        <v>150</v>
      </c>
      <c r="L85" s="180">
        <f t="shared" si="6"/>
        <v>104.97435897435905</v>
      </c>
      <c r="M85" s="180">
        <f t="shared" si="6"/>
        <v>122.22222222222223</v>
      </c>
      <c r="N85" s="180">
        <f t="shared" si="6"/>
        <v>122.22222222222223</v>
      </c>
      <c r="O85" s="180">
        <f t="shared" si="6"/>
        <v>122.22222222222223</v>
      </c>
      <c r="P85" s="180">
        <f t="shared" si="6"/>
        <v>122.22222222222223</v>
      </c>
      <c r="Q85" s="180">
        <f t="shared" si="6"/>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113</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7">3*D86</f>
        <v>0</v>
      </c>
      <c r="E90" s="183">
        <f t="shared" si="7"/>
        <v>128.30769230769232</v>
      </c>
      <c r="F90" s="183">
        <f t="shared" si="7"/>
        <v>165</v>
      </c>
      <c r="G90" s="183">
        <f t="shared" si="7"/>
        <v>250</v>
      </c>
      <c r="H90" s="183">
        <f t="shared" si="7"/>
        <v>250</v>
      </c>
      <c r="I90" s="183">
        <f t="shared" si="7"/>
        <v>250</v>
      </c>
      <c r="J90" s="183">
        <f t="shared" si="7"/>
        <v>250</v>
      </c>
      <c r="K90" s="183">
        <f t="shared" si="7"/>
        <v>250</v>
      </c>
      <c r="L90" s="186">
        <f t="shared" si="7"/>
        <v>114.92307692307713</v>
      </c>
      <c r="M90" s="183">
        <f t="shared" si="7"/>
        <v>0</v>
      </c>
      <c r="N90" s="183">
        <f t="shared" si="7"/>
        <v>0</v>
      </c>
      <c r="O90" s="183">
        <f t="shared" si="7"/>
        <v>0</v>
      </c>
      <c r="P90" s="183">
        <f t="shared" si="7"/>
        <v>0</v>
      </c>
      <c r="Q90" s="183">
        <f t="shared" si="7"/>
        <v>0</v>
      </c>
      <c r="R90" s="115">
        <f>SUM(D90:Q90)</f>
        <v>1658.2307692307695</v>
      </c>
    </row>
    <row r="91" spans="1:19" ht="15.5" x14ac:dyDescent="0.35">
      <c r="B91" s="182">
        <f>B87</f>
        <v>15</v>
      </c>
      <c r="C91" s="182"/>
      <c r="D91" s="183">
        <f t="shared" si="7"/>
        <v>0</v>
      </c>
      <c r="E91" s="183">
        <f t="shared" si="7"/>
        <v>0</v>
      </c>
      <c r="F91" s="183">
        <f t="shared" si="7"/>
        <v>200</v>
      </c>
      <c r="G91" s="183">
        <f t="shared" si="7"/>
        <v>200</v>
      </c>
      <c r="H91" s="183">
        <f t="shared" si="7"/>
        <v>200</v>
      </c>
      <c r="I91" s="183">
        <f t="shared" si="7"/>
        <v>200</v>
      </c>
      <c r="J91" s="183">
        <f t="shared" si="7"/>
        <v>200</v>
      </c>
      <c r="K91" s="183">
        <f t="shared" si="7"/>
        <v>200</v>
      </c>
      <c r="L91" s="186">
        <f t="shared" si="7"/>
        <v>200</v>
      </c>
      <c r="M91" s="183">
        <f t="shared" si="7"/>
        <v>200</v>
      </c>
      <c r="N91" s="183">
        <f t="shared" si="7"/>
        <v>200</v>
      </c>
      <c r="O91" s="183">
        <f t="shared" si="7"/>
        <v>200</v>
      </c>
      <c r="P91" s="183">
        <f t="shared" si="7"/>
        <v>200</v>
      </c>
      <c r="Q91" s="183">
        <f t="shared" si="7"/>
        <v>200</v>
      </c>
      <c r="R91" s="115">
        <f>SUM(D91:Q91)</f>
        <v>2400</v>
      </c>
    </row>
    <row r="92" spans="1:19" ht="15.5" x14ac:dyDescent="0.35">
      <c r="B92" s="182">
        <f>B88</f>
        <v>18</v>
      </c>
      <c r="C92" s="182"/>
      <c r="D92" s="183">
        <f t="shared" si="7"/>
        <v>0</v>
      </c>
      <c r="E92" s="183">
        <f t="shared" si="7"/>
        <v>0</v>
      </c>
      <c r="F92" s="183">
        <f t="shared" si="7"/>
        <v>0</v>
      </c>
      <c r="G92" s="183">
        <f t="shared" si="7"/>
        <v>0</v>
      </c>
      <c r="H92" s="183">
        <f t="shared" si="7"/>
        <v>0</v>
      </c>
      <c r="I92" s="183">
        <f t="shared" si="7"/>
        <v>0</v>
      </c>
      <c r="J92" s="183">
        <f t="shared" si="7"/>
        <v>0</v>
      </c>
      <c r="K92" s="183">
        <f t="shared" si="7"/>
        <v>0</v>
      </c>
      <c r="L92" s="186">
        <f t="shared" si="7"/>
        <v>0</v>
      </c>
      <c r="M92" s="183">
        <f t="shared" si="7"/>
        <v>166.66666666666669</v>
      </c>
      <c r="N92" s="183">
        <f t="shared" si="7"/>
        <v>166.66666666666669</v>
      </c>
      <c r="O92" s="183">
        <f t="shared" si="7"/>
        <v>166.66666666666669</v>
      </c>
      <c r="P92" s="183">
        <f t="shared" si="7"/>
        <v>166.66666666666669</v>
      </c>
      <c r="Q92" s="183">
        <f t="shared" si="7"/>
        <v>166.66666666666669</v>
      </c>
      <c r="R92" s="115">
        <f>SUM(D92:Q92)</f>
        <v>833.33333333333348</v>
      </c>
    </row>
    <row r="93" spans="1:19" ht="15.5" x14ac:dyDescent="0.35">
      <c r="B93" s="179" t="s">
        <v>114</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8">D86</f>
        <v>0</v>
      </c>
      <c r="E94" s="183">
        <f t="shared" si="8"/>
        <v>42.769230769230774</v>
      </c>
      <c r="F94" s="183">
        <f t="shared" si="8"/>
        <v>55</v>
      </c>
      <c r="G94" s="183">
        <f t="shared" si="8"/>
        <v>83.333333333333329</v>
      </c>
      <c r="H94" s="183">
        <f t="shared" si="8"/>
        <v>83.333333333333329</v>
      </c>
      <c r="I94" s="183">
        <f t="shared" si="8"/>
        <v>83.333333333333329</v>
      </c>
      <c r="J94" s="183">
        <f t="shared" si="8"/>
        <v>83.333333333333329</v>
      </c>
      <c r="K94" s="183">
        <f t="shared" si="8"/>
        <v>83.333333333333329</v>
      </c>
      <c r="L94" s="186">
        <f t="shared" si="8"/>
        <v>38.307692307692378</v>
      </c>
      <c r="M94" s="183">
        <f t="shared" si="8"/>
        <v>0</v>
      </c>
      <c r="N94" s="183">
        <f t="shared" si="8"/>
        <v>0</v>
      </c>
      <c r="O94" s="183">
        <f t="shared" si="8"/>
        <v>0</v>
      </c>
      <c r="P94" s="183">
        <f t="shared" si="8"/>
        <v>0</v>
      </c>
      <c r="Q94" s="183">
        <f t="shared" si="8"/>
        <v>0</v>
      </c>
      <c r="R94" s="115">
        <f>SUM(D94:Q94)</f>
        <v>552.74358974358972</v>
      </c>
    </row>
    <row r="95" spans="1:19" ht="15.5" x14ac:dyDescent="0.35">
      <c r="B95" s="182">
        <f>B87</f>
        <v>15</v>
      </c>
      <c r="C95" s="182"/>
      <c r="D95" s="183">
        <f t="shared" si="8"/>
        <v>0</v>
      </c>
      <c r="E95" s="183">
        <f t="shared" si="8"/>
        <v>0</v>
      </c>
      <c r="F95" s="183">
        <f t="shared" si="8"/>
        <v>66.666666666666671</v>
      </c>
      <c r="G95" s="183">
        <f t="shared" si="8"/>
        <v>66.666666666666671</v>
      </c>
      <c r="H95" s="183">
        <f t="shared" si="8"/>
        <v>66.666666666666671</v>
      </c>
      <c r="I95" s="183">
        <f t="shared" si="8"/>
        <v>66.666666666666671</v>
      </c>
      <c r="J95" s="183">
        <f t="shared" si="8"/>
        <v>66.666666666666671</v>
      </c>
      <c r="K95" s="183">
        <f t="shared" si="8"/>
        <v>66.666666666666671</v>
      </c>
      <c r="L95" s="186">
        <f t="shared" si="8"/>
        <v>66.666666666666671</v>
      </c>
      <c r="M95" s="183">
        <f t="shared" si="8"/>
        <v>66.666666666666671</v>
      </c>
      <c r="N95" s="183">
        <f t="shared" si="8"/>
        <v>66.666666666666671</v>
      </c>
      <c r="O95" s="183">
        <f t="shared" si="8"/>
        <v>66.666666666666671</v>
      </c>
      <c r="P95" s="183">
        <f t="shared" si="8"/>
        <v>66.666666666666671</v>
      </c>
      <c r="Q95" s="183">
        <f t="shared" si="8"/>
        <v>66.666666666666671</v>
      </c>
      <c r="R95" s="115">
        <f>SUM(D95:Q95)</f>
        <v>799.99999999999989</v>
      </c>
    </row>
    <row r="96" spans="1:19" ht="15.5" x14ac:dyDescent="0.35">
      <c r="B96" s="182">
        <f>B88</f>
        <v>18</v>
      </c>
      <c r="C96" s="182"/>
      <c r="D96" s="183">
        <f t="shared" si="8"/>
        <v>0</v>
      </c>
      <c r="E96" s="183">
        <f t="shared" si="8"/>
        <v>0</v>
      </c>
      <c r="F96" s="183">
        <f t="shared" si="8"/>
        <v>0</v>
      </c>
      <c r="G96" s="183">
        <f t="shared" si="8"/>
        <v>0</v>
      </c>
      <c r="H96" s="183">
        <f t="shared" si="8"/>
        <v>0</v>
      </c>
      <c r="I96" s="183">
        <f t="shared" si="8"/>
        <v>0</v>
      </c>
      <c r="J96" s="183">
        <f t="shared" si="8"/>
        <v>0</v>
      </c>
      <c r="K96" s="183">
        <f t="shared" si="8"/>
        <v>0</v>
      </c>
      <c r="L96" s="186">
        <f t="shared" si="8"/>
        <v>0</v>
      </c>
      <c r="M96" s="183">
        <f t="shared" si="8"/>
        <v>55.555555555555557</v>
      </c>
      <c r="N96" s="183">
        <f t="shared" si="8"/>
        <v>55.555555555555557</v>
      </c>
      <c r="O96" s="183">
        <f t="shared" si="8"/>
        <v>55.555555555555557</v>
      </c>
      <c r="P96" s="183">
        <f t="shared" si="8"/>
        <v>55.555555555555557</v>
      </c>
      <c r="Q96" s="183">
        <f t="shared" si="8"/>
        <v>55.555555555555557</v>
      </c>
      <c r="R96" s="115">
        <f>SUM(D96:Q96)</f>
        <v>277.77777777777777</v>
      </c>
    </row>
    <row r="97" spans="2:18" ht="15.5" x14ac:dyDescent="0.35">
      <c r="B97" s="179" t="s">
        <v>115</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9">D86</f>
        <v>0</v>
      </c>
      <c r="E98" s="183">
        <f t="shared" si="9"/>
        <v>42.769230769230774</v>
      </c>
      <c r="F98" s="183">
        <f t="shared" si="9"/>
        <v>55</v>
      </c>
      <c r="G98" s="183">
        <f t="shared" si="9"/>
        <v>83.333333333333329</v>
      </c>
      <c r="H98" s="183">
        <f t="shared" si="9"/>
        <v>83.333333333333329</v>
      </c>
      <c r="I98" s="183">
        <f t="shared" si="9"/>
        <v>83.333333333333329</v>
      </c>
      <c r="J98" s="183">
        <f t="shared" si="9"/>
        <v>83.333333333333329</v>
      </c>
      <c r="K98" s="183">
        <f t="shared" si="9"/>
        <v>83.333333333333329</v>
      </c>
      <c r="L98" s="186">
        <f t="shared" si="9"/>
        <v>38.307692307692378</v>
      </c>
      <c r="M98" s="183">
        <f t="shared" si="9"/>
        <v>0</v>
      </c>
      <c r="N98" s="183">
        <f t="shared" si="9"/>
        <v>0</v>
      </c>
      <c r="O98" s="183">
        <f t="shared" si="9"/>
        <v>0</v>
      </c>
      <c r="P98" s="183">
        <f t="shared" si="9"/>
        <v>0</v>
      </c>
      <c r="Q98" s="183">
        <f t="shared" si="9"/>
        <v>0</v>
      </c>
      <c r="R98" s="115">
        <f>SUM(D98:Q98)</f>
        <v>552.74358974358972</v>
      </c>
    </row>
    <row r="99" spans="2:18" ht="15.5" x14ac:dyDescent="0.35">
      <c r="B99" s="182">
        <f>B87</f>
        <v>15</v>
      </c>
      <c r="C99" s="182"/>
      <c r="D99" s="183">
        <f t="shared" si="9"/>
        <v>0</v>
      </c>
      <c r="E99" s="183">
        <f t="shared" si="9"/>
        <v>0</v>
      </c>
      <c r="F99" s="183">
        <f t="shared" si="9"/>
        <v>66.666666666666671</v>
      </c>
      <c r="G99" s="183">
        <f t="shared" si="9"/>
        <v>66.666666666666671</v>
      </c>
      <c r="H99" s="183">
        <f t="shared" si="9"/>
        <v>66.666666666666671</v>
      </c>
      <c r="I99" s="183">
        <f t="shared" si="9"/>
        <v>66.666666666666671</v>
      </c>
      <c r="J99" s="183">
        <f t="shared" si="9"/>
        <v>66.666666666666671</v>
      </c>
      <c r="K99" s="183">
        <f t="shared" si="9"/>
        <v>66.666666666666671</v>
      </c>
      <c r="L99" s="186">
        <f t="shared" si="9"/>
        <v>66.666666666666671</v>
      </c>
      <c r="M99" s="183">
        <f t="shared" si="9"/>
        <v>66.666666666666671</v>
      </c>
      <c r="N99" s="183">
        <f t="shared" si="9"/>
        <v>66.666666666666671</v>
      </c>
      <c r="O99" s="183">
        <f t="shared" si="9"/>
        <v>66.666666666666671</v>
      </c>
      <c r="P99" s="183">
        <f t="shared" si="9"/>
        <v>66.666666666666671</v>
      </c>
      <c r="Q99" s="183">
        <f t="shared" si="9"/>
        <v>66.666666666666671</v>
      </c>
      <c r="R99" s="115">
        <f>SUM(D99:Q99)</f>
        <v>799.99999999999989</v>
      </c>
    </row>
    <row r="100" spans="2:18" ht="15.5" x14ac:dyDescent="0.35">
      <c r="B100" s="182">
        <f>B88</f>
        <v>18</v>
      </c>
      <c r="C100" s="182"/>
      <c r="D100" s="183">
        <f t="shared" si="9"/>
        <v>0</v>
      </c>
      <c r="E100" s="183">
        <f t="shared" si="9"/>
        <v>0</v>
      </c>
      <c r="F100" s="183">
        <f t="shared" si="9"/>
        <v>0</v>
      </c>
      <c r="G100" s="183">
        <f t="shared" si="9"/>
        <v>0</v>
      </c>
      <c r="H100" s="183">
        <f t="shared" si="9"/>
        <v>0</v>
      </c>
      <c r="I100" s="183">
        <f t="shared" si="9"/>
        <v>0</v>
      </c>
      <c r="J100" s="183">
        <f t="shared" si="9"/>
        <v>0</v>
      </c>
      <c r="K100" s="183">
        <f t="shared" si="9"/>
        <v>0</v>
      </c>
      <c r="L100" s="186">
        <f t="shared" si="9"/>
        <v>0</v>
      </c>
      <c r="M100" s="183">
        <f t="shared" si="9"/>
        <v>55.555555555555557</v>
      </c>
      <c r="N100" s="183">
        <f t="shared" si="9"/>
        <v>55.555555555555557</v>
      </c>
      <c r="O100" s="183">
        <f t="shared" si="9"/>
        <v>55.555555555555557</v>
      </c>
      <c r="P100" s="183">
        <f t="shared" si="9"/>
        <v>55.555555555555557</v>
      </c>
      <c r="Q100" s="183">
        <f t="shared" si="9"/>
        <v>55.555555555555557</v>
      </c>
      <c r="R100" s="115">
        <f>SUM(D100:Q100)</f>
        <v>277.77777777777777</v>
      </c>
    </row>
    <row r="101" spans="2:18" ht="15.5" x14ac:dyDescent="0.35">
      <c r="B101" s="179" t="s">
        <v>116</v>
      </c>
      <c r="C101" s="179"/>
      <c r="D101" s="180">
        <f>SUM(D103:D105)</f>
        <v>0</v>
      </c>
      <c r="E101" s="180">
        <f t="shared" ref="E101:Q101" si="10">SUM(E103:E105)</f>
        <v>42.769230769230774</v>
      </c>
      <c r="F101" s="180">
        <f t="shared" si="10"/>
        <v>121.66666666666664</v>
      </c>
      <c r="G101" s="180">
        <f t="shared" si="10"/>
        <v>138.6146496815287</v>
      </c>
      <c r="H101" s="180">
        <f t="shared" si="10"/>
        <v>136.46061269146608</v>
      </c>
      <c r="I101" s="180">
        <f t="shared" si="10"/>
        <v>150.00000000000003</v>
      </c>
      <c r="J101" s="180">
        <f t="shared" si="10"/>
        <v>141.83733963440574</v>
      </c>
      <c r="K101" s="180">
        <f t="shared" si="10"/>
        <v>167.45858761987793</v>
      </c>
      <c r="L101" s="180">
        <f t="shared" si="10"/>
        <v>97.870904229843518</v>
      </c>
      <c r="M101" s="180">
        <f t="shared" si="10"/>
        <v>56.951842847654682</v>
      </c>
      <c r="N101" s="180">
        <f t="shared" si="10"/>
        <v>122.22222222222223</v>
      </c>
      <c r="O101" s="180">
        <f t="shared" si="10"/>
        <v>122.22222222222221</v>
      </c>
      <c r="P101" s="180">
        <f t="shared" si="10"/>
        <v>122.22222222222223</v>
      </c>
      <c r="Q101" s="180">
        <f t="shared" si="10"/>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117</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118</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119</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120</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v>0</v>
      </c>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v>0</v>
      </c>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137</v>
      </c>
      <c r="C112" s="179"/>
      <c r="D112" s="180"/>
      <c r="E112" s="180"/>
      <c r="F112" s="180"/>
      <c r="G112" s="180"/>
      <c r="H112" s="180"/>
      <c r="I112" s="180"/>
      <c r="J112" s="180"/>
      <c r="K112" s="180"/>
      <c r="L112" s="188"/>
      <c r="M112" s="180"/>
      <c r="N112" s="180"/>
      <c r="O112" s="180"/>
      <c r="P112" s="180"/>
      <c r="Q112" s="180"/>
      <c r="R112" s="181"/>
    </row>
    <row r="113" spans="2:18" ht="15.5" x14ac:dyDescent="0.35">
      <c r="B113" s="116" t="s">
        <v>121</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122</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140</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293</v>
      </c>
      <c r="C117" s="116"/>
      <c r="D117" s="107"/>
      <c r="E117" s="108">
        <f>SUM(E113:E116)</f>
        <v>128.30769230769232</v>
      </c>
      <c r="F117" s="108">
        <f t="shared" ref="F117:Q117" si="11">SUM(F113:F116)</f>
        <v>349.27927348413243</v>
      </c>
      <c r="G117" s="108">
        <f t="shared" si="11"/>
        <v>423.60668789808926</v>
      </c>
      <c r="H117" s="108">
        <f t="shared" si="11"/>
        <v>419.53637855579871</v>
      </c>
      <c r="I117" s="108">
        <f t="shared" si="11"/>
        <v>443.77194794463958</v>
      </c>
      <c r="J117" s="108">
        <f t="shared" si="11"/>
        <v>410.02290940257183</v>
      </c>
      <c r="K117" s="108">
        <f>SUM(K113:K116)</f>
        <v>461.12249346120313</v>
      </c>
      <c r="L117" s="108">
        <f t="shared" si="11"/>
        <v>299.41312745434902</v>
      </c>
      <c r="M117" s="108">
        <f t="shared" si="11"/>
        <v>268.76109760481535</v>
      </c>
      <c r="N117" s="108">
        <f t="shared" si="11"/>
        <v>345.2853594946165</v>
      </c>
      <c r="O117" s="108">
        <f t="shared" si="11"/>
        <v>339.16666666666663</v>
      </c>
      <c r="P117" s="108">
        <f t="shared" si="11"/>
        <v>346.80702989190695</v>
      </c>
      <c r="Q117" s="108">
        <f t="shared" si="11"/>
        <v>339.16666666666663</v>
      </c>
      <c r="R117" s="115"/>
    </row>
    <row r="118" spans="2:18" ht="15.5" x14ac:dyDescent="0.35">
      <c r="B118" s="116" t="s">
        <v>138</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289</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141</v>
      </c>
      <c r="C121" s="179"/>
      <c r="D121" s="180"/>
      <c r="E121" s="180"/>
      <c r="F121" s="180"/>
      <c r="G121" s="180"/>
      <c r="H121" s="180"/>
      <c r="I121" s="180"/>
      <c r="J121" s="180"/>
      <c r="K121" s="180"/>
      <c r="L121" s="188"/>
      <c r="M121" s="180"/>
      <c r="N121" s="180"/>
      <c r="O121" s="180"/>
      <c r="P121" s="180"/>
      <c r="Q121" s="180"/>
      <c r="R121" s="181"/>
    </row>
    <row r="122" spans="2:18" ht="15.5" x14ac:dyDescent="0.35">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140</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149</v>
      </c>
      <c r="C126" s="125"/>
      <c r="D126" s="124">
        <f>SUM(D122:D125)</f>
        <v>0</v>
      </c>
      <c r="E126" s="124">
        <f t="shared" ref="E126:Q126" si="12">SUM(E122:E125)</f>
        <v>2</v>
      </c>
      <c r="F126" s="124">
        <f t="shared" si="12"/>
        <v>3</v>
      </c>
      <c r="G126" s="124">
        <f t="shared" si="12"/>
        <v>3</v>
      </c>
      <c r="H126" s="124">
        <f t="shared" si="12"/>
        <v>3</v>
      </c>
      <c r="I126" s="124">
        <f>SUM(I122:I125)</f>
        <v>3</v>
      </c>
      <c r="J126" s="124">
        <f t="shared" si="12"/>
        <v>3</v>
      </c>
      <c r="K126" s="124">
        <f t="shared" si="12"/>
        <v>3</v>
      </c>
      <c r="L126" s="190">
        <f t="shared" si="12"/>
        <v>3</v>
      </c>
      <c r="M126" s="124">
        <f t="shared" si="12"/>
        <v>3</v>
      </c>
      <c r="N126" s="124">
        <f t="shared" si="12"/>
        <v>3</v>
      </c>
      <c r="O126" s="124">
        <f t="shared" si="12"/>
        <v>3</v>
      </c>
      <c r="P126" s="124">
        <f t="shared" si="12"/>
        <v>3</v>
      </c>
      <c r="Q126" s="124">
        <f t="shared" si="12"/>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142</v>
      </c>
      <c r="C129" s="116"/>
      <c r="D129" s="183">
        <f>D126*2</f>
        <v>0</v>
      </c>
      <c r="E129" s="183">
        <f t="shared" ref="E129:Q129" si="13">E126*2</f>
        <v>4</v>
      </c>
      <c r="F129" s="183">
        <f t="shared" si="13"/>
        <v>6</v>
      </c>
      <c r="G129" s="183">
        <f t="shared" si="13"/>
        <v>6</v>
      </c>
      <c r="H129" s="183">
        <f t="shared" si="13"/>
        <v>6</v>
      </c>
      <c r="I129" s="183">
        <f t="shared" si="13"/>
        <v>6</v>
      </c>
      <c r="J129" s="183">
        <f t="shared" si="13"/>
        <v>6</v>
      </c>
      <c r="K129" s="183">
        <f t="shared" si="13"/>
        <v>6</v>
      </c>
      <c r="L129" s="186">
        <f t="shared" si="13"/>
        <v>6</v>
      </c>
      <c r="M129" s="183">
        <f t="shared" si="13"/>
        <v>6</v>
      </c>
      <c r="N129" s="183">
        <f t="shared" si="13"/>
        <v>6</v>
      </c>
      <c r="O129" s="183">
        <f t="shared" si="13"/>
        <v>6</v>
      </c>
      <c r="P129" s="183">
        <f t="shared" si="13"/>
        <v>6</v>
      </c>
      <c r="Q129" s="183">
        <f t="shared" si="13"/>
        <v>6</v>
      </c>
      <c r="R129" s="115"/>
    </row>
    <row r="130" spans="2:18" ht="15.5" x14ac:dyDescent="0.35">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185</v>
      </c>
      <c r="C136" s="116"/>
      <c r="D136" s="116"/>
      <c r="E136" s="116"/>
      <c r="F136" s="116"/>
      <c r="G136" s="116"/>
      <c r="H136" s="116"/>
      <c r="I136" s="116"/>
      <c r="J136" s="116"/>
      <c r="K136" s="116"/>
      <c r="L136" s="116"/>
      <c r="M136" s="116"/>
      <c r="N136" s="116"/>
      <c r="O136" s="116"/>
      <c r="P136" s="116"/>
      <c r="Q136" s="116"/>
      <c r="R136" s="116"/>
    </row>
    <row r="137" spans="2:18" ht="15.5" x14ac:dyDescent="0.35">
      <c r="B137" s="179" t="s">
        <v>186</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4">G138*$B138+G139*$B139+G140*$B140</f>
        <v>2000</v>
      </c>
      <c r="H144" s="116">
        <f t="shared" si="14"/>
        <v>2000</v>
      </c>
      <c r="I144" s="116">
        <f t="shared" si="14"/>
        <v>2000</v>
      </c>
      <c r="J144" s="116">
        <f t="shared" si="14"/>
        <v>2000</v>
      </c>
      <c r="K144" s="116">
        <f t="shared" si="14"/>
        <v>2000</v>
      </c>
      <c r="L144" s="116">
        <f t="shared" si="14"/>
        <v>2000</v>
      </c>
      <c r="M144" s="116">
        <f t="shared" si="14"/>
        <v>2000</v>
      </c>
      <c r="N144" s="116">
        <f t="shared" si="14"/>
        <v>2000</v>
      </c>
      <c r="O144" s="116">
        <f t="shared" si="14"/>
        <v>2000</v>
      </c>
      <c r="P144" s="116">
        <f t="shared" si="14"/>
        <v>2000</v>
      </c>
      <c r="Q144" s="116">
        <f t="shared" si="14"/>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88" zoomScale="76" zoomScaleNormal="70" workbookViewId="0">
      <selection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ca="1">SUM(C12:P12)</f>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ca="1">SUM(C16:P16)</f>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ca="1">SUM(C20:P20)</f>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ca="1">SUM(C24:P24)</f>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99.206576866442973</v>
      </c>
      <c r="M26" s="183" cm="1">
        <f t="array" aca="1" ref="M26" ca="1">INDIRECT("R[36]C["&amp;$A$18&amp;"]",FALSE)</f>
        <v>65.394999999999996</v>
      </c>
      <c r="N26" s="183" cm="1">
        <f t="array" aca="1" ref="N26" ca="1">INDIRECT("R[36]C["&amp;$A$18&amp;"]",FALSE)</f>
        <v>44.760679711945514</v>
      </c>
      <c r="O26" s="183" cm="1">
        <f t="array" aca="1" ref="O26" ca="1">INDIRECT("R[36]C["&amp;$A$18&amp;"]",FALSE)</f>
        <v>16.940000000000001</v>
      </c>
      <c r="P26" s="183"/>
      <c r="Q26" s="183"/>
      <c r="R26" s="115">
        <f ca="1">SUM(C26:Q26)</f>
        <v>888.2303110463605</v>
      </c>
    </row>
    <row r="27" spans="1:18" ht="15.5" x14ac:dyDescent="0.35">
      <c r="A27" s="121">
        <f>A26</f>
        <v>1</v>
      </c>
      <c r="B27" s="106" t="s">
        <v>258</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100.20866350145754</v>
      </c>
      <c r="M27" s="183" cm="1">
        <f t="array" aca="1" ref="M27" ca="1">INDIRECT("R[36]C["&amp;$A$19&amp;"]",FALSE)</f>
        <v>66.055555555555543</v>
      </c>
      <c r="N27" s="183" cm="1">
        <f t="array" aca="1" ref="N27" ca="1">INDIRECT("R[36]C["&amp;$A$19&amp;"]",FALSE)</f>
        <v>45.21280778984395</v>
      </c>
      <c r="O27" s="183" cm="1">
        <f t="array" aca="1" ref="O27" ca="1">INDIRECT("R[36]C["&amp;$A$19&amp;"]",FALSE)</f>
        <v>17.111111111111111</v>
      </c>
      <c r="P27" s="183"/>
      <c r="Q27" s="183"/>
      <c r="R27" s="115">
        <f ca="1">SUM(C27:Q27)</f>
        <v>897.20233439026288</v>
      </c>
    </row>
    <row r="28" spans="1:18" ht="15.5" x14ac:dyDescent="0.35">
      <c r="A28" s="121">
        <f>Assumptions!C53</f>
        <v>1</v>
      </c>
      <c r="B28" s="106" t="s">
        <v>353</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100.20866350145754</v>
      </c>
      <c r="M28" s="183" cm="1">
        <f t="array" aca="1" ref="M28" ca="1">INDIRECT("R[36]C["&amp;$A$28&amp;"]",FALSE)</f>
        <v>66.055555555555543</v>
      </c>
      <c r="N28" s="183" cm="1">
        <f t="array" aca="1" ref="N28" ca="1">INDIRECT("R[36]C["&amp;$A$28&amp;"]",FALSE)</f>
        <v>45.21280778984395</v>
      </c>
      <c r="O28" s="183" cm="1">
        <f t="array" aca="1" ref="O28" ca="1">INDIRECT("R[36]C["&amp;$A$28&amp;"]",FALSE)</f>
        <v>17.111111111111111</v>
      </c>
      <c r="P28" s="183"/>
      <c r="Q28" s="183"/>
      <c r="R28" s="115">
        <f ca="1">SUM(C28:Q28)</f>
        <v>897.20233439026288</v>
      </c>
    </row>
    <row r="29" spans="1:18" ht="15.5" x14ac:dyDescent="0.35">
      <c r="A29" s="121">
        <f>Assumptions!C52</f>
        <v>1</v>
      </c>
      <c r="B29" s="106" t="s">
        <v>117</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100.20866350145754</v>
      </c>
      <c r="M29" s="183" cm="1">
        <f t="array" aca="1" ref="M29" ca="1">INDIRECT("R[36]C["&amp;$A$29&amp;"]",FALSE)</f>
        <v>66.055555555555543</v>
      </c>
      <c r="N29" s="183" cm="1">
        <f t="array" aca="1" ref="N29" ca="1">INDIRECT("R[36]C["&amp;$A$29&amp;"]",FALSE)</f>
        <v>45.21280778984395</v>
      </c>
      <c r="O29" s="183" cm="1">
        <f t="array" aca="1" ref="O29" ca="1">INDIRECT("R[36]C["&amp;$A$29&amp;"]",FALSE)</f>
        <v>17.111111111111111</v>
      </c>
      <c r="P29" s="183"/>
      <c r="Q29" s="183"/>
      <c r="R29" s="115">
        <f ca="1">SUM(C29:Q29)</f>
        <v>897.20233439026288</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ca="1">SUM(C30:Q30)</f>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338.31588019823317</v>
      </c>
      <c r="F45" s="180">
        <f t="shared" ca="1" si="2"/>
        <v>289.84615384615381</v>
      </c>
      <c r="G45" s="180">
        <f t="shared" ca="1" si="2"/>
        <v>243.73333333333332</v>
      </c>
      <c r="H45" s="180">
        <f t="shared" ca="1" si="2"/>
        <v>193.64</v>
      </c>
      <c r="I45" s="180">
        <f t="shared" ca="1" si="2"/>
        <v>375.06625590388217</v>
      </c>
      <c r="J45" s="180">
        <f t="shared" ca="1" si="2"/>
        <v>152.93333333333334</v>
      </c>
      <c r="K45" s="180">
        <f t="shared" ca="1" si="2"/>
        <v>315.26251267836159</v>
      </c>
      <c r="L45" s="180">
        <f t="shared" ca="1" si="2"/>
        <v>166.78543772010551</v>
      </c>
      <c r="M45" s="180">
        <f t="shared" ca="1" si="2"/>
        <v>300.62599050437262</v>
      </c>
      <c r="N45" s="180">
        <f t="shared" ca="1" si="2"/>
        <v>198.16666666666666</v>
      </c>
      <c r="O45" s="180">
        <f t="shared" ca="1" si="2"/>
        <v>135.63842336953189</v>
      </c>
      <c r="P45" s="180">
        <f t="shared" ca="1" si="2"/>
        <v>51.333333333333336</v>
      </c>
      <c r="Q45" s="180">
        <f t="shared" si="2"/>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99.206576866442973</v>
      </c>
      <c r="N62" s="183" cm="1">
        <f t="array" aca="1" ref="N62" ca="1">INDIRECT("R[40]C["&amp;$A$62&amp;"]",FALSE)</f>
        <v>65.394999999999996</v>
      </c>
      <c r="O62" s="183" cm="1">
        <f t="array" aca="1" ref="O62" ca="1">INDIRECT("R[40]C["&amp;$A$62&amp;"]",FALSE)</f>
        <v>44.760679711945514</v>
      </c>
      <c r="P62" s="183" cm="1">
        <f t="array" aca="1" ref="P62" ca="1">INDIRECT("R[40]C["&amp;$A$62&amp;"]",FALSE)</f>
        <v>16.940000000000001</v>
      </c>
      <c r="Q62" s="183"/>
      <c r="R62" s="115">
        <f ca="1">SUM(D62:Q62)</f>
        <v>888.2303110463605</v>
      </c>
    </row>
    <row r="63" spans="1:18" ht="15.5" x14ac:dyDescent="0.35">
      <c r="A63" s="121">
        <f>A60</f>
        <v>1</v>
      </c>
      <c r="B63" s="125" t="s">
        <v>258</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100.20866350145754</v>
      </c>
      <c r="N63" s="183" cm="1">
        <f t="array" aca="1" ref="N63" ca="1">INDIRECT("R[40]C["&amp;$A$62&amp;"]",FALSE)</f>
        <v>66.055555555555543</v>
      </c>
      <c r="O63" s="183" cm="1">
        <f t="array" aca="1" ref="O63" ca="1">INDIRECT("R[40]C["&amp;$A$62&amp;"]",FALSE)</f>
        <v>45.21280778984395</v>
      </c>
      <c r="P63" s="183" cm="1">
        <f t="array" aca="1" ref="P63" ca="1">INDIRECT("R[40]C["&amp;$A$62&amp;"]",FALSE)</f>
        <v>17.111111111111111</v>
      </c>
      <c r="Q63" s="183"/>
      <c r="R63" s="115"/>
    </row>
    <row r="64" spans="1:18" ht="15.5" x14ac:dyDescent="0.35">
      <c r="A64" s="121">
        <f>A60</f>
        <v>1</v>
      </c>
      <c r="B64" s="125" t="s">
        <v>353</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100.20866350145754</v>
      </c>
      <c r="N64" s="183" cm="1">
        <f t="array" aca="1" ref="N64" ca="1">INDIRECT("R[40]C["&amp;$A$62&amp;"]",FALSE)</f>
        <v>66.055555555555543</v>
      </c>
      <c r="O64" s="183" cm="1">
        <f t="array" aca="1" ref="O64" ca="1">INDIRECT("R[40]C["&amp;$A$62&amp;"]",FALSE)</f>
        <v>45.21280778984395</v>
      </c>
      <c r="P64" s="183" cm="1">
        <f t="array" aca="1" ref="P64" ca="1">INDIRECT("R[40]C["&amp;$A$62&amp;"]",FALSE)</f>
        <v>17.111111111111111</v>
      </c>
      <c r="Q64" s="183"/>
      <c r="R64" s="115">
        <f ca="1">SUM(D64:Q64)</f>
        <v>897.20233439026288</v>
      </c>
    </row>
    <row r="65" spans="1:18" ht="15.5" x14ac:dyDescent="0.35">
      <c r="A65" s="121">
        <f>A60</f>
        <v>1</v>
      </c>
      <c r="B65" s="125" t="s">
        <v>117</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100.20866350145754</v>
      </c>
      <c r="N65" s="183" cm="1">
        <f t="array" aca="1" ref="N65" ca="1">INDIRECT("R[40]C["&amp;$A$62&amp;"]",FALSE)</f>
        <v>66.055555555555543</v>
      </c>
      <c r="O65" s="183" cm="1">
        <f t="array" aca="1" ref="O65" ca="1">INDIRECT("R[40]C["&amp;$A$62&amp;"]",FALSE)</f>
        <v>45.21280778984395</v>
      </c>
      <c r="P65" s="183" cm="1">
        <f t="array" aca="1" ref="P65" ca="1">INDIRECT("R[40]C["&amp;$A$62&amp;"]",FALSE)</f>
        <v>17.111111111111111</v>
      </c>
      <c r="Q65" s="183"/>
      <c r="R65" s="115">
        <f ca="1">SUM(D65:Q65)</f>
        <v>897.20233439026288</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3">E83+D82</f>
        <v>513.23076923076928</v>
      </c>
      <c r="F82" s="183">
        <f t="shared" si="3"/>
        <v>4802.5843568196515</v>
      </c>
      <c r="G82" s="183">
        <f t="shared" si="3"/>
        <v>8587.7382029734981</v>
      </c>
      <c r="H82" s="183">
        <f t="shared" si="3"/>
        <v>12061.738202973498</v>
      </c>
      <c r="I82" s="183">
        <f t="shared" si="3"/>
        <v>14966.338202973498</v>
      </c>
      <c r="J82" s="183">
        <f t="shared" si="3"/>
        <v>20592.332041531732</v>
      </c>
      <c r="K82" s="183">
        <f t="shared" si="3"/>
        <v>22886.332041531732</v>
      </c>
      <c r="L82" s="186">
        <f t="shared" si="3"/>
        <v>27615.269731707158</v>
      </c>
      <c r="M82" s="183">
        <f t="shared" si="3"/>
        <v>30617.407610669055</v>
      </c>
      <c r="N82" s="183">
        <f t="shared" si="3"/>
        <v>36028.675439747763</v>
      </c>
      <c r="O82" s="183">
        <f t="shared" si="3"/>
        <v>39595.675439747763</v>
      </c>
      <c r="P82" s="183">
        <f t="shared" si="3"/>
        <v>42037.167060399341</v>
      </c>
      <c r="Q82" s="183">
        <f t="shared" si="3"/>
        <v>42961.167060399341</v>
      </c>
      <c r="R82" s="115">
        <f>Q82</f>
        <v>42961.167060399341</v>
      </c>
    </row>
    <row r="83" spans="1:19" ht="15.5" x14ac:dyDescent="0.35">
      <c r="A83" s="116"/>
      <c r="B83" s="120" t="s">
        <v>111</v>
      </c>
      <c r="C83" s="120"/>
      <c r="D83" s="183">
        <f t="shared" ref="D83:Q83" si="4">SUMPRODUCT(D86:D88,$B$86:$B$88)</f>
        <v>0</v>
      </c>
      <c r="E83" s="183">
        <f>SUMPRODUCT(E86:E88,$B$86:$B$88)</f>
        <v>513.23076923076928</v>
      </c>
      <c r="F83" s="183">
        <f>SUMPRODUCT(F86:F88,$B$86:$B$88)</f>
        <v>4289.353587588882</v>
      </c>
      <c r="G83" s="183">
        <f t="shared" si="4"/>
        <v>3785.1538461538457</v>
      </c>
      <c r="H83" s="183">
        <f t="shared" si="4"/>
        <v>3474</v>
      </c>
      <c r="I83" s="183">
        <f>SUMPRODUCT(I86:I88,$B$86:$B$88)</f>
        <v>2904.6</v>
      </c>
      <c r="J83" s="183">
        <f t="shared" si="4"/>
        <v>5625.9938385582327</v>
      </c>
      <c r="K83" s="183">
        <f t="shared" si="4"/>
        <v>2294</v>
      </c>
      <c r="L83" s="186">
        <f t="shared" si="4"/>
        <v>4728.937690175424</v>
      </c>
      <c r="M83" s="183">
        <f t="shared" si="4"/>
        <v>3002.1378789618993</v>
      </c>
      <c r="N83" s="183">
        <f t="shared" si="4"/>
        <v>5411.2678290787071</v>
      </c>
      <c r="O83" s="183">
        <f t="shared" si="4"/>
        <v>3567</v>
      </c>
      <c r="P83" s="183">
        <f t="shared" si="4"/>
        <v>2441.4916206515741</v>
      </c>
      <c r="Q83" s="183">
        <f t="shared" si="4"/>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5">SUM(D86:D88)</f>
        <v>0</v>
      </c>
      <c r="E85" s="180">
        <f t="shared" si="5"/>
        <v>42.769230769230774</v>
      </c>
      <c r="F85" s="180">
        <f t="shared" si="5"/>
        <v>338.31588019823317</v>
      </c>
      <c r="G85" s="180">
        <f t="shared" si="5"/>
        <v>289.84615384615381</v>
      </c>
      <c r="H85" s="180">
        <f t="shared" si="5"/>
        <v>243.73333333333332</v>
      </c>
      <c r="I85" s="180">
        <f t="shared" si="5"/>
        <v>193.64</v>
      </c>
      <c r="J85" s="180">
        <f t="shared" si="5"/>
        <v>375.06625590388217</v>
      </c>
      <c r="K85" s="180">
        <f t="shared" si="5"/>
        <v>152.93333333333334</v>
      </c>
      <c r="L85" s="180">
        <f t="shared" si="5"/>
        <v>315.26251267836159</v>
      </c>
      <c r="M85" s="180">
        <f t="shared" si="5"/>
        <v>166.78543772010551</v>
      </c>
      <c r="N85" s="180">
        <f t="shared" si="5"/>
        <v>300.62599050437262</v>
      </c>
      <c r="O85" s="180">
        <f t="shared" si="5"/>
        <v>198.16666666666666</v>
      </c>
      <c r="P85" s="180">
        <f t="shared" si="5"/>
        <v>135.63842336953189</v>
      </c>
      <c r="Q85" s="180">
        <f t="shared" si="5"/>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6">3*D86</f>
        <v>0</v>
      </c>
      <c r="E90" s="183">
        <f t="shared" si="6"/>
        <v>128.30769230769232</v>
      </c>
      <c r="F90" s="183">
        <f t="shared" si="6"/>
        <v>785.38461538461547</v>
      </c>
      <c r="G90" s="183">
        <f t="shared" si="6"/>
        <v>562.53846153846143</v>
      </c>
      <c r="H90" s="183">
        <f t="shared" si="6"/>
        <v>182</v>
      </c>
      <c r="I90" s="183">
        <f t="shared" si="6"/>
        <v>0</v>
      </c>
      <c r="J90" s="183">
        <f t="shared" si="6"/>
        <v>0</v>
      </c>
      <c r="K90" s="183">
        <f t="shared" si="6"/>
        <v>0</v>
      </c>
      <c r="L90" s="186">
        <f t="shared" si="6"/>
        <v>0</v>
      </c>
      <c r="M90" s="183">
        <f t="shared" si="6"/>
        <v>0</v>
      </c>
      <c r="N90" s="183">
        <f t="shared" si="6"/>
        <v>0</v>
      </c>
      <c r="O90" s="183">
        <f t="shared" si="6"/>
        <v>0</v>
      </c>
      <c r="P90" s="183">
        <f t="shared" si="6"/>
        <v>0</v>
      </c>
      <c r="Q90" s="183">
        <f t="shared" si="6"/>
        <v>0</v>
      </c>
      <c r="R90" s="115">
        <f>SUM(D90:Q90)</f>
        <v>1658.2307692307693</v>
      </c>
    </row>
    <row r="91" spans="1:19" ht="15.5" x14ac:dyDescent="0.35">
      <c r="A91" s="116"/>
      <c r="B91" s="182">
        <v>15</v>
      </c>
      <c r="C91" s="182"/>
      <c r="D91" s="183">
        <f t="shared" si="6"/>
        <v>0</v>
      </c>
      <c r="E91" s="183">
        <f t="shared" si="6"/>
        <v>0</v>
      </c>
      <c r="F91" s="183">
        <f t="shared" si="6"/>
        <v>229.56302521008405</v>
      </c>
      <c r="G91" s="183">
        <f t="shared" si="6"/>
        <v>307</v>
      </c>
      <c r="H91" s="183">
        <f t="shared" si="6"/>
        <v>549.20000000000005</v>
      </c>
      <c r="I91" s="183">
        <f t="shared" si="6"/>
        <v>580.91999999999996</v>
      </c>
      <c r="J91" s="183">
        <f t="shared" si="6"/>
        <v>1125.1987677116465</v>
      </c>
      <c r="K91" s="183">
        <f t="shared" si="6"/>
        <v>458.8</v>
      </c>
      <c r="L91" s="186">
        <f t="shared" si="6"/>
        <v>945.78753803508471</v>
      </c>
      <c r="M91" s="183">
        <f t="shared" si="6"/>
        <v>0</v>
      </c>
      <c r="N91" s="183">
        <f t="shared" si="6"/>
        <v>0</v>
      </c>
      <c r="O91" s="183">
        <f t="shared" si="6"/>
        <v>0</v>
      </c>
      <c r="P91" s="183">
        <f t="shared" si="6"/>
        <v>0</v>
      </c>
      <c r="Q91" s="183">
        <f t="shared" si="6"/>
        <v>0</v>
      </c>
      <c r="R91" s="115">
        <f>SUM(D91:Q91)</f>
        <v>4196.4693309568156</v>
      </c>
    </row>
    <row r="92" spans="1:19" ht="15.5" x14ac:dyDescent="0.35">
      <c r="A92" s="116"/>
      <c r="B92" s="182">
        <v>18</v>
      </c>
      <c r="C92" s="182"/>
      <c r="D92" s="183">
        <f t="shared" si="6"/>
        <v>0</v>
      </c>
      <c r="E92" s="183">
        <f t="shared" si="6"/>
        <v>0</v>
      </c>
      <c r="F92" s="183">
        <f t="shared" si="6"/>
        <v>0</v>
      </c>
      <c r="G92" s="183">
        <f t="shared" si="6"/>
        <v>0</v>
      </c>
      <c r="H92" s="183">
        <f t="shared" si="6"/>
        <v>0</v>
      </c>
      <c r="I92" s="183">
        <f t="shared" si="6"/>
        <v>0</v>
      </c>
      <c r="J92" s="183">
        <f t="shared" si="6"/>
        <v>0</v>
      </c>
      <c r="K92" s="183">
        <f t="shared" si="6"/>
        <v>0</v>
      </c>
      <c r="L92" s="186">
        <f t="shared" si="6"/>
        <v>0</v>
      </c>
      <c r="M92" s="183">
        <f t="shared" si="6"/>
        <v>500.35631316031652</v>
      </c>
      <c r="N92" s="183">
        <f t="shared" si="6"/>
        <v>901.87797151311793</v>
      </c>
      <c r="O92" s="183">
        <f t="shared" si="6"/>
        <v>594.5</v>
      </c>
      <c r="P92" s="183">
        <f t="shared" si="6"/>
        <v>406.91527010859568</v>
      </c>
      <c r="Q92" s="183">
        <f t="shared" si="6"/>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7">D86</f>
        <v>0</v>
      </c>
      <c r="E94" s="183">
        <f t="shared" si="7"/>
        <v>42.769230769230774</v>
      </c>
      <c r="F94" s="183">
        <f t="shared" si="7"/>
        <v>261.79487179487182</v>
      </c>
      <c r="G94" s="183">
        <f t="shared" si="7"/>
        <v>187.5128205128205</v>
      </c>
      <c r="H94" s="183">
        <f t="shared" si="7"/>
        <v>60.666666666666664</v>
      </c>
      <c r="I94" s="183">
        <f t="shared" si="7"/>
        <v>0</v>
      </c>
      <c r="J94" s="183">
        <f t="shared" si="7"/>
        <v>0</v>
      </c>
      <c r="K94" s="183">
        <f t="shared" si="7"/>
        <v>0</v>
      </c>
      <c r="L94" s="186">
        <f t="shared" si="7"/>
        <v>0</v>
      </c>
      <c r="M94" s="183">
        <f t="shared" si="7"/>
        <v>0</v>
      </c>
      <c r="N94" s="183">
        <f t="shared" si="7"/>
        <v>0</v>
      </c>
      <c r="O94" s="183">
        <f t="shared" si="7"/>
        <v>0</v>
      </c>
      <c r="P94" s="183">
        <f t="shared" si="7"/>
        <v>0</v>
      </c>
      <c r="Q94" s="183">
        <f t="shared" si="7"/>
        <v>0</v>
      </c>
      <c r="R94" s="115">
        <f>SUM(D94:Q94)</f>
        <v>552.74358974358972</v>
      </c>
    </row>
    <row r="95" spans="1:19" ht="15.5" x14ac:dyDescent="0.35">
      <c r="A95" s="116"/>
      <c r="B95" s="182">
        <v>15</v>
      </c>
      <c r="C95" s="182"/>
      <c r="D95" s="183">
        <f t="shared" si="7"/>
        <v>0</v>
      </c>
      <c r="E95" s="183">
        <f t="shared" si="7"/>
        <v>0</v>
      </c>
      <c r="F95" s="183">
        <f t="shared" si="7"/>
        <v>76.52100840336135</v>
      </c>
      <c r="G95" s="183">
        <f t="shared" si="7"/>
        <v>102.33333333333334</v>
      </c>
      <c r="H95" s="183">
        <f t="shared" si="7"/>
        <v>183.06666666666666</v>
      </c>
      <c r="I95" s="183">
        <f t="shared" si="7"/>
        <v>193.64</v>
      </c>
      <c r="J95" s="183">
        <f t="shared" si="7"/>
        <v>375.06625590388217</v>
      </c>
      <c r="K95" s="183">
        <f t="shared" si="7"/>
        <v>152.93333333333334</v>
      </c>
      <c r="L95" s="186">
        <f t="shared" si="7"/>
        <v>315.26251267836159</v>
      </c>
      <c r="M95" s="183">
        <f t="shared" si="7"/>
        <v>0</v>
      </c>
      <c r="N95" s="183">
        <f t="shared" si="7"/>
        <v>0</v>
      </c>
      <c r="O95" s="183">
        <f t="shared" si="7"/>
        <v>0</v>
      </c>
      <c r="P95" s="183">
        <f t="shared" si="7"/>
        <v>0</v>
      </c>
      <c r="Q95" s="183">
        <f t="shared" si="7"/>
        <v>0</v>
      </c>
      <c r="R95" s="115">
        <f>SUM(D95:Q95)</f>
        <v>1398.8231103189385</v>
      </c>
    </row>
    <row r="96" spans="1:19" ht="15.5" x14ac:dyDescent="0.35">
      <c r="A96" s="116"/>
      <c r="B96" s="182">
        <v>18</v>
      </c>
      <c r="C96" s="182"/>
      <c r="D96" s="183">
        <f t="shared" si="7"/>
        <v>0</v>
      </c>
      <c r="E96" s="183">
        <f t="shared" si="7"/>
        <v>0</v>
      </c>
      <c r="F96" s="183">
        <f t="shared" si="7"/>
        <v>0</v>
      </c>
      <c r="G96" s="183">
        <f t="shared" si="7"/>
        <v>0</v>
      </c>
      <c r="H96" s="183">
        <f t="shared" si="7"/>
        <v>0</v>
      </c>
      <c r="I96" s="183">
        <f t="shared" si="7"/>
        <v>0</v>
      </c>
      <c r="J96" s="183">
        <f t="shared" si="7"/>
        <v>0</v>
      </c>
      <c r="K96" s="183">
        <f t="shared" si="7"/>
        <v>0</v>
      </c>
      <c r="L96" s="186">
        <f t="shared" si="7"/>
        <v>0</v>
      </c>
      <c r="M96" s="183">
        <f t="shared" si="7"/>
        <v>166.78543772010551</v>
      </c>
      <c r="N96" s="183">
        <f t="shared" si="7"/>
        <v>300.62599050437262</v>
      </c>
      <c r="O96" s="183">
        <f t="shared" si="7"/>
        <v>198.16666666666666</v>
      </c>
      <c r="P96" s="183">
        <f t="shared" si="7"/>
        <v>135.63842336953189</v>
      </c>
      <c r="Q96" s="183">
        <f t="shared" si="7"/>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8">D86</f>
        <v>0</v>
      </c>
      <c r="E98" s="183">
        <f t="shared" si="8"/>
        <v>42.769230769230774</v>
      </c>
      <c r="F98" s="183">
        <f t="shared" si="8"/>
        <v>261.79487179487182</v>
      </c>
      <c r="G98" s="183">
        <f t="shared" si="8"/>
        <v>187.5128205128205</v>
      </c>
      <c r="H98" s="183">
        <f t="shared" si="8"/>
        <v>60.666666666666664</v>
      </c>
      <c r="I98" s="183">
        <f t="shared" si="8"/>
        <v>0</v>
      </c>
      <c r="J98" s="183">
        <f t="shared" si="8"/>
        <v>0</v>
      </c>
      <c r="K98" s="183">
        <f t="shared" si="8"/>
        <v>0</v>
      </c>
      <c r="L98" s="186">
        <f t="shared" si="8"/>
        <v>0</v>
      </c>
      <c r="M98" s="183">
        <f t="shared" si="8"/>
        <v>0</v>
      </c>
      <c r="N98" s="183">
        <f t="shared" si="8"/>
        <v>0</v>
      </c>
      <c r="O98" s="183">
        <f t="shared" si="8"/>
        <v>0</v>
      </c>
      <c r="P98" s="183">
        <f t="shared" si="8"/>
        <v>0</v>
      </c>
      <c r="Q98" s="183">
        <f t="shared" si="8"/>
        <v>0</v>
      </c>
      <c r="R98" s="115">
        <f>SUM(D98:Q98)</f>
        <v>552.74358974358972</v>
      </c>
    </row>
    <row r="99" spans="1:18" ht="15.5" x14ac:dyDescent="0.35">
      <c r="A99" s="116"/>
      <c r="B99" s="182">
        <v>15</v>
      </c>
      <c r="C99" s="182"/>
      <c r="D99" s="183">
        <f t="shared" si="8"/>
        <v>0</v>
      </c>
      <c r="E99" s="183">
        <f t="shared" si="8"/>
        <v>0</v>
      </c>
      <c r="F99" s="183">
        <f t="shared" si="8"/>
        <v>76.52100840336135</v>
      </c>
      <c r="G99" s="183">
        <f t="shared" si="8"/>
        <v>102.33333333333334</v>
      </c>
      <c r="H99" s="183">
        <f t="shared" si="8"/>
        <v>183.06666666666666</v>
      </c>
      <c r="I99" s="183">
        <f t="shared" si="8"/>
        <v>193.64</v>
      </c>
      <c r="J99" s="183">
        <f t="shared" si="8"/>
        <v>375.06625590388217</v>
      </c>
      <c r="K99" s="183">
        <f t="shared" si="8"/>
        <v>152.93333333333334</v>
      </c>
      <c r="L99" s="186">
        <f t="shared" si="8"/>
        <v>315.26251267836159</v>
      </c>
      <c r="M99" s="183">
        <f t="shared" si="8"/>
        <v>0</v>
      </c>
      <c r="N99" s="183">
        <f t="shared" si="8"/>
        <v>0</v>
      </c>
      <c r="O99" s="183">
        <f t="shared" si="8"/>
        <v>0</v>
      </c>
      <c r="P99" s="183">
        <f t="shared" si="8"/>
        <v>0</v>
      </c>
      <c r="Q99" s="183">
        <f t="shared" si="8"/>
        <v>0</v>
      </c>
      <c r="R99" s="115">
        <f>SUM(D99:Q99)</f>
        <v>1398.8231103189385</v>
      </c>
    </row>
    <row r="100" spans="1:18" ht="15.5" x14ac:dyDescent="0.35">
      <c r="A100" s="116"/>
      <c r="B100" s="182">
        <v>18</v>
      </c>
      <c r="C100" s="182"/>
      <c r="D100" s="183">
        <f t="shared" si="8"/>
        <v>0</v>
      </c>
      <c r="E100" s="183">
        <f t="shared" si="8"/>
        <v>0</v>
      </c>
      <c r="F100" s="183">
        <f t="shared" si="8"/>
        <v>0</v>
      </c>
      <c r="G100" s="183">
        <f t="shared" si="8"/>
        <v>0</v>
      </c>
      <c r="H100" s="183">
        <f t="shared" si="8"/>
        <v>0</v>
      </c>
      <c r="I100" s="183">
        <f t="shared" si="8"/>
        <v>0</v>
      </c>
      <c r="J100" s="183">
        <f t="shared" si="8"/>
        <v>0</v>
      </c>
      <c r="K100" s="183">
        <f t="shared" si="8"/>
        <v>0</v>
      </c>
      <c r="L100" s="186">
        <f t="shared" si="8"/>
        <v>0</v>
      </c>
      <c r="M100" s="183">
        <f t="shared" si="8"/>
        <v>166.78543772010551</v>
      </c>
      <c r="N100" s="183">
        <f t="shared" si="8"/>
        <v>300.62599050437262</v>
      </c>
      <c r="O100" s="183">
        <f t="shared" si="8"/>
        <v>198.16666666666666</v>
      </c>
      <c r="P100" s="183">
        <f t="shared" si="8"/>
        <v>135.63842336953189</v>
      </c>
      <c r="Q100" s="183">
        <f t="shared" si="8"/>
        <v>51.333333333333336</v>
      </c>
      <c r="R100" s="115">
        <f>SUM(D100:Q100)</f>
        <v>852.54985159401008</v>
      </c>
    </row>
    <row r="101" spans="1:18" ht="15.5" x14ac:dyDescent="0.35">
      <c r="A101" s="116"/>
      <c r="B101" s="179" t="s">
        <v>116</v>
      </c>
      <c r="C101" s="179"/>
      <c r="D101" s="180">
        <f>SUM(D103:D105)</f>
        <v>0</v>
      </c>
      <c r="E101" s="180">
        <f t="shared" ref="E101:Q101" si="9">SUM(E103:E105)</f>
        <v>42.769230769230774</v>
      </c>
      <c r="F101" s="180">
        <f t="shared" si="9"/>
        <v>338.31588019823317</v>
      </c>
      <c r="G101" s="180">
        <f t="shared" si="9"/>
        <v>267.84615384615381</v>
      </c>
      <c r="H101" s="180">
        <f t="shared" si="9"/>
        <v>221.73333333333329</v>
      </c>
      <c r="I101" s="180">
        <f t="shared" si="9"/>
        <v>193.64</v>
      </c>
      <c r="J101" s="180">
        <f t="shared" si="9"/>
        <v>354.65599949362581</v>
      </c>
      <c r="K101" s="180">
        <f t="shared" si="9"/>
        <v>170.73333333333335</v>
      </c>
      <c r="L101" s="180">
        <f t="shared" si="9"/>
        <v>293.92917934502822</v>
      </c>
      <c r="M101" s="180">
        <f t="shared" si="9"/>
        <v>122.21947897794577</v>
      </c>
      <c r="N101" s="180">
        <f t="shared" si="9"/>
        <v>300.62599050437262</v>
      </c>
      <c r="O101" s="180">
        <f t="shared" si="9"/>
        <v>198.16666666666663</v>
      </c>
      <c r="P101" s="180">
        <f t="shared" si="9"/>
        <v>135.63842336953184</v>
      </c>
      <c r="Q101" s="180">
        <f t="shared" si="9"/>
        <v>51.333333333333329</v>
      </c>
      <c r="R101" s="181">
        <f>SUM(C101:Q101)</f>
        <v>2691.6070031707882</v>
      </c>
    </row>
    <row r="102" spans="1:18" ht="15.5" x14ac:dyDescent="0.35">
      <c r="A102" s="193">
        <v>0.33</v>
      </c>
      <c r="B102" s="116" t="s">
        <v>257</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99.206576866442973</v>
      </c>
      <c r="O102" s="183">
        <f>$A102*SUM('EC-UNC'!O$103:O$105)</f>
        <v>65.394999999999996</v>
      </c>
      <c r="P102" s="183">
        <f>$A102*SUM('EC-UNC'!P$103:P$105)</f>
        <v>44.760679711945514</v>
      </c>
      <c r="Q102" s="183">
        <f>$A102*SUM('EC-UNC'!Q$103:Q$105)</f>
        <v>16.940000000000001</v>
      </c>
      <c r="R102" s="115">
        <f>SUM(D102:Q102)</f>
        <v>888.2303110463605</v>
      </c>
    </row>
    <row r="103" spans="1:18" ht="15.5" x14ac:dyDescent="0.35">
      <c r="A103" s="193">
        <f>Assumptions!K16</f>
        <v>0.33333333333333331</v>
      </c>
      <c r="B103" s="116" t="s">
        <v>258</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100.20866350145754</v>
      </c>
      <c r="O103" s="183">
        <f>$A103*SUM('EC-UNC'!O$103:O$105)</f>
        <v>66.055555555555543</v>
      </c>
      <c r="P103" s="183">
        <f>$A103*SUM('EC-UNC'!P$103:P$105)</f>
        <v>45.21280778984395</v>
      </c>
      <c r="Q103" s="183">
        <f>$A103*SUM('EC-UNC'!Q$103:Q$105)</f>
        <v>17.111111111111111</v>
      </c>
      <c r="R103" s="115">
        <f>SUM(D103:Q103)</f>
        <v>897.20233439026288</v>
      </c>
    </row>
    <row r="104" spans="1:18" ht="15.5" x14ac:dyDescent="0.35">
      <c r="A104" s="193">
        <f>Assumptions!K17</f>
        <v>0.33333333333333331</v>
      </c>
      <c r="B104" s="116" t="s">
        <v>117</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100.20866350145754</v>
      </c>
      <c r="O104" s="183">
        <f>$A104*SUM('EC-UNC'!O$103:O$105)</f>
        <v>66.055555555555543</v>
      </c>
      <c r="P104" s="183">
        <f>$A104*SUM('EC-UNC'!P$103:P$105)</f>
        <v>45.21280778984395</v>
      </c>
      <c r="Q104" s="183">
        <f>$A104*SUM('EC-UNC'!Q$103:Q$105)</f>
        <v>17.111111111111111</v>
      </c>
      <c r="R104" s="115">
        <f>SUM(D104:Q104)</f>
        <v>897.20233439026288</v>
      </c>
    </row>
    <row r="105" spans="1:18" ht="15.5" x14ac:dyDescent="0.35">
      <c r="A105" s="193">
        <f>Assumptions!K18</f>
        <v>0.33333333333333331</v>
      </c>
      <c r="B105" s="116" t="s">
        <v>118</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100.20866350145754</v>
      </c>
      <c r="O105" s="183">
        <f>$A105*SUM('EC-UNC'!O$103:O$105)</f>
        <v>66.055555555555543</v>
      </c>
      <c r="P105" s="183">
        <f>$A105*SUM('EC-UNC'!P$103:P$105)</f>
        <v>45.21280778984395</v>
      </c>
      <c r="Q105" s="183">
        <f>$A105*SUM('EC-UNC'!Q$103:Q$105)</f>
        <v>17.111111111111111</v>
      </c>
      <c r="R105" s="115">
        <f>SUM(D105:Q105)</f>
        <v>897.20233439026288</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299.12286055185075</v>
      </c>
      <c r="O116" s="183">
        <f>(O102+O105)*Assumptions!$K$26/24</f>
        <v>197.17583333333332</v>
      </c>
      <c r="P116" s="183">
        <f>(P102+P105)*Assumptions!$K$26/24</f>
        <v>134.9602312526842</v>
      </c>
      <c r="Q116" s="183">
        <f>(Q102+Q105)*Assumptions!$K$26/24</f>
        <v>51.076666666666675</v>
      </c>
      <c r="R116" s="115"/>
    </row>
    <row r="117" spans="1:18" ht="15.5" x14ac:dyDescent="0.35">
      <c r="A117" s="116"/>
      <c r="B117" s="116" t="s">
        <v>293</v>
      </c>
      <c r="C117" s="116"/>
      <c r="D117" s="107"/>
      <c r="E117" s="108">
        <f>SUM(E113:E116)</f>
        <v>106.70923076923077</v>
      </c>
      <c r="F117" s="108">
        <f t="shared" ref="F117:Q117" si="10">SUM(F113:F116)</f>
        <v>844.09812109459176</v>
      </c>
      <c r="G117" s="108">
        <f t="shared" si="10"/>
        <v>701.27615384615387</v>
      </c>
      <c r="H117" s="108">
        <f t="shared" si="10"/>
        <v>586.22466666666662</v>
      </c>
      <c r="I117" s="108">
        <f t="shared" si="10"/>
        <v>483.1318</v>
      </c>
      <c r="J117" s="108">
        <f t="shared" si="10"/>
        <v>915.48210335198087</v>
      </c>
      <c r="K117" s="108">
        <f>SUM(K113:K116)</f>
        <v>399.27966666666669</v>
      </c>
      <c r="L117" s="108">
        <f t="shared" si="10"/>
        <v>765.35330246584545</v>
      </c>
      <c r="M117" s="108">
        <f t="shared" si="10"/>
        <v>371.78653816321435</v>
      </c>
      <c r="N117" s="108">
        <f t="shared" si="10"/>
        <v>750.06184630840971</v>
      </c>
      <c r="O117" s="108">
        <f t="shared" si="10"/>
        <v>494.42583333333334</v>
      </c>
      <c r="P117" s="108">
        <f t="shared" si="10"/>
        <v>338.41786630698203</v>
      </c>
      <c r="Q117" s="108">
        <f t="shared" si="10"/>
        <v>128.07666666666668</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148.80986529966447</v>
      </c>
      <c r="O120" s="108">
        <f>O102*Assumptions!$K$28/24</f>
        <v>98.092499999999987</v>
      </c>
      <c r="P120" s="108">
        <f>P102*Assumptions!$K$28/24</f>
        <v>67.141019567918264</v>
      </c>
      <c r="Q120" s="108">
        <f>Q102*Assumptions!$K$28/24</f>
        <v>25.41</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2</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1">SUM(E122:E125)</f>
        <v>2</v>
      </c>
      <c r="F126" s="124">
        <f t="shared" si="11"/>
        <v>5</v>
      </c>
      <c r="G126" s="124">
        <f t="shared" si="11"/>
        <v>5</v>
      </c>
      <c r="H126" s="124">
        <f t="shared" si="11"/>
        <v>4</v>
      </c>
      <c r="I126" s="124">
        <f>SUM(I122:I125)</f>
        <v>3</v>
      </c>
      <c r="J126" s="124">
        <f t="shared" si="11"/>
        <v>5</v>
      </c>
      <c r="K126" s="124">
        <f t="shared" si="11"/>
        <v>2</v>
      </c>
      <c r="L126" s="190">
        <f t="shared" si="11"/>
        <v>4</v>
      </c>
      <c r="M126" s="124">
        <f t="shared" si="11"/>
        <v>3</v>
      </c>
      <c r="N126" s="124">
        <f t="shared" si="11"/>
        <v>4</v>
      </c>
      <c r="O126" s="124">
        <f t="shared" si="11"/>
        <v>3</v>
      </c>
      <c r="P126" s="124">
        <f t="shared" si="11"/>
        <v>2</v>
      </c>
      <c r="Q126" s="124">
        <f t="shared" si="11"/>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2</v>
      </c>
      <c r="O127" s="108">
        <f>ROUNDUP(O116/(Assumptions!$C$36*365),0)</f>
        <v>1</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2">E126*2</f>
        <v>4</v>
      </c>
      <c r="F129" s="183">
        <f t="shared" si="12"/>
        <v>10</v>
      </c>
      <c r="G129" s="183">
        <f t="shared" si="12"/>
        <v>10</v>
      </c>
      <c r="H129" s="183">
        <f t="shared" si="12"/>
        <v>8</v>
      </c>
      <c r="I129" s="183">
        <f t="shared" si="12"/>
        <v>6</v>
      </c>
      <c r="J129" s="183">
        <f t="shared" si="12"/>
        <v>10</v>
      </c>
      <c r="K129" s="183">
        <f t="shared" si="12"/>
        <v>4</v>
      </c>
      <c r="L129" s="186">
        <f t="shared" si="12"/>
        <v>8</v>
      </c>
      <c r="M129" s="183">
        <f t="shared" si="12"/>
        <v>6</v>
      </c>
      <c r="N129" s="183">
        <f t="shared" si="12"/>
        <v>8</v>
      </c>
      <c r="O129" s="183">
        <f t="shared" si="12"/>
        <v>6</v>
      </c>
      <c r="P129" s="183">
        <f t="shared" si="12"/>
        <v>4</v>
      </c>
      <c r="Q129" s="183">
        <f t="shared" si="12"/>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64" zoomScale="70" zoomScaleNormal="70" workbookViewId="0">
      <selection activeCell="B99" sqref="B9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ca="1">SUM(C12:P12)</f>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ca="1">SUM(C16:P16)</f>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ca="1">SUM(C20:P20)</f>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ca="1">SUM(C24:P24)</f>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300.62599050437262</v>
      </c>
      <c r="M26" s="183" cm="1">
        <f t="array" aca="1" ref="M26" ca="1">INDIRECT("R[36]C["&amp;$A$18&amp;"]",FALSE)</f>
        <v>198.16666666666663</v>
      </c>
      <c r="N26" s="183" cm="1">
        <f t="array" aca="1" ref="N26" ca="1">INDIRECT("R[36]C["&amp;$A$18&amp;"]",FALSE)</f>
        <v>135.63842336953186</v>
      </c>
      <c r="O26" s="183" cm="1">
        <f t="array" aca="1" ref="O26" ca="1">INDIRECT("R[36]C["&amp;$A$18&amp;"]",FALSE)</f>
        <v>51.333333333333336</v>
      </c>
      <c r="P26" s="183"/>
      <c r="Q26" s="183"/>
      <c r="R26" s="115">
        <f ca="1">SUM(C26:Q26)</f>
        <v>2691.6070031707886</v>
      </c>
    </row>
    <row r="27" spans="1:18" ht="15.5" x14ac:dyDescent="0.35">
      <c r="A27" s="121">
        <f>A26</f>
        <v>1</v>
      </c>
      <c r="B27" s="106" t="s">
        <v>258</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300.62599050437262</v>
      </c>
      <c r="M27" s="183" cm="1">
        <f t="array" aca="1" ref="M27" ca="1">INDIRECT("R[36]C["&amp;$A$19&amp;"]",FALSE)</f>
        <v>198.16666666666663</v>
      </c>
      <c r="N27" s="183" cm="1">
        <f t="array" aca="1" ref="N27" ca="1">INDIRECT("R[36]C["&amp;$A$19&amp;"]",FALSE)</f>
        <v>135.63842336953186</v>
      </c>
      <c r="O27" s="183" cm="1">
        <f t="array" aca="1" ref="O27" ca="1">INDIRECT("R[36]C["&amp;$A$19&amp;"]",FALSE)</f>
        <v>51.333333333333336</v>
      </c>
      <c r="P27" s="183"/>
      <c r="Q27" s="183"/>
      <c r="R27" s="115">
        <f ca="1">SUM(C27:Q27)</f>
        <v>2691.6070031707886</v>
      </c>
    </row>
    <row r="28" spans="1:18" ht="15.5" x14ac:dyDescent="0.35">
      <c r="A28" s="121">
        <f>Assumptions!C53</f>
        <v>1</v>
      </c>
      <c r="B28" s="106" t="s">
        <v>353</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ca="1">SUM(C28:Q28)</f>
        <v>0</v>
      </c>
    </row>
    <row r="29" spans="1:18" ht="15.5" x14ac:dyDescent="0.35">
      <c r="A29" s="121">
        <f>Assumptions!C52</f>
        <v>1</v>
      </c>
      <c r="B29" s="106" t="s">
        <v>117</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ca="1">SUM(C29:Q29)</f>
        <v>0</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ca="1">SUM(C30:Q30)</f>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338.31588019823317</v>
      </c>
      <c r="F45" s="180">
        <f t="shared" ca="1" si="2"/>
        <v>289.84615384615381</v>
      </c>
      <c r="G45" s="180">
        <f t="shared" ca="1" si="2"/>
        <v>243.73333333333332</v>
      </c>
      <c r="H45" s="180">
        <f t="shared" ca="1" si="2"/>
        <v>193.64</v>
      </c>
      <c r="I45" s="180">
        <f t="shared" ca="1" si="2"/>
        <v>375.06625590388217</v>
      </c>
      <c r="J45" s="180">
        <f t="shared" ca="1" si="2"/>
        <v>152.93333333333334</v>
      </c>
      <c r="K45" s="180">
        <f t="shared" ca="1" si="2"/>
        <v>315.26251267836159</v>
      </c>
      <c r="L45" s="180">
        <f t="shared" ca="1" si="2"/>
        <v>166.78543772010551</v>
      </c>
      <c r="M45" s="180">
        <f t="shared" ca="1" si="2"/>
        <v>300.62599050437262</v>
      </c>
      <c r="N45" s="180">
        <f t="shared" ca="1" si="2"/>
        <v>198.16666666666666</v>
      </c>
      <c r="O45" s="180">
        <f t="shared" ca="1" si="2"/>
        <v>135.63842336953189</v>
      </c>
      <c r="P45" s="180">
        <f t="shared" ca="1" si="2"/>
        <v>51.333333333333336</v>
      </c>
      <c r="Q45" s="180">
        <f t="shared" si="2"/>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300.62599050437262</v>
      </c>
      <c r="N62" s="183" cm="1">
        <f t="array" aca="1" ref="N62" ca="1">INDIRECT("R[40]C["&amp;$A$62&amp;"]",FALSE)</f>
        <v>198.16666666666663</v>
      </c>
      <c r="O62" s="183" cm="1">
        <f t="array" aca="1" ref="O62" ca="1">INDIRECT("R[40]C["&amp;$A$62&amp;"]",FALSE)</f>
        <v>135.63842336953186</v>
      </c>
      <c r="P62" s="183" cm="1">
        <f t="array" aca="1" ref="P62" ca="1">INDIRECT("R[40]C["&amp;$A$62&amp;"]",FALSE)</f>
        <v>51.333333333333336</v>
      </c>
      <c r="Q62" s="183"/>
      <c r="R62" s="115">
        <f ca="1">SUM(D62:Q62)</f>
        <v>2691.6070031707886</v>
      </c>
    </row>
    <row r="63" spans="1:18" ht="15.5" x14ac:dyDescent="0.35">
      <c r="A63" s="121">
        <f>A60</f>
        <v>1</v>
      </c>
      <c r="B63" s="125" t="s">
        <v>258</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300.62599050437262</v>
      </c>
      <c r="N63" s="183" cm="1">
        <f t="array" aca="1" ref="N63" ca="1">INDIRECT("R[40]C["&amp;$A$62&amp;"]",FALSE)</f>
        <v>198.16666666666663</v>
      </c>
      <c r="O63" s="183" cm="1">
        <f t="array" aca="1" ref="O63" ca="1">INDIRECT("R[40]C["&amp;$A$62&amp;"]",FALSE)</f>
        <v>135.63842336953186</v>
      </c>
      <c r="P63" s="183" cm="1">
        <f t="array" aca="1" ref="P63" ca="1">INDIRECT("R[40]C["&amp;$A$62&amp;"]",FALSE)</f>
        <v>51.333333333333336</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117</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3">E83+D82</f>
        <v>513.23076923076928</v>
      </c>
      <c r="F82" s="183">
        <f t="shared" si="3"/>
        <v>4802.5843568196515</v>
      </c>
      <c r="G82" s="183">
        <f t="shared" si="3"/>
        <v>8587.7382029734981</v>
      </c>
      <c r="H82" s="183">
        <f t="shared" si="3"/>
        <v>12061.738202973498</v>
      </c>
      <c r="I82" s="183">
        <f t="shared" si="3"/>
        <v>14966.338202973498</v>
      </c>
      <c r="J82" s="183">
        <f t="shared" si="3"/>
        <v>20592.332041531732</v>
      </c>
      <c r="K82" s="183">
        <f t="shared" si="3"/>
        <v>22886.332041531732</v>
      </c>
      <c r="L82" s="186">
        <f t="shared" si="3"/>
        <v>27615.269731707158</v>
      </c>
      <c r="M82" s="183">
        <f t="shared" si="3"/>
        <v>30617.407610669055</v>
      </c>
      <c r="N82" s="183">
        <f t="shared" si="3"/>
        <v>36028.675439747763</v>
      </c>
      <c r="O82" s="183">
        <f t="shared" si="3"/>
        <v>39595.675439747763</v>
      </c>
      <c r="P82" s="183">
        <f t="shared" si="3"/>
        <v>42037.167060399341</v>
      </c>
      <c r="Q82" s="183">
        <f t="shared" si="3"/>
        <v>42961.167060399341</v>
      </c>
      <c r="R82" s="115">
        <f>Q82</f>
        <v>42961.167060399341</v>
      </c>
    </row>
    <row r="83" spans="1:19" ht="15.5" x14ac:dyDescent="0.35">
      <c r="A83" s="116"/>
      <c r="B83" s="120" t="s">
        <v>111</v>
      </c>
      <c r="C83" s="120"/>
      <c r="D83" s="183">
        <f t="shared" ref="D83:Q83" si="4">SUMPRODUCT(D86:D88,$B$86:$B$88)</f>
        <v>0</v>
      </c>
      <c r="E83" s="183">
        <f>SUMPRODUCT(E86:E88,$B$86:$B$88)</f>
        <v>513.23076923076928</v>
      </c>
      <c r="F83" s="183">
        <f>SUMPRODUCT(F86:F88,$B$86:$B$88)</f>
        <v>4289.353587588882</v>
      </c>
      <c r="G83" s="183">
        <f t="shared" si="4"/>
        <v>3785.1538461538457</v>
      </c>
      <c r="H83" s="183">
        <f t="shared" si="4"/>
        <v>3474</v>
      </c>
      <c r="I83" s="183">
        <f>SUMPRODUCT(I86:I88,$B$86:$B$88)</f>
        <v>2904.6</v>
      </c>
      <c r="J83" s="183">
        <f t="shared" si="4"/>
        <v>5625.9938385582327</v>
      </c>
      <c r="K83" s="183">
        <f t="shared" si="4"/>
        <v>2294</v>
      </c>
      <c r="L83" s="186">
        <f t="shared" si="4"/>
        <v>4728.937690175424</v>
      </c>
      <c r="M83" s="183">
        <f t="shared" si="4"/>
        <v>3002.1378789618993</v>
      </c>
      <c r="N83" s="183">
        <f t="shared" si="4"/>
        <v>5411.2678290787071</v>
      </c>
      <c r="O83" s="183">
        <f t="shared" si="4"/>
        <v>3567</v>
      </c>
      <c r="P83" s="183">
        <f t="shared" si="4"/>
        <v>2441.4916206515741</v>
      </c>
      <c r="Q83" s="183">
        <f t="shared" si="4"/>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5">SUM(D86:D88)</f>
        <v>0</v>
      </c>
      <c r="E85" s="180">
        <f t="shared" si="5"/>
        <v>42.769230769230774</v>
      </c>
      <c r="F85" s="180">
        <f t="shared" si="5"/>
        <v>338.31588019823317</v>
      </c>
      <c r="G85" s="180">
        <f t="shared" si="5"/>
        <v>289.84615384615381</v>
      </c>
      <c r="H85" s="180">
        <f t="shared" si="5"/>
        <v>243.73333333333332</v>
      </c>
      <c r="I85" s="180">
        <f t="shared" si="5"/>
        <v>193.64</v>
      </c>
      <c r="J85" s="180">
        <f t="shared" si="5"/>
        <v>375.06625590388217</v>
      </c>
      <c r="K85" s="180">
        <f t="shared" si="5"/>
        <v>152.93333333333334</v>
      </c>
      <c r="L85" s="180">
        <f t="shared" si="5"/>
        <v>315.26251267836159</v>
      </c>
      <c r="M85" s="180">
        <f t="shared" si="5"/>
        <v>166.78543772010551</v>
      </c>
      <c r="N85" s="180">
        <f t="shared" si="5"/>
        <v>300.62599050437262</v>
      </c>
      <c r="O85" s="180">
        <f t="shared" si="5"/>
        <v>198.16666666666666</v>
      </c>
      <c r="P85" s="180">
        <f t="shared" si="5"/>
        <v>135.63842336953189</v>
      </c>
      <c r="Q85" s="180">
        <f t="shared" si="5"/>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6">3*D86</f>
        <v>0</v>
      </c>
      <c r="E90" s="183">
        <f t="shared" si="6"/>
        <v>128.30769230769232</v>
      </c>
      <c r="F90" s="183">
        <f t="shared" si="6"/>
        <v>785.38461538461547</v>
      </c>
      <c r="G90" s="183">
        <f t="shared" si="6"/>
        <v>562.53846153846143</v>
      </c>
      <c r="H90" s="183">
        <f t="shared" si="6"/>
        <v>182</v>
      </c>
      <c r="I90" s="183">
        <f t="shared" si="6"/>
        <v>0</v>
      </c>
      <c r="J90" s="183">
        <f t="shared" si="6"/>
        <v>0</v>
      </c>
      <c r="K90" s="183">
        <f t="shared" si="6"/>
        <v>0</v>
      </c>
      <c r="L90" s="186">
        <f t="shared" si="6"/>
        <v>0</v>
      </c>
      <c r="M90" s="183">
        <f t="shared" si="6"/>
        <v>0</v>
      </c>
      <c r="N90" s="183">
        <f t="shared" si="6"/>
        <v>0</v>
      </c>
      <c r="O90" s="183">
        <f t="shared" si="6"/>
        <v>0</v>
      </c>
      <c r="P90" s="183">
        <f t="shared" si="6"/>
        <v>0</v>
      </c>
      <c r="Q90" s="183">
        <f t="shared" si="6"/>
        <v>0</v>
      </c>
      <c r="R90" s="115">
        <f>SUM(D90:Q90)</f>
        <v>1658.2307692307693</v>
      </c>
    </row>
    <row r="91" spans="1:19" ht="15.5" x14ac:dyDescent="0.35">
      <c r="A91" s="116"/>
      <c r="B91" s="182">
        <v>15</v>
      </c>
      <c r="C91" s="182"/>
      <c r="D91" s="183">
        <f t="shared" si="6"/>
        <v>0</v>
      </c>
      <c r="E91" s="183">
        <f t="shared" si="6"/>
        <v>0</v>
      </c>
      <c r="F91" s="183">
        <f t="shared" si="6"/>
        <v>229.56302521008405</v>
      </c>
      <c r="G91" s="183">
        <f t="shared" si="6"/>
        <v>307</v>
      </c>
      <c r="H91" s="183">
        <f t="shared" si="6"/>
        <v>549.20000000000005</v>
      </c>
      <c r="I91" s="183">
        <f t="shared" si="6"/>
        <v>580.91999999999996</v>
      </c>
      <c r="J91" s="183">
        <f t="shared" si="6"/>
        <v>1125.1987677116465</v>
      </c>
      <c r="K91" s="183">
        <f t="shared" si="6"/>
        <v>458.8</v>
      </c>
      <c r="L91" s="186">
        <f t="shared" si="6"/>
        <v>945.78753803508471</v>
      </c>
      <c r="M91" s="183">
        <f t="shared" si="6"/>
        <v>0</v>
      </c>
      <c r="N91" s="183">
        <f t="shared" si="6"/>
        <v>0</v>
      </c>
      <c r="O91" s="183">
        <f t="shared" si="6"/>
        <v>0</v>
      </c>
      <c r="P91" s="183">
        <f t="shared" si="6"/>
        <v>0</v>
      </c>
      <c r="Q91" s="183">
        <f t="shared" si="6"/>
        <v>0</v>
      </c>
      <c r="R91" s="115">
        <f>SUM(D91:Q91)</f>
        <v>4196.4693309568156</v>
      </c>
    </row>
    <row r="92" spans="1:19" ht="15.5" x14ac:dyDescent="0.35">
      <c r="A92" s="116"/>
      <c r="B92" s="182">
        <v>18</v>
      </c>
      <c r="C92" s="182"/>
      <c r="D92" s="183">
        <f t="shared" si="6"/>
        <v>0</v>
      </c>
      <c r="E92" s="183">
        <f t="shared" si="6"/>
        <v>0</v>
      </c>
      <c r="F92" s="183">
        <f t="shared" si="6"/>
        <v>0</v>
      </c>
      <c r="G92" s="183">
        <f t="shared" si="6"/>
        <v>0</v>
      </c>
      <c r="H92" s="183">
        <f t="shared" si="6"/>
        <v>0</v>
      </c>
      <c r="I92" s="183">
        <f t="shared" si="6"/>
        <v>0</v>
      </c>
      <c r="J92" s="183">
        <f t="shared" si="6"/>
        <v>0</v>
      </c>
      <c r="K92" s="183">
        <f t="shared" si="6"/>
        <v>0</v>
      </c>
      <c r="L92" s="186">
        <f t="shared" si="6"/>
        <v>0</v>
      </c>
      <c r="M92" s="183">
        <f t="shared" si="6"/>
        <v>500.35631316031652</v>
      </c>
      <c r="N92" s="183">
        <f t="shared" si="6"/>
        <v>901.87797151311793</v>
      </c>
      <c r="O92" s="183">
        <f t="shared" si="6"/>
        <v>594.5</v>
      </c>
      <c r="P92" s="183">
        <f t="shared" si="6"/>
        <v>406.91527010859568</v>
      </c>
      <c r="Q92" s="183">
        <f t="shared" si="6"/>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7">D86</f>
        <v>0</v>
      </c>
      <c r="E94" s="183">
        <f t="shared" si="7"/>
        <v>42.769230769230774</v>
      </c>
      <c r="F94" s="183">
        <f t="shared" si="7"/>
        <v>261.79487179487182</v>
      </c>
      <c r="G94" s="183">
        <f t="shared" si="7"/>
        <v>187.5128205128205</v>
      </c>
      <c r="H94" s="183">
        <f t="shared" si="7"/>
        <v>60.666666666666664</v>
      </c>
      <c r="I94" s="183">
        <f t="shared" si="7"/>
        <v>0</v>
      </c>
      <c r="J94" s="183">
        <f t="shared" si="7"/>
        <v>0</v>
      </c>
      <c r="K94" s="183">
        <f t="shared" si="7"/>
        <v>0</v>
      </c>
      <c r="L94" s="186">
        <f t="shared" si="7"/>
        <v>0</v>
      </c>
      <c r="M94" s="183">
        <f t="shared" si="7"/>
        <v>0</v>
      </c>
      <c r="N94" s="183">
        <f t="shared" si="7"/>
        <v>0</v>
      </c>
      <c r="O94" s="183">
        <f t="shared" si="7"/>
        <v>0</v>
      </c>
      <c r="P94" s="183">
        <f t="shared" si="7"/>
        <v>0</v>
      </c>
      <c r="Q94" s="183">
        <f t="shared" si="7"/>
        <v>0</v>
      </c>
      <c r="R94" s="115">
        <f>SUM(D94:Q94)</f>
        <v>552.74358974358972</v>
      </c>
    </row>
    <row r="95" spans="1:19" ht="15.5" x14ac:dyDescent="0.35">
      <c r="A95" s="116"/>
      <c r="B95" s="182">
        <v>15</v>
      </c>
      <c r="C95" s="182"/>
      <c r="D95" s="183">
        <f t="shared" si="7"/>
        <v>0</v>
      </c>
      <c r="E95" s="183">
        <f t="shared" si="7"/>
        <v>0</v>
      </c>
      <c r="F95" s="183">
        <f t="shared" si="7"/>
        <v>76.52100840336135</v>
      </c>
      <c r="G95" s="183">
        <f t="shared" si="7"/>
        <v>102.33333333333334</v>
      </c>
      <c r="H95" s="183">
        <f t="shared" si="7"/>
        <v>183.06666666666666</v>
      </c>
      <c r="I95" s="183">
        <f t="shared" si="7"/>
        <v>193.64</v>
      </c>
      <c r="J95" s="183">
        <f t="shared" si="7"/>
        <v>375.06625590388217</v>
      </c>
      <c r="K95" s="183">
        <f t="shared" si="7"/>
        <v>152.93333333333334</v>
      </c>
      <c r="L95" s="186">
        <f t="shared" si="7"/>
        <v>315.26251267836159</v>
      </c>
      <c r="M95" s="183">
        <f t="shared" si="7"/>
        <v>0</v>
      </c>
      <c r="N95" s="183">
        <f t="shared" si="7"/>
        <v>0</v>
      </c>
      <c r="O95" s="183">
        <f t="shared" si="7"/>
        <v>0</v>
      </c>
      <c r="P95" s="183">
        <f t="shared" si="7"/>
        <v>0</v>
      </c>
      <c r="Q95" s="183">
        <f t="shared" si="7"/>
        <v>0</v>
      </c>
      <c r="R95" s="115">
        <f>SUM(D95:Q95)</f>
        <v>1398.8231103189385</v>
      </c>
    </row>
    <row r="96" spans="1:19" ht="15.5" x14ac:dyDescent="0.35">
      <c r="A96" s="116"/>
      <c r="B96" s="182">
        <v>18</v>
      </c>
      <c r="C96" s="182"/>
      <c r="D96" s="183">
        <f t="shared" si="7"/>
        <v>0</v>
      </c>
      <c r="E96" s="183">
        <f t="shared" si="7"/>
        <v>0</v>
      </c>
      <c r="F96" s="183">
        <f t="shared" si="7"/>
        <v>0</v>
      </c>
      <c r="G96" s="183">
        <f t="shared" si="7"/>
        <v>0</v>
      </c>
      <c r="H96" s="183">
        <f t="shared" si="7"/>
        <v>0</v>
      </c>
      <c r="I96" s="183">
        <f t="shared" si="7"/>
        <v>0</v>
      </c>
      <c r="J96" s="183">
        <f t="shared" si="7"/>
        <v>0</v>
      </c>
      <c r="K96" s="183">
        <f t="shared" si="7"/>
        <v>0</v>
      </c>
      <c r="L96" s="186">
        <f t="shared" si="7"/>
        <v>0</v>
      </c>
      <c r="M96" s="183">
        <f t="shared" si="7"/>
        <v>166.78543772010551</v>
      </c>
      <c r="N96" s="183">
        <f t="shared" si="7"/>
        <v>300.62599050437262</v>
      </c>
      <c r="O96" s="183">
        <f t="shared" si="7"/>
        <v>198.16666666666666</v>
      </c>
      <c r="P96" s="183">
        <f t="shared" si="7"/>
        <v>135.63842336953189</v>
      </c>
      <c r="Q96" s="183">
        <f t="shared" si="7"/>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8">D86</f>
        <v>0</v>
      </c>
      <c r="E98" s="183">
        <f t="shared" si="8"/>
        <v>42.769230769230774</v>
      </c>
      <c r="F98" s="183">
        <f t="shared" si="8"/>
        <v>261.79487179487182</v>
      </c>
      <c r="G98" s="183">
        <f t="shared" si="8"/>
        <v>187.5128205128205</v>
      </c>
      <c r="H98" s="183">
        <f t="shared" si="8"/>
        <v>60.666666666666664</v>
      </c>
      <c r="I98" s="183">
        <f t="shared" si="8"/>
        <v>0</v>
      </c>
      <c r="J98" s="183">
        <f t="shared" si="8"/>
        <v>0</v>
      </c>
      <c r="K98" s="183">
        <f t="shared" si="8"/>
        <v>0</v>
      </c>
      <c r="L98" s="186">
        <f t="shared" si="8"/>
        <v>0</v>
      </c>
      <c r="M98" s="183">
        <f t="shared" si="8"/>
        <v>0</v>
      </c>
      <c r="N98" s="183">
        <f t="shared" si="8"/>
        <v>0</v>
      </c>
      <c r="O98" s="183">
        <f t="shared" si="8"/>
        <v>0</v>
      </c>
      <c r="P98" s="183">
        <f t="shared" si="8"/>
        <v>0</v>
      </c>
      <c r="Q98" s="183">
        <f t="shared" si="8"/>
        <v>0</v>
      </c>
      <c r="R98" s="115">
        <f>SUM(D98:Q98)</f>
        <v>552.74358974358972</v>
      </c>
    </row>
    <row r="99" spans="1:18" ht="15.5" x14ac:dyDescent="0.35">
      <c r="A99" s="116"/>
      <c r="B99" s="182">
        <v>15</v>
      </c>
      <c r="C99" s="182"/>
      <c r="D99" s="183">
        <f t="shared" si="8"/>
        <v>0</v>
      </c>
      <c r="E99" s="183">
        <f t="shared" si="8"/>
        <v>0</v>
      </c>
      <c r="F99" s="183">
        <f t="shared" si="8"/>
        <v>76.52100840336135</v>
      </c>
      <c r="G99" s="183">
        <f t="shared" si="8"/>
        <v>102.33333333333334</v>
      </c>
      <c r="H99" s="183">
        <f t="shared" si="8"/>
        <v>183.06666666666666</v>
      </c>
      <c r="I99" s="183">
        <f t="shared" si="8"/>
        <v>193.64</v>
      </c>
      <c r="J99" s="183">
        <f t="shared" si="8"/>
        <v>375.06625590388217</v>
      </c>
      <c r="K99" s="183">
        <f t="shared" si="8"/>
        <v>152.93333333333334</v>
      </c>
      <c r="L99" s="186">
        <f t="shared" si="8"/>
        <v>315.26251267836159</v>
      </c>
      <c r="M99" s="183">
        <f t="shared" si="8"/>
        <v>0</v>
      </c>
      <c r="N99" s="183">
        <f t="shared" si="8"/>
        <v>0</v>
      </c>
      <c r="O99" s="183">
        <f t="shared" si="8"/>
        <v>0</v>
      </c>
      <c r="P99" s="183">
        <f t="shared" si="8"/>
        <v>0</v>
      </c>
      <c r="Q99" s="183">
        <f t="shared" si="8"/>
        <v>0</v>
      </c>
      <c r="R99" s="115">
        <f>SUM(D99:Q99)</f>
        <v>1398.8231103189385</v>
      </c>
    </row>
    <row r="100" spans="1:18" ht="15.5" x14ac:dyDescent="0.35">
      <c r="A100" s="116"/>
      <c r="B100" s="182">
        <v>18</v>
      </c>
      <c r="C100" s="182"/>
      <c r="D100" s="183">
        <f t="shared" si="8"/>
        <v>0</v>
      </c>
      <c r="E100" s="183">
        <f t="shared" si="8"/>
        <v>0</v>
      </c>
      <c r="F100" s="183">
        <f t="shared" si="8"/>
        <v>0</v>
      </c>
      <c r="G100" s="183">
        <f t="shared" si="8"/>
        <v>0</v>
      </c>
      <c r="H100" s="183">
        <f t="shared" si="8"/>
        <v>0</v>
      </c>
      <c r="I100" s="183">
        <f t="shared" si="8"/>
        <v>0</v>
      </c>
      <c r="J100" s="183">
        <f t="shared" si="8"/>
        <v>0</v>
      </c>
      <c r="K100" s="183">
        <f t="shared" si="8"/>
        <v>0</v>
      </c>
      <c r="L100" s="186">
        <f t="shared" si="8"/>
        <v>0</v>
      </c>
      <c r="M100" s="183">
        <f t="shared" si="8"/>
        <v>166.78543772010551</v>
      </c>
      <c r="N100" s="183">
        <f t="shared" si="8"/>
        <v>300.62599050437262</v>
      </c>
      <c r="O100" s="183">
        <f t="shared" si="8"/>
        <v>198.16666666666666</v>
      </c>
      <c r="P100" s="183">
        <f t="shared" si="8"/>
        <v>135.63842336953189</v>
      </c>
      <c r="Q100" s="183">
        <f t="shared" si="8"/>
        <v>51.333333333333336</v>
      </c>
      <c r="R100" s="115">
        <f>SUM(D100:Q100)</f>
        <v>852.54985159401008</v>
      </c>
    </row>
    <row r="101" spans="1:18" ht="15.5" x14ac:dyDescent="0.35">
      <c r="A101" s="116"/>
      <c r="B101" s="179" t="s">
        <v>116</v>
      </c>
      <c r="C101" s="179"/>
      <c r="D101" s="180">
        <f>SUM(D103:D105)</f>
        <v>0</v>
      </c>
      <c r="E101" s="180">
        <f t="shared" ref="E101:Q101" si="9">SUM(E103:E105)</f>
        <v>42.769230769230774</v>
      </c>
      <c r="F101" s="180">
        <f t="shared" si="9"/>
        <v>338.31588019823317</v>
      </c>
      <c r="G101" s="180">
        <f t="shared" si="9"/>
        <v>267.84615384615381</v>
      </c>
      <c r="H101" s="180">
        <f t="shared" si="9"/>
        <v>221.73333333333332</v>
      </c>
      <c r="I101" s="180">
        <f t="shared" si="9"/>
        <v>193.64000000000001</v>
      </c>
      <c r="J101" s="180">
        <f t="shared" si="9"/>
        <v>354.65599949362581</v>
      </c>
      <c r="K101" s="180">
        <f t="shared" si="9"/>
        <v>170.73333333333335</v>
      </c>
      <c r="L101" s="180">
        <f t="shared" si="9"/>
        <v>293.92917934502822</v>
      </c>
      <c r="M101" s="180">
        <f t="shared" si="9"/>
        <v>122.21947897794578</v>
      </c>
      <c r="N101" s="180">
        <f t="shared" si="9"/>
        <v>300.62599050437262</v>
      </c>
      <c r="O101" s="180">
        <f t="shared" si="9"/>
        <v>198.16666666666663</v>
      </c>
      <c r="P101" s="180">
        <f t="shared" si="9"/>
        <v>135.63842336953186</v>
      </c>
      <c r="Q101" s="180">
        <f t="shared" si="9"/>
        <v>51.333333333333336</v>
      </c>
      <c r="R101" s="181">
        <f>SUM(C101:Q101)</f>
        <v>2691.6070031707886</v>
      </c>
    </row>
    <row r="102" spans="1:18" ht="15.5" x14ac:dyDescent="0.35">
      <c r="A102" s="193">
        <v>1</v>
      </c>
      <c r="B102" s="116" t="s">
        <v>257</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300.62599050437262</v>
      </c>
      <c r="O102" s="183">
        <f>$A102*SUM('EC-UNC'!O$103:O$105)</f>
        <v>198.16666666666663</v>
      </c>
      <c r="P102" s="183">
        <f>$A102*SUM('EC-UNC'!P$103:P$105)</f>
        <v>135.63842336953186</v>
      </c>
      <c r="Q102" s="183">
        <f>$A102*SUM('EC-UNC'!Q$103:Q$105)</f>
        <v>51.333333333333336</v>
      </c>
      <c r="R102" s="115">
        <f>SUM(D102:Q102)</f>
        <v>2691.6070031707886</v>
      </c>
    </row>
    <row r="103" spans="1:18" ht="15.5" x14ac:dyDescent="0.35">
      <c r="A103" s="193">
        <v>1</v>
      </c>
      <c r="B103" s="116" t="s">
        <v>258</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300.62599050437262</v>
      </c>
      <c r="O103" s="183">
        <f>$A103*SUM('EC-UNC'!O$103:O$105)</f>
        <v>198.16666666666663</v>
      </c>
      <c r="P103" s="183">
        <f>$A103*SUM('EC-UNC'!P$103:P$105)</f>
        <v>135.63842336953186</v>
      </c>
      <c r="Q103" s="183">
        <f>$A103*SUM('EC-UNC'!Q$103:Q$105)</f>
        <v>51.333333333333336</v>
      </c>
      <c r="R103" s="115">
        <f>SUM(D103:Q103)</f>
        <v>2691.6070031707886</v>
      </c>
    </row>
    <row r="104" spans="1:18" ht="15.5" x14ac:dyDescent="0.35">
      <c r="A104" s="193">
        <v>0</v>
      </c>
      <c r="B104" s="116" t="s">
        <v>117</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118</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450.93898575655891</v>
      </c>
      <c r="O116" s="183">
        <f>(O102+O105)*Assumptions!$K$26/24</f>
        <v>297.24999999999994</v>
      </c>
      <c r="P116" s="183">
        <f>(P102+P105)*Assumptions!$K$26/24</f>
        <v>203.45763505429781</v>
      </c>
      <c r="Q116" s="183">
        <f>(Q102+Q105)*Assumptions!$K$26/24</f>
        <v>77</v>
      </c>
      <c r="R116" s="115"/>
    </row>
    <row r="117" spans="1:18" ht="15.5" x14ac:dyDescent="0.35">
      <c r="A117" s="116"/>
      <c r="B117" s="116" t="s">
        <v>293</v>
      </c>
      <c r="C117" s="116"/>
      <c r="D117" s="107"/>
      <c r="E117" s="108">
        <f>SUM(E113:E116)</f>
        <v>128.30769230769232</v>
      </c>
      <c r="F117" s="108">
        <f t="shared" ref="F117:Q117" si="10">SUM(F113:F116)</f>
        <v>1014.9476405946996</v>
      </c>
      <c r="G117" s="108">
        <f t="shared" si="10"/>
        <v>836.53846153846155</v>
      </c>
      <c r="H117" s="108">
        <f t="shared" si="10"/>
        <v>698.19999999999993</v>
      </c>
      <c r="I117" s="108">
        <f t="shared" si="10"/>
        <v>580.92000000000007</v>
      </c>
      <c r="J117" s="108">
        <f t="shared" si="10"/>
        <v>1094.583383096262</v>
      </c>
      <c r="K117" s="108">
        <f>SUM(K113:K116)</f>
        <v>485.5</v>
      </c>
      <c r="L117" s="108">
        <f t="shared" si="10"/>
        <v>913.78753803508471</v>
      </c>
      <c r="M117" s="108">
        <f t="shared" si="10"/>
        <v>433.50737504707695</v>
      </c>
      <c r="N117" s="108">
        <f t="shared" si="10"/>
        <v>901.87797151311781</v>
      </c>
      <c r="O117" s="108">
        <f t="shared" si="10"/>
        <v>594.5</v>
      </c>
      <c r="P117" s="108">
        <f t="shared" si="10"/>
        <v>406.91527010859568</v>
      </c>
      <c r="Q117" s="108">
        <f t="shared" si="10"/>
        <v>154</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450.93898575655891</v>
      </c>
      <c r="O120" s="108">
        <f>O102*Assumptions!$K$28/24</f>
        <v>297.24999999999994</v>
      </c>
      <c r="P120" s="108">
        <f>P102*Assumptions!$K$28/24</f>
        <v>203.45763505429781</v>
      </c>
      <c r="Q120" s="108">
        <f>Q102*Assumptions!$K$28/24</f>
        <v>77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1">SUM(E122:E125)</f>
        <v>2</v>
      </c>
      <c r="F126" s="124">
        <f t="shared" si="11"/>
        <v>6</v>
      </c>
      <c r="G126" s="124">
        <f t="shared" si="11"/>
        <v>5</v>
      </c>
      <c r="H126" s="124">
        <f t="shared" si="11"/>
        <v>5</v>
      </c>
      <c r="I126" s="124">
        <f>SUM(I122:I125)</f>
        <v>4</v>
      </c>
      <c r="J126" s="124">
        <f t="shared" si="11"/>
        <v>6</v>
      </c>
      <c r="K126" s="124">
        <f t="shared" si="11"/>
        <v>3</v>
      </c>
      <c r="L126" s="190">
        <f t="shared" si="11"/>
        <v>4</v>
      </c>
      <c r="M126" s="124">
        <f t="shared" si="11"/>
        <v>3</v>
      </c>
      <c r="N126" s="124">
        <f t="shared" si="11"/>
        <v>4</v>
      </c>
      <c r="O126" s="124">
        <f t="shared" si="11"/>
        <v>4</v>
      </c>
      <c r="P126" s="124">
        <f t="shared" si="11"/>
        <v>2</v>
      </c>
      <c r="Q126" s="124">
        <f t="shared" si="11"/>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2">E126*2</f>
        <v>4</v>
      </c>
      <c r="F129" s="183">
        <f t="shared" si="12"/>
        <v>12</v>
      </c>
      <c r="G129" s="183">
        <f t="shared" si="12"/>
        <v>10</v>
      </c>
      <c r="H129" s="183">
        <f t="shared" si="12"/>
        <v>10</v>
      </c>
      <c r="I129" s="183">
        <f t="shared" si="12"/>
        <v>8</v>
      </c>
      <c r="J129" s="183">
        <f t="shared" si="12"/>
        <v>12</v>
      </c>
      <c r="K129" s="183">
        <f t="shared" si="12"/>
        <v>6</v>
      </c>
      <c r="L129" s="186">
        <f t="shared" si="12"/>
        <v>8</v>
      </c>
      <c r="M129" s="183">
        <f t="shared" si="12"/>
        <v>6</v>
      </c>
      <c r="N129" s="183">
        <f t="shared" si="12"/>
        <v>8</v>
      </c>
      <c r="O129" s="183">
        <f t="shared" si="12"/>
        <v>8</v>
      </c>
      <c r="P129" s="183">
        <f t="shared" si="12"/>
        <v>4</v>
      </c>
      <c r="Q129" s="183">
        <f t="shared" si="12"/>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104</v>
      </c>
    </row>
    <row r="2" spans="1:20" x14ac:dyDescent="0.35">
      <c r="A2" s="30"/>
      <c r="B2" s="7" t="s">
        <v>300</v>
      </c>
      <c r="C2" s="7"/>
      <c r="D2" s="30"/>
      <c r="E2" s="30"/>
      <c r="F2" s="30"/>
      <c r="G2" s="30"/>
      <c r="Q2" s="4" t="s">
        <v>301</v>
      </c>
      <c r="R2" s="23">
        <v>1</v>
      </c>
    </row>
    <row r="3" spans="1:20" x14ac:dyDescent="0.35">
      <c r="Q3" s="4"/>
      <c r="R3" s="23"/>
      <c r="T3" s="138" t="s">
        <v>133</v>
      </c>
    </row>
    <row r="4" spans="1:20" x14ac:dyDescent="0.35">
      <c r="Q4" s="4" t="s">
        <v>302</v>
      </c>
      <c r="R4" s="23">
        <v>1</v>
      </c>
      <c r="T4" s="138" t="s">
        <v>134</v>
      </c>
    </row>
    <row r="5" spans="1:20" x14ac:dyDescent="0.35">
      <c r="T5" s="138" t="s">
        <v>135</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116</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258</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353</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117</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354</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119</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356</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358</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91</v>
      </c>
    </row>
    <row r="49" spans="1:18" ht="15.5" x14ac:dyDescent="0.35">
      <c r="A49" s="116"/>
      <c r="B49" s="129" t="s">
        <v>351</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114</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352</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116</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ca="1">SUM(D62:Q62)</f>
        <v>2513.9238395172029</v>
      </c>
    </row>
    <row r="63" spans="1:18" ht="15.5" x14ac:dyDescent="0.35">
      <c r="A63" s="121">
        <f>A60</f>
        <v>1</v>
      </c>
      <c r="B63" s="125" t="s">
        <v>258</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353</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ca="1">SUM(D64:Q64)</f>
        <v>427.34285714285716</v>
      </c>
    </row>
    <row r="65" spans="1:18" ht="15.5" x14ac:dyDescent="0.35">
      <c r="A65" s="121">
        <f>A60</f>
        <v>1</v>
      </c>
      <c r="B65" s="125" t="s">
        <v>117</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ca="1">SUM(D65:Q65)</f>
        <v>960.28589743589725</v>
      </c>
    </row>
    <row r="66" spans="1:18" ht="15.5" x14ac:dyDescent="0.35">
      <c r="A66" s="121">
        <f>A60</f>
        <v>1</v>
      </c>
      <c r="B66" s="125" t="s">
        <v>354</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ca="1">SUM(D66:Q66)</f>
        <v>97</v>
      </c>
    </row>
    <row r="67" spans="1:18" ht="15.5" x14ac:dyDescent="0.35">
      <c r="A67" s="116"/>
      <c r="B67" s="129" t="s">
        <v>119</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ca="1">SUM(D68:Q68)</f>
        <v>15</v>
      </c>
    </row>
    <row r="69" spans="1:18" ht="15.5" x14ac:dyDescent="0.35">
      <c r="A69" s="116"/>
      <c r="B69" s="129" t="s">
        <v>356</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ca="1">SUM(D70:Q70)</f>
        <v>94</v>
      </c>
    </row>
    <row r="71" spans="1:18" ht="15.5" x14ac:dyDescent="0.35">
      <c r="A71" s="121">
        <f>A59</f>
        <v>1</v>
      </c>
      <c r="B71" s="125" t="s">
        <v>358</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ca="1">SUM(D71:Q71)</f>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6"/>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408.41126999157984</v>
      </c>
      <c r="J75" s="115">
        <f t="shared" ca="1" si="2"/>
        <v>441.74460332491321</v>
      </c>
      <c r="K75" s="115">
        <f t="shared" ca="1" si="2"/>
        <v>441.74460332491321</v>
      </c>
      <c r="L75" s="115">
        <f t="shared" ca="1" si="2"/>
        <v>368.12050277076099</v>
      </c>
      <c r="M75" s="115">
        <f t="shared" ca="1" si="2"/>
        <v>368.12050277076099</v>
      </c>
      <c r="N75" s="115">
        <f t="shared" ca="1" si="2"/>
        <v>368.12050277076099</v>
      </c>
      <c r="O75" s="115">
        <f t="shared" ca="1" si="2"/>
        <v>368.12050277076099</v>
      </c>
      <c r="P75" s="115">
        <f t="shared" ca="1" si="2"/>
        <v>368.12050277076099</v>
      </c>
      <c r="Q75" s="115">
        <f t="shared" si="2"/>
        <v>0</v>
      </c>
      <c r="R75" s="115">
        <f ca="1">SUM(R46:R48)</f>
        <v>4240.807588642162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111</v>
      </c>
      <c r="C83" s="105"/>
      <c r="D83" s="107">
        <f t="shared" ref="D83:J83" si="3">SUMPRODUCT(D86:D88,$B$86:$B$88)</f>
        <v>0</v>
      </c>
      <c r="E83" s="108">
        <f t="shared" si="3"/>
        <v>513.23076923076928</v>
      </c>
      <c r="F83" s="108">
        <f t="shared" si="3"/>
        <v>4289.353587588882</v>
      </c>
      <c r="G83" s="108">
        <f t="shared" si="3"/>
        <v>3785.1538461538457</v>
      </c>
      <c r="H83" s="108">
        <f t="shared" si="3"/>
        <v>3474</v>
      </c>
      <c r="I83" s="108">
        <f t="shared" si="3"/>
        <v>2904.6</v>
      </c>
      <c r="J83" s="108">
        <f t="shared" si="3"/>
        <v>6126.169049873698</v>
      </c>
      <c r="K83" s="108">
        <f>J83+500</f>
        <v>6626.169049873698</v>
      </c>
      <c r="L83" s="109">
        <f t="shared" ref="L83:Q83" si="4">K83</f>
        <v>6626.169049873698</v>
      </c>
      <c r="M83" s="109">
        <f t="shared" si="4"/>
        <v>6626.169049873698</v>
      </c>
      <c r="N83" s="109">
        <f t="shared" si="4"/>
        <v>6626.169049873698</v>
      </c>
      <c r="O83" s="109">
        <f t="shared" si="4"/>
        <v>6626.169049873698</v>
      </c>
      <c r="P83" s="109">
        <f t="shared" si="4"/>
        <v>6626.169049873698</v>
      </c>
      <c r="Q83" s="109">
        <f t="shared" si="4"/>
        <v>6626.169049873698</v>
      </c>
      <c r="R83" s="113">
        <f>SUM(D83:Q83)</f>
        <v>67475.690601963099</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5">K84</f>
        <v>8</v>
      </c>
      <c r="M84" s="108">
        <f t="shared" si="5"/>
        <v>8</v>
      </c>
      <c r="N84" s="108">
        <f t="shared" si="5"/>
        <v>8</v>
      </c>
      <c r="O84" s="108">
        <f t="shared" si="5"/>
        <v>8</v>
      </c>
      <c r="P84" s="108">
        <f t="shared" si="5"/>
        <v>8</v>
      </c>
      <c r="Q84" s="108">
        <f t="shared" si="5"/>
        <v>8</v>
      </c>
      <c r="R84" s="113">
        <f>SUM(D84:Q84)</f>
        <v>86</v>
      </c>
    </row>
    <row r="85" spans="1:26" ht="15.5" x14ac:dyDescent="0.35">
      <c r="B85" s="135" t="s">
        <v>275</v>
      </c>
      <c r="C85" s="135"/>
      <c r="D85" s="157"/>
      <c r="E85" s="158">
        <f>SUM(E86:E88)</f>
        <v>42.769230769230774</v>
      </c>
      <c r="F85" s="158">
        <f t="shared" ref="F85:Q85" si="6">SUM(F86:F88)</f>
        <v>338.31588019823317</v>
      </c>
      <c r="G85" s="158">
        <f t="shared" si="6"/>
        <v>289.84615384615381</v>
      </c>
      <c r="H85" s="158">
        <f t="shared" si="6"/>
        <v>243.73333333333332</v>
      </c>
      <c r="I85" s="158">
        <f t="shared" si="6"/>
        <v>193.64</v>
      </c>
      <c r="J85" s="158">
        <f t="shared" si="6"/>
        <v>408.41126999157984</v>
      </c>
      <c r="K85" s="158">
        <f t="shared" si="6"/>
        <v>441.74460332491321</v>
      </c>
      <c r="L85" s="158">
        <f t="shared" si="6"/>
        <v>441.74460332491321</v>
      </c>
      <c r="M85" s="158">
        <f t="shared" si="6"/>
        <v>368.12050277076099</v>
      </c>
      <c r="N85" s="158">
        <f t="shared" si="6"/>
        <v>368.12050277076099</v>
      </c>
      <c r="O85" s="158">
        <f t="shared" si="6"/>
        <v>368.12050277076099</v>
      </c>
      <c r="P85" s="158">
        <f t="shared" si="6"/>
        <v>368.12050277076099</v>
      </c>
      <c r="Q85" s="158">
        <f t="shared" si="6"/>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N$83/$B92</f>
        <v>368.12050277076099</v>
      </c>
      <c r="O88" s="108">
        <f>O$83/$B92</f>
        <v>368.12050277076099</v>
      </c>
      <c r="P88" s="108">
        <f>P$83/$B92</f>
        <v>368.12050277076099</v>
      </c>
      <c r="Q88" s="108">
        <f>Q$83/$B92</f>
        <v>368.12050277076099</v>
      </c>
      <c r="R88" s="113">
        <f>SUM(D88:Q88)</f>
        <v>1840.602513853805</v>
      </c>
      <c r="S88" s="22"/>
    </row>
    <row r="89" spans="1:26" ht="15.5" x14ac:dyDescent="0.35">
      <c r="B89" s="135" t="s">
        <v>239</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7">3*E86</f>
        <v>128.30769230769232</v>
      </c>
      <c r="F90" s="108">
        <f t="shared" si="7"/>
        <v>785.38461538461547</v>
      </c>
      <c r="G90" s="108">
        <f t="shared" si="7"/>
        <v>562.53846153846143</v>
      </c>
      <c r="H90" s="108">
        <f t="shared" si="7"/>
        <v>182</v>
      </c>
      <c r="I90" s="108">
        <f t="shared" si="7"/>
        <v>0</v>
      </c>
      <c r="J90" s="108">
        <f t="shared" si="7"/>
        <v>0</v>
      </c>
      <c r="K90" s="108">
        <f t="shared" si="7"/>
        <v>0</v>
      </c>
      <c r="L90" s="109">
        <f t="shared" si="7"/>
        <v>0</v>
      </c>
      <c r="M90" s="108">
        <f t="shared" si="7"/>
        <v>0</v>
      </c>
      <c r="N90" s="108">
        <f t="shared" si="7"/>
        <v>0</v>
      </c>
      <c r="O90" s="108">
        <f t="shared" si="7"/>
        <v>0</v>
      </c>
      <c r="P90" s="108">
        <f t="shared" si="7"/>
        <v>0</v>
      </c>
      <c r="Q90" s="108">
        <f t="shared" si="7"/>
        <v>0</v>
      </c>
      <c r="R90" s="113">
        <f>SUM(D90:Q90)</f>
        <v>1658.2307692307693</v>
      </c>
    </row>
    <row r="91" spans="1:26" ht="15.5" x14ac:dyDescent="0.35">
      <c r="B91" s="111">
        <f>B87</f>
        <v>15</v>
      </c>
      <c r="C91" s="111"/>
      <c r="D91" s="107">
        <f t="shared" ref="D91:Q92" si="8">3*D87</f>
        <v>0</v>
      </c>
      <c r="E91" s="108">
        <f t="shared" si="8"/>
        <v>0</v>
      </c>
      <c r="F91" s="108">
        <f t="shared" si="8"/>
        <v>229.56302521008405</v>
      </c>
      <c r="G91" s="108">
        <f t="shared" si="8"/>
        <v>307</v>
      </c>
      <c r="H91" s="108">
        <f t="shared" si="8"/>
        <v>549.20000000000005</v>
      </c>
      <c r="I91" s="108">
        <f t="shared" si="8"/>
        <v>580.91999999999996</v>
      </c>
      <c r="J91" s="108">
        <f t="shared" si="8"/>
        <v>1225.2338099747394</v>
      </c>
      <c r="K91" s="108">
        <f t="shared" si="8"/>
        <v>1325.2338099747396</v>
      </c>
      <c r="L91" s="109">
        <f t="shared" si="8"/>
        <v>1325.2338099747396</v>
      </c>
      <c r="M91" s="108">
        <f t="shared" si="8"/>
        <v>0</v>
      </c>
      <c r="N91" s="108">
        <f t="shared" si="8"/>
        <v>0</v>
      </c>
      <c r="O91" s="108">
        <f t="shared" si="8"/>
        <v>0</v>
      </c>
      <c r="P91" s="108">
        <f t="shared" si="8"/>
        <v>0</v>
      </c>
      <c r="Q91" s="108">
        <f t="shared" si="8"/>
        <v>0</v>
      </c>
      <c r="R91" s="113">
        <f>SUM(D91:Q91)</f>
        <v>5542.3844551343027</v>
      </c>
    </row>
    <row r="92" spans="1:26" ht="15.5" x14ac:dyDescent="0.35">
      <c r="B92" s="111">
        <f>B88</f>
        <v>18</v>
      </c>
      <c r="C92" s="111"/>
      <c r="D92" s="107">
        <f t="shared" si="8"/>
        <v>0</v>
      </c>
      <c r="E92" s="108">
        <f t="shared" si="8"/>
        <v>0</v>
      </c>
      <c r="F92" s="108">
        <f t="shared" si="8"/>
        <v>0</v>
      </c>
      <c r="G92" s="108">
        <f t="shared" si="8"/>
        <v>0</v>
      </c>
      <c r="H92" s="108">
        <f t="shared" si="8"/>
        <v>0</v>
      </c>
      <c r="I92" s="108">
        <f t="shared" si="8"/>
        <v>0</v>
      </c>
      <c r="J92" s="108">
        <f t="shared" si="8"/>
        <v>0</v>
      </c>
      <c r="K92" s="108">
        <f t="shared" si="8"/>
        <v>0</v>
      </c>
      <c r="L92" s="109">
        <f t="shared" si="8"/>
        <v>0</v>
      </c>
      <c r="M92" s="108">
        <f t="shared" si="8"/>
        <v>1104.3615083122829</v>
      </c>
      <c r="N92" s="108">
        <f t="shared" si="8"/>
        <v>1104.3615083122829</v>
      </c>
      <c r="O92" s="108">
        <f t="shared" si="8"/>
        <v>1104.3615083122829</v>
      </c>
      <c r="P92" s="108">
        <f t="shared" si="8"/>
        <v>1104.3615083122829</v>
      </c>
      <c r="Q92" s="108">
        <f t="shared" si="8"/>
        <v>1104.3615083122829</v>
      </c>
      <c r="R92" s="113">
        <f>SUM(D92:Q92)</f>
        <v>5521.8075415614148</v>
      </c>
    </row>
    <row r="93" spans="1:26" ht="15.5" x14ac:dyDescent="0.35">
      <c r="B93" s="135" t="s">
        <v>240</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9">E86</f>
        <v>42.769230769230774</v>
      </c>
      <c r="F94" s="108">
        <f t="shared" si="9"/>
        <v>261.79487179487182</v>
      </c>
      <c r="G94" s="108">
        <f t="shared" si="9"/>
        <v>187.5128205128205</v>
      </c>
      <c r="H94" s="108">
        <f t="shared" si="9"/>
        <v>60.666666666666664</v>
      </c>
      <c r="I94" s="108">
        <f t="shared" si="9"/>
        <v>0</v>
      </c>
      <c r="J94" s="108">
        <f t="shared" si="9"/>
        <v>0</v>
      </c>
      <c r="K94" s="108">
        <f t="shared" si="9"/>
        <v>0</v>
      </c>
      <c r="L94" s="109">
        <f t="shared" si="9"/>
        <v>0</v>
      </c>
      <c r="M94" s="108">
        <f t="shared" si="9"/>
        <v>0</v>
      </c>
      <c r="N94" s="108">
        <f t="shared" si="9"/>
        <v>0</v>
      </c>
      <c r="O94" s="108">
        <f t="shared" si="9"/>
        <v>0</v>
      </c>
      <c r="P94" s="108">
        <f t="shared" si="9"/>
        <v>0</v>
      </c>
      <c r="Q94" s="108">
        <f t="shared" si="9"/>
        <v>0</v>
      </c>
      <c r="R94" s="113">
        <f>SUM(D94:Q94)</f>
        <v>552.74358974358972</v>
      </c>
    </row>
    <row r="95" spans="1:26" ht="15.5" x14ac:dyDescent="0.35">
      <c r="B95" s="111">
        <f>B87</f>
        <v>15</v>
      </c>
      <c r="C95" s="111"/>
      <c r="D95" s="107">
        <f t="shared" ref="D95:Q96" si="10">D87</f>
        <v>0</v>
      </c>
      <c r="E95" s="108">
        <f t="shared" si="10"/>
        <v>0</v>
      </c>
      <c r="F95" s="108">
        <f t="shared" si="10"/>
        <v>76.52100840336135</v>
      </c>
      <c r="G95" s="108">
        <f t="shared" si="10"/>
        <v>102.33333333333334</v>
      </c>
      <c r="H95" s="108">
        <f t="shared" si="10"/>
        <v>183.06666666666666</v>
      </c>
      <c r="I95" s="108">
        <f t="shared" si="10"/>
        <v>193.64</v>
      </c>
      <c r="J95" s="108">
        <f t="shared" si="10"/>
        <v>408.41126999157984</v>
      </c>
      <c r="K95" s="108">
        <f t="shared" si="10"/>
        <v>441.74460332491321</v>
      </c>
      <c r="L95" s="109">
        <f t="shared" si="10"/>
        <v>441.74460332491321</v>
      </c>
      <c r="M95" s="108">
        <f t="shared" si="10"/>
        <v>0</v>
      </c>
      <c r="N95" s="108">
        <f t="shared" si="10"/>
        <v>0</v>
      </c>
      <c r="O95" s="108">
        <f t="shared" si="10"/>
        <v>0</v>
      </c>
      <c r="P95" s="108">
        <f t="shared" si="10"/>
        <v>0</v>
      </c>
      <c r="Q95" s="108">
        <f t="shared" si="10"/>
        <v>0</v>
      </c>
      <c r="R95" s="113">
        <f>SUM(D95:Q95)</f>
        <v>1847.4614850447676</v>
      </c>
    </row>
    <row r="96" spans="1:26" ht="15.5" x14ac:dyDescent="0.35">
      <c r="B96" s="111">
        <f>B88</f>
        <v>18</v>
      </c>
      <c r="C96" s="111"/>
      <c r="D96" s="107">
        <f t="shared" si="10"/>
        <v>0</v>
      </c>
      <c r="E96" s="108">
        <f t="shared" si="10"/>
        <v>0</v>
      </c>
      <c r="F96" s="108">
        <f t="shared" si="10"/>
        <v>0</v>
      </c>
      <c r="G96" s="108">
        <f t="shared" si="10"/>
        <v>0</v>
      </c>
      <c r="H96" s="108">
        <f t="shared" si="10"/>
        <v>0</v>
      </c>
      <c r="I96" s="108">
        <f t="shared" si="10"/>
        <v>0</v>
      </c>
      <c r="J96" s="108">
        <f t="shared" si="10"/>
        <v>0</v>
      </c>
      <c r="K96" s="108">
        <f t="shared" si="10"/>
        <v>0</v>
      </c>
      <c r="L96" s="109">
        <f t="shared" si="10"/>
        <v>0</v>
      </c>
      <c r="M96" s="108">
        <f t="shared" si="10"/>
        <v>368.12050277076099</v>
      </c>
      <c r="N96" s="108">
        <f t="shared" si="10"/>
        <v>368.12050277076099</v>
      </c>
      <c r="O96" s="108">
        <f t="shared" si="10"/>
        <v>368.12050277076099</v>
      </c>
      <c r="P96" s="108">
        <f t="shared" si="10"/>
        <v>368.12050277076099</v>
      </c>
      <c r="Q96" s="108">
        <f t="shared" si="10"/>
        <v>368.12050277076099</v>
      </c>
      <c r="R96" s="113">
        <f>SUM(D96:Q96)</f>
        <v>1840.602513853805</v>
      </c>
    </row>
    <row r="97" spans="2:19" ht="15.5" x14ac:dyDescent="0.35">
      <c r="B97" s="135" t="s">
        <v>241</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11">E86</f>
        <v>42.769230769230774</v>
      </c>
      <c r="F98" s="108">
        <f t="shared" si="11"/>
        <v>261.79487179487182</v>
      </c>
      <c r="G98" s="108">
        <f t="shared" si="11"/>
        <v>187.5128205128205</v>
      </c>
      <c r="H98" s="108">
        <f t="shared" si="11"/>
        <v>60.666666666666664</v>
      </c>
      <c r="I98" s="108">
        <f t="shared" si="11"/>
        <v>0</v>
      </c>
      <c r="J98" s="108">
        <f t="shared" si="11"/>
        <v>0</v>
      </c>
      <c r="K98" s="108">
        <f t="shared" si="11"/>
        <v>0</v>
      </c>
      <c r="L98" s="109">
        <f t="shared" si="11"/>
        <v>0</v>
      </c>
      <c r="M98" s="108">
        <f t="shared" si="11"/>
        <v>0</v>
      </c>
      <c r="N98" s="108">
        <f t="shared" si="11"/>
        <v>0</v>
      </c>
      <c r="O98" s="108">
        <f t="shared" si="11"/>
        <v>0</v>
      </c>
      <c r="P98" s="108">
        <f t="shared" si="11"/>
        <v>0</v>
      </c>
      <c r="Q98" s="108">
        <f t="shared" si="11"/>
        <v>0</v>
      </c>
      <c r="R98" s="113">
        <f>SUM(D98:Q98)</f>
        <v>552.74358974358972</v>
      </c>
    </row>
    <row r="99" spans="2:19" ht="15.5" x14ac:dyDescent="0.35">
      <c r="B99" s="111">
        <f>B87</f>
        <v>15</v>
      </c>
      <c r="C99" s="111"/>
      <c r="D99" s="107">
        <f t="shared" ref="D99:Q100" si="12">D87</f>
        <v>0</v>
      </c>
      <c r="E99" s="108">
        <f t="shared" si="12"/>
        <v>0</v>
      </c>
      <c r="F99" s="108">
        <f t="shared" si="12"/>
        <v>76.52100840336135</v>
      </c>
      <c r="G99" s="108">
        <f t="shared" si="12"/>
        <v>102.33333333333334</v>
      </c>
      <c r="H99" s="108">
        <f t="shared" si="12"/>
        <v>183.06666666666666</v>
      </c>
      <c r="I99" s="108">
        <f t="shared" si="12"/>
        <v>193.64</v>
      </c>
      <c r="J99" s="108">
        <f t="shared" si="12"/>
        <v>408.41126999157984</v>
      </c>
      <c r="K99" s="108">
        <f t="shared" si="12"/>
        <v>441.74460332491321</v>
      </c>
      <c r="L99" s="109">
        <f t="shared" si="12"/>
        <v>441.74460332491321</v>
      </c>
      <c r="M99" s="108">
        <f t="shared" si="12"/>
        <v>0</v>
      </c>
      <c r="N99" s="108">
        <f t="shared" si="12"/>
        <v>0</v>
      </c>
      <c r="O99" s="108">
        <f t="shared" si="12"/>
        <v>0</v>
      </c>
      <c r="P99" s="108">
        <f t="shared" si="12"/>
        <v>0</v>
      </c>
      <c r="Q99" s="108">
        <f t="shared" si="12"/>
        <v>0</v>
      </c>
      <c r="R99" s="113">
        <f>SUM(D99:Q99)</f>
        <v>1847.4614850447676</v>
      </c>
    </row>
    <row r="100" spans="2:19" ht="15.5" x14ac:dyDescent="0.35">
      <c r="B100" s="111">
        <f>B88</f>
        <v>18</v>
      </c>
      <c r="C100" s="111"/>
      <c r="D100" s="107">
        <f t="shared" si="12"/>
        <v>0</v>
      </c>
      <c r="E100" s="108">
        <f t="shared" si="12"/>
        <v>0</v>
      </c>
      <c r="F100" s="108">
        <f t="shared" si="12"/>
        <v>0</v>
      </c>
      <c r="G100" s="108">
        <f t="shared" si="12"/>
        <v>0</v>
      </c>
      <c r="H100" s="108">
        <f t="shared" si="12"/>
        <v>0</v>
      </c>
      <c r="I100" s="108">
        <f t="shared" si="12"/>
        <v>0</v>
      </c>
      <c r="J100" s="108">
        <f t="shared" si="12"/>
        <v>0</v>
      </c>
      <c r="K100" s="108">
        <f t="shared" si="12"/>
        <v>0</v>
      </c>
      <c r="L100" s="109">
        <f t="shared" si="12"/>
        <v>0</v>
      </c>
      <c r="M100" s="108">
        <f t="shared" si="12"/>
        <v>368.12050277076099</v>
      </c>
      <c r="N100" s="108">
        <f t="shared" si="12"/>
        <v>368.12050277076099</v>
      </c>
      <c r="O100" s="108">
        <f t="shared" si="12"/>
        <v>368.12050277076099</v>
      </c>
      <c r="P100" s="108">
        <f t="shared" si="12"/>
        <v>368.12050277076099</v>
      </c>
      <c r="Q100" s="108">
        <f t="shared" si="12"/>
        <v>368.12050277076099</v>
      </c>
      <c r="R100" s="113">
        <f>SUM(D100:Q100)</f>
        <v>1840.602513853805</v>
      </c>
    </row>
    <row r="101" spans="2:19" ht="15.5" x14ac:dyDescent="0.35">
      <c r="B101" s="135" t="s">
        <v>116</v>
      </c>
      <c r="C101" s="199"/>
      <c r="D101" s="151">
        <f>SUM(D103:D105)</f>
        <v>0</v>
      </c>
      <c r="E101" s="151">
        <f t="shared" ref="E101:Q101" si="13">SUM(E103:E105)</f>
        <v>42.769230769230774</v>
      </c>
      <c r="F101" s="151">
        <f t="shared" si="13"/>
        <v>338.31588019823317</v>
      </c>
      <c r="G101" s="151">
        <f t="shared" si="13"/>
        <v>267.84615384615381</v>
      </c>
      <c r="H101" s="151">
        <f t="shared" si="13"/>
        <v>221.73333333333332</v>
      </c>
      <c r="I101" s="151">
        <f t="shared" si="13"/>
        <v>193.64000000000001</v>
      </c>
      <c r="J101" s="151">
        <f t="shared" si="13"/>
        <v>354.65599949362581</v>
      </c>
      <c r="K101" s="151">
        <f t="shared" si="13"/>
        <v>354.65599949362581</v>
      </c>
      <c r="L101" s="151">
        <f t="shared" si="13"/>
        <v>354.65599949362581</v>
      </c>
      <c r="M101" s="151">
        <f t="shared" si="13"/>
        <v>354.65599949362581</v>
      </c>
      <c r="N101" s="151">
        <f t="shared" si="13"/>
        <v>354.65599949362581</v>
      </c>
      <c r="O101" s="151">
        <f t="shared" si="13"/>
        <v>354.65599949362581</v>
      </c>
      <c r="P101" s="151">
        <f t="shared" si="13"/>
        <v>354.65599949362581</v>
      </c>
      <c r="Q101" s="151">
        <f t="shared" si="13"/>
        <v>354.65599949362581</v>
      </c>
      <c r="R101" s="130">
        <f>SUM(D101:Q101)</f>
        <v>3901.5525940959587</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14">K102</f>
        <v>226.77599949362576</v>
      </c>
      <c r="M102" s="108">
        <f t="shared" si="14"/>
        <v>226.77599949362576</v>
      </c>
      <c r="N102" s="108">
        <f t="shared" si="14"/>
        <v>226.77599949362576</v>
      </c>
      <c r="O102" s="108">
        <f t="shared" si="14"/>
        <v>226.77599949362576</v>
      </c>
      <c r="P102" s="108">
        <f t="shared" si="14"/>
        <v>226.77599949362576</v>
      </c>
      <c r="Q102" s="108">
        <f t="shared" si="14"/>
        <v>226.77599949362576</v>
      </c>
      <c r="R102" s="113">
        <f t="shared" ref="R102:R116" si="15">SUM(D102:Q102)</f>
        <v>2513.9238395172029</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16">K103</f>
        <v>226.77599949362576</v>
      </c>
      <c r="M103" s="108">
        <f t="shared" si="16"/>
        <v>226.77599949362576</v>
      </c>
      <c r="N103" s="108">
        <f t="shared" si="16"/>
        <v>226.77599949362576</v>
      </c>
      <c r="O103" s="108">
        <f t="shared" si="16"/>
        <v>226.77599949362576</v>
      </c>
      <c r="P103" s="108">
        <f t="shared" si="16"/>
        <v>226.77599949362576</v>
      </c>
      <c r="Q103" s="108">
        <f t="shared" si="16"/>
        <v>226.77599949362576</v>
      </c>
      <c r="R103" s="113">
        <f t="shared" si="15"/>
        <v>2513.9238395172029</v>
      </c>
      <c r="S103" s="140">
        <f>R103/SUM(R$103:R$105)</f>
        <v>0.6443393441168549</v>
      </c>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17">K104</f>
        <v>46.23</v>
      </c>
      <c r="M104" s="108">
        <f t="shared" si="17"/>
        <v>46.23</v>
      </c>
      <c r="N104" s="108">
        <f t="shared" si="17"/>
        <v>46.23</v>
      </c>
      <c r="O104" s="108">
        <f t="shared" si="17"/>
        <v>46.23</v>
      </c>
      <c r="P104" s="108">
        <f t="shared" si="17"/>
        <v>46.23</v>
      </c>
      <c r="Q104" s="108">
        <f t="shared" si="17"/>
        <v>46.23</v>
      </c>
      <c r="R104" s="113">
        <f t="shared" si="15"/>
        <v>427.34285714285716</v>
      </c>
      <c r="S104" s="140">
        <f>R104/SUM(R$103:R$105)</f>
        <v>0.10953148697509185</v>
      </c>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18">K105</f>
        <v>81.650000000000006</v>
      </c>
      <c r="M105" s="108">
        <f t="shared" si="18"/>
        <v>81.650000000000006</v>
      </c>
      <c r="N105" s="108">
        <f t="shared" si="18"/>
        <v>81.650000000000006</v>
      </c>
      <c r="O105" s="108">
        <f t="shared" si="18"/>
        <v>81.650000000000006</v>
      </c>
      <c r="P105" s="108">
        <f t="shared" si="18"/>
        <v>81.650000000000006</v>
      </c>
      <c r="Q105" s="108">
        <f t="shared" si="18"/>
        <v>81.650000000000006</v>
      </c>
      <c r="R105" s="113">
        <f t="shared" si="15"/>
        <v>960.28589743589725</v>
      </c>
      <c r="S105" s="140">
        <f>R105/SUM(R$103:R$105)</f>
        <v>0.24612916890805325</v>
      </c>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19">K106</f>
        <v>8</v>
      </c>
      <c r="M106" s="108">
        <f t="shared" si="19"/>
        <v>8</v>
      </c>
      <c r="N106" s="108">
        <f t="shared" si="19"/>
        <v>8</v>
      </c>
      <c r="O106" s="108">
        <f t="shared" si="19"/>
        <v>8</v>
      </c>
      <c r="P106" s="108">
        <f t="shared" si="19"/>
        <v>8</v>
      </c>
      <c r="Q106" s="108">
        <f t="shared" si="19"/>
        <v>8</v>
      </c>
      <c r="R106" s="113">
        <f t="shared" si="15"/>
        <v>97</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 t="shared" ref="L107:Q108" si="20">K107</f>
        <v>66.679419262979792</v>
      </c>
      <c r="M107" s="108">
        <f t="shared" si="20"/>
        <v>66.679419262979792</v>
      </c>
      <c r="N107" s="108">
        <f t="shared" si="20"/>
        <v>66.679419262979792</v>
      </c>
      <c r="O107" s="108">
        <f t="shared" si="20"/>
        <v>66.679419262979792</v>
      </c>
      <c r="P107" s="108">
        <f t="shared" si="20"/>
        <v>66.679419262979792</v>
      </c>
      <c r="Q107" s="108">
        <f t="shared" si="20"/>
        <v>66.679419262979792</v>
      </c>
      <c r="R107" s="113">
        <f t="shared" si="15"/>
        <v>500.10094892855614</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 t="shared" si="20"/>
        <v>2</v>
      </c>
      <c r="M108" s="108">
        <f t="shared" si="20"/>
        <v>2</v>
      </c>
      <c r="N108" s="108">
        <f t="shared" si="20"/>
        <v>2</v>
      </c>
      <c r="O108" s="108">
        <f t="shared" si="20"/>
        <v>2</v>
      </c>
      <c r="P108" s="108">
        <f t="shared" si="20"/>
        <v>2</v>
      </c>
      <c r="Q108" s="108">
        <f t="shared" si="20"/>
        <v>2</v>
      </c>
      <c r="R108" s="113">
        <f t="shared" si="15"/>
        <v>15</v>
      </c>
    </row>
    <row r="109" spans="2:19" ht="15.5" x14ac:dyDescent="0.35">
      <c r="B109" s="135" t="s">
        <v>119</v>
      </c>
      <c r="C109" s="135"/>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21">K110</f>
        <v>8</v>
      </c>
      <c r="M110" s="108">
        <f t="shared" si="21"/>
        <v>8</v>
      </c>
      <c r="N110" s="108">
        <f t="shared" si="21"/>
        <v>8</v>
      </c>
      <c r="O110" s="108">
        <f t="shared" si="21"/>
        <v>8</v>
      </c>
      <c r="P110" s="108">
        <f t="shared" si="21"/>
        <v>8</v>
      </c>
      <c r="Q110" s="108">
        <f t="shared" si="21"/>
        <v>8</v>
      </c>
      <c r="R110" s="113">
        <f t="shared" si="15"/>
        <v>94</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 t="shared" ref="L111:Q111" si="22">K111</f>
        <v>2</v>
      </c>
      <c r="M111" s="108">
        <f t="shared" si="22"/>
        <v>2</v>
      </c>
      <c r="N111" s="108">
        <f t="shared" si="22"/>
        <v>2</v>
      </c>
      <c r="O111" s="108">
        <f t="shared" si="22"/>
        <v>2</v>
      </c>
      <c r="P111" s="108">
        <f t="shared" si="22"/>
        <v>2</v>
      </c>
      <c r="Q111" s="108">
        <f t="shared" si="22"/>
        <v>2</v>
      </c>
      <c r="R111" s="113">
        <f t="shared" si="15"/>
        <v>15</v>
      </c>
    </row>
    <row r="112" spans="2:19" ht="15.5" x14ac:dyDescent="0.35">
      <c r="B112" s="135" t="s">
        <v>120</v>
      </c>
      <c r="C112" s="135"/>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23">K113</f>
        <v>1004.9766712982587</v>
      </c>
      <c r="M113" s="108">
        <f t="shared" si="23"/>
        <v>1004.9766712982587</v>
      </c>
      <c r="N113" s="108">
        <f t="shared" si="23"/>
        <v>1004.9766712982587</v>
      </c>
      <c r="O113" s="108">
        <f t="shared" si="23"/>
        <v>1004.9766712982587</v>
      </c>
      <c r="P113" s="108">
        <f t="shared" si="23"/>
        <v>1004.9766712982587</v>
      </c>
      <c r="Q113" s="108">
        <f t="shared" si="23"/>
        <v>1004.9766712982587</v>
      </c>
      <c r="R113" s="113">
        <f t="shared" si="15"/>
        <v>10691.080356278762</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24">K114</f>
        <v>658.6653</v>
      </c>
      <c r="M114" s="108">
        <f t="shared" si="24"/>
        <v>658.6653</v>
      </c>
      <c r="N114" s="108">
        <f t="shared" si="24"/>
        <v>658.6653</v>
      </c>
      <c r="O114" s="108">
        <f t="shared" si="24"/>
        <v>658.6653</v>
      </c>
      <c r="P114" s="108">
        <f t="shared" si="24"/>
        <v>658.6653</v>
      </c>
      <c r="Q114" s="108">
        <f t="shared" si="24"/>
        <v>658.6653</v>
      </c>
      <c r="R114" s="113">
        <f t="shared" si="15"/>
        <v>7981.9149999999981</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 t="shared" ref="L115:Q116" si="25">K115</f>
        <v>244.04667450250608</v>
      </c>
      <c r="M115" s="108">
        <f t="shared" si="25"/>
        <v>244.04667450250608</v>
      </c>
      <c r="N115" s="108">
        <f t="shared" si="25"/>
        <v>244.04667450250608</v>
      </c>
      <c r="O115" s="108">
        <f t="shared" si="25"/>
        <v>244.04667450250608</v>
      </c>
      <c r="P115" s="108">
        <f t="shared" si="25"/>
        <v>244.04667450250608</v>
      </c>
      <c r="Q115" s="108">
        <f t="shared" si="25"/>
        <v>244.04667450250608</v>
      </c>
      <c r="R115" s="113">
        <f t="shared" si="15"/>
        <v>1830.369473078516</v>
      </c>
    </row>
    <row r="116" spans="2:21" ht="15.5" x14ac:dyDescent="0.35">
      <c r="B116" s="106" t="s">
        <v>288</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 t="shared" si="25"/>
        <v>210</v>
      </c>
      <c r="M116" s="108">
        <f t="shared" si="25"/>
        <v>210</v>
      </c>
      <c r="N116" s="108">
        <f t="shared" si="25"/>
        <v>210</v>
      </c>
      <c r="O116" s="108">
        <f t="shared" si="25"/>
        <v>210</v>
      </c>
      <c r="P116" s="108">
        <f t="shared" si="25"/>
        <v>210</v>
      </c>
      <c r="Q116" s="108">
        <f t="shared" si="25"/>
        <v>210</v>
      </c>
      <c r="R116" s="113">
        <f t="shared" si="15"/>
        <v>1590</v>
      </c>
    </row>
    <row r="117" spans="2:21" ht="15.5" x14ac:dyDescent="0.35">
      <c r="B117" s="135" t="s">
        <v>244</v>
      </c>
      <c r="C117" s="135"/>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252</v>
      </c>
      <c r="C122" s="106"/>
      <c r="D122" s="108"/>
      <c r="E122" s="108">
        <f>SUM(E118:E121)</f>
        <v>128.30769230769232</v>
      </c>
      <c r="F122" s="108">
        <f t="shared" ref="F122:Q122" si="26">SUM(F118:F121)</f>
        <v>971.2333548804138</v>
      </c>
      <c r="G122" s="108">
        <f t="shared" si="26"/>
        <v>818.53846153846166</v>
      </c>
      <c r="H122" s="108">
        <f t="shared" si="26"/>
        <v>681.69999999999993</v>
      </c>
      <c r="I122" s="108">
        <f t="shared" si="26"/>
        <v>572.88</v>
      </c>
      <c r="J122" s="108">
        <f t="shared" si="26"/>
        <v>1075.2559042278085</v>
      </c>
      <c r="K122" s="108">
        <f>SUM(K118:K121)</f>
        <v>1125.2559042278085</v>
      </c>
      <c r="L122" s="108">
        <f t="shared" si="26"/>
        <v>1125.2559042278085</v>
      </c>
      <c r="M122" s="108">
        <f t="shared" si="26"/>
        <v>1014.8197533965802</v>
      </c>
      <c r="N122" s="108">
        <f t="shared" si="26"/>
        <v>1014.8197533965802</v>
      </c>
      <c r="O122" s="108">
        <f t="shared" si="26"/>
        <v>1014.8197533965802</v>
      </c>
      <c r="P122" s="108">
        <f t="shared" si="26"/>
        <v>1014.8197533965802</v>
      </c>
      <c r="Q122" s="108">
        <f t="shared" si="26"/>
        <v>1014.8197533965802</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243</v>
      </c>
      <c r="C126" s="135"/>
      <c r="D126" s="132"/>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122</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123</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140</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149</v>
      </c>
      <c r="C131" s="105"/>
      <c r="D131" s="108">
        <f>SUM(D127:D130)</f>
        <v>0</v>
      </c>
      <c r="E131" s="108">
        <f t="shared" ref="E131:Q131" si="27">SUM(E127:E130)</f>
        <v>2</v>
      </c>
      <c r="F131" s="108">
        <f t="shared" si="27"/>
        <v>5</v>
      </c>
      <c r="G131" s="108">
        <f t="shared" si="27"/>
        <v>5</v>
      </c>
      <c r="H131" s="108">
        <f t="shared" si="27"/>
        <v>5</v>
      </c>
      <c r="I131" s="108">
        <f>SUM(I127:I130)</f>
        <v>4</v>
      </c>
      <c r="J131" s="108">
        <f t="shared" si="27"/>
        <v>5</v>
      </c>
      <c r="K131" s="108">
        <f t="shared" si="27"/>
        <v>5</v>
      </c>
      <c r="L131" s="109">
        <f t="shared" si="27"/>
        <v>5</v>
      </c>
      <c r="M131" s="108">
        <f t="shared" si="27"/>
        <v>5</v>
      </c>
      <c r="N131" s="108">
        <f t="shared" si="27"/>
        <v>5</v>
      </c>
      <c r="O131" s="108">
        <f t="shared" si="27"/>
        <v>5</v>
      </c>
      <c r="P131" s="108">
        <f t="shared" si="27"/>
        <v>5</v>
      </c>
      <c r="Q131" s="108">
        <f t="shared" si="27"/>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D131*2</f>
        <v>0</v>
      </c>
      <c r="E134" s="108">
        <f t="shared" ref="E134:Q134" si="28">E131*2</f>
        <v>4</v>
      </c>
      <c r="F134" s="108">
        <f t="shared" si="28"/>
        <v>10</v>
      </c>
      <c r="G134" s="108">
        <f t="shared" si="28"/>
        <v>10</v>
      </c>
      <c r="H134" s="108">
        <f t="shared" si="28"/>
        <v>10</v>
      </c>
      <c r="I134" s="108">
        <f t="shared" si="28"/>
        <v>8</v>
      </c>
      <c r="J134" s="108">
        <f t="shared" si="28"/>
        <v>10</v>
      </c>
      <c r="K134" s="108">
        <f t="shared" si="28"/>
        <v>10</v>
      </c>
      <c r="L134" s="109">
        <f t="shared" si="28"/>
        <v>10</v>
      </c>
      <c r="M134" s="108">
        <f t="shared" si="28"/>
        <v>10</v>
      </c>
      <c r="N134" s="108">
        <f t="shared" si="28"/>
        <v>10</v>
      </c>
      <c r="O134" s="108">
        <f t="shared" si="28"/>
        <v>10</v>
      </c>
      <c r="P134" s="108">
        <f t="shared" si="28"/>
        <v>10</v>
      </c>
      <c r="Q134" s="108">
        <f t="shared" si="28"/>
        <v>10</v>
      </c>
      <c r="R134" s="113"/>
    </row>
    <row r="135" spans="2:18" ht="15.5" x14ac:dyDescent="0.35">
      <c r="B135" s="106" t="s">
        <v>179</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296</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29">D6</f>
        <v>2022</v>
      </c>
      <c r="E141" s="143">
        <f t="shared" si="29"/>
        <v>2023</v>
      </c>
      <c r="F141" s="143">
        <f t="shared" si="29"/>
        <v>2024</v>
      </c>
      <c r="G141" s="143">
        <f t="shared" si="29"/>
        <v>2025</v>
      </c>
      <c r="H141" s="143">
        <f t="shared" si="29"/>
        <v>2026</v>
      </c>
      <c r="I141" s="143">
        <f t="shared" si="29"/>
        <v>2027</v>
      </c>
      <c r="J141" s="143">
        <f t="shared" si="29"/>
        <v>2028</v>
      </c>
      <c r="K141" s="143">
        <f t="shared" si="29"/>
        <v>2029</v>
      </c>
      <c r="L141" s="143">
        <f t="shared" si="29"/>
        <v>2030</v>
      </c>
      <c r="M141" s="143">
        <f t="shared" si="29"/>
        <v>2031</v>
      </c>
      <c r="N141" s="143">
        <f t="shared" si="29"/>
        <v>2032</v>
      </c>
      <c r="O141" s="143">
        <f t="shared" si="29"/>
        <v>2033</v>
      </c>
      <c r="P141" s="143">
        <f t="shared" si="29"/>
        <v>2034</v>
      </c>
      <c r="Q141" s="143">
        <f t="shared" si="29"/>
        <v>2035</v>
      </c>
      <c r="R141" s="143"/>
    </row>
    <row r="142" spans="2:18" x14ac:dyDescent="0.35">
      <c r="B142" s="144" t="s">
        <v>254</v>
      </c>
      <c r="C142" s="144"/>
      <c r="D142" s="144">
        <f>ROUNDUP(D131*1.5,0)</f>
        <v>0</v>
      </c>
      <c r="E142" s="144">
        <f>ROUNDUP(E131*1.5,0)</f>
        <v>3</v>
      </c>
      <c r="F142" s="144">
        <f t="shared" ref="F142:Q142" si="30">ROUNDUP(F131*1.5,0)</f>
        <v>8</v>
      </c>
      <c r="G142" s="144">
        <f t="shared" si="30"/>
        <v>8</v>
      </c>
      <c r="H142" s="144">
        <f t="shared" si="30"/>
        <v>8</v>
      </c>
      <c r="I142" s="144">
        <f t="shared" si="30"/>
        <v>6</v>
      </c>
      <c r="J142" s="144">
        <f t="shared" si="30"/>
        <v>8</v>
      </c>
      <c r="K142" s="144">
        <f t="shared" si="30"/>
        <v>8</v>
      </c>
      <c r="L142" s="144">
        <f t="shared" si="30"/>
        <v>8</v>
      </c>
      <c r="M142" s="144">
        <f t="shared" si="30"/>
        <v>8</v>
      </c>
      <c r="N142" s="144">
        <f t="shared" si="30"/>
        <v>8</v>
      </c>
      <c r="O142" s="144">
        <f t="shared" si="30"/>
        <v>8</v>
      </c>
      <c r="P142" s="144">
        <f t="shared" si="30"/>
        <v>8</v>
      </c>
      <c r="Q142" s="144">
        <f t="shared" si="30"/>
        <v>8</v>
      </c>
      <c r="R142" s="144"/>
    </row>
    <row r="143" spans="2:18" x14ac:dyDescent="0.35">
      <c r="B143" s="144" t="s">
        <v>269</v>
      </c>
      <c r="C143" s="144"/>
      <c r="D143" s="144">
        <f>D142*29</f>
        <v>0</v>
      </c>
      <c r="E143" s="145">
        <f t="shared" ref="E143:Q143" si="31">E132*29</f>
        <v>29</v>
      </c>
      <c r="F143" s="145">
        <f t="shared" si="31"/>
        <v>116</v>
      </c>
      <c r="G143" s="145">
        <f>G132*29</f>
        <v>116</v>
      </c>
      <c r="H143" s="145">
        <f t="shared" si="31"/>
        <v>87</v>
      </c>
      <c r="I143" s="145">
        <f t="shared" si="31"/>
        <v>87</v>
      </c>
      <c r="J143" s="145">
        <f>J132*29</f>
        <v>145</v>
      </c>
      <c r="K143" s="145">
        <f t="shared" si="31"/>
        <v>145</v>
      </c>
      <c r="L143" s="145">
        <f t="shared" si="31"/>
        <v>145</v>
      </c>
      <c r="M143" s="145">
        <f t="shared" si="31"/>
        <v>145</v>
      </c>
      <c r="N143" s="145">
        <f t="shared" si="31"/>
        <v>145</v>
      </c>
      <c r="O143" s="145">
        <f t="shared" si="31"/>
        <v>145</v>
      </c>
      <c r="P143" s="145">
        <f t="shared" si="31"/>
        <v>145</v>
      </c>
      <c r="Q143" s="145">
        <f t="shared" si="31"/>
        <v>145</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235</v>
      </c>
      <c r="D146" s="115">
        <f t="shared" ref="D146:R146" si="32">SUM(D86:D88)</f>
        <v>0</v>
      </c>
      <c r="E146" s="115">
        <f t="shared" si="32"/>
        <v>42.769230769230774</v>
      </c>
      <c r="F146" s="115">
        <f t="shared" si="32"/>
        <v>338.31588019823317</v>
      </c>
      <c r="G146" s="115">
        <f t="shared" si="32"/>
        <v>289.84615384615381</v>
      </c>
      <c r="H146" s="115">
        <f t="shared" si="32"/>
        <v>243.73333333333332</v>
      </c>
      <c r="I146" s="115">
        <f t="shared" si="32"/>
        <v>193.64</v>
      </c>
      <c r="J146" s="115">
        <f t="shared" si="32"/>
        <v>408.41126999157984</v>
      </c>
      <c r="K146" s="115">
        <f t="shared" si="32"/>
        <v>441.74460332491321</v>
      </c>
      <c r="L146" s="115">
        <f t="shared" si="32"/>
        <v>441.74460332491321</v>
      </c>
      <c r="M146" s="115">
        <f t="shared" si="32"/>
        <v>368.12050277076099</v>
      </c>
      <c r="N146" s="115">
        <f t="shared" si="32"/>
        <v>368.12050277076099</v>
      </c>
      <c r="O146" s="115">
        <f t="shared" si="32"/>
        <v>368.12050277076099</v>
      </c>
      <c r="P146" s="115">
        <f t="shared" si="32"/>
        <v>368.12050277076099</v>
      </c>
      <c r="Q146" s="115">
        <f t="shared" si="32"/>
        <v>368.12050277076099</v>
      </c>
      <c r="R146" s="115">
        <f t="shared" si="32"/>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Y1" workbookViewId="0">
      <pane ySplit="5" topLeftCell="A6" activePane="bottomLeft" state="frozen"/>
      <selection pane="bottomLeft" activeCell="AI32" sqref="AI32"/>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97</v>
      </c>
      <c r="AA4" s="13" t="s">
        <v>85</v>
      </c>
    </row>
    <row r="5" spans="1:100" s="2" customFormat="1" ht="36.65" customHeight="1" thickTop="1" thickBot="1" x14ac:dyDescent="0.4">
      <c r="A5" s="18"/>
      <c r="B5" s="24" t="s">
        <v>85</v>
      </c>
      <c r="C5" s="11" t="s">
        <v>92</v>
      </c>
      <c r="D5" s="5" t="s">
        <v>84</v>
      </c>
      <c r="E5" s="5" t="s">
        <v>86</v>
      </c>
      <c r="F5" s="5" t="s">
        <v>93</v>
      </c>
      <c r="G5" s="5" t="s">
        <v>94</v>
      </c>
      <c r="H5" s="5" t="s">
        <v>95</v>
      </c>
      <c r="I5" s="5" t="s">
        <v>87</v>
      </c>
      <c r="J5" s="5" t="s">
        <v>98</v>
      </c>
      <c r="K5" s="5" t="s">
        <v>99</v>
      </c>
      <c r="L5" s="5" t="s">
        <v>88</v>
      </c>
      <c r="M5" s="5" t="s">
        <v>89</v>
      </c>
      <c r="N5" s="5" t="s">
        <v>90</v>
      </c>
      <c r="O5" s="5" t="s">
        <v>102</v>
      </c>
      <c r="P5" s="5" t="s">
        <v>76</v>
      </c>
      <c r="Q5" s="5" t="s">
        <v>77</v>
      </c>
      <c r="R5" s="5" t="s">
        <v>78</v>
      </c>
      <c r="S5" s="5" t="s">
        <v>79</v>
      </c>
      <c r="T5" s="5" t="s">
        <v>80</v>
      </c>
      <c r="U5" s="5" t="s">
        <v>81</v>
      </c>
      <c r="V5" s="5" t="s">
        <v>82</v>
      </c>
      <c r="W5" s="5" t="s">
        <v>83</v>
      </c>
      <c r="X5" s="18"/>
      <c r="Z5" s="37" t="s">
        <v>103</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265</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251</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347</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346</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103</v>
      </c>
      <c r="C6" s="40"/>
      <c r="D6" s="41"/>
      <c r="E6" s="41"/>
      <c r="F6" s="41"/>
      <c r="G6" s="41"/>
      <c r="H6" s="42"/>
      <c r="I6" s="41"/>
      <c r="J6" s="41"/>
      <c r="K6" s="41"/>
      <c r="L6" s="41"/>
      <c r="M6" s="41"/>
      <c r="N6" s="41"/>
      <c r="O6" s="41"/>
      <c r="P6" s="41"/>
      <c r="Q6" s="41"/>
      <c r="R6" s="41"/>
      <c r="S6" s="41"/>
      <c r="T6" s="41"/>
      <c r="U6" s="41"/>
      <c r="V6" s="41"/>
      <c r="W6" s="41"/>
      <c r="X6" s="41"/>
      <c r="Z6" s="146" t="s">
        <v>92</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92</v>
      </c>
      <c r="AP6" s="39"/>
      <c r="AQ6" s="39"/>
      <c r="AR6" s="39"/>
      <c r="AS6" s="39"/>
      <c r="AT6" s="39"/>
      <c r="AU6" s="39"/>
      <c r="AV6" s="39"/>
      <c r="AW6" s="39"/>
      <c r="AX6" s="39"/>
      <c r="AY6" s="39"/>
      <c r="AZ6" s="39"/>
      <c r="BA6" s="39"/>
      <c r="BB6" s="39"/>
      <c r="BC6" s="39"/>
      <c r="BD6" s="146" t="s">
        <v>92</v>
      </c>
      <c r="BE6" s="39"/>
      <c r="BF6" s="39"/>
      <c r="BG6" s="39"/>
      <c r="BH6" s="39"/>
      <c r="BI6" s="39"/>
      <c r="BJ6" s="39"/>
      <c r="BK6" s="39"/>
      <c r="BL6" s="39"/>
      <c r="BM6" s="39"/>
      <c r="BN6" s="39"/>
      <c r="BO6" s="39"/>
      <c r="BP6" s="39"/>
      <c r="BQ6" s="39"/>
      <c r="BR6" s="39"/>
      <c r="BS6" s="146" t="s">
        <v>92</v>
      </c>
      <c r="BT6" s="60"/>
      <c r="BU6" s="60"/>
      <c r="BV6" s="60"/>
      <c r="BW6" s="60"/>
      <c r="BX6" s="60"/>
      <c r="BY6" s="60"/>
      <c r="BZ6" s="60"/>
      <c r="CA6" s="60"/>
      <c r="CB6" s="60"/>
      <c r="CC6" s="60"/>
      <c r="CD6" s="60"/>
      <c r="CE6" s="60"/>
      <c r="CF6" s="60"/>
      <c r="CG6" s="60"/>
      <c r="CH6" s="146" t="s">
        <v>92</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84</v>
      </c>
      <c r="AA7" s="39">
        <v>0</v>
      </c>
      <c r="AB7" s="39">
        <v>2</v>
      </c>
      <c r="AC7" s="39">
        <v>6</v>
      </c>
      <c r="AD7" s="39">
        <v>5</v>
      </c>
      <c r="AE7" s="39">
        <v>5</v>
      </c>
      <c r="AF7" s="39">
        <v>2</v>
      </c>
      <c r="AG7" s="39">
        <v>3</v>
      </c>
      <c r="AH7" s="39">
        <v>0</v>
      </c>
      <c r="AI7" s="39">
        <v>2</v>
      </c>
      <c r="AJ7" s="39">
        <v>0</v>
      </c>
      <c r="AK7" s="39">
        <v>1</v>
      </c>
      <c r="AL7" s="39">
        <v>0</v>
      </c>
      <c r="AM7" s="39">
        <v>0</v>
      </c>
      <c r="AN7" s="39">
        <v>0</v>
      </c>
      <c r="AO7" s="13" t="s">
        <v>84</v>
      </c>
      <c r="AP7" s="39">
        <v>0</v>
      </c>
      <c r="AQ7" s="39">
        <v>0</v>
      </c>
      <c r="AR7" s="39">
        <v>0</v>
      </c>
      <c r="AS7" s="39">
        <v>0</v>
      </c>
      <c r="AT7" s="39">
        <v>1</v>
      </c>
      <c r="AU7" s="39">
        <v>1</v>
      </c>
      <c r="AV7" s="39">
        <v>4</v>
      </c>
      <c r="AW7" s="39">
        <v>3</v>
      </c>
      <c r="AX7" s="39">
        <v>4</v>
      </c>
      <c r="AY7" s="39">
        <v>2</v>
      </c>
      <c r="AZ7" s="39">
        <v>2</v>
      </c>
      <c r="BA7" s="39">
        <v>1</v>
      </c>
      <c r="BB7" s="39">
        <v>2</v>
      </c>
      <c r="BC7" s="39">
        <v>1</v>
      </c>
      <c r="BD7" s="13" t="s">
        <v>84</v>
      </c>
      <c r="BE7" s="39">
        <v>0</v>
      </c>
      <c r="BF7" s="39">
        <v>0</v>
      </c>
      <c r="BG7" s="39">
        <v>0</v>
      </c>
      <c r="BH7" s="39">
        <v>0</v>
      </c>
      <c r="BI7" s="39">
        <v>0</v>
      </c>
      <c r="BJ7" s="39">
        <v>0</v>
      </c>
      <c r="BK7" s="39">
        <v>1</v>
      </c>
      <c r="BL7" s="39">
        <v>2</v>
      </c>
      <c r="BM7" s="39">
        <v>2</v>
      </c>
      <c r="BN7" s="39">
        <v>2</v>
      </c>
      <c r="BO7" s="39">
        <v>1</v>
      </c>
      <c r="BP7" s="39">
        <v>1</v>
      </c>
      <c r="BQ7" s="39">
        <v>0</v>
      </c>
      <c r="BR7" s="39">
        <v>0</v>
      </c>
      <c r="BS7" s="13" t="s">
        <v>84</v>
      </c>
      <c r="BT7" s="39">
        <v>0</v>
      </c>
      <c r="BU7" s="39">
        <v>0</v>
      </c>
      <c r="BV7" s="39">
        <v>0</v>
      </c>
      <c r="BW7" s="39">
        <v>0</v>
      </c>
      <c r="BX7" s="39">
        <v>0</v>
      </c>
      <c r="BY7" s="39">
        <v>0</v>
      </c>
      <c r="BZ7" s="39">
        <v>0</v>
      </c>
      <c r="CA7" s="39">
        <v>0</v>
      </c>
      <c r="CB7" s="39">
        <v>0</v>
      </c>
      <c r="CC7" s="39">
        <v>1</v>
      </c>
      <c r="CD7" s="39">
        <v>2</v>
      </c>
      <c r="CE7" s="39">
        <v>2</v>
      </c>
      <c r="CF7" s="39">
        <v>1</v>
      </c>
      <c r="CG7" s="39">
        <v>0</v>
      </c>
      <c r="CH7" s="13" t="s">
        <v>84</v>
      </c>
      <c r="CI7" s="39">
        <v>0</v>
      </c>
      <c r="CJ7" s="39">
        <v>0</v>
      </c>
      <c r="CK7" s="39">
        <v>0</v>
      </c>
      <c r="CL7" s="39">
        <v>0</v>
      </c>
      <c r="CM7" s="39">
        <v>0</v>
      </c>
      <c r="CN7" s="39">
        <v>0</v>
      </c>
      <c r="CO7" s="39">
        <v>0</v>
      </c>
      <c r="CP7" s="39">
        <v>0</v>
      </c>
      <c r="CQ7" s="39">
        <v>0</v>
      </c>
      <c r="CR7" s="39">
        <v>2</v>
      </c>
      <c r="CS7" s="39">
        <v>1</v>
      </c>
      <c r="CT7" s="39">
        <v>3</v>
      </c>
      <c r="CU7" s="39">
        <v>2</v>
      </c>
      <c r="CV7" s="39">
        <v>4</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86</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86</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86</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86</v>
      </c>
      <c r="BT8" s="39">
        <v>0</v>
      </c>
      <c r="BU8" s="39">
        <v>0</v>
      </c>
      <c r="BV8" s="39">
        <v>0</v>
      </c>
      <c r="BW8" s="39">
        <v>0</v>
      </c>
      <c r="BX8" s="39">
        <v>0</v>
      </c>
      <c r="BY8" s="39">
        <v>0</v>
      </c>
      <c r="BZ8" s="39">
        <v>0</v>
      </c>
      <c r="CA8" s="39">
        <v>0</v>
      </c>
      <c r="CB8" s="39">
        <v>0</v>
      </c>
      <c r="CC8" s="39">
        <v>1500</v>
      </c>
      <c r="CD8" s="39">
        <v>2000</v>
      </c>
      <c r="CE8" s="39">
        <v>2500</v>
      </c>
      <c r="CF8" s="39">
        <v>1000</v>
      </c>
      <c r="CG8" s="39">
        <v>0</v>
      </c>
      <c r="CH8" s="147" t="s">
        <v>86</v>
      </c>
      <c r="CI8" s="39">
        <v>0</v>
      </c>
      <c r="CJ8" s="39">
        <v>0</v>
      </c>
      <c r="CK8" s="39">
        <v>0</v>
      </c>
      <c r="CL8" s="39">
        <v>0</v>
      </c>
      <c r="CM8" s="39">
        <v>0</v>
      </c>
      <c r="CN8" s="39">
        <v>0</v>
      </c>
      <c r="CO8" s="39">
        <v>0</v>
      </c>
      <c r="CP8" s="39">
        <v>0</v>
      </c>
      <c r="CQ8" s="39">
        <v>0</v>
      </c>
      <c r="CR8" s="39">
        <v>1644</v>
      </c>
      <c r="CS8" s="39">
        <v>500</v>
      </c>
      <c r="CT8" s="39">
        <v>3200</v>
      </c>
      <c r="CU8" s="39">
        <v>2500</v>
      </c>
      <c r="CV8" s="39">
        <v>4500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93</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93</v>
      </c>
      <c r="AP9" s="60">
        <v>0</v>
      </c>
      <c r="AQ9" s="60">
        <v>0</v>
      </c>
      <c r="AR9" s="60">
        <v>0</v>
      </c>
      <c r="AS9" s="60">
        <v>0</v>
      </c>
      <c r="AT9" s="60">
        <v>50.666666666666664</v>
      </c>
      <c r="AU9" s="60">
        <v>0</v>
      </c>
      <c r="AV9" s="60">
        <v>0</v>
      </c>
      <c r="AW9" s="60">
        <v>0</v>
      </c>
      <c r="AX9" s="60">
        <v>0</v>
      </c>
      <c r="AY9" s="60">
        <v>0</v>
      </c>
      <c r="AZ9" s="60">
        <v>0</v>
      </c>
      <c r="BA9" s="60">
        <v>0</v>
      </c>
      <c r="BB9" s="60">
        <v>0</v>
      </c>
      <c r="BC9" s="60">
        <v>0</v>
      </c>
      <c r="BD9" s="147" t="s">
        <v>93</v>
      </c>
      <c r="BE9" s="39">
        <v>0</v>
      </c>
      <c r="BF9" s="39">
        <v>0</v>
      </c>
      <c r="BG9" s="39">
        <v>0</v>
      </c>
      <c r="BH9" s="39">
        <v>0</v>
      </c>
      <c r="BI9" s="39">
        <v>0</v>
      </c>
      <c r="BJ9" s="39">
        <v>0</v>
      </c>
      <c r="BK9" s="39">
        <v>0</v>
      </c>
      <c r="BL9" s="39">
        <v>0</v>
      </c>
      <c r="BM9" s="39">
        <v>0</v>
      </c>
      <c r="BN9" s="39">
        <v>0</v>
      </c>
      <c r="BO9" s="39">
        <v>0</v>
      </c>
      <c r="BP9" s="39">
        <v>0</v>
      </c>
      <c r="BQ9" s="39">
        <v>0</v>
      </c>
      <c r="BR9" s="39">
        <v>0</v>
      </c>
      <c r="BS9" s="147" t="s">
        <v>93</v>
      </c>
      <c r="BT9" s="39">
        <v>0</v>
      </c>
      <c r="BU9" s="39">
        <v>0</v>
      </c>
      <c r="BV9" s="39">
        <v>0</v>
      </c>
      <c r="BW9" s="39">
        <v>0</v>
      </c>
      <c r="BX9" s="39">
        <v>0</v>
      </c>
      <c r="BY9" s="39">
        <v>0</v>
      </c>
      <c r="BZ9" s="39">
        <v>0</v>
      </c>
      <c r="CA9" s="39">
        <v>0</v>
      </c>
      <c r="CB9" s="39">
        <v>0</v>
      </c>
      <c r="CC9" s="39">
        <v>0</v>
      </c>
      <c r="CD9" s="39">
        <v>0</v>
      </c>
      <c r="CE9" s="39">
        <v>0</v>
      </c>
      <c r="CF9" s="39">
        <v>0</v>
      </c>
      <c r="CG9" s="39">
        <v>0</v>
      </c>
      <c r="CH9" s="147" t="s">
        <v>93</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94</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94</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94</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94</v>
      </c>
      <c r="BT10" s="39">
        <v>0</v>
      </c>
      <c r="BU10" s="39">
        <v>0</v>
      </c>
      <c r="BV10" s="39">
        <v>0</v>
      </c>
      <c r="BW10" s="39">
        <v>0</v>
      </c>
      <c r="BX10" s="39">
        <v>0</v>
      </c>
      <c r="BY10" s="39">
        <v>0</v>
      </c>
      <c r="BZ10" s="39">
        <v>0</v>
      </c>
      <c r="CA10" s="39">
        <v>0</v>
      </c>
      <c r="CB10" s="39">
        <v>0</v>
      </c>
      <c r="CC10" s="39">
        <v>0</v>
      </c>
      <c r="CD10" s="39">
        <v>0</v>
      </c>
      <c r="CE10" s="39">
        <v>0</v>
      </c>
      <c r="CF10" s="39">
        <v>0</v>
      </c>
      <c r="CG10" s="39">
        <v>0</v>
      </c>
      <c r="CH10" s="148" t="s">
        <v>94</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95</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95</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95</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95</v>
      </c>
      <c r="BT11" s="39">
        <v>0</v>
      </c>
      <c r="BU11" s="39">
        <v>0</v>
      </c>
      <c r="BV11" s="39">
        <v>0</v>
      </c>
      <c r="BW11" s="39">
        <v>0</v>
      </c>
      <c r="BX11" s="39">
        <v>0</v>
      </c>
      <c r="BY11" s="39">
        <v>0</v>
      </c>
      <c r="BZ11" s="39">
        <v>0</v>
      </c>
      <c r="CA11" s="39">
        <v>0</v>
      </c>
      <c r="CB11" s="39">
        <v>0</v>
      </c>
      <c r="CC11" s="39">
        <v>83.333333333333329</v>
      </c>
      <c r="CD11" s="39">
        <v>111.11111111111111</v>
      </c>
      <c r="CE11" s="39">
        <v>138.88888888888889</v>
      </c>
      <c r="CF11" s="39">
        <v>55.555555555555557</v>
      </c>
      <c r="CG11" s="39">
        <v>0</v>
      </c>
      <c r="CH11" s="149" t="s">
        <v>95</v>
      </c>
      <c r="CI11" s="39">
        <v>0</v>
      </c>
      <c r="CJ11" s="39">
        <v>0</v>
      </c>
      <c r="CK11" s="39">
        <v>0</v>
      </c>
      <c r="CL11" s="39">
        <v>0</v>
      </c>
      <c r="CM11" s="39">
        <v>0</v>
      </c>
      <c r="CN11" s="39">
        <v>0</v>
      </c>
      <c r="CO11" s="39">
        <v>0</v>
      </c>
      <c r="CP11" s="39">
        <v>0</v>
      </c>
      <c r="CQ11" s="39">
        <v>0</v>
      </c>
      <c r="CR11" s="39">
        <v>91.333333333333329</v>
      </c>
      <c r="CS11" s="39">
        <v>27.777777777777779</v>
      </c>
      <c r="CT11" s="39">
        <v>177.77777777777777</v>
      </c>
      <c r="CU11" s="39">
        <v>138.88888888888889</v>
      </c>
      <c r="CV11" s="39">
        <v>250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87</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87</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87</v>
      </c>
      <c r="BE12" s="39">
        <v>0</v>
      </c>
      <c r="BF12" s="39">
        <v>0</v>
      </c>
      <c r="BG12" s="39">
        <v>0</v>
      </c>
      <c r="BH12" s="39">
        <v>0</v>
      </c>
      <c r="BI12" s="39">
        <v>0</v>
      </c>
      <c r="BJ12" s="39">
        <v>0</v>
      </c>
      <c r="BK12" s="39">
        <v>15</v>
      </c>
      <c r="BL12" s="39">
        <v>15</v>
      </c>
      <c r="BM12" s="39">
        <v>15</v>
      </c>
      <c r="BN12" s="39">
        <v>18</v>
      </c>
      <c r="BO12" s="39">
        <v>18</v>
      </c>
      <c r="BP12" s="39">
        <v>18</v>
      </c>
      <c r="BQ12" s="39">
        <v>0</v>
      </c>
      <c r="BR12" s="39">
        <v>0</v>
      </c>
      <c r="BS12" s="149" t="s">
        <v>87</v>
      </c>
      <c r="BT12" s="39">
        <v>0</v>
      </c>
      <c r="BU12" s="39">
        <v>0</v>
      </c>
      <c r="BV12" s="39">
        <v>0</v>
      </c>
      <c r="BW12" s="39">
        <v>0</v>
      </c>
      <c r="BX12" s="39">
        <v>0</v>
      </c>
      <c r="BY12" s="39">
        <v>0</v>
      </c>
      <c r="BZ12" s="39">
        <v>0</v>
      </c>
      <c r="CA12" s="39">
        <v>0</v>
      </c>
      <c r="CB12" s="39">
        <v>0</v>
      </c>
      <c r="CC12" s="39">
        <v>18</v>
      </c>
      <c r="CD12" s="39">
        <v>18</v>
      </c>
      <c r="CE12" s="39">
        <v>18</v>
      </c>
      <c r="CF12" s="39">
        <v>18</v>
      </c>
      <c r="CG12" s="39">
        <v>0</v>
      </c>
      <c r="CH12" s="149" t="s">
        <v>87</v>
      </c>
      <c r="CI12" s="39">
        <v>0</v>
      </c>
      <c r="CJ12" s="39">
        <v>0</v>
      </c>
      <c r="CK12" s="39">
        <v>0</v>
      </c>
      <c r="CL12" s="39">
        <v>0</v>
      </c>
      <c r="CM12" s="39">
        <v>0</v>
      </c>
      <c r="CN12" s="39">
        <v>0</v>
      </c>
      <c r="CO12" s="39">
        <v>0</v>
      </c>
      <c r="CP12" s="39">
        <v>0</v>
      </c>
      <c r="CQ12" s="39">
        <v>0</v>
      </c>
      <c r="CR12" s="39">
        <v>18</v>
      </c>
      <c r="CS12" s="39">
        <v>18</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98</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98</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98</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98</v>
      </c>
      <c r="BT13" s="39">
        <v>0</v>
      </c>
      <c r="BU13" s="39">
        <v>0</v>
      </c>
      <c r="BV13" s="39">
        <v>0</v>
      </c>
      <c r="BW13" s="39">
        <v>0</v>
      </c>
      <c r="BX13" s="39">
        <v>0</v>
      </c>
      <c r="BY13" s="39">
        <v>0</v>
      </c>
      <c r="BZ13" s="39">
        <v>0</v>
      </c>
      <c r="CA13" s="39">
        <v>0</v>
      </c>
      <c r="CB13" s="39">
        <v>0</v>
      </c>
      <c r="CC13" s="39">
        <v>20</v>
      </c>
      <c r="CD13" s="39">
        <v>20</v>
      </c>
      <c r="CE13" s="39">
        <v>20</v>
      </c>
      <c r="CF13" s="39">
        <v>20</v>
      </c>
      <c r="CG13" s="39">
        <v>0</v>
      </c>
      <c r="CH13" s="150" t="s">
        <v>98</v>
      </c>
      <c r="CI13" s="39">
        <v>0</v>
      </c>
      <c r="CJ13" s="39">
        <v>0</v>
      </c>
      <c r="CK13" s="39">
        <v>0</v>
      </c>
      <c r="CL13" s="39">
        <v>0</v>
      </c>
      <c r="CM13" s="39">
        <v>0</v>
      </c>
      <c r="CN13" s="39">
        <v>0</v>
      </c>
      <c r="CO13" s="39">
        <v>0</v>
      </c>
      <c r="CP13" s="39">
        <v>0</v>
      </c>
      <c r="CQ13" s="39">
        <v>0</v>
      </c>
      <c r="CR13" s="39">
        <v>300</v>
      </c>
      <c r="CS13" s="39">
        <v>600</v>
      </c>
      <c r="CT13" s="39">
        <v>366.66666666666669</v>
      </c>
      <c r="CU13" s="39">
        <v>60</v>
      </c>
      <c r="CV13" s="39">
        <v>400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99</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99</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99</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99</v>
      </c>
      <c r="BT14" s="39">
        <v>0</v>
      </c>
      <c r="BU14" s="39">
        <v>0</v>
      </c>
      <c r="BV14" s="39">
        <v>0</v>
      </c>
      <c r="BW14" s="39">
        <v>0</v>
      </c>
      <c r="BX14" s="39">
        <v>0</v>
      </c>
      <c r="BY14" s="39">
        <v>0</v>
      </c>
      <c r="BZ14" s="39">
        <v>0</v>
      </c>
      <c r="CA14" s="39">
        <v>0</v>
      </c>
      <c r="CB14" s="39">
        <v>0</v>
      </c>
      <c r="CC14" s="39">
        <v>34</v>
      </c>
      <c r="CD14" s="39">
        <v>34</v>
      </c>
      <c r="CE14" s="39">
        <v>34</v>
      </c>
      <c r="CF14" s="39">
        <v>34</v>
      </c>
      <c r="CG14" s="39">
        <v>0</v>
      </c>
      <c r="CH14" s="149" t="s">
        <v>99</v>
      </c>
      <c r="CI14" s="39">
        <v>0</v>
      </c>
      <c r="CJ14" s="39">
        <v>0</v>
      </c>
      <c r="CK14" s="39">
        <v>0</v>
      </c>
      <c r="CL14" s="39">
        <v>0</v>
      </c>
      <c r="CM14" s="39">
        <v>0</v>
      </c>
      <c r="CN14" s="39">
        <v>0</v>
      </c>
      <c r="CO14" s="39">
        <v>0</v>
      </c>
      <c r="CP14" s="39">
        <v>0</v>
      </c>
      <c r="CQ14" s="39">
        <v>0</v>
      </c>
      <c r="CR14" s="39">
        <v>750</v>
      </c>
      <c r="CS14" s="39">
        <v>1000</v>
      </c>
      <c r="CT14" s="39">
        <v>900</v>
      </c>
      <c r="CU14" s="39">
        <v>350</v>
      </c>
      <c r="CV14" s="39">
        <v>1275</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88</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88</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260</v>
      </c>
      <c r="BE15" s="39">
        <v>0</v>
      </c>
      <c r="BF15" s="39">
        <v>0</v>
      </c>
      <c r="BG15" s="39">
        <v>0</v>
      </c>
      <c r="BH15" s="39">
        <v>0</v>
      </c>
      <c r="BI15" s="39">
        <v>0</v>
      </c>
      <c r="BJ15" s="39">
        <v>0</v>
      </c>
      <c r="BK15" s="39">
        <v>0</v>
      </c>
      <c r="BL15" s="39">
        <v>0</v>
      </c>
      <c r="BM15" s="39">
        <v>0</v>
      </c>
      <c r="BN15" s="39">
        <v>0</v>
      </c>
      <c r="BO15" s="39">
        <v>0</v>
      </c>
      <c r="BP15" s="39">
        <v>0</v>
      </c>
      <c r="BQ15" s="39">
        <v>0</v>
      </c>
      <c r="BR15" s="39">
        <v>0</v>
      </c>
      <c r="BS15" s="149" t="s">
        <v>88</v>
      </c>
      <c r="BT15" s="39">
        <v>0</v>
      </c>
      <c r="BU15" s="39">
        <v>0</v>
      </c>
      <c r="BV15" s="39">
        <v>0</v>
      </c>
      <c r="BW15" s="39">
        <v>0</v>
      </c>
      <c r="BX15" s="39">
        <v>0</v>
      </c>
      <c r="BY15" s="39">
        <v>0</v>
      </c>
      <c r="BZ15" s="39">
        <v>0</v>
      </c>
      <c r="CA15" s="39">
        <v>0</v>
      </c>
      <c r="CB15" s="39">
        <v>0</v>
      </c>
      <c r="CC15" s="39">
        <v>58.333333333333329</v>
      </c>
      <c r="CD15" s="39">
        <v>77.777777777777771</v>
      </c>
      <c r="CE15" s="39">
        <v>97.222222222222214</v>
      </c>
      <c r="CF15" s="39">
        <v>38.888888888888886</v>
      </c>
      <c r="CG15" s="39">
        <v>0</v>
      </c>
      <c r="CH15" s="149" t="s">
        <v>260</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100</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100</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261</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100</v>
      </c>
      <c r="BT16" s="39">
        <v>0</v>
      </c>
      <c r="BU16" s="39">
        <v>0</v>
      </c>
      <c r="BV16" s="39">
        <v>0</v>
      </c>
      <c r="BW16" s="39">
        <v>0</v>
      </c>
      <c r="BX16" s="39">
        <v>0</v>
      </c>
      <c r="BY16" s="39">
        <v>0</v>
      </c>
      <c r="BZ16" s="39">
        <v>0</v>
      </c>
      <c r="CA16" s="39">
        <v>0</v>
      </c>
      <c r="CB16" s="39">
        <v>0</v>
      </c>
      <c r="CC16" s="39">
        <v>12.499999999999998</v>
      </c>
      <c r="CD16" s="39">
        <v>16.666666666666668</v>
      </c>
      <c r="CE16" s="39">
        <v>20.833333333333332</v>
      </c>
      <c r="CF16" s="39">
        <v>8.3333333333333339</v>
      </c>
      <c r="CG16" s="39">
        <v>0</v>
      </c>
      <c r="CH16" s="149" t="s">
        <v>261</v>
      </c>
      <c r="CI16" s="39">
        <v>0</v>
      </c>
      <c r="CJ16" s="39">
        <v>0</v>
      </c>
      <c r="CK16" s="39">
        <v>0</v>
      </c>
      <c r="CL16" s="39">
        <v>0</v>
      </c>
      <c r="CM16" s="39">
        <v>0</v>
      </c>
      <c r="CN16" s="39">
        <v>0</v>
      </c>
      <c r="CO16" s="39">
        <v>0</v>
      </c>
      <c r="CP16" s="39">
        <v>0</v>
      </c>
      <c r="CQ16" s="39">
        <v>0</v>
      </c>
      <c r="CR16" s="39">
        <v>91.333333333333329</v>
      </c>
      <c r="CS16" s="39">
        <v>27.777777777777779</v>
      </c>
      <c r="CT16" s="39">
        <v>177.77777777777777</v>
      </c>
      <c r="CU16" s="39">
        <v>138.88888888888889</v>
      </c>
      <c r="CV16" s="39">
        <v>250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101</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101</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262</v>
      </c>
      <c r="BE17" s="39">
        <v>0</v>
      </c>
      <c r="BF17" s="39">
        <v>0</v>
      </c>
      <c r="BG17" s="39">
        <v>0</v>
      </c>
      <c r="BH17" s="39">
        <v>0</v>
      </c>
      <c r="BI17" s="39">
        <v>0</v>
      </c>
      <c r="BJ17" s="39">
        <v>0</v>
      </c>
      <c r="BK17" s="39">
        <v>0</v>
      </c>
      <c r="BL17" s="39">
        <v>0</v>
      </c>
      <c r="BM17" s="39">
        <v>0</v>
      </c>
      <c r="BN17" s="39">
        <v>0</v>
      </c>
      <c r="BO17" s="39">
        <v>0</v>
      </c>
      <c r="BP17" s="39">
        <v>0</v>
      </c>
      <c r="BQ17" s="39">
        <v>0</v>
      </c>
      <c r="BR17" s="39">
        <v>0</v>
      </c>
      <c r="BS17" s="149" t="s">
        <v>101</v>
      </c>
      <c r="BT17" s="39">
        <v>0</v>
      </c>
      <c r="BU17" s="39">
        <v>0</v>
      </c>
      <c r="BV17" s="39">
        <v>0</v>
      </c>
      <c r="BW17" s="39">
        <v>0</v>
      </c>
      <c r="BX17" s="39">
        <v>0</v>
      </c>
      <c r="BY17" s="39">
        <v>0</v>
      </c>
      <c r="BZ17" s="39">
        <v>0</v>
      </c>
      <c r="CA17" s="39">
        <v>0</v>
      </c>
      <c r="CB17" s="39">
        <v>0</v>
      </c>
      <c r="CC17" s="39">
        <v>12.499999999999998</v>
      </c>
      <c r="CD17" s="39">
        <v>16.666666666666668</v>
      </c>
      <c r="CE17" s="39">
        <v>20.833333333333332</v>
      </c>
      <c r="CF17" s="39">
        <v>8.3333333333333339</v>
      </c>
      <c r="CG17" s="39">
        <v>0</v>
      </c>
      <c r="CH17" s="149" t="s">
        <v>262</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102</v>
      </c>
      <c r="AA18" s="88">
        <v>0</v>
      </c>
      <c r="AB18" s="88">
        <v>2</v>
      </c>
      <c r="AC18" s="88">
        <v>10</v>
      </c>
      <c r="AD18" s="88">
        <v>9</v>
      </c>
      <c r="AE18" s="88">
        <v>6</v>
      </c>
      <c r="AF18" s="88">
        <v>4</v>
      </c>
      <c r="AG18" s="88">
        <v>4</v>
      </c>
      <c r="AH18" s="88">
        <v>0</v>
      </c>
      <c r="AI18" s="88">
        <v>6</v>
      </c>
      <c r="AJ18" s="88">
        <v>0</v>
      </c>
      <c r="AK18" s="88">
        <v>1</v>
      </c>
      <c r="AL18" s="88">
        <v>0</v>
      </c>
      <c r="AM18" s="88">
        <v>0</v>
      </c>
      <c r="AN18" s="88">
        <v>0</v>
      </c>
      <c r="AO18" s="149" t="s">
        <v>102</v>
      </c>
      <c r="AP18" s="88">
        <v>0</v>
      </c>
      <c r="AQ18" s="88">
        <v>0</v>
      </c>
      <c r="AR18" s="88">
        <v>0</v>
      </c>
      <c r="AS18" s="88">
        <v>0</v>
      </c>
      <c r="AT18" s="88">
        <v>1</v>
      </c>
      <c r="AU18" s="88">
        <v>1</v>
      </c>
      <c r="AV18" s="88">
        <v>4</v>
      </c>
      <c r="AW18" s="88">
        <v>5</v>
      </c>
      <c r="AX18" s="88">
        <v>5</v>
      </c>
      <c r="AY18" s="88">
        <v>1</v>
      </c>
      <c r="AZ18" s="88">
        <v>5</v>
      </c>
      <c r="BA18" s="88">
        <v>2</v>
      </c>
      <c r="BB18" s="88">
        <v>3</v>
      </c>
      <c r="BC18" s="88">
        <v>2</v>
      </c>
      <c r="BD18" s="149" t="s">
        <v>263</v>
      </c>
      <c r="BE18" s="39">
        <v>0</v>
      </c>
      <c r="BF18" s="39">
        <v>0</v>
      </c>
      <c r="BG18" s="39">
        <v>0</v>
      </c>
      <c r="BH18" s="39">
        <v>0</v>
      </c>
      <c r="BI18" s="39">
        <v>0</v>
      </c>
      <c r="BJ18" s="39">
        <v>0</v>
      </c>
      <c r="BK18" s="39">
        <v>1</v>
      </c>
      <c r="BL18" s="39">
        <v>2</v>
      </c>
      <c r="BM18" s="39">
        <v>2</v>
      </c>
      <c r="BN18" s="39">
        <v>2</v>
      </c>
      <c r="BO18" s="39">
        <v>1</v>
      </c>
      <c r="BP18" s="39">
        <v>1</v>
      </c>
      <c r="BQ18" s="39">
        <v>0</v>
      </c>
      <c r="BR18" s="39">
        <v>0</v>
      </c>
      <c r="BS18" s="149" t="s">
        <v>102</v>
      </c>
      <c r="BT18" s="39">
        <v>0</v>
      </c>
      <c r="BU18" s="39">
        <v>0</v>
      </c>
      <c r="BV18" s="39">
        <v>0</v>
      </c>
      <c r="BW18" s="39">
        <v>0</v>
      </c>
      <c r="BX18" s="39">
        <v>0</v>
      </c>
      <c r="BY18" s="39">
        <v>0</v>
      </c>
      <c r="BZ18" s="39">
        <v>0</v>
      </c>
      <c r="CA18" s="39">
        <v>0</v>
      </c>
      <c r="CB18" s="39">
        <v>0</v>
      </c>
      <c r="CC18" s="39">
        <v>2</v>
      </c>
      <c r="CD18" s="39">
        <v>4</v>
      </c>
      <c r="CE18" s="39">
        <v>4</v>
      </c>
      <c r="CF18" s="39">
        <v>2</v>
      </c>
      <c r="CG18" s="39">
        <v>0</v>
      </c>
      <c r="CH18" s="149" t="s">
        <v>263</v>
      </c>
      <c r="CI18" s="39">
        <v>0</v>
      </c>
      <c r="CJ18" s="39">
        <v>0</v>
      </c>
      <c r="CK18" s="39">
        <v>0</v>
      </c>
      <c r="CL18" s="39">
        <v>0</v>
      </c>
      <c r="CM18" s="39">
        <v>0</v>
      </c>
      <c r="CN18" s="39">
        <v>0</v>
      </c>
      <c r="CO18" s="39">
        <v>0</v>
      </c>
      <c r="CP18" s="39">
        <v>0</v>
      </c>
      <c r="CQ18" s="39">
        <v>0</v>
      </c>
      <c r="CR18" s="39">
        <v>3</v>
      </c>
      <c r="CS18" s="39">
        <v>1</v>
      </c>
      <c r="CT18" s="39">
        <v>6</v>
      </c>
      <c r="CU18" s="39">
        <v>4</v>
      </c>
      <c r="CV18" s="39">
        <v>8</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76</v>
      </c>
      <c r="AA19" s="88">
        <v>0</v>
      </c>
      <c r="AB19" s="88">
        <v>2</v>
      </c>
      <c r="AC19" s="88">
        <v>10</v>
      </c>
      <c r="AD19" s="88">
        <v>6</v>
      </c>
      <c r="AE19" s="88">
        <v>6</v>
      </c>
      <c r="AF19" s="88">
        <v>4</v>
      </c>
      <c r="AG19" s="88">
        <v>4</v>
      </c>
      <c r="AH19" s="88">
        <v>0</v>
      </c>
      <c r="AI19" s="88">
        <v>3</v>
      </c>
      <c r="AJ19" s="88">
        <v>0</v>
      </c>
      <c r="AK19" s="88">
        <v>1</v>
      </c>
      <c r="AL19" s="88">
        <v>0</v>
      </c>
      <c r="AM19" s="88">
        <v>0</v>
      </c>
      <c r="AN19" s="88">
        <v>0</v>
      </c>
      <c r="AO19" s="149" t="s">
        <v>76</v>
      </c>
      <c r="AP19" s="88">
        <v>0</v>
      </c>
      <c r="AQ19" s="88">
        <v>0</v>
      </c>
      <c r="AR19" s="88">
        <v>0</v>
      </c>
      <c r="AS19" s="88">
        <v>0</v>
      </c>
      <c r="AT19" s="88">
        <v>1</v>
      </c>
      <c r="AU19" s="88">
        <v>1</v>
      </c>
      <c r="AV19" s="88">
        <v>4</v>
      </c>
      <c r="AW19" s="88">
        <v>5</v>
      </c>
      <c r="AX19" s="88">
        <v>5</v>
      </c>
      <c r="AY19" s="88">
        <v>1</v>
      </c>
      <c r="AZ19" s="88">
        <v>5</v>
      </c>
      <c r="BA19" s="88">
        <v>2</v>
      </c>
      <c r="BB19" s="88">
        <v>3</v>
      </c>
      <c r="BC19" s="88">
        <v>2</v>
      </c>
      <c r="BD19" s="149" t="s">
        <v>264</v>
      </c>
      <c r="BE19" s="39">
        <v>0</v>
      </c>
      <c r="BF19" s="39">
        <v>0</v>
      </c>
      <c r="BG19" s="39">
        <v>0</v>
      </c>
      <c r="BH19" s="39">
        <v>0</v>
      </c>
      <c r="BI19" s="39">
        <v>0</v>
      </c>
      <c r="BJ19" s="39">
        <v>0</v>
      </c>
      <c r="BK19" s="39">
        <v>1</v>
      </c>
      <c r="BL19" s="39">
        <v>2</v>
      </c>
      <c r="BM19" s="39">
        <v>2</v>
      </c>
      <c r="BN19" s="39">
        <v>2</v>
      </c>
      <c r="BO19" s="39">
        <v>1</v>
      </c>
      <c r="BP19" s="39">
        <v>1</v>
      </c>
      <c r="BQ19" s="39">
        <v>0</v>
      </c>
      <c r="BR19" s="39">
        <v>0</v>
      </c>
      <c r="BS19" s="149" t="s">
        <v>76</v>
      </c>
      <c r="BT19" s="39">
        <v>0</v>
      </c>
      <c r="BU19" s="39">
        <v>0</v>
      </c>
      <c r="BV19" s="39">
        <v>0</v>
      </c>
      <c r="BW19" s="39">
        <v>0</v>
      </c>
      <c r="BX19" s="39">
        <v>0</v>
      </c>
      <c r="BY19" s="39">
        <v>0</v>
      </c>
      <c r="BZ19" s="39">
        <v>0</v>
      </c>
      <c r="CA19" s="39">
        <v>0</v>
      </c>
      <c r="CB19" s="39">
        <v>0</v>
      </c>
      <c r="CC19" s="39">
        <v>2</v>
      </c>
      <c r="CD19" s="39">
        <v>4</v>
      </c>
      <c r="CE19" s="39">
        <v>4</v>
      </c>
      <c r="CF19" s="39">
        <v>2</v>
      </c>
      <c r="CG19" s="39">
        <v>0</v>
      </c>
      <c r="CH19" s="149" t="s">
        <v>264</v>
      </c>
      <c r="CI19" s="39">
        <v>0</v>
      </c>
      <c r="CJ19" s="39">
        <v>0</v>
      </c>
      <c r="CK19" s="39">
        <v>0</v>
      </c>
      <c r="CL19" s="39">
        <v>0</v>
      </c>
      <c r="CM19" s="39">
        <v>0</v>
      </c>
      <c r="CN19" s="39">
        <v>0</v>
      </c>
      <c r="CO19" s="39">
        <v>0</v>
      </c>
      <c r="CP19" s="39">
        <v>0</v>
      </c>
      <c r="CQ19" s="39">
        <v>0</v>
      </c>
      <c r="CR19" s="39">
        <v>3</v>
      </c>
      <c r="CS19" s="39">
        <v>1</v>
      </c>
      <c r="CT19" s="39">
        <v>6</v>
      </c>
      <c r="CU19" s="39">
        <v>4</v>
      </c>
      <c r="CV19" s="39">
        <v>8</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286</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286</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279</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286</v>
      </c>
      <c r="BT20" s="39">
        <v>0</v>
      </c>
      <c r="BU20" s="39">
        <v>0</v>
      </c>
      <c r="BV20" s="39">
        <v>0</v>
      </c>
      <c r="BW20" s="39">
        <v>0</v>
      </c>
      <c r="BX20" s="39">
        <v>0</v>
      </c>
      <c r="BY20" s="39">
        <v>0</v>
      </c>
      <c r="BZ20" s="39">
        <v>0</v>
      </c>
      <c r="CA20" s="39">
        <v>0</v>
      </c>
      <c r="CB20" s="39">
        <v>0</v>
      </c>
      <c r="CC20" s="39">
        <v>2.1960000000000002</v>
      </c>
      <c r="CD20" s="39">
        <v>2.1960000000000002</v>
      </c>
      <c r="CE20" s="39">
        <v>2.1960000000000002</v>
      </c>
      <c r="CF20" s="39">
        <v>2.1960000000000002</v>
      </c>
      <c r="CG20" s="39">
        <v>0</v>
      </c>
      <c r="CH20" s="149" t="s">
        <v>279</v>
      </c>
      <c r="CI20" s="39">
        <v>0</v>
      </c>
      <c r="CJ20" s="39">
        <v>0</v>
      </c>
      <c r="CK20" s="39">
        <v>0</v>
      </c>
      <c r="CL20" s="39">
        <v>0</v>
      </c>
      <c r="CM20" s="39">
        <v>0</v>
      </c>
      <c r="CN20" s="39">
        <v>0</v>
      </c>
      <c r="CO20" s="39">
        <v>0</v>
      </c>
      <c r="CP20" s="39">
        <v>0</v>
      </c>
      <c r="CQ20" s="39">
        <v>0</v>
      </c>
      <c r="CR20" s="39">
        <v>3.66</v>
      </c>
      <c r="CS20" s="39">
        <v>3.66</v>
      </c>
      <c r="CT20" s="39">
        <v>3.66</v>
      </c>
      <c r="CU20" s="39">
        <v>3.66</v>
      </c>
      <c r="CV20" s="39">
        <v>3.66</v>
      </c>
    </row>
    <row r="21" spans="1:100" ht="15.5" thickTop="1" thickBot="1" x14ac:dyDescent="0.4">
      <c r="A21" s="25"/>
      <c r="B21" s="27" t="s">
        <v>250</v>
      </c>
      <c r="C21" s="39"/>
      <c r="D21" s="39"/>
      <c r="E21" s="39"/>
      <c r="F21" s="39"/>
      <c r="G21" s="39"/>
      <c r="H21" s="39"/>
      <c r="I21" s="39"/>
      <c r="J21" s="39"/>
      <c r="K21" s="39"/>
      <c r="L21" s="39"/>
      <c r="M21" s="39"/>
      <c r="N21" s="39"/>
      <c r="O21" s="39"/>
      <c r="P21" s="39"/>
      <c r="Q21" s="39"/>
      <c r="R21" s="39"/>
      <c r="S21" s="39"/>
      <c r="T21" s="39"/>
      <c r="U21" s="39"/>
      <c r="V21" s="39"/>
      <c r="W21" s="39"/>
      <c r="X21" s="39"/>
      <c r="Z21" s="13" t="s">
        <v>282</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282</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277</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282</v>
      </c>
      <c r="BT21" s="39">
        <v>0</v>
      </c>
      <c r="BU21" s="39">
        <v>0</v>
      </c>
      <c r="BV21" s="39">
        <v>0</v>
      </c>
      <c r="BW21" s="39">
        <v>0</v>
      </c>
      <c r="BX21" s="39">
        <v>0</v>
      </c>
      <c r="BY21" s="39">
        <v>0</v>
      </c>
      <c r="BZ21" s="39">
        <v>0</v>
      </c>
      <c r="CA21" s="39">
        <v>0</v>
      </c>
      <c r="CB21" s="39">
        <v>0</v>
      </c>
      <c r="CC21" s="39">
        <v>183</v>
      </c>
      <c r="CD21" s="39">
        <v>244.00000000000003</v>
      </c>
      <c r="CE21" s="39">
        <v>305</v>
      </c>
      <c r="CF21" s="39">
        <v>122.00000000000001</v>
      </c>
      <c r="CG21" s="39">
        <v>0</v>
      </c>
      <c r="CH21" s="13" t="s">
        <v>277</v>
      </c>
      <c r="CI21" s="39">
        <v>0</v>
      </c>
      <c r="CJ21" s="39">
        <v>0</v>
      </c>
      <c r="CK21" s="39">
        <v>0</v>
      </c>
      <c r="CL21" s="39">
        <v>0</v>
      </c>
      <c r="CM21" s="39">
        <v>0</v>
      </c>
      <c r="CN21" s="39">
        <v>0</v>
      </c>
      <c r="CO21" s="39">
        <v>0</v>
      </c>
      <c r="CP21" s="39">
        <v>0</v>
      </c>
      <c r="CQ21" s="39">
        <v>0</v>
      </c>
      <c r="CR21" s="39">
        <v>334.28</v>
      </c>
      <c r="CS21" s="39">
        <v>101.66666666666667</v>
      </c>
      <c r="CT21" s="39">
        <v>650.66666666666674</v>
      </c>
      <c r="CU21" s="39">
        <v>508.33333333333337</v>
      </c>
      <c r="CV21" s="39">
        <v>915.00000000000011</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283</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283</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278</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283</v>
      </c>
      <c r="BT22" s="39">
        <v>0</v>
      </c>
      <c r="BU22" s="39">
        <v>0</v>
      </c>
      <c r="BV22" s="39">
        <v>0</v>
      </c>
      <c r="BW22" s="39">
        <v>0</v>
      </c>
      <c r="BX22" s="39">
        <v>0</v>
      </c>
      <c r="BY22" s="39">
        <v>0</v>
      </c>
      <c r="BZ22" s="39">
        <v>0</v>
      </c>
      <c r="CA22" s="39">
        <v>0</v>
      </c>
      <c r="CB22" s="39">
        <v>0</v>
      </c>
      <c r="CC22" s="39">
        <v>150</v>
      </c>
      <c r="CD22" s="39">
        <v>300</v>
      </c>
      <c r="CE22" s="39">
        <v>300</v>
      </c>
      <c r="CF22" s="39">
        <v>150</v>
      </c>
      <c r="CG22" s="39">
        <v>0</v>
      </c>
      <c r="CH22" s="13" t="s">
        <v>278</v>
      </c>
      <c r="CI22" s="39">
        <v>0</v>
      </c>
      <c r="CJ22" s="39">
        <v>0</v>
      </c>
      <c r="CK22" s="39">
        <v>0</v>
      </c>
      <c r="CL22" s="39">
        <v>0</v>
      </c>
      <c r="CM22" s="39">
        <v>0</v>
      </c>
      <c r="CN22" s="39">
        <v>0</v>
      </c>
      <c r="CO22" s="39">
        <v>0</v>
      </c>
      <c r="CP22" s="39">
        <v>0</v>
      </c>
      <c r="CQ22" s="39">
        <v>0</v>
      </c>
      <c r="CR22" s="39">
        <v>210</v>
      </c>
      <c r="CS22" s="39">
        <v>105</v>
      </c>
      <c r="CT22" s="39">
        <v>320</v>
      </c>
      <c r="CU22" s="39">
        <v>220</v>
      </c>
      <c r="CV22" s="39">
        <v>415</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284</v>
      </c>
      <c r="AA23" s="39">
        <v>0</v>
      </c>
      <c r="AB23" s="39">
        <v>2</v>
      </c>
      <c r="AC23" s="39">
        <v>10</v>
      </c>
      <c r="AD23" s="39">
        <v>6</v>
      </c>
      <c r="AE23" s="39">
        <v>6</v>
      </c>
      <c r="AF23" s="39">
        <v>4</v>
      </c>
      <c r="AG23" s="39">
        <v>4</v>
      </c>
      <c r="AH23" s="39">
        <v>0</v>
      </c>
      <c r="AI23" s="39">
        <v>3</v>
      </c>
      <c r="AJ23" s="39">
        <v>0</v>
      </c>
      <c r="AK23" s="39">
        <v>1</v>
      </c>
      <c r="AL23" s="39">
        <v>0</v>
      </c>
      <c r="AM23" s="39">
        <v>0</v>
      </c>
      <c r="AN23" s="39">
        <v>0</v>
      </c>
      <c r="AO23" s="13" t="s">
        <v>284</v>
      </c>
      <c r="AP23" s="39">
        <v>0</v>
      </c>
      <c r="AQ23" s="39">
        <v>0</v>
      </c>
      <c r="AR23" s="39">
        <v>0</v>
      </c>
      <c r="AS23" s="39">
        <v>0</v>
      </c>
      <c r="AT23" s="39">
        <v>1</v>
      </c>
      <c r="AU23" s="39">
        <v>1</v>
      </c>
      <c r="AV23" s="39">
        <v>4</v>
      </c>
      <c r="AW23" s="39">
        <v>5</v>
      </c>
      <c r="AX23" s="39">
        <v>5</v>
      </c>
      <c r="AY23" s="39">
        <v>1</v>
      </c>
      <c r="AZ23" s="39">
        <v>5</v>
      </c>
      <c r="BA23" s="39">
        <v>2</v>
      </c>
      <c r="BB23" s="39">
        <v>3</v>
      </c>
      <c r="BC23" s="39">
        <v>2</v>
      </c>
      <c r="BD23" s="13" t="s">
        <v>280</v>
      </c>
      <c r="BE23" s="39">
        <v>0</v>
      </c>
      <c r="BF23" s="39">
        <v>0</v>
      </c>
      <c r="BG23" s="39">
        <v>0</v>
      </c>
      <c r="BH23" s="39">
        <v>0</v>
      </c>
      <c r="BI23" s="39">
        <v>0</v>
      </c>
      <c r="BJ23" s="39">
        <v>0</v>
      </c>
      <c r="BK23" s="39">
        <v>1</v>
      </c>
      <c r="BL23" s="39">
        <v>2</v>
      </c>
      <c r="BM23" s="39">
        <v>2</v>
      </c>
      <c r="BN23" s="39">
        <v>2</v>
      </c>
      <c r="BO23" s="39">
        <v>1</v>
      </c>
      <c r="BP23" s="39">
        <v>1</v>
      </c>
      <c r="BQ23" s="39">
        <v>0</v>
      </c>
      <c r="BR23" s="39">
        <v>0</v>
      </c>
      <c r="BS23" s="13" t="s">
        <v>284</v>
      </c>
      <c r="BT23" s="39">
        <v>0</v>
      </c>
      <c r="BU23" s="39">
        <v>0</v>
      </c>
      <c r="BV23" s="39">
        <v>0</v>
      </c>
      <c r="BW23" s="39">
        <v>0</v>
      </c>
      <c r="BX23" s="39">
        <v>0</v>
      </c>
      <c r="BY23" s="39">
        <v>0</v>
      </c>
      <c r="BZ23" s="39">
        <v>0</v>
      </c>
      <c r="CA23" s="39">
        <v>0</v>
      </c>
      <c r="CB23" s="39">
        <v>0</v>
      </c>
      <c r="CC23" s="39">
        <v>2</v>
      </c>
      <c r="CD23" s="39">
        <v>4</v>
      </c>
      <c r="CE23" s="39">
        <v>4</v>
      </c>
      <c r="CF23" s="39">
        <v>2</v>
      </c>
      <c r="CG23" s="39">
        <v>0</v>
      </c>
      <c r="CH23" s="13" t="s">
        <v>280</v>
      </c>
      <c r="CI23" s="39">
        <v>0</v>
      </c>
      <c r="CJ23" s="39">
        <v>0</v>
      </c>
      <c r="CK23" s="39">
        <v>0</v>
      </c>
      <c r="CL23" s="39">
        <v>0</v>
      </c>
      <c r="CM23" s="39">
        <v>0</v>
      </c>
      <c r="CN23" s="39">
        <v>0</v>
      </c>
      <c r="CO23" s="39">
        <v>0</v>
      </c>
      <c r="CP23" s="39">
        <v>0</v>
      </c>
      <c r="CQ23" s="39">
        <v>0</v>
      </c>
      <c r="CR23" s="39">
        <v>3</v>
      </c>
      <c r="CS23" s="39">
        <v>1</v>
      </c>
      <c r="CT23" s="39">
        <v>6</v>
      </c>
      <c r="CU23" s="39">
        <v>4</v>
      </c>
      <c r="CV23" s="39">
        <v>8</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285</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285</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281</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285</v>
      </c>
      <c r="BT24" s="39">
        <v>0</v>
      </c>
      <c r="BU24" s="39">
        <v>0</v>
      </c>
      <c r="BV24" s="39">
        <v>0</v>
      </c>
      <c r="BW24" s="39">
        <v>0</v>
      </c>
      <c r="BX24" s="39">
        <v>0</v>
      </c>
      <c r="BY24" s="39">
        <v>0</v>
      </c>
      <c r="BZ24" s="39">
        <v>0</v>
      </c>
      <c r="CA24" s="39">
        <v>0</v>
      </c>
      <c r="CB24" s="39">
        <v>0</v>
      </c>
      <c r="CC24" s="39">
        <v>300</v>
      </c>
      <c r="CD24" s="39">
        <v>600</v>
      </c>
      <c r="CE24" s="39">
        <v>600</v>
      </c>
      <c r="CF24" s="39">
        <v>300</v>
      </c>
      <c r="CG24" s="39">
        <v>0</v>
      </c>
      <c r="CH24" s="13" t="s">
        <v>281</v>
      </c>
      <c r="CI24" s="39">
        <v>0</v>
      </c>
      <c r="CJ24" s="39">
        <v>0</v>
      </c>
      <c r="CK24" s="39">
        <v>0</v>
      </c>
      <c r="CL24" s="39">
        <v>0</v>
      </c>
      <c r="CM24" s="39">
        <v>0</v>
      </c>
      <c r="CN24" s="39">
        <v>0</v>
      </c>
      <c r="CO24" s="39">
        <v>0</v>
      </c>
      <c r="CP24" s="39">
        <v>0</v>
      </c>
      <c r="CQ24" s="39">
        <v>0</v>
      </c>
      <c r="CR24" s="39">
        <v>320</v>
      </c>
      <c r="CS24" s="39">
        <v>105</v>
      </c>
      <c r="CT24" s="39">
        <v>640</v>
      </c>
      <c r="CU24" s="39">
        <v>440</v>
      </c>
      <c r="CV24" s="39">
        <v>830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82</v>
      </c>
      <c r="AA25" s="39">
        <v>0</v>
      </c>
      <c r="AB25" s="39">
        <v>2</v>
      </c>
      <c r="AC25" s="39">
        <v>10</v>
      </c>
      <c r="AD25" s="39">
        <v>6</v>
      </c>
      <c r="AE25" s="39">
        <v>6</v>
      </c>
      <c r="AF25" s="39">
        <v>4</v>
      </c>
      <c r="AG25" s="39">
        <v>4</v>
      </c>
      <c r="AH25" s="39">
        <v>0</v>
      </c>
      <c r="AI25" s="39">
        <v>2</v>
      </c>
      <c r="AJ25" s="39">
        <v>0</v>
      </c>
      <c r="AK25" s="39">
        <v>1</v>
      </c>
      <c r="AL25" s="39">
        <v>0</v>
      </c>
      <c r="AM25" s="39">
        <v>0</v>
      </c>
      <c r="AN25" s="39">
        <v>0</v>
      </c>
      <c r="AO25" s="13" t="s">
        <v>82</v>
      </c>
      <c r="AP25" s="39">
        <v>0</v>
      </c>
      <c r="AQ25" s="39">
        <v>0</v>
      </c>
      <c r="AR25" s="39">
        <v>0</v>
      </c>
      <c r="AS25" s="39">
        <v>0</v>
      </c>
      <c r="AT25" s="39">
        <v>0</v>
      </c>
      <c r="AU25" s="39">
        <v>0</v>
      </c>
      <c r="AV25" s="39">
        <v>3</v>
      </c>
      <c r="AW25" s="39">
        <v>0</v>
      </c>
      <c r="AX25" s="39">
        <v>3</v>
      </c>
      <c r="AY25" s="39">
        <v>1</v>
      </c>
      <c r="AZ25" s="39">
        <v>0</v>
      </c>
      <c r="BA25" s="39">
        <v>0</v>
      </c>
      <c r="BB25" s="39">
        <v>1</v>
      </c>
      <c r="BC25" s="39">
        <v>0</v>
      </c>
      <c r="BD25" s="13" t="s">
        <v>82</v>
      </c>
      <c r="BE25" s="39">
        <v>0</v>
      </c>
      <c r="BF25" s="39">
        <v>0</v>
      </c>
      <c r="BG25" s="39">
        <v>0</v>
      </c>
      <c r="BH25" s="39">
        <v>0</v>
      </c>
      <c r="BI25" s="39">
        <v>0</v>
      </c>
      <c r="BJ25" s="39">
        <v>0</v>
      </c>
      <c r="BK25" s="39">
        <v>0</v>
      </c>
      <c r="BL25" s="39">
        <v>0</v>
      </c>
      <c r="BM25" s="39">
        <v>0</v>
      </c>
      <c r="BN25" s="39">
        <v>0</v>
      </c>
      <c r="BO25" s="39">
        <v>0</v>
      </c>
      <c r="BP25" s="39">
        <v>0</v>
      </c>
      <c r="BQ25" s="39">
        <v>0</v>
      </c>
      <c r="BR25" s="39">
        <v>0</v>
      </c>
      <c r="BS25" s="13" t="s">
        <v>82</v>
      </c>
      <c r="BT25" s="39">
        <v>0</v>
      </c>
      <c r="BU25" s="39">
        <v>0</v>
      </c>
      <c r="BV25" s="39">
        <v>0</v>
      </c>
      <c r="BW25" s="39">
        <v>0</v>
      </c>
      <c r="BX25" s="39">
        <v>0</v>
      </c>
      <c r="BY25" s="39">
        <v>0</v>
      </c>
      <c r="BZ25" s="39">
        <v>0</v>
      </c>
      <c r="CA25" s="39">
        <v>0</v>
      </c>
      <c r="CB25" s="39">
        <v>0</v>
      </c>
      <c r="CC25" s="39">
        <v>0</v>
      </c>
      <c r="CD25" s="39">
        <v>0</v>
      </c>
      <c r="CE25" s="39">
        <v>0</v>
      </c>
      <c r="CF25" s="39">
        <v>0</v>
      </c>
      <c r="CG25" s="39">
        <v>0</v>
      </c>
      <c r="CH25" s="13" t="s">
        <v>82</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83</v>
      </c>
      <c r="AA26" s="39">
        <v>0</v>
      </c>
      <c r="AB26" s="39">
        <v>0</v>
      </c>
      <c r="AC26" s="39">
        <v>0</v>
      </c>
      <c r="AD26" s="39">
        <v>0</v>
      </c>
      <c r="AE26" s="39">
        <v>0</v>
      </c>
      <c r="AF26" s="39">
        <v>0</v>
      </c>
      <c r="AG26" s="39">
        <v>0</v>
      </c>
      <c r="AH26" s="39">
        <v>0</v>
      </c>
      <c r="AI26" s="39">
        <v>1</v>
      </c>
      <c r="AJ26" s="39">
        <v>0</v>
      </c>
      <c r="AK26" s="39">
        <v>0</v>
      </c>
      <c r="AL26" s="39">
        <v>0</v>
      </c>
      <c r="AM26" s="39">
        <v>0</v>
      </c>
      <c r="AN26" s="39">
        <v>0</v>
      </c>
      <c r="AO26" s="16" t="s">
        <v>83</v>
      </c>
      <c r="AP26" s="39">
        <v>0</v>
      </c>
      <c r="AQ26" s="39">
        <v>0</v>
      </c>
      <c r="AR26" s="39">
        <v>0</v>
      </c>
      <c r="AS26" s="39">
        <v>0</v>
      </c>
      <c r="AT26" s="39">
        <v>1</v>
      </c>
      <c r="AU26" s="39">
        <v>1</v>
      </c>
      <c r="AV26" s="39">
        <v>1</v>
      </c>
      <c r="AW26" s="39">
        <v>5</v>
      </c>
      <c r="AX26" s="39">
        <v>2</v>
      </c>
      <c r="AY26" s="39">
        <v>0</v>
      </c>
      <c r="AZ26" s="39">
        <v>5</v>
      </c>
      <c r="BA26" s="39">
        <v>2</v>
      </c>
      <c r="BB26" s="39">
        <v>2</v>
      </c>
      <c r="BC26" s="39">
        <v>2</v>
      </c>
      <c r="BD26" s="16" t="s">
        <v>83</v>
      </c>
      <c r="BE26" s="39">
        <v>0</v>
      </c>
      <c r="BF26" s="39">
        <v>0</v>
      </c>
      <c r="BG26" s="39">
        <v>0</v>
      </c>
      <c r="BH26" s="39">
        <v>0</v>
      </c>
      <c r="BI26" s="39">
        <v>0</v>
      </c>
      <c r="BJ26" s="39">
        <v>0</v>
      </c>
      <c r="BK26" s="39">
        <v>1</v>
      </c>
      <c r="BL26" s="39">
        <v>2</v>
      </c>
      <c r="BM26" s="39">
        <v>2</v>
      </c>
      <c r="BN26" s="39">
        <v>2</v>
      </c>
      <c r="BO26" s="39">
        <v>1</v>
      </c>
      <c r="BP26" s="39">
        <v>1</v>
      </c>
      <c r="BQ26" s="39">
        <v>0</v>
      </c>
      <c r="BR26" s="39">
        <v>0</v>
      </c>
      <c r="BS26" s="16" t="s">
        <v>83</v>
      </c>
      <c r="BT26" s="39">
        <v>0</v>
      </c>
      <c r="BU26" s="39">
        <v>0</v>
      </c>
      <c r="BV26" s="39">
        <v>0</v>
      </c>
      <c r="BW26" s="39">
        <v>0</v>
      </c>
      <c r="BX26" s="39">
        <v>0</v>
      </c>
      <c r="BY26" s="39">
        <v>0</v>
      </c>
      <c r="BZ26" s="39">
        <v>0</v>
      </c>
      <c r="CA26" s="39">
        <v>0</v>
      </c>
      <c r="CB26" s="39">
        <v>0</v>
      </c>
      <c r="CC26" s="39">
        <v>2</v>
      </c>
      <c r="CD26" s="39">
        <v>4</v>
      </c>
      <c r="CE26" s="39">
        <v>4</v>
      </c>
      <c r="CF26" s="39">
        <v>2</v>
      </c>
      <c r="CG26" s="39">
        <v>0</v>
      </c>
      <c r="CH26" s="16" t="s">
        <v>83</v>
      </c>
      <c r="CI26" s="39">
        <v>0</v>
      </c>
      <c r="CJ26" s="39">
        <v>0</v>
      </c>
      <c r="CK26" s="39">
        <v>0</v>
      </c>
      <c r="CL26" s="39">
        <v>0</v>
      </c>
      <c r="CM26" s="39">
        <v>0</v>
      </c>
      <c r="CN26" s="39">
        <v>0</v>
      </c>
      <c r="CO26" s="39">
        <v>0</v>
      </c>
      <c r="CP26" s="39">
        <v>0</v>
      </c>
      <c r="CQ26" s="39">
        <v>0</v>
      </c>
      <c r="CR26" s="39">
        <v>3</v>
      </c>
      <c r="CS26" s="39">
        <v>1</v>
      </c>
      <c r="CT26" s="39">
        <v>6</v>
      </c>
      <c r="CU26" s="39">
        <v>4</v>
      </c>
      <c r="CV26" s="39">
        <v>8</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287</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t="s">
        <v>93</v>
      </c>
      <c r="AP31" s="86">
        <v>0</v>
      </c>
      <c r="AQ31" s="86">
        <v>42.769230769230774</v>
      </c>
      <c r="AR31" s="86">
        <v>261.79487179487182</v>
      </c>
      <c r="AS31" s="86">
        <v>187.5128205128205</v>
      </c>
      <c r="AT31" s="86">
        <v>60.666666666666664</v>
      </c>
      <c r="AU31" s="86">
        <v>0</v>
      </c>
      <c r="AV31" s="86">
        <v>0</v>
      </c>
      <c r="AW31" s="86">
        <v>0</v>
      </c>
      <c r="AX31" s="86">
        <v>0</v>
      </c>
      <c r="AY31" s="86">
        <v>0</v>
      </c>
      <c r="AZ31" s="86">
        <v>0</v>
      </c>
      <c r="BA31" s="86">
        <v>0</v>
      </c>
      <c r="BB31" s="86">
        <v>0</v>
      </c>
      <c r="BC31" s="86">
        <v>0</v>
      </c>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92</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t="s">
        <v>94</v>
      </c>
      <c r="AP32" s="86">
        <v>0</v>
      </c>
      <c r="AQ32" s="86">
        <v>0</v>
      </c>
      <c r="AR32" s="86">
        <v>76.52100840336135</v>
      </c>
      <c r="AS32" s="86">
        <v>102.33333333333334</v>
      </c>
      <c r="AT32" s="86">
        <v>183.06666666666666</v>
      </c>
      <c r="AU32" s="86">
        <v>193.64</v>
      </c>
      <c r="AV32" s="86">
        <v>408.41126999157984</v>
      </c>
      <c r="AW32" s="86">
        <v>219.61275259631313</v>
      </c>
      <c r="AX32" s="86">
        <v>381.94193194134141</v>
      </c>
      <c r="AY32" s="86">
        <v>0</v>
      </c>
      <c r="AZ32" s="86">
        <v>0</v>
      </c>
      <c r="BA32" s="86">
        <v>0</v>
      </c>
      <c r="BB32" s="86">
        <v>0</v>
      </c>
      <c r="BC32" s="86">
        <v>0</v>
      </c>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84</v>
      </c>
      <c r="AA33" s="39">
        <v>0</v>
      </c>
      <c r="AB33" s="39">
        <v>2</v>
      </c>
      <c r="AC33" s="39">
        <v>6</v>
      </c>
      <c r="AD33" s="39">
        <v>5</v>
      </c>
      <c r="AE33" s="39">
        <v>6</v>
      </c>
      <c r="AF33" s="39">
        <v>3</v>
      </c>
      <c r="AG33" s="39">
        <v>8</v>
      </c>
      <c r="AH33" s="39">
        <v>8</v>
      </c>
      <c r="AI33" s="39">
        <v>8</v>
      </c>
      <c r="AJ33" s="39">
        <v>8</v>
      </c>
      <c r="AK33" s="39">
        <v>8</v>
      </c>
      <c r="AL33" s="39">
        <v>8</v>
      </c>
      <c r="AM33" s="39">
        <v>8</v>
      </c>
      <c r="AN33" s="39">
        <v>8</v>
      </c>
      <c r="AO33" s="149" t="s">
        <v>95</v>
      </c>
      <c r="AP33" s="86">
        <v>0</v>
      </c>
      <c r="AQ33" s="86">
        <v>0</v>
      </c>
      <c r="AR33" s="86">
        <v>0</v>
      </c>
      <c r="AS33" s="86">
        <v>0</v>
      </c>
      <c r="AT33" s="86">
        <v>0</v>
      </c>
      <c r="AU33" s="86">
        <v>0</v>
      </c>
      <c r="AV33" s="86">
        <v>0</v>
      </c>
      <c r="AW33" s="86">
        <v>0</v>
      </c>
      <c r="AX33" s="86">
        <v>0</v>
      </c>
      <c r="AY33" s="86">
        <v>319.20644440645248</v>
      </c>
      <c r="AZ33" s="86">
        <v>356.16679763270048</v>
      </c>
      <c r="BA33" s="86">
        <v>398.16021983415686</v>
      </c>
      <c r="BB33" s="86">
        <v>274.52731225842081</v>
      </c>
      <c r="BC33" s="86">
        <v>301.33333333333331</v>
      </c>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86</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93</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251</v>
      </c>
      <c r="C36" s="39"/>
      <c r="D36" s="39"/>
      <c r="E36" s="39"/>
      <c r="F36" s="39"/>
      <c r="G36" s="39"/>
      <c r="H36" s="39"/>
      <c r="I36" s="39"/>
      <c r="J36" s="39"/>
      <c r="K36" s="39"/>
      <c r="L36" s="39"/>
      <c r="M36" s="39"/>
      <c r="N36" s="39"/>
      <c r="O36" s="39"/>
      <c r="P36" s="39"/>
      <c r="Q36" s="39"/>
      <c r="R36" s="39"/>
      <c r="S36" s="39"/>
      <c r="T36" s="39"/>
      <c r="U36" s="39"/>
      <c r="V36" s="39"/>
      <c r="W36" s="39"/>
      <c r="X36" s="39"/>
      <c r="Z36" s="148" t="s">
        <v>94</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95</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87</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98</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99</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88</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100</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101</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261</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102</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292</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291</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264</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286</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282</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283</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284</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285</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279</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277</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278</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280</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281</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82</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83</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344</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2</v>
      </c>
      <c r="E74" s="39">
        <v>2000</v>
      </c>
      <c r="F74" s="39">
        <v>0</v>
      </c>
      <c r="G74" s="39">
        <v>0</v>
      </c>
      <c r="H74" s="39">
        <v>111.11111111111111</v>
      </c>
      <c r="I74" s="39">
        <v>18</v>
      </c>
      <c r="J74" s="39">
        <v>20</v>
      </c>
      <c r="K74" s="39">
        <v>34</v>
      </c>
      <c r="L74" s="39">
        <v>77.777777777777771</v>
      </c>
      <c r="M74" s="39">
        <v>16.666666666666668</v>
      </c>
      <c r="N74" s="39">
        <v>16.666666666666668</v>
      </c>
      <c r="O74" s="39">
        <v>4</v>
      </c>
      <c r="P74" s="39">
        <v>4</v>
      </c>
      <c r="Q74" s="39">
        <v>2.1960000000000002</v>
      </c>
      <c r="R74" s="39">
        <v>244.00000000000003</v>
      </c>
      <c r="S74" s="39">
        <v>300</v>
      </c>
      <c r="T74" s="39">
        <v>4</v>
      </c>
      <c r="U74" s="39">
        <v>600</v>
      </c>
      <c r="V74" s="39">
        <v>0</v>
      </c>
      <c r="W74" s="39">
        <v>4</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0</v>
      </c>
      <c r="E77" s="39">
        <v>0</v>
      </c>
      <c r="F77" s="39">
        <v>0</v>
      </c>
      <c r="G77" s="39">
        <v>0</v>
      </c>
      <c r="H77" s="39">
        <v>0</v>
      </c>
      <c r="I77" s="39">
        <v>0</v>
      </c>
      <c r="J77" s="39">
        <v>0</v>
      </c>
      <c r="K77" s="39">
        <v>0</v>
      </c>
      <c r="L77" s="39">
        <v>0</v>
      </c>
      <c r="M77" s="39">
        <v>0</v>
      </c>
      <c r="N77" s="39">
        <v>0</v>
      </c>
      <c r="O77" s="39">
        <v>0</v>
      </c>
      <c r="P77" s="39">
        <v>0</v>
      </c>
      <c r="Q77" s="39">
        <v>0</v>
      </c>
      <c r="R77" s="39">
        <v>0</v>
      </c>
      <c r="S77" s="39">
        <v>0</v>
      </c>
      <c r="T77" s="39">
        <v>0</v>
      </c>
      <c r="U77" s="39">
        <v>0</v>
      </c>
      <c r="V77" s="39">
        <v>0</v>
      </c>
      <c r="W77" s="39">
        <v>0</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345</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2</v>
      </c>
      <c r="E88" s="39">
        <v>1644</v>
      </c>
      <c r="F88" s="39">
        <v>0</v>
      </c>
      <c r="G88" s="39">
        <v>0</v>
      </c>
      <c r="H88" s="39">
        <v>91.333333333333329</v>
      </c>
      <c r="I88" s="39">
        <v>18</v>
      </c>
      <c r="J88" s="39">
        <v>300</v>
      </c>
      <c r="K88" s="39">
        <v>750</v>
      </c>
      <c r="L88" s="39">
        <v>0</v>
      </c>
      <c r="M88" s="39">
        <v>91.333333333333329</v>
      </c>
      <c r="N88" s="39">
        <v>0</v>
      </c>
      <c r="O88" s="39">
        <v>3</v>
      </c>
      <c r="P88" s="39">
        <v>3</v>
      </c>
      <c r="Q88" s="39">
        <v>3.66</v>
      </c>
      <c r="R88" s="39">
        <v>334.28</v>
      </c>
      <c r="S88" s="39">
        <v>210</v>
      </c>
      <c r="T88" s="39">
        <v>3</v>
      </c>
      <c r="U88" s="39">
        <v>320</v>
      </c>
      <c r="V88" s="39">
        <v>0</v>
      </c>
      <c r="W88" s="39">
        <v>3</v>
      </c>
    </row>
    <row r="89" spans="1:23" x14ac:dyDescent="0.35">
      <c r="A89" s="25"/>
      <c r="B89" s="22">
        <v>2032</v>
      </c>
      <c r="C89" s="39"/>
      <c r="D89" s="39">
        <v>1</v>
      </c>
      <c r="E89" s="39">
        <v>500</v>
      </c>
      <c r="F89" s="39">
        <v>0</v>
      </c>
      <c r="G89" s="39">
        <v>0</v>
      </c>
      <c r="H89" s="39">
        <v>27.777777777777779</v>
      </c>
      <c r="I89" s="39">
        <v>18</v>
      </c>
      <c r="J89" s="39">
        <v>600</v>
      </c>
      <c r="K89" s="39">
        <v>1000</v>
      </c>
      <c r="L89" s="39">
        <v>0</v>
      </c>
      <c r="M89" s="39">
        <v>27.777777777777779</v>
      </c>
      <c r="N89" s="39">
        <v>0</v>
      </c>
      <c r="O89" s="39">
        <v>1</v>
      </c>
      <c r="P89" s="39">
        <v>1</v>
      </c>
      <c r="Q89" s="39">
        <v>3.66</v>
      </c>
      <c r="R89" s="39">
        <v>101.66666666666667</v>
      </c>
      <c r="S89" s="39">
        <v>105</v>
      </c>
      <c r="T89" s="39">
        <v>1</v>
      </c>
      <c r="U89" s="39">
        <v>105</v>
      </c>
      <c r="V89" s="39">
        <v>0</v>
      </c>
      <c r="W89" s="39">
        <v>1</v>
      </c>
    </row>
    <row r="90" spans="1:23" x14ac:dyDescent="0.35">
      <c r="A90" s="25"/>
      <c r="B90" s="22">
        <v>2033</v>
      </c>
      <c r="C90" s="39"/>
      <c r="D90" s="39">
        <v>3</v>
      </c>
      <c r="E90" s="39">
        <v>3200</v>
      </c>
      <c r="F90" s="39">
        <v>0</v>
      </c>
      <c r="G90" s="39">
        <v>0</v>
      </c>
      <c r="H90" s="39">
        <v>177.77777777777777</v>
      </c>
      <c r="I90" s="39">
        <v>18</v>
      </c>
      <c r="J90" s="39">
        <v>366.66666666666669</v>
      </c>
      <c r="K90" s="39">
        <v>900</v>
      </c>
      <c r="L90" s="39">
        <v>0</v>
      </c>
      <c r="M90" s="39">
        <v>177.77777777777777</v>
      </c>
      <c r="N90" s="39">
        <v>0</v>
      </c>
      <c r="O90" s="39">
        <v>6</v>
      </c>
      <c r="P90" s="39">
        <v>6</v>
      </c>
      <c r="Q90" s="39">
        <v>3.66</v>
      </c>
      <c r="R90" s="39">
        <v>650.66666666666674</v>
      </c>
      <c r="S90" s="39">
        <v>320</v>
      </c>
      <c r="T90" s="39">
        <v>6</v>
      </c>
      <c r="U90" s="39">
        <v>640</v>
      </c>
      <c r="V90" s="39">
        <v>0</v>
      </c>
      <c r="W90" s="39">
        <v>6</v>
      </c>
    </row>
    <row r="91" spans="1:23" x14ac:dyDescent="0.35">
      <c r="A91" s="25"/>
      <c r="B91" s="22">
        <v>2034</v>
      </c>
      <c r="C91" s="39"/>
      <c r="D91" s="39">
        <v>2</v>
      </c>
      <c r="E91" s="39">
        <v>2500</v>
      </c>
      <c r="F91" s="39">
        <v>0</v>
      </c>
      <c r="G91" s="39">
        <v>0</v>
      </c>
      <c r="H91" s="39">
        <v>138.88888888888889</v>
      </c>
      <c r="I91" s="39">
        <v>18</v>
      </c>
      <c r="J91" s="39">
        <v>60</v>
      </c>
      <c r="K91" s="39">
        <v>350</v>
      </c>
      <c r="L91" s="39">
        <v>0</v>
      </c>
      <c r="M91" s="39">
        <v>138.88888888888889</v>
      </c>
      <c r="N91" s="39">
        <v>0</v>
      </c>
      <c r="O91" s="39">
        <v>4</v>
      </c>
      <c r="P91" s="39">
        <v>4</v>
      </c>
      <c r="Q91" s="39">
        <v>3.66</v>
      </c>
      <c r="R91" s="39">
        <v>508.33333333333337</v>
      </c>
      <c r="S91" s="39">
        <v>220</v>
      </c>
      <c r="T91" s="39">
        <v>4</v>
      </c>
      <c r="U91" s="39">
        <v>440</v>
      </c>
      <c r="V91" s="39">
        <v>0</v>
      </c>
      <c r="W91" s="39">
        <v>4</v>
      </c>
    </row>
    <row r="92" spans="1:23" x14ac:dyDescent="0.35">
      <c r="A92" s="25"/>
      <c r="B92" s="22">
        <v>2035</v>
      </c>
      <c r="C92" s="39"/>
      <c r="D92" s="39">
        <v>4</v>
      </c>
      <c r="E92" s="39">
        <v>4500</v>
      </c>
      <c r="F92" s="39">
        <v>0</v>
      </c>
      <c r="G92" s="39">
        <v>0</v>
      </c>
      <c r="H92" s="39">
        <v>250</v>
      </c>
      <c r="I92" s="39">
        <v>18</v>
      </c>
      <c r="J92" s="39">
        <v>400</v>
      </c>
      <c r="K92" s="39">
        <v>1275</v>
      </c>
      <c r="L92" s="39">
        <v>0</v>
      </c>
      <c r="M92" s="39">
        <v>250</v>
      </c>
      <c r="N92" s="39">
        <v>0</v>
      </c>
      <c r="O92" s="39">
        <v>8</v>
      </c>
      <c r="P92" s="39">
        <v>8</v>
      </c>
      <c r="Q92" s="39">
        <v>3.66</v>
      </c>
      <c r="R92" s="39">
        <v>915.00000000000011</v>
      </c>
      <c r="S92" s="39">
        <v>415</v>
      </c>
      <c r="T92" s="39">
        <v>8</v>
      </c>
      <c r="U92" s="39">
        <v>830</v>
      </c>
      <c r="V92" s="39">
        <v>0</v>
      </c>
      <c r="W92" s="39">
        <v>8</v>
      </c>
    </row>
    <row r="93" spans="1:23" x14ac:dyDescent="0.35">
      <c r="B93" s="22"/>
    </row>
    <row r="94" spans="1:23" x14ac:dyDescent="0.35">
      <c r="B94" s="22"/>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2022-03-01T16:18:23Z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