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4.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5.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6.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7.xml" ContentType="application/vnd.openxmlformats-officedocument.drawing+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8.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drawings/drawing9.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10.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11.xml" ContentType="application/vnd.openxmlformats-officedocument.drawing+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drawings/drawing12.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drawings/drawing13.xml" ContentType="application/vnd.openxmlformats-officedocument.drawing+xml"/>
  <Override PartName="/xl/comments4.xml" ContentType="application/vnd.openxmlformats-officedocument.spreadsheetml.comments+xml"/>
  <Override PartName="/xl/threadedComments/threadedComment4.xml" ContentType="application/vnd.ms-excel.threadedcomments+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drawings/drawing14.xml" ContentType="application/vnd.openxmlformats-officedocument.drawing+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comments5.xml" ContentType="application/vnd.openxmlformats-officedocument.spreadsheetml.comments+xml"/>
  <Override PartName="/xl/threadedComments/threadedComment5.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827"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Users\mshields\Documents\Projects\Supply Chain Roadmap\Reports\Plots\supply-chain-projections\"/>
    </mc:Choice>
  </mc:AlternateContent>
  <xr:revisionPtr revIDLastSave="0" documentId="13_ncr:1_{761D0A43-1D9E-4682-8679-840ED2383854}" xr6:coauthVersionLast="47" xr6:coauthVersionMax="47" xr10:uidLastSave="{00000000-0000-0000-0000-000000000000}"/>
  <bookViews>
    <workbookView xWindow="28680" yWindow="-120" windowWidth="29040" windowHeight="15840" firstSheet="2" activeTab="12" xr2:uid="{C4C6EBC7-D762-41CD-A7A7-7E8EF57ED419}"/>
  </bookViews>
  <sheets>
    <sheet name="Introduction" sheetId="38" r:id="rId1"/>
    <sheet name="Assumptions" sheetId="5" r:id="rId2"/>
    <sheet name="TOTAL-UNC" sheetId="30" r:id="rId3"/>
    <sheet name="TOTAL-Expand" sheetId="33" r:id="rId4"/>
    <sheet name="EC-known" sheetId="15" r:id="rId5"/>
    <sheet name="WC-known" sheetId="29" r:id="rId6"/>
    <sheet name="FIX-EX" sheetId="34" r:id="rId7"/>
    <sheet name="FLOAT-EX" sheetId="35" r:id="rId8"/>
    <sheet name="EC-UNC" sheetId="36" r:id="rId9"/>
    <sheet name="EC-LOW" sheetId="20" r:id="rId10"/>
    <sheet name="EC-MED" sheetId="19" r:id="rId11"/>
    <sheet name="EC-HIGH" sheetId="18" r:id="rId12"/>
    <sheet name="GBF-UNC" sheetId="22" r:id="rId13"/>
    <sheet name="ALL-MONO" sheetId="37" r:id="rId14"/>
    <sheet name="ACCEL" sheetId="28" r:id="rId15"/>
    <sheet name="Aggregated" sheetId="14" r:id="rId16"/>
  </sheets>
  <externalReferences>
    <externalReference r:id="rId17"/>
  </externalReferenc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U108" i="33" l="1"/>
  <c r="L77" i="5"/>
  <c r="K77" i="5"/>
  <c r="D143" i="33"/>
  <c r="K69" i="5"/>
  <c r="D77" i="5"/>
  <c r="E77" i="5"/>
  <c r="F77" i="5"/>
  <c r="G77" i="5"/>
  <c r="C77" i="5"/>
  <c r="D118" i="37"/>
  <c r="C85" i="37"/>
  <c r="R74" i="37"/>
  <c r="R73" i="37"/>
  <c r="B72" i="37"/>
  <c r="A46" i="37"/>
  <c r="Q45" i="37"/>
  <c r="A35" i="37"/>
  <c r="A34" i="37"/>
  <c r="A32" i="37"/>
  <c r="A30" i="37"/>
  <c r="A29" i="37"/>
  <c r="A28" i="37"/>
  <c r="A26" i="37"/>
  <c r="A27" i="37" s="1"/>
  <c r="A22" i="37"/>
  <c r="A23" i="37" s="1"/>
  <c r="A18" i="37"/>
  <c r="A19" i="37" s="1"/>
  <c r="A16" i="37"/>
  <c r="A15" i="37"/>
  <c r="A14" i="37"/>
  <c r="A12" i="37"/>
  <c r="A11" i="37"/>
  <c r="A10" i="37"/>
  <c r="Q9" i="37"/>
  <c r="P9" i="37"/>
  <c r="E6" i="37"/>
  <c r="F6" i="37" s="1"/>
  <c r="G6" i="37" s="1"/>
  <c r="H6" i="37" s="1"/>
  <c r="I6" i="37" s="1"/>
  <c r="J6" i="37" s="1"/>
  <c r="K6" i="37" s="1"/>
  <c r="L6" i="37" s="1"/>
  <c r="M6" i="37" s="1"/>
  <c r="N6" i="37" s="1"/>
  <c r="O6" i="37" s="1"/>
  <c r="P6" i="37" s="1"/>
  <c r="Q6" i="37" s="1"/>
  <c r="B2" i="37"/>
  <c r="D138" i="36"/>
  <c r="D136" i="36"/>
  <c r="C136" i="36"/>
  <c r="Q75" i="36"/>
  <c r="A46" i="36"/>
  <c r="Q39" i="36"/>
  <c r="P39" i="36"/>
  <c r="A35" i="36"/>
  <c r="A34" i="36"/>
  <c r="A32" i="36"/>
  <c r="A30" i="36"/>
  <c r="A29" i="36"/>
  <c r="A28" i="36"/>
  <c r="A26" i="36"/>
  <c r="A27" i="36" s="1"/>
  <c r="A22" i="36"/>
  <c r="A24" i="36" s="1"/>
  <c r="A18" i="36"/>
  <c r="A16" i="36"/>
  <c r="A15" i="36"/>
  <c r="A14" i="36"/>
  <c r="A12" i="36"/>
  <c r="A11" i="36"/>
  <c r="A10" i="36"/>
  <c r="E6" i="36"/>
  <c r="E136" i="36" s="1"/>
  <c r="D128" i="35"/>
  <c r="C128" i="35"/>
  <c r="Q101" i="35"/>
  <c r="P101" i="35"/>
  <c r="O101" i="35"/>
  <c r="N101" i="35"/>
  <c r="M101" i="35"/>
  <c r="L101" i="35"/>
  <c r="K101" i="35"/>
  <c r="J101" i="35"/>
  <c r="I101" i="35"/>
  <c r="H101" i="35"/>
  <c r="G101" i="35"/>
  <c r="F101" i="35"/>
  <c r="E101" i="35"/>
  <c r="R101" i="35" s="1"/>
  <c r="D101" i="35"/>
  <c r="Q75" i="35"/>
  <c r="A46" i="35"/>
  <c r="A47" i="35" s="1"/>
  <c r="A48" i="35" s="1"/>
  <c r="A50" i="35" s="1"/>
  <c r="Q39" i="35"/>
  <c r="P39" i="35"/>
  <c r="A35" i="35"/>
  <c r="A34" i="35"/>
  <c r="A32" i="35"/>
  <c r="A30" i="35"/>
  <c r="A29" i="35"/>
  <c r="A28" i="35"/>
  <c r="A26" i="35"/>
  <c r="A27" i="35" s="1"/>
  <c r="A22" i="35"/>
  <c r="A24" i="35" s="1"/>
  <c r="A18" i="35"/>
  <c r="A20" i="35" s="1"/>
  <c r="A16" i="35"/>
  <c r="A15" i="35"/>
  <c r="A14" i="35"/>
  <c r="A12" i="35"/>
  <c r="A11" i="35"/>
  <c r="A10" i="35"/>
  <c r="E6" i="35"/>
  <c r="E128" i="35" s="1"/>
  <c r="D138" i="34"/>
  <c r="D136" i="34"/>
  <c r="C136" i="34"/>
  <c r="Q75" i="34"/>
  <c r="A46" i="34"/>
  <c r="A47" i="34" s="1"/>
  <c r="A48" i="34" s="1"/>
  <c r="A50" i="34" s="1"/>
  <c r="Q39" i="34"/>
  <c r="P39" i="34"/>
  <c r="A35" i="34"/>
  <c r="A34" i="34"/>
  <c r="A32" i="34"/>
  <c r="A30" i="34"/>
  <c r="A29" i="34"/>
  <c r="A28" i="34"/>
  <c r="A26" i="34"/>
  <c r="A27" i="34" s="1"/>
  <c r="A22" i="34"/>
  <c r="A23" i="34" s="1"/>
  <c r="A18" i="34"/>
  <c r="A20" i="34" s="1"/>
  <c r="A16" i="34"/>
  <c r="A15" i="34"/>
  <c r="A14" i="34"/>
  <c r="A12" i="34"/>
  <c r="A11" i="34"/>
  <c r="A10" i="34"/>
  <c r="G6" i="34"/>
  <c r="G136" i="34" s="1"/>
  <c r="F6" i="34"/>
  <c r="F136" i="34" s="1"/>
  <c r="E6" i="34"/>
  <c r="E136" i="34" s="1"/>
  <c r="D141" i="33"/>
  <c r="C141" i="33"/>
  <c r="Q75" i="33"/>
  <c r="A46" i="33"/>
  <c r="A47" i="33" s="1"/>
  <c r="A48" i="33" s="1"/>
  <c r="A50" i="33" s="1"/>
  <c r="Q39" i="33"/>
  <c r="P39" i="33"/>
  <c r="A35" i="33"/>
  <c r="A34" i="33"/>
  <c r="A32" i="33"/>
  <c r="A30" i="33"/>
  <c r="A29" i="33"/>
  <c r="A28" i="33"/>
  <c r="A26" i="33"/>
  <c r="A27" i="33" s="1"/>
  <c r="A22" i="33"/>
  <c r="A23" i="33" s="1"/>
  <c r="A18" i="33"/>
  <c r="A16" i="33"/>
  <c r="A15" i="33"/>
  <c r="A14" i="33"/>
  <c r="A12" i="33"/>
  <c r="A11" i="33"/>
  <c r="A10" i="33"/>
  <c r="E6" i="33"/>
  <c r="E141" i="33" s="1"/>
  <c r="M84" i="34"/>
  <c r="L111" i="34"/>
  <c r="L110" i="34"/>
  <c r="L106" i="34"/>
  <c r="L104" i="34"/>
  <c r="L102" i="34"/>
  <c r="L87" i="34"/>
  <c r="L99" i="34" s="1"/>
  <c r="L86" i="34"/>
  <c r="L84" i="34"/>
  <c r="K111" i="34"/>
  <c r="K110" i="34"/>
  <c r="K108" i="34"/>
  <c r="K106" i="34"/>
  <c r="K105" i="34"/>
  <c r="K104" i="34"/>
  <c r="K102" i="34"/>
  <c r="K88" i="34"/>
  <c r="K87" i="34"/>
  <c r="K86" i="34"/>
  <c r="J111" i="34"/>
  <c r="J110" i="34"/>
  <c r="J106" i="34"/>
  <c r="J105" i="34"/>
  <c r="J104" i="34"/>
  <c r="J102" i="34"/>
  <c r="J86" i="34"/>
  <c r="J84" i="34"/>
  <c r="I111" i="34"/>
  <c r="I110" i="34"/>
  <c r="I108" i="34"/>
  <c r="I118" i="34" s="1"/>
  <c r="I106" i="34"/>
  <c r="I105" i="34"/>
  <c r="I104" i="34"/>
  <c r="I102" i="34"/>
  <c r="I88" i="34"/>
  <c r="I87" i="34"/>
  <c r="I86" i="34"/>
  <c r="I98" i="34" s="1"/>
  <c r="H111" i="34"/>
  <c r="H106" i="34"/>
  <c r="H105" i="34"/>
  <c r="H104" i="34"/>
  <c r="H88" i="34"/>
  <c r="H87" i="34"/>
  <c r="H91" i="34" s="1"/>
  <c r="H86" i="34"/>
  <c r="G111" i="34"/>
  <c r="G110" i="34"/>
  <c r="G108" i="34"/>
  <c r="G106" i="34"/>
  <c r="G105" i="34"/>
  <c r="G104" i="34"/>
  <c r="G102" i="34"/>
  <c r="G88" i="34"/>
  <c r="G87" i="34"/>
  <c r="G86" i="34"/>
  <c r="F110" i="34"/>
  <c r="F108" i="34"/>
  <c r="F106" i="34"/>
  <c r="F105" i="34"/>
  <c r="F104" i="34"/>
  <c r="F102" i="34"/>
  <c r="F88" i="34"/>
  <c r="F87" i="34"/>
  <c r="F86" i="34"/>
  <c r="E111" i="34"/>
  <c r="E110" i="34"/>
  <c r="E108" i="34"/>
  <c r="E118" i="34" s="1"/>
  <c r="E106" i="34"/>
  <c r="E105" i="34"/>
  <c r="E104" i="34"/>
  <c r="E102" i="34"/>
  <c r="E88" i="34"/>
  <c r="E87" i="34"/>
  <c r="E84" i="34"/>
  <c r="M111" i="34"/>
  <c r="Q84" i="35"/>
  <c r="M84" i="35"/>
  <c r="L84" i="35"/>
  <c r="K84" i="35"/>
  <c r="J84" i="35"/>
  <c r="I111" i="35"/>
  <c r="I110" i="35"/>
  <c r="I108" i="35"/>
  <c r="I106" i="35"/>
  <c r="I105" i="35"/>
  <c r="I88" i="35"/>
  <c r="I100" i="35" s="1"/>
  <c r="I87" i="35"/>
  <c r="I99" i="35" s="1"/>
  <c r="I86" i="35"/>
  <c r="I84" i="35"/>
  <c r="H111" i="35"/>
  <c r="H110" i="35"/>
  <c r="H108" i="35"/>
  <c r="H106" i="35"/>
  <c r="H105" i="35"/>
  <c r="H88" i="35"/>
  <c r="H100" i="35" s="1"/>
  <c r="H87" i="35"/>
  <c r="H86" i="35"/>
  <c r="H84" i="35"/>
  <c r="G111" i="35"/>
  <c r="G110" i="35"/>
  <c r="G108" i="35"/>
  <c r="G106" i="35"/>
  <c r="G105" i="35"/>
  <c r="G88" i="35"/>
  <c r="G100" i="35" s="1"/>
  <c r="G87" i="35"/>
  <c r="G86" i="35"/>
  <c r="G84" i="35"/>
  <c r="F111" i="35"/>
  <c r="F110" i="35"/>
  <c r="F108" i="35"/>
  <c r="F106" i="35"/>
  <c r="F105" i="35"/>
  <c r="F88" i="35"/>
  <c r="F100" i="35" s="1"/>
  <c r="F87" i="35"/>
  <c r="F99" i="35" s="1"/>
  <c r="E111" i="35"/>
  <c r="E110" i="35"/>
  <c r="E108" i="35"/>
  <c r="E106" i="35"/>
  <c r="E105" i="35"/>
  <c r="E88" i="35"/>
  <c r="E100" i="35" s="1"/>
  <c r="E87" i="35"/>
  <c r="E99" i="35" s="1"/>
  <c r="E86" i="35"/>
  <c r="E84" i="35"/>
  <c r="D111" i="35"/>
  <c r="D110" i="35"/>
  <c r="D108" i="35"/>
  <c r="D116" i="35" s="1"/>
  <c r="D88" i="35"/>
  <c r="D86" i="35"/>
  <c r="O32" i="36" a="1"/>
  <c r="D47" i="34" a="1"/>
  <c r="O32" i="33" a="1"/>
  <c r="F47" i="35" a="1"/>
  <c r="G47" i="35" a="1"/>
  <c r="H47" i="34" a="1"/>
  <c r="K46" i="34" a="1"/>
  <c r="D46" i="35" a="1"/>
  <c r="H48" i="34" a="1"/>
  <c r="O32" i="34" a="1"/>
  <c r="E48" i="35" a="1"/>
  <c r="H46" i="34" a="1"/>
  <c r="H46" i="35" a="1"/>
  <c r="E48" i="34" a="1"/>
  <c r="G46" i="34" a="1"/>
  <c r="E86" i="34" l="1"/>
  <c r="E86" i="36"/>
  <c r="A23" i="35"/>
  <c r="A20" i="37"/>
  <c r="A23" i="36"/>
  <c r="P111" i="34"/>
  <c r="A24" i="37"/>
  <c r="A47" i="37"/>
  <c r="A48" i="37" s="1"/>
  <c r="A50" i="37" s="1"/>
  <c r="O32" i="36"/>
  <c r="A20" i="36"/>
  <c r="A47" i="36"/>
  <c r="A48" i="36" s="1"/>
  <c r="A50" i="36" s="1"/>
  <c r="F6" i="36"/>
  <c r="A19" i="36"/>
  <c r="A19" i="35"/>
  <c r="A24" i="34"/>
  <c r="D106" i="35"/>
  <c r="H99" i="35"/>
  <c r="H116" i="35"/>
  <c r="F116" i="35"/>
  <c r="G116" i="35"/>
  <c r="I85" i="35"/>
  <c r="O84" i="35"/>
  <c r="I116" i="35"/>
  <c r="F86" i="35"/>
  <c r="F90" i="35" s="1"/>
  <c r="D105" i="35"/>
  <c r="H132" i="35"/>
  <c r="H85" i="35"/>
  <c r="F84" i="35"/>
  <c r="E132" i="35"/>
  <c r="E85" i="35"/>
  <c r="N84" i="35"/>
  <c r="D87" i="35"/>
  <c r="D99" i="35" s="1"/>
  <c r="E116" i="35"/>
  <c r="P84" i="35"/>
  <c r="I132" i="35"/>
  <c r="F118" i="34"/>
  <c r="K113" i="34"/>
  <c r="K115" i="34"/>
  <c r="H92" i="34"/>
  <c r="L103" i="34"/>
  <c r="H90" i="34"/>
  <c r="K99" i="34"/>
  <c r="G98" i="34"/>
  <c r="G99" i="34"/>
  <c r="G116" i="34"/>
  <c r="G103" i="34"/>
  <c r="G101" i="34" s="1"/>
  <c r="G100" i="34"/>
  <c r="K103" i="34"/>
  <c r="G118" i="34"/>
  <c r="F84" i="34"/>
  <c r="N84" i="34"/>
  <c r="I114" i="34"/>
  <c r="G84" i="34"/>
  <c r="O84" i="34"/>
  <c r="I120" i="34"/>
  <c r="I103" i="34"/>
  <c r="E103" i="34"/>
  <c r="E101" i="34" s="1"/>
  <c r="I115" i="34"/>
  <c r="H84" i="34"/>
  <c r="P84" i="34"/>
  <c r="J103" i="34"/>
  <c r="I84" i="34"/>
  <c r="Q84" i="34"/>
  <c r="J120" i="34"/>
  <c r="K118" i="34"/>
  <c r="E114" i="34"/>
  <c r="K84" i="34"/>
  <c r="F103" i="34"/>
  <c r="G99" i="35"/>
  <c r="G132" i="35"/>
  <c r="G85" i="35"/>
  <c r="L120" i="34"/>
  <c r="K96" i="34"/>
  <c r="G114" i="34"/>
  <c r="L90" i="34"/>
  <c r="L98" i="34"/>
  <c r="G85" i="34"/>
  <c r="L94" i="34"/>
  <c r="I90" i="34"/>
  <c r="I85" i="34"/>
  <c r="I95" i="34"/>
  <c r="G113" i="34"/>
  <c r="I91" i="34"/>
  <c r="J113" i="34"/>
  <c r="G115" i="34"/>
  <c r="I92" i="34"/>
  <c r="I100" i="34"/>
  <c r="D46" i="35"/>
  <c r="E48" i="35"/>
  <c r="H46" i="35"/>
  <c r="F47" i="35"/>
  <c r="G47" i="35"/>
  <c r="A51" i="35"/>
  <c r="A52" i="35" s="1"/>
  <c r="A54" i="35" s="1"/>
  <c r="A55" i="35" s="1"/>
  <c r="A56" i="35" s="1"/>
  <c r="F6" i="35"/>
  <c r="D92" i="35"/>
  <c r="D98" i="35"/>
  <c r="D94" i="35"/>
  <c r="D90" i="35"/>
  <c r="D100" i="35"/>
  <c r="D96" i="35"/>
  <c r="E90" i="35"/>
  <c r="E91" i="35"/>
  <c r="E92" i="35"/>
  <c r="E94" i="35"/>
  <c r="E95" i="35"/>
  <c r="E96" i="35"/>
  <c r="E98" i="35"/>
  <c r="F91" i="35"/>
  <c r="F92" i="35"/>
  <c r="F95" i="35"/>
  <c r="F96" i="35"/>
  <c r="G90" i="35"/>
  <c r="G91" i="35"/>
  <c r="G92" i="35"/>
  <c r="G94" i="35"/>
  <c r="G95" i="35"/>
  <c r="G96" i="35"/>
  <c r="G98" i="35"/>
  <c r="H90" i="35"/>
  <c r="H91" i="35"/>
  <c r="H92" i="35"/>
  <c r="H94" i="35"/>
  <c r="H95" i="35"/>
  <c r="H96" i="35"/>
  <c r="H98" i="35"/>
  <c r="I90" i="35"/>
  <c r="I91" i="35"/>
  <c r="I92" i="35"/>
  <c r="I94" i="35"/>
  <c r="I95" i="35"/>
  <c r="I96" i="35"/>
  <c r="I98" i="35"/>
  <c r="H48" i="34"/>
  <c r="G46" i="34"/>
  <c r="H46" i="34"/>
  <c r="D47" i="34"/>
  <c r="K46" i="34"/>
  <c r="H47" i="34"/>
  <c r="O32" i="34"/>
  <c r="E48" i="34"/>
  <c r="H6" i="34"/>
  <c r="A51" i="34"/>
  <c r="A52" i="34" s="1"/>
  <c r="A54" i="34" s="1"/>
  <c r="A55" i="34" s="1"/>
  <c r="A56" i="34" s="1"/>
  <c r="F98" i="34"/>
  <c r="F94" i="34"/>
  <c r="F90" i="34"/>
  <c r="F142" i="34"/>
  <c r="F113" i="34"/>
  <c r="F85" i="34"/>
  <c r="H100" i="34"/>
  <c r="H96" i="34"/>
  <c r="H115" i="34"/>
  <c r="H99" i="34"/>
  <c r="H95" i="34"/>
  <c r="H85" i="34"/>
  <c r="H114" i="34"/>
  <c r="A19" i="34"/>
  <c r="K142" i="34"/>
  <c r="K98" i="34"/>
  <c r="K90" i="34"/>
  <c r="K85" i="34"/>
  <c r="K94" i="34"/>
  <c r="L114" i="34"/>
  <c r="L95" i="34"/>
  <c r="L91" i="34"/>
  <c r="E115" i="34"/>
  <c r="E100" i="34"/>
  <c r="E96" i="34"/>
  <c r="E92" i="34"/>
  <c r="I116" i="34"/>
  <c r="E85" i="34"/>
  <c r="K114" i="34"/>
  <c r="K91" i="34"/>
  <c r="K95" i="34"/>
  <c r="E116" i="34"/>
  <c r="E120" i="34"/>
  <c r="F116" i="34"/>
  <c r="F120" i="34"/>
  <c r="E98" i="34"/>
  <c r="E94" i="34"/>
  <c r="E90" i="34"/>
  <c r="E142" i="34"/>
  <c r="F99" i="34"/>
  <c r="F95" i="34"/>
  <c r="F91" i="34"/>
  <c r="F114" i="34"/>
  <c r="I96" i="34"/>
  <c r="H98" i="34"/>
  <c r="H94" i="34"/>
  <c r="H142" i="34"/>
  <c r="H113" i="34"/>
  <c r="K100" i="34"/>
  <c r="K120" i="34"/>
  <c r="I142" i="34"/>
  <c r="I113" i="34"/>
  <c r="I94" i="34"/>
  <c r="I99" i="34"/>
  <c r="L113" i="34"/>
  <c r="E99" i="34"/>
  <c r="E95" i="34"/>
  <c r="E91" i="34"/>
  <c r="F115" i="34"/>
  <c r="F100" i="34"/>
  <c r="F96" i="34"/>
  <c r="F92" i="34"/>
  <c r="K92" i="34"/>
  <c r="K116" i="34"/>
  <c r="J90" i="34"/>
  <c r="J94" i="34"/>
  <c r="J98" i="34"/>
  <c r="J116" i="34"/>
  <c r="G120" i="34"/>
  <c r="G142" i="34"/>
  <c r="G90" i="34"/>
  <c r="G91" i="34"/>
  <c r="G92" i="34"/>
  <c r="G94" i="34"/>
  <c r="G95" i="34"/>
  <c r="G96" i="34"/>
  <c r="O32" i="33"/>
  <c r="A51" i="33"/>
  <c r="A52" i="33" s="1"/>
  <c r="A54" i="33" s="1"/>
  <c r="A55" i="33" s="1"/>
  <c r="A56" i="33" s="1"/>
  <c r="F6" i="33"/>
  <c r="A19" i="33"/>
  <c r="A24" i="33"/>
  <c r="A20" i="33"/>
  <c r="K75" i="5"/>
  <c r="L75" i="5"/>
  <c r="K55" i="34" a="1"/>
  <c r="C52" i="35" a="1"/>
  <c r="G55" i="35" a="1"/>
  <c r="G50" i="35" a="1"/>
  <c r="G54" i="35" a="1"/>
  <c r="G48" i="34" a="1"/>
  <c r="F56" i="34" a="1"/>
  <c r="I54" i="34" a="1"/>
  <c r="G56" i="34" a="1"/>
  <c r="D12" i="34" a="1"/>
  <c r="E50" i="35" a="1"/>
  <c r="C46" i="35" a="1"/>
  <c r="H48" i="35" a="1"/>
  <c r="H51" i="35" a="1"/>
  <c r="H50" i="35" a="1"/>
  <c r="H54" i="34" a="1"/>
  <c r="J48" i="34" a="1"/>
  <c r="G46" i="35" a="1"/>
  <c r="G47" i="34" a="1"/>
  <c r="I50" i="34" a="1"/>
  <c r="F10" i="34" a="1"/>
  <c r="I46" i="34" a="1"/>
  <c r="J54" i="34" a="1"/>
  <c r="E47" i="34" a="1"/>
  <c r="E46" i="35" a="1"/>
  <c r="E46" i="34" a="1"/>
  <c r="G10" i="35" a="1"/>
  <c r="F50" i="35" a="1"/>
  <c r="K50" i="34" a="1"/>
  <c r="K51" i="34" a="1"/>
  <c r="D50" i="35" a="1"/>
  <c r="G51" i="35" a="1"/>
  <c r="F51" i="34" a="1"/>
  <c r="F48" i="34" a="1"/>
  <c r="D52" i="34" a="1"/>
  <c r="C47" i="35" a="1"/>
  <c r="D56" i="34" a="1"/>
  <c r="D52" i="35" a="1"/>
  <c r="J51" i="34" a="1"/>
  <c r="C54" i="35" a="1"/>
  <c r="G52" i="34" a="1"/>
  <c r="E52" i="35" a="1"/>
  <c r="J50" i="34" a="1"/>
  <c r="D55" i="35" a="1"/>
  <c r="F54" i="35" a="1"/>
  <c r="H52" i="35" a="1"/>
  <c r="F50" i="34" a="1"/>
  <c r="E55" i="34" a="1"/>
  <c r="G50" i="34" a="1"/>
  <c r="D51" i="35" a="1"/>
  <c r="E56" i="34" a="1"/>
  <c r="G10" i="34" a="1"/>
  <c r="H56" i="34" a="1"/>
  <c r="F47" i="34" a="1"/>
  <c r="D56" i="35" a="1"/>
  <c r="G48" i="35" a="1"/>
  <c r="O32" i="35" a="1"/>
  <c r="J10" i="34" a="1"/>
  <c r="E51" i="35" a="1"/>
  <c r="F55" i="34" a="1"/>
  <c r="F56" i="35" a="1"/>
  <c r="D46" i="34" a="1"/>
  <c r="E11" i="35" a="1"/>
  <c r="J47" i="34" a="1"/>
  <c r="C50" i="35" a="1"/>
  <c r="H56" i="35" a="1"/>
  <c r="C10" i="35" a="1"/>
  <c r="D48" i="34" a="1"/>
  <c r="G56" i="35" a="1"/>
  <c r="H50" i="34" a="1"/>
  <c r="F46" i="34" a="1"/>
  <c r="D55" i="34" a="1"/>
  <c r="G54" i="34" a="1"/>
  <c r="E56" i="35" a="1"/>
  <c r="F52" i="34" a="1"/>
  <c r="H55" i="34" a="1"/>
  <c r="C11" i="34" a="1"/>
  <c r="K54" i="34" a="1"/>
  <c r="G11" i="34" a="1"/>
  <c r="E50" i="34" a="1"/>
  <c r="F55" i="35" a="1"/>
  <c r="J55" i="34" a="1"/>
  <c r="F46" i="35" a="1"/>
  <c r="H55" i="35" a="1"/>
  <c r="F51" i="35" a="1"/>
  <c r="C56" i="35" a="1"/>
  <c r="G52" i="35" a="1"/>
  <c r="H47" i="35" a="1"/>
  <c r="H51" i="34" a="1"/>
  <c r="F11" i="35" a="1"/>
  <c r="D48" i="35" a="1"/>
  <c r="J56" i="34" a="1"/>
  <c r="J46" i="34" a="1"/>
  <c r="E54" i="34" a="1"/>
  <c r="H52" i="34" a="1"/>
  <c r="D47" i="35" a="1"/>
  <c r="E51" i="34" a="1"/>
  <c r="G51" i="34" a="1"/>
  <c r="D51" i="34" a="1"/>
  <c r="C48" i="35" a="1"/>
  <c r="E55" i="35" a="1"/>
  <c r="D54" i="34" a="1"/>
  <c r="E52" i="34" a="1"/>
  <c r="G12" i="34" a="1"/>
  <c r="D54" i="35" a="1"/>
  <c r="J52" i="34" a="1"/>
  <c r="F48" i="35" a="1"/>
  <c r="D12" i="35" a="1"/>
  <c r="H54" i="35" a="1"/>
  <c r="F52" i="35" a="1"/>
  <c r="O32" i="37" a="1"/>
  <c r="G55" i="34" a="1"/>
  <c r="D50" i="34" a="1"/>
  <c r="E47" i="35" a="1"/>
  <c r="K47" i="34" a="1"/>
  <c r="F54" i="34" a="1"/>
  <c r="D46" i="34" l="1"/>
  <c r="E113" i="34"/>
  <c r="M106" i="34"/>
  <c r="P106" i="34"/>
  <c r="L108" i="34"/>
  <c r="L118" i="34" s="1"/>
  <c r="D102" i="34"/>
  <c r="D120" i="34" s="1"/>
  <c r="J108" i="34"/>
  <c r="J118" i="34" s="1"/>
  <c r="D104" i="34"/>
  <c r="D110" i="34"/>
  <c r="J87" i="34"/>
  <c r="J114" i="34" s="1"/>
  <c r="D111" i="34"/>
  <c r="D106" i="34"/>
  <c r="M108" i="34"/>
  <c r="M118" i="34" s="1"/>
  <c r="H108" i="34"/>
  <c r="H118" i="34" s="1"/>
  <c r="L88" i="34"/>
  <c r="L85" i="34" s="1"/>
  <c r="L105" i="34"/>
  <c r="L101" i="34" s="1"/>
  <c r="H110" i="34"/>
  <c r="J88" i="34"/>
  <c r="J85" i="34" s="1"/>
  <c r="H102" i="34"/>
  <c r="H120" i="34" s="1"/>
  <c r="D108" i="34"/>
  <c r="D118" i="34" s="1"/>
  <c r="P108" i="34"/>
  <c r="P118" i="34" s="1"/>
  <c r="D105" i="34"/>
  <c r="F111" i="34"/>
  <c r="O32" i="37"/>
  <c r="A51" i="37"/>
  <c r="A52" i="37" s="1"/>
  <c r="A54" i="37" s="1"/>
  <c r="A55" i="37" s="1"/>
  <c r="A56" i="37" s="1"/>
  <c r="F136" i="36"/>
  <c r="G6" i="36"/>
  <c r="A51" i="36"/>
  <c r="A52" i="36" s="1"/>
  <c r="A54" i="36" s="1"/>
  <c r="A55" i="36" s="1"/>
  <c r="A56" i="36" s="1"/>
  <c r="D132" i="35"/>
  <c r="D129" i="35"/>
  <c r="D130" i="35"/>
  <c r="K101" i="34"/>
  <c r="D95" i="35"/>
  <c r="C47" i="35"/>
  <c r="F98" i="35"/>
  <c r="R84" i="35"/>
  <c r="D91" i="35"/>
  <c r="F132" i="35"/>
  <c r="F85" i="35"/>
  <c r="F94" i="35"/>
  <c r="J101" i="34"/>
  <c r="I101" i="34"/>
  <c r="F101" i="34"/>
  <c r="J56" i="34"/>
  <c r="K50" i="34"/>
  <c r="H50" i="34"/>
  <c r="G117" i="34"/>
  <c r="D55" i="35"/>
  <c r="F46" i="35"/>
  <c r="E55" i="35"/>
  <c r="D47" i="35"/>
  <c r="D48" i="35"/>
  <c r="D54" i="35"/>
  <c r="E46" i="35"/>
  <c r="E51" i="35"/>
  <c r="D12" i="35"/>
  <c r="C10" i="35"/>
  <c r="H47" i="35"/>
  <c r="H54" i="35"/>
  <c r="E11" i="35"/>
  <c r="G55" i="35"/>
  <c r="F56" i="35"/>
  <c r="G54" i="35"/>
  <c r="C52" i="35"/>
  <c r="D52" i="35"/>
  <c r="D50" i="35"/>
  <c r="O32" i="35"/>
  <c r="C56" i="35"/>
  <c r="C54" i="35"/>
  <c r="G52" i="35"/>
  <c r="H52" i="35"/>
  <c r="H50" i="35"/>
  <c r="F51" i="35"/>
  <c r="G46" i="35"/>
  <c r="G48" i="35"/>
  <c r="E50" i="35"/>
  <c r="F55" i="35"/>
  <c r="C46" i="35"/>
  <c r="E56" i="35"/>
  <c r="C48" i="35"/>
  <c r="H48" i="35"/>
  <c r="G56" i="35"/>
  <c r="G51" i="35"/>
  <c r="E47" i="35"/>
  <c r="H56" i="35"/>
  <c r="F48" i="35"/>
  <c r="F11" i="35"/>
  <c r="C50" i="35"/>
  <c r="D51" i="35"/>
  <c r="E52" i="35"/>
  <c r="H55" i="35"/>
  <c r="F54" i="35"/>
  <c r="D56" i="35"/>
  <c r="F50" i="35"/>
  <c r="G50" i="35"/>
  <c r="H51" i="35"/>
  <c r="F52" i="35"/>
  <c r="G10" i="35"/>
  <c r="F128" i="35"/>
  <c r="G6" i="35"/>
  <c r="A58" i="35"/>
  <c r="A59" i="35"/>
  <c r="A60" i="35"/>
  <c r="G10" i="34"/>
  <c r="F54" i="34"/>
  <c r="J50" i="34"/>
  <c r="D51" i="34"/>
  <c r="F47" i="34"/>
  <c r="J46" i="34"/>
  <c r="F48" i="34"/>
  <c r="G47" i="34"/>
  <c r="E55" i="34"/>
  <c r="J54" i="34"/>
  <c r="G50" i="34"/>
  <c r="H51" i="34"/>
  <c r="G12" i="34"/>
  <c r="H54" i="34"/>
  <c r="F46" i="34"/>
  <c r="G56" i="34"/>
  <c r="G54" i="34"/>
  <c r="J48" i="34"/>
  <c r="K47" i="34"/>
  <c r="J10" i="34"/>
  <c r="F55" i="34"/>
  <c r="F10" i="34"/>
  <c r="D52" i="34"/>
  <c r="C11" i="34"/>
  <c r="F52" i="34"/>
  <c r="E54" i="34"/>
  <c r="J47" i="34"/>
  <c r="D48" i="34"/>
  <c r="H56" i="34"/>
  <c r="D54" i="34"/>
  <c r="I50" i="34"/>
  <c r="H52" i="34"/>
  <c r="D55" i="34"/>
  <c r="H55" i="34"/>
  <c r="G55" i="34"/>
  <c r="E51" i="34"/>
  <c r="F51" i="34"/>
  <c r="F56" i="34"/>
  <c r="I54" i="34"/>
  <c r="K51" i="34"/>
  <c r="G48" i="34"/>
  <c r="K54" i="34"/>
  <c r="E46" i="34"/>
  <c r="J55" i="34"/>
  <c r="K55" i="34"/>
  <c r="E50" i="34"/>
  <c r="G51" i="34"/>
  <c r="E52" i="34"/>
  <c r="J51" i="34"/>
  <c r="D56" i="34"/>
  <c r="E47" i="34"/>
  <c r="I46" i="34"/>
  <c r="E56" i="34"/>
  <c r="G52" i="34"/>
  <c r="F50" i="34"/>
  <c r="J52" i="34"/>
  <c r="D12" i="34"/>
  <c r="G11" i="34"/>
  <c r="D50" i="34"/>
  <c r="E117" i="34"/>
  <c r="K117" i="34"/>
  <c r="F117" i="34"/>
  <c r="A59" i="34"/>
  <c r="A60" i="34"/>
  <c r="A58" i="34"/>
  <c r="H136" i="34"/>
  <c r="I6" i="34"/>
  <c r="H75" i="34"/>
  <c r="I117" i="34"/>
  <c r="F141" i="33"/>
  <c r="G6" i="33"/>
  <c r="A58" i="33"/>
  <c r="A59" i="33"/>
  <c r="A60" i="33"/>
  <c r="N139" i="19"/>
  <c r="O139" i="19"/>
  <c r="P139" i="19"/>
  <c r="Q139" i="19"/>
  <c r="N140" i="19"/>
  <c r="O140" i="19"/>
  <c r="P140" i="19"/>
  <c r="Q140" i="19"/>
  <c r="M140" i="19"/>
  <c r="M139" i="19"/>
  <c r="L139" i="19"/>
  <c r="K139" i="19"/>
  <c r="K58" i="5"/>
  <c r="K61" i="5" s="1"/>
  <c r="F18" i="34" a="1"/>
  <c r="I16" i="34" a="1"/>
  <c r="F15" i="35" a="1"/>
  <c r="C20" i="34" a="1"/>
  <c r="I14" i="34" a="1"/>
  <c r="D20" i="35" a="1"/>
  <c r="H10" i="34" a="1"/>
  <c r="D10" i="34" a="1"/>
  <c r="F18" i="35" a="1"/>
  <c r="I48" i="34" a="1"/>
  <c r="G18" i="35" a="1"/>
  <c r="F11" i="34" a="1"/>
  <c r="G19" i="35" a="1"/>
  <c r="E19" i="34" a="1"/>
  <c r="F19" i="34" a="1"/>
  <c r="E11" i="34" a="1"/>
  <c r="E18" i="34" a="1"/>
  <c r="G20" i="34" a="1"/>
  <c r="C16" i="35" a="1"/>
  <c r="E12" i="35" a="1"/>
  <c r="E14" i="34" a="1"/>
  <c r="E12" i="34" a="1"/>
  <c r="G19" i="34" a="1"/>
  <c r="C14" i="34" a="1"/>
  <c r="K48" i="34" a="1"/>
  <c r="G18" i="34" a="1"/>
  <c r="C18" i="35" a="1"/>
  <c r="F20" i="34" a="1"/>
  <c r="D14" i="35" a="1"/>
  <c r="C19" i="35" a="1"/>
  <c r="I18" i="34" a="1"/>
  <c r="C15" i="34" a="1"/>
  <c r="G20" i="35" a="1"/>
  <c r="F16" i="34" a="1"/>
  <c r="C12" i="35" a="1"/>
  <c r="C15" i="35" a="1"/>
  <c r="D15" i="35" a="1"/>
  <c r="D16" i="35" a="1"/>
  <c r="E15" i="35" a="1"/>
  <c r="C19" i="34" a="1"/>
  <c r="I19" i="34" a="1"/>
  <c r="D14" i="34" a="1"/>
  <c r="C18" i="34" a="1"/>
  <c r="I11" i="34" a="1"/>
  <c r="D20" i="34" a="1"/>
  <c r="J15" i="34" a="1"/>
  <c r="F16" i="35" a="1"/>
  <c r="F10" i="35" a="1"/>
  <c r="E10" i="34" a="1"/>
  <c r="I10" i="34" a="1"/>
  <c r="C12" i="34" a="1"/>
  <c r="G12" i="35" a="1"/>
  <c r="C11" i="35" a="1"/>
  <c r="F12" i="34" a="1"/>
  <c r="I15" i="34" a="1"/>
  <c r="E14" i="35" a="1"/>
  <c r="F12" i="35" a="1"/>
  <c r="C20" i="35" a="1"/>
  <c r="E19" i="35" a="1"/>
  <c r="G15" i="34" a="1"/>
  <c r="J11" i="34" a="1"/>
  <c r="D11" i="34" a="1"/>
  <c r="C16" i="34" a="1"/>
  <c r="J19" i="34" a="1"/>
  <c r="F14" i="34" a="1"/>
  <c r="H18" i="34" a="1"/>
  <c r="D18" i="34" a="1"/>
  <c r="E20" i="34" a="1"/>
  <c r="E54" i="35" a="1"/>
  <c r="D15" i="34" a="1"/>
  <c r="F19" i="35" a="1"/>
  <c r="F14" i="35" a="1"/>
  <c r="E10" i="35" a="1"/>
  <c r="G15" i="35" a="1"/>
  <c r="D16" i="34" a="1"/>
  <c r="G16" i="34" a="1"/>
  <c r="C51" i="35" a="1"/>
  <c r="H14" i="34" a="1"/>
  <c r="E16" i="35" a="1"/>
  <c r="D19" i="34" a="1"/>
  <c r="E20" i="35" a="1"/>
  <c r="I12" i="34" a="1"/>
  <c r="D19" i="35" a="1"/>
  <c r="G14" i="34" a="1"/>
  <c r="E15" i="34" a="1"/>
  <c r="C10" i="34" a="1"/>
  <c r="D11" i="35" a="1"/>
  <c r="D10" i="35" a="1"/>
  <c r="F20" i="35" a="1"/>
  <c r="F15" i="34" a="1"/>
  <c r="J14" i="34" a="1"/>
  <c r="I20" i="34" a="1"/>
  <c r="G16" i="35" a="1"/>
  <c r="J18" i="34" a="1"/>
  <c r="G11" i="35" a="1"/>
  <c r="G14" i="35" a="1"/>
  <c r="E18" i="35" a="1"/>
  <c r="C14" i="35" a="1"/>
  <c r="I47" i="34" a="1"/>
  <c r="C55" i="35" a="1"/>
  <c r="E16" i="34" a="1"/>
  <c r="D75" i="34" l="1"/>
  <c r="C10" i="34"/>
  <c r="D116" i="34"/>
  <c r="J99" i="34"/>
  <c r="H103" i="34"/>
  <c r="H101" i="34" s="1"/>
  <c r="H116" i="34"/>
  <c r="H117" i="34" s="1"/>
  <c r="L142" i="34"/>
  <c r="L116" i="34"/>
  <c r="L100" i="34"/>
  <c r="D103" i="34"/>
  <c r="D101" i="34" s="1"/>
  <c r="L92" i="34"/>
  <c r="J91" i="34"/>
  <c r="L96" i="34"/>
  <c r="J86" i="35"/>
  <c r="J90" i="35" s="1"/>
  <c r="K88" i="35"/>
  <c r="K100" i="35" s="1"/>
  <c r="K48" i="34"/>
  <c r="I47" i="34"/>
  <c r="I48" i="34"/>
  <c r="J92" i="34"/>
  <c r="L115" i="34"/>
  <c r="J95" i="34"/>
  <c r="J96" i="34"/>
  <c r="J115" i="34"/>
  <c r="J117" i="34" s="1"/>
  <c r="J100" i="34"/>
  <c r="J142" i="34"/>
  <c r="A60" i="37"/>
  <c r="A58" i="37"/>
  <c r="A59" i="37"/>
  <c r="G136" i="36"/>
  <c r="H6" i="36"/>
  <c r="A58" i="36"/>
  <c r="A60" i="36"/>
  <c r="A59" i="36"/>
  <c r="G113" i="35"/>
  <c r="G120" i="35" s="1"/>
  <c r="H113" i="35"/>
  <c r="H120" i="35" s="1"/>
  <c r="F113" i="35"/>
  <c r="F120" i="35" s="1"/>
  <c r="E113" i="35"/>
  <c r="E120" i="35" s="1"/>
  <c r="I113" i="35"/>
  <c r="I120" i="35" s="1"/>
  <c r="D113" i="35"/>
  <c r="D120" i="35" s="1"/>
  <c r="F129" i="35"/>
  <c r="G129" i="35"/>
  <c r="E129" i="35"/>
  <c r="I129" i="35"/>
  <c r="H129" i="35"/>
  <c r="K63" i="5"/>
  <c r="K64" i="5" s="1"/>
  <c r="G130" i="35"/>
  <c r="F130" i="35"/>
  <c r="E130" i="35"/>
  <c r="I130" i="35"/>
  <c r="H130" i="35"/>
  <c r="C55" i="35"/>
  <c r="C51" i="35"/>
  <c r="E54" i="35"/>
  <c r="I20" i="34"/>
  <c r="J14" i="34"/>
  <c r="G14" i="34"/>
  <c r="C75" i="35"/>
  <c r="H75" i="35"/>
  <c r="G39" i="34"/>
  <c r="D16" i="35"/>
  <c r="C11" i="35"/>
  <c r="E15" i="35"/>
  <c r="G18" i="35"/>
  <c r="D19" i="35"/>
  <c r="E14" i="35"/>
  <c r="E20" i="35"/>
  <c r="G11" i="35"/>
  <c r="D10" i="35"/>
  <c r="F18" i="35"/>
  <c r="C15" i="35"/>
  <c r="F14" i="35"/>
  <c r="D11" i="35"/>
  <c r="E18" i="35"/>
  <c r="E12" i="35"/>
  <c r="D20" i="35"/>
  <c r="G14" i="35"/>
  <c r="C14" i="35"/>
  <c r="F19" i="35"/>
  <c r="G20" i="35"/>
  <c r="F15" i="35"/>
  <c r="F12" i="35"/>
  <c r="G16" i="35"/>
  <c r="C16" i="35"/>
  <c r="C18" i="35"/>
  <c r="C20" i="35"/>
  <c r="G19" i="35"/>
  <c r="F20" i="35"/>
  <c r="F16" i="35"/>
  <c r="C12" i="35"/>
  <c r="E16" i="35"/>
  <c r="E19" i="35"/>
  <c r="D14" i="35"/>
  <c r="F10" i="35"/>
  <c r="D15" i="35"/>
  <c r="E10" i="35"/>
  <c r="G15" i="35"/>
  <c r="G12" i="35"/>
  <c r="C19" i="35"/>
  <c r="G128" i="35"/>
  <c r="H6" i="35"/>
  <c r="E75" i="35"/>
  <c r="D75" i="35"/>
  <c r="A64" i="35"/>
  <c r="A65" i="35"/>
  <c r="A63" i="35"/>
  <c r="A62" i="35"/>
  <c r="A66" i="35"/>
  <c r="A71" i="35"/>
  <c r="A70" i="35"/>
  <c r="A68" i="35"/>
  <c r="G75" i="35"/>
  <c r="F75" i="35"/>
  <c r="H18" i="34"/>
  <c r="I11" i="34"/>
  <c r="J11" i="34"/>
  <c r="F11" i="34"/>
  <c r="C15" i="34"/>
  <c r="C19" i="34"/>
  <c r="H14" i="34"/>
  <c r="D18" i="34"/>
  <c r="I14" i="34"/>
  <c r="I16" i="34"/>
  <c r="D11" i="34"/>
  <c r="D16" i="34"/>
  <c r="D15" i="34"/>
  <c r="F18" i="34"/>
  <c r="G15" i="34"/>
  <c r="H10" i="34"/>
  <c r="I15" i="34"/>
  <c r="D10" i="34"/>
  <c r="E15" i="34"/>
  <c r="I12" i="34"/>
  <c r="E12" i="34"/>
  <c r="I19" i="34"/>
  <c r="E14" i="34"/>
  <c r="C20" i="34"/>
  <c r="J18" i="34"/>
  <c r="C18" i="34"/>
  <c r="E16" i="34"/>
  <c r="I10" i="34"/>
  <c r="D19" i="34"/>
  <c r="F19" i="34"/>
  <c r="F16" i="34"/>
  <c r="F15" i="34"/>
  <c r="F12" i="34"/>
  <c r="F20" i="34"/>
  <c r="F14" i="34"/>
  <c r="G19" i="34"/>
  <c r="J19" i="34"/>
  <c r="C14" i="34"/>
  <c r="D14" i="34"/>
  <c r="J15" i="34"/>
  <c r="G20" i="34"/>
  <c r="E10" i="34"/>
  <c r="I18" i="34"/>
  <c r="E11" i="34"/>
  <c r="E18" i="34"/>
  <c r="E19" i="34"/>
  <c r="D20" i="34"/>
  <c r="E20" i="34"/>
  <c r="G16" i="34"/>
  <c r="C12" i="34"/>
  <c r="C39" i="34" s="1"/>
  <c r="C16" i="34"/>
  <c r="G18" i="34"/>
  <c r="A64" i="34"/>
  <c r="A62" i="34"/>
  <c r="A66" i="34"/>
  <c r="A65" i="34"/>
  <c r="A63" i="34"/>
  <c r="E75" i="34"/>
  <c r="A71" i="34"/>
  <c r="A68" i="34"/>
  <c r="A70" i="34"/>
  <c r="J75" i="34"/>
  <c r="F75" i="34"/>
  <c r="G75" i="34"/>
  <c r="I136" i="34"/>
  <c r="J6" i="34"/>
  <c r="A65" i="33"/>
  <c r="A66" i="33"/>
  <c r="A63" i="33"/>
  <c r="A64" i="33"/>
  <c r="A62" i="33"/>
  <c r="G141" i="33"/>
  <c r="H6" i="33"/>
  <c r="A70" i="33"/>
  <c r="A68" i="33"/>
  <c r="A71" i="33"/>
  <c r="Q140" i="18"/>
  <c r="P140" i="18"/>
  <c r="O140" i="18"/>
  <c r="N140" i="18"/>
  <c r="Q139" i="18"/>
  <c r="P139" i="18"/>
  <c r="O139" i="18"/>
  <c r="N139" i="18"/>
  <c r="M140" i="18"/>
  <c r="M139" i="18"/>
  <c r="L139" i="18"/>
  <c r="L138" i="18"/>
  <c r="I139" i="20"/>
  <c r="J139" i="20"/>
  <c r="O139" i="20"/>
  <c r="P139" i="20"/>
  <c r="Q139" i="20"/>
  <c r="O140" i="20"/>
  <c r="P140" i="20"/>
  <c r="Q140" i="20"/>
  <c r="N140" i="20"/>
  <c r="N139" i="20"/>
  <c r="M139" i="20"/>
  <c r="L139" i="20"/>
  <c r="K139" i="20"/>
  <c r="I138" i="20"/>
  <c r="G138" i="20"/>
  <c r="F138" i="20"/>
  <c r="E138" i="20"/>
  <c r="H138" i="20"/>
  <c r="I101" i="29"/>
  <c r="J101" i="29"/>
  <c r="L101" i="29"/>
  <c r="M101" i="29"/>
  <c r="Q101" i="29"/>
  <c r="D101" i="29"/>
  <c r="P101" i="29"/>
  <c r="F101" i="29"/>
  <c r="N101" i="29"/>
  <c r="D141" i="30"/>
  <c r="C141" i="30"/>
  <c r="Q75" i="30"/>
  <c r="A46" i="30"/>
  <c r="Q39" i="30"/>
  <c r="P39" i="30"/>
  <c r="A35" i="30"/>
  <c r="A34" i="30"/>
  <c r="A32" i="30"/>
  <c r="A30" i="30"/>
  <c r="A29" i="30"/>
  <c r="A28" i="30"/>
  <c r="A26" i="30"/>
  <c r="A27" i="30" s="1"/>
  <c r="A22" i="30"/>
  <c r="A23" i="30" s="1"/>
  <c r="A18" i="30"/>
  <c r="A20" i="30" s="1"/>
  <c r="A16" i="30"/>
  <c r="A15" i="30"/>
  <c r="A14" i="30"/>
  <c r="A12" i="30"/>
  <c r="A11" i="30"/>
  <c r="A10" i="30"/>
  <c r="E6" i="30"/>
  <c r="D138" i="15"/>
  <c r="D128" i="29"/>
  <c r="C128" i="29"/>
  <c r="Q75" i="29"/>
  <c r="A46" i="29"/>
  <c r="Q39" i="29"/>
  <c r="P39" i="29"/>
  <c r="A35" i="29"/>
  <c r="A34" i="29"/>
  <c r="A32" i="29"/>
  <c r="A30" i="29"/>
  <c r="A29" i="29"/>
  <c r="A28" i="29"/>
  <c r="A26" i="29"/>
  <c r="A27" i="29" s="1"/>
  <c r="A22" i="29"/>
  <c r="A23" i="29" s="1"/>
  <c r="A18" i="29"/>
  <c r="A16" i="29"/>
  <c r="A15" i="29"/>
  <c r="A14" i="29"/>
  <c r="A12" i="29"/>
  <c r="A11" i="29"/>
  <c r="A10" i="29"/>
  <c r="E6" i="29"/>
  <c r="E128" i="29" s="1"/>
  <c r="C59" i="35" a="1"/>
  <c r="I50" i="35" a="1"/>
  <c r="K60" i="34" a="1"/>
  <c r="G59" i="34" a="1"/>
  <c r="K59" i="34" a="1"/>
  <c r="E59" i="34" a="1"/>
  <c r="I58" i="34" a="1"/>
  <c r="F58" i="35" a="1"/>
  <c r="I46" i="35" a="1"/>
  <c r="I51" i="34" a="1"/>
  <c r="H12" i="34" a="1"/>
  <c r="H59" i="34" a="1"/>
  <c r="H58" i="35" a="1"/>
  <c r="I59" i="34" a="1"/>
  <c r="H60" i="35" a="1"/>
  <c r="J58" i="34" a="1"/>
  <c r="I56" i="34" a="1"/>
  <c r="D60" i="34" a="1"/>
  <c r="E59" i="35" a="1"/>
  <c r="K52" i="34" a="1"/>
  <c r="C60" i="35" a="1"/>
  <c r="C58" i="35" a="1"/>
  <c r="E60" i="34" a="1"/>
  <c r="E60" i="35" a="1"/>
  <c r="J60" i="34" a="1"/>
  <c r="D58" i="34" a="1"/>
  <c r="G60" i="34" a="1"/>
  <c r="F60" i="35" a="1"/>
  <c r="E58" i="34" a="1"/>
  <c r="G58" i="34" a="1"/>
  <c r="D60" i="35" a="1"/>
  <c r="H58" i="34" a="1"/>
  <c r="F59" i="34" a="1"/>
  <c r="K58" i="34" a="1"/>
  <c r="I55" i="34" a="1"/>
  <c r="G58" i="35" a="1"/>
  <c r="H59" i="35" a="1"/>
  <c r="J48" i="35" a="1"/>
  <c r="J12" i="34" a="1"/>
  <c r="K56" i="34" a="1"/>
  <c r="G59" i="35" a="1"/>
  <c r="H60" i="34" a="1"/>
  <c r="J60" i="35" a="1"/>
  <c r="I52" i="34" a="1"/>
  <c r="D58" i="35" a="1"/>
  <c r="F59" i="35" a="1"/>
  <c r="D59" i="34" a="1"/>
  <c r="E58" i="35" a="1"/>
  <c r="J59" i="34" a="1"/>
  <c r="G60" i="35" a="1"/>
  <c r="F58" i="34" a="1"/>
  <c r="H11" i="34" a="1"/>
  <c r="I60" i="34" a="1"/>
  <c r="D59" i="35" a="1"/>
  <c r="F60" i="34" a="1"/>
  <c r="D18" i="35" a="1"/>
  <c r="K92" i="35" l="1"/>
  <c r="K96" i="35"/>
  <c r="J98" i="35"/>
  <c r="J94" i="35"/>
  <c r="L117" i="34"/>
  <c r="K56" i="34"/>
  <c r="I51" i="34"/>
  <c r="K52" i="34"/>
  <c r="I75" i="34"/>
  <c r="J48" i="35"/>
  <c r="I46" i="35"/>
  <c r="K86" i="35"/>
  <c r="K94" i="35" s="1"/>
  <c r="L86" i="35"/>
  <c r="L98" i="35" s="1"/>
  <c r="J12" i="34"/>
  <c r="J39" i="34" s="1"/>
  <c r="I55" i="34"/>
  <c r="I56" i="34"/>
  <c r="I52" i="34"/>
  <c r="H12" i="34"/>
  <c r="H11" i="34"/>
  <c r="K75" i="34"/>
  <c r="A70" i="37"/>
  <c r="A68" i="37"/>
  <c r="A71" i="37"/>
  <c r="A64" i="37"/>
  <c r="A65" i="37"/>
  <c r="A62" i="37"/>
  <c r="A66" i="37"/>
  <c r="A63" i="37"/>
  <c r="A63" i="36"/>
  <c r="A64" i="36"/>
  <c r="A65" i="36"/>
  <c r="A62" i="36"/>
  <c r="A66" i="36"/>
  <c r="A71" i="36"/>
  <c r="A68" i="36"/>
  <c r="A70" i="36"/>
  <c r="H136" i="36"/>
  <c r="I6" i="36"/>
  <c r="G114" i="35"/>
  <c r="G121" i="35" s="1"/>
  <c r="H114" i="35"/>
  <c r="H121" i="35" s="1"/>
  <c r="E114" i="35"/>
  <c r="E121" i="35" s="1"/>
  <c r="F114" i="35"/>
  <c r="F121" i="35" s="1"/>
  <c r="I114" i="35"/>
  <c r="I121" i="35" s="1"/>
  <c r="D114" i="35"/>
  <c r="D121" i="35" s="1"/>
  <c r="D18" i="35"/>
  <c r="I50" i="35"/>
  <c r="F39" i="34"/>
  <c r="G39" i="35"/>
  <c r="D143" i="30"/>
  <c r="E39" i="34"/>
  <c r="F39" i="35"/>
  <c r="H60" i="35"/>
  <c r="D60" i="35"/>
  <c r="J60" i="35"/>
  <c r="E59" i="35"/>
  <c r="D59" i="35"/>
  <c r="E60" i="35"/>
  <c r="E58" i="35"/>
  <c r="F58" i="35"/>
  <c r="C58" i="35"/>
  <c r="H59" i="35"/>
  <c r="F59" i="35"/>
  <c r="G58" i="35"/>
  <c r="D58" i="35"/>
  <c r="G59" i="35"/>
  <c r="C59" i="35"/>
  <c r="C60" i="35"/>
  <c r="H58" i="35"/>
  <c r="F60" i="35"/>
  <c r="G60" i="35"/>
  <c r="I39" i="34"/>
  <c r="C39" i="35"/>
  <c r="E39" i="35"/>
  <c r="D39" i="35"/>
  <c r="H128" i="35"/>
  <c r="I6" i="35"/>
  <c r="F60" i="34"/>
  <c r="D58" i="34"/>
  <c r="F59" i="34"/>
  <c r="H59" i="34"/>
  <c r="E58" i="34"/>
  <c r="K59" i="34"/>
  <c r="I60" i="34"/>
  <c r="F58" i="34"/>
  <c r="G58" i="34"/>
  <c r="J58" i="34"/>
  <c r="G60" i="34"/>
  <c r="I58" i="34"/>
  <c r="E60" i="34"/>
  <c r="E59" i="34"/>
  <c r="K60" i="34"/>
  <c r="G59" i="34"/>
  <c r="K58" i="34"/>
  <c r="H58" i="34"/>
  <c r="H60" i="34"/>
  <c r="D60" i="34"/>
  <c r="D59" i="34"/>
  <c r="J60" i="34"/>
  <c r="I59" i="34"/>
  <c r="J59" i="34"/>
  <c r="D39" i="34"/>
  <c r="J136" i="34"/>
  <c r="K6" i="34"/>
  <c r="H141" i="33"/>
  <c r="I6" i="33"/>
  <c r="A24" i="30"/>
  <c r="O101" i="29"/>
  <c r="G101" i="29"/>
  <c r="H101" i="29"/>
  <c r="E101" i="29"/>
  <c r="K101" i="29"/>
  <c r="F6" i="29"/>
  <c r="F128" i="29" s="1"/>
  <c r="E141" i="30"/>
  <c r="F6" i="30"/>
  <c r="A19" i="30"/>
  <c r="A47" i="30"/>
  <c r="A48" i="30" s="1"/>
  <c r="A50" i="30" s="1"/>
  <c r="A24" i="29"/>
  <c r="A19" i="29"/>
  <c r="A20" i="29"/>
  <c r="A47" i="29"/>
  <c r="A48" i="29" s="1"/>
  <c r="A50" i="29" s="1"/>
  <c r="E63" i="35" a="1"/>
  <c r="J63" i="34" a="1"/>
  <c r="F65" i="35" a="1"/>
  <c r="E65" i="35" a="1"/>
  <c r="H66" i="35" a="1"/>
  <c r="P64" i="35" a="1"/>
  <c r="K62" i="35" a="1"/>
  <c r="I62" i="35" a="1"/>
  <c r="H65" i="35" a="1"/>
  <c r="F68" i="35" a="1"/>
  <c r="K65" i="34" a="1"/>
  <c r="H70" i="34" a="1"/>
  <c r="K63" i="34" a="1"/>
  <c r="L64" i="35" a="1"/>
  <c r="H23" i="34" a="1"/>
  <c r="H70" i="35" a="1"/>
  <c r="J52" i="35" a="1"/>
  <c r="D63" i="34" a="1"/>
  <c r="C63" i="34" a="1"/>
  <c r="G70" i="35" a="1"/>
  <c r="D63" i="35" a="1"/>
  <c r="D22" i="35" a="1"/>
  <c r="D23" i="34" a="1"/>
  <c r="K64" i="35" a="1"/>
  <c r="E22" i="35" a="1"/>
  <c r="C23" i="34" a="1"/>
  <c r="I64" i="34" a="1"/>
  <c r="G66" i="34" a="1"/>
  <c r="E70" i="35" a="1"/>
  <c r="O32" i="30" a="1"/>
  <c r="D70" i="35" a="1"/>
  <c r="G65" i="34" a="1"/>
  <c r="G22" i="34" a="1"/>
  <c r="H20" i="34" a="1"/>
  <c r="H68" i="34" a="1"/>
  <c r="K58" i="35" a="1"/>
  <c r="D65" i="35" a="1"/>
  <c r="D24" i="34" a="1"/>
  <c r="O32" i="29" a="1"/>
  <c r="E68" i="35" a="1"/>
  <c r="C62" i="35" a="1"/>
  <c r="G68" i="34" a="1"/>
  <c r="O63" i="35" a="1"/>
  <c r="I24" i="34" a="1"/>
  <c r="G71" i="35" a="1"/>
  <c r="H66" i="34" a="1"/>
  <c r="J16" i="34" a="1"/>
  <c r="J64" i="35" a="1"/>
  <c r="J54" i="35" a="1"/>
  <c r="C64" i="34" a="1"/>
  <c r="D24" i="35" a="1"/>
  <c r="F65" i="34" a="1"/>
  <c r="C22" i="34" a="1"/>
  <c r="G24" i="34" a="1"/>
  <c r="F24" i="35" a="1"/>
  <c r="J56" i="35" a="1"/>
  <c r="D70" i="34" a="1"/>
  <c r="C70" i="35" a="1"/>
  <c r="K71" i="34" a="1"/>
  <c r="J64" i="34" a="1"/>
  <c r="G64" i="35" a="1"/>
  <c r="J24" i="34" a="1"/>
  <c r="E63" i="34" a="1"/>
  <c r="F62" i="35" a="1"/>
  <c r="N62" i="35" a="1"/>
  <c r="E71" i="35" a="1"/>
  <c r="M62" i="35" a="1"/>
  <c r="E23" i="35" a="1"/>
  <c r="L68" i="34" a="1"/>
  <c r="K64" i="34" a="1"/>
  <c r="E66" i="34" a="1"/>
  <c r="H62" i="34" a="1"/>
  <c r="C22" i="35" a="1"/>
  <c r="O62" i="35" a="1"/>
  <c r="H71" i="35" a="1"/>
  <c r="H16" i="34" a="1"/>
  <c r="I71" i="34" a="1"/>
  <c r="H62" i="35" a="1"/>
  <c r="E23" i="34" a="1"/>
  <c r="F22" i="34" a="1"/>
  <c r="F24" i="34" a="1"/>
  <c r="H15" i="34" a="1"/>
  <c r="E65" i="34" a="1"/>
  <c r="F71" i="34" a="1"/>
  <c r="J63" i="35" a="1"/>
  <c r="F62" i="34" a="1"/>
  <c r="L66" i="34" a="1"/>
  <c r="J71" i="34" a="1"/>
  <c r="J66" i="34" a="1"/>
  <c r="E71" i="34" a="1"/>
  <c r="C65" i="35" a="1"/>
  <c r="C63" i="35" a="1"/>
  <c r="F22" i="35" a="1"/>
  <c r="N64" i="35" a="1"/>
  <c r="I58" i="35" a="1"/>
  <c r="J62" i="35" a="1"/>
  <c r="E22" i="34" a="1"/>
  <c r="C71" i="34" a="1"/>
  <c r="O64" i="35" a="1"/>
  <c r="M63" i="35" a="1"/>
  <c r="H63" i="34" a="1"/>
  <c r="C66" i="34" a="1"/>
  <c r="C70" i="34" a="1"/>
  <c r="D65" i="34" a="1"/>
  <c r="P62" i="35" a="1"/>
  <c r="G68" i="35" a="1"/>
  <c r="F66" i="35" a="1"/>
  <c r="I54" i="35" a="1"/>
  <c r="K66" i="34" a="1"/>
  <c r="K46" i="35" a="1"/>
  <c r="D62" i="35" a="1"/>
  <c r="E68" i="34" a="1"/>
  <c r="M64" i="35" a="1"/>
  <c r="E62" i="35" a="1"/>
  <c r="J70" i="34" a="1"/>
  <c r="G71" i="34" a="1"/>
  <c r="I64" i="35" a="1"/>
  <c r="D22" i="34" a="1"/>
  <c r="I63" i="35" a="1"/>
  <c r="D64" i="35" a="1"/>
  <c r="G23" i="34" a="1"/>
  <c r="F63" i="35" a="1"/>
  <c r="F64" i="35" a="1"/>
  <c r="H63" i="35" a="1"/>
  <c r="C65" i="34" a="1"/>
  <c r="D68" i="34" a="1"/>
  <c r="I12" i="35" a="1"/>
  <c r="F64" i="34" a="1"/>
  <c r="E64" i="34" a="1"/>
  <c r="K62" i="34" a="1"/>
  <c r="D71" i="35" a="1"/>
  <c r="D23" i="35" a="1"/>
  <c r="J22" i="34" a="1"/>
  <c r="C23" i="35" a="1"/>
  <c r="H24" i="34" a="1"/>
  <c r="J68" i="34" a="1"/>
  <c r="C71" i="35" a="1"/>
  <c r="C24" i="34" a="1"/>
  <c r="E24" i="34" a="1"/>
  <c r="G70" i="34" a="1"/>
  <c r="J62" i="34" a="1"/>
  <c r="H14" i="35" a="1"/>
  <c r="O68" i="34" a="1"/>
  <c r="H10" i="35" a="1"/>
  <c r="E64" i="35" a="1"/>
  <c r="I66" i="34" a="1"/>
  <c r="I22" i="34" a="1"/>
  <c r="G66" i="35" a="1"/>
  <c r="G62" i="34" a="1"/>
  <c r="K63" i="35" a="1"/>
  <c r="F23" i="35" a="1"/>
  <c r="C64" i="35" a="1"/>
  <c r="L63" i="35" a="1"/>
  <c r="K70" i="34" a="1"/>
  <c r="D71" i="34" a="1"/>
  <c r="F66" i="34" a="1"/>
  <c r="H64" i="34" a="1"/>
  <c r="C66" i="35" a="1"/>
  <c r="D62" i="34" a="1"/>
  <c r="G24" i="35" a="1"/>
  <c r="L71" i="34" a="1"/>
  <c r="L62" i="35" a="1"/>
  <c r="G62" i="35" a="1"/>
  <c r="J23" i="34" a="1"/>
  <c r="C62" i="34" a="1"/>
  <c r="H19" i="34" a="1"/>
  <c r="E66" i="35" a="1"/>
  <c r="J65" i="34" a="1"/>
  <c r="F70" i="34" a="1"/>
  <c r="D66" i="35" a="1"/>
  <c r="F63" i="34" a="1"/>
  <c r="E62" i="34" a="1"/>
  <c r="I70" i="34" a="1"/>
  <c r="F68" i="34" a="1"/>
  <c r="I63" i="34" a="1"/>
  <c r="G63" i="35" a="1"/>
  <c r="H64" i="35" a="1"/>
  <c r="C24" i="35" a="1"/>
  <c r="O71" i="34" a="1"/>
  <c r="I65" i="34" a="1"/>
  <c r="P63" i="35" a="1"/>
  <c r="G64" i="34" a="1"/>
  <c r="O66" i="34" a="1"/>
  <c r="K68" i="34" a="1"/>
  <c r="I68" i="34" a="1"/>
  <c r="J46" i="35" a="1"/>
  <c r="H65" i="34" a="1"/>
  <c r="D66" i="34" a="1"/>
  <c r="I62" i="34" a="1"/>
  <c r="F23" i="34" a="1"/>
  <c r="C68" i="34" a="1"/>
  <c r="E24" i="35" a="1"/>
  <c r="C68" i="35" a="1"/>
  <c r="D68" i="35" a="1"/>
  <c r="G63" i="34" a="1"/>
  <c r="H68" i="35" a="1"/>
  <c r="D64" i="34" a="1"/>
  <c r="F71" i="35" a="1"/>
  <c r="I23" i="34" a="1"/>
  <c r="H71" i="34" a="1"/>
  <c r="E70" i="34" a="1"/>
  <c r="G23" i="35" a="1"/>
  <c r="J20" i="34" a="1"/>
  <c r="G65" i="35" a="1"/>
  <c r="H22" i="34" a="1"/>
  <c r="F70" i="35" a="1"/>
  <c r="N63" i="35" a="1"/>
  <c r="G22" i="35" a="1"/>
  <c r="I24" i="35" a="1"/>
  <c r="K98" i="35" l="1"/>
  <c r="K90" i="35"/>
  <c r="J56" i="35"/>
  <c r="J52" i="35"/>
  <c r="I58" i="35"/>
  <c r="I54" i="35"/>
  <c r="L90" i="35"/>
  <c r="L94" i="35"/>
  <c r="H15" i="34"/>
  <c r="J16" i="34"/>
  <c r="J20" i="34"/>
  <c r="H39" i="34"/>
  <c r="K46" i="35"/>
  <c r="J46" i="35"/>
  <c r="H10" i="35"/>
  <c r="I12" i="35"/>
  <c r="H16" i="34"/>
  <c r="H20" i="34"/>
  <c r="H19" i="34"/>
  <c r="I136" i="36"/>
  <c r="J6" i="36"/>
  <c r="K58" i="35"/>
  <c r="H14" i="35"/>
  <c r="J54" i="35"/>
  <c r="N106" i="35"/>
  <c r="N108" i="35"/>
  <c r="L63" i="35"/>
  <c r="C24" i="35"/>
  <c r="L62" i="35"/>
  <c r="G63" i="35"/>
  <c r="I63" i="35"/>
  <c r="L64" i="35"/>
  <c r="C62" i="35"/>
  <c r="F64" i="35"/>
  <c r="H66" i="35"/>
  <c r="N63" i="35"/>
  <c r="C68" i="35"/>
  <c r="F24" i="35"/>
  <c r="F23" i="35"/>
  <c r="H62" i="35"/>
  <c r="J62" i="35"/>
  <c r="G64" i="35"/>
  <c r="O63" i="35"/>
  <c r="C64" i="35"/>
  <c r="C63" i="35"/>
  <c r="P64" i="35"/>
  <c r="G62" i="35"/>
  <c r="J64" i="35"/>
  <c r="C70" i="35"/>
  <c r="D71" i="35"/>
  <c r="E71" i="35"/>
  <c r="E24" i="35"/>
  <c r="C22" i="35"/>
  <c r="E22" i="35"/>
  <c r="I64" i="35"/>
  <c r="D64" i="35"/>
  <c r="F63" i="35"/>
  <c r="H70" i="35"/>
  <c r="K64" i="35"/>
  <c r="M64" i="35"/>
  <c r="K63" i="35"/>
  <c r="E65" i="35"/>
  <c r="K62" i="35"/>
  <c r="N64" i="35"/>
  <c r="H71" i="35"/>
  <c r="E68" i="35"/>
  <c r="D68" i="35"/>
  <c r="F22" i="35"/>
  <c r="D22" i="35"/>
  <c r="E66" i="35"/>
  <c r="C65" i="35"/>
  <c r="G70" i="35"/>
  <c r="D65" i="35"/>
  <c r="D63" i="35"/>
  <c r="G65" i="35"/>
  <c r="I62" i="35"/>
  <c r="C71" i="35"/>
  <c r="F70" i="35"/>
  <c r="F71" i="35"/>
  <c r="G68" i="35"/>
  <c r="G22" i="35"/>
  <c r="C23" i="35"/>
  <c r="E63" i="35"/>
  <c r="F65" i="35"/>
  <c r="E64" i="35"/>
  <c r="O62" i="35"/>
  <c r="E62" i="35"/>
  <c r="E70" i="35"/>
  <c r="H68" i="35"/>
  <c r="D24" i="35"/>
  <c r="H65" i="35"/>
  <c r="D62" i="35"/>
  <c r="G66" i="35"/>
  <c r="F66" i="35"/>
  <c r="H63" i="35"/>
  <c r="M62" i="35"/>
  <c r="D70" i="35"/>
  <c r="E23" i="35"/>
  <c r="D23" i="35"/>
  <c r="M63" i="35"/>
  <c r="C66" i="35"/>
  <c r="G71" i="35"/>
  <c r="G23" i="35"/>
  <c r="F62" i="35"/>
  <c r="N62" i="35"/>
  <c r="P62" i="35"/>
  <c r="O64" i="35"/>
  <c r="H64" i="35"/>
  <c r="P63" i="35"/>
  <c r="D66" i="35"/>
  <c r="J63" i="35"/>
  <c r="F68" i="35"/>
  <c r="I24" i="35"/>
  <c r="G24" i="35"/>
  <c r="I128" i="35"/>
  <c r="J6" i="35"/>
  <c r="H71" i="34"/>
  <c r="I71" i="34"/>
  <c r="F68" i="34"/>
  <c r="C70" i="34"/>
  <c r="I66" i="34"/>
  <c r="K65" i="34"/>
  <c r="K63" i="34"/>
  <c r="G62" i="34"/>
  <c r="I23" i="34"/>
  <c r="J24" i="34"/>
  <c r="C22" i="34"/>
  <c r="I68" i="34"/>
  <c r="K70" i="34"/>
  <c r="J70" i="34"/>
  <c r="G71" i="34"/>
  <c r="F62" i="34"/>
  <c r="K64" i="34"/>
  <c r="H63" i="34"/>
  <c r="D64" i="34"/>
  <c r="C24" i="34"/>
  <c r="D24" i="34"/>
  <c r="H24" i="34"/>
  <c r="D68" i="34"/>
  <c r="E68" i="34"/>
  <c r="C71" i="34"/>
  <c r="E70" i="34"/>
  <c r="D71" i="34"/>
  <c r="D65" i="34"/>
  <c r="E62" i="34"/>
  <c r="C64" i="34"/>
  <c r="H65" i="34"/>
  <c r="I65" i="34"/>
  <c r="J64" i="34"/>
  <c r="I24" i="34"/>
  <c r="G24" i="34"/>
  <c r="H22" i="34"/>
  <c r="F22" i="34"/>
  <c r="D22" i="34"/>
  <c r="D70" i="34"/>
  <c r="L71" i="34"/>
  <c r="G64" i="34"/>
  <c r="J65" i="34"/>
  <c r="E64" i="34"/>
  <c r="F63" i="34"/>
  <c r="H64" i="34"/>
  <c r="E65" i="34"/>
  <c r="F64" i="34"/>
  <c r="I22" i="34"/>
  <c r="J23" i="34"/>
  <c r="G68" i="34"/>
  <c r="C68" i="34"/>
  <c r="H70" i="34"/>
  <c r="F71" i="34"/>
  <c r="O71" i="34"/>
  <c r="E71" i="34"/>
  <c r="D66" i="34"/>
  <c r="I62" i="34"/>
  <c r="G65" i="34"/>
  <c r="C65" i="34"/>
  <c r="F65" i="34"/>
  <c r="G22" i="34"/>
  <c r="F24" i="34"/>
  <c r="L68" i="34"/>
  <c r="F70" i="34"/>
  <c r="G66" i="34"/>
  <c r="C63" i="34"/>
  <c r="J66" i="34"/>
  <c r="F66" i="34"/>
  <c r="C66" i="34"/>
  <c r="C23" i="34"/>
  <c r="J22" i="34"/>
  <c r="E22" i="34"/>
  <c r="G23" i="34"/>
  <c r="O68" i="34"/>
  <c r="H68" i="34"/>
  <c r="I70" i="34"/>
  <c r="G70" i="34"/>
  <c r="J71" i="34"/>
  <c r="D63" i="34"/>
  <c r="I64" i="34"/>
  <c r="K66" i="34"/>
  <c r="G63" i="34"/>
  <c r="C62" i="34"/>
  <c r="O66" i="34"/>
  <c r="L66" i="34"/>
  <c r="F23" i="34"/>
  <c r="E23" i="34"/>
  <c r="D62" i="34"/>
  <c r="E63" i="34"/>
  <c r="K68" i="34"/>
  <c r="J68" i="34"/>
  <c r="K71" i="34"/>
  <c r="H66" i="34"/>
  <c r="J63" i="34"/>
  <c r="E66" i="34"/>
  <c r="H62" i="34"/>
  <c r="J62" i="34"/>
  <c r="K62" i="34"/>
  <c r="I63" i="34"/>
  <c r="H23" i="34"/>
  <c r="D23" i="34"/>
  <c r="E24" i="34"/>
  <c r="K136" i="34"/>
  <c r="L6" i="34"/>
  <c r="I141" i="33"/>
  <c r="J6" i="33"/>
  <c r="R101" i="29"/>
  <c r="G6" i="29"/>
  <c r="H6" i="29" s="1"/>
  <c r="O32" i="30"/>
  <c r="A51" i="30"/>
  <c r="A52" i="30" s="1"/>
  <c r="A54" i="30" s="1"/>
  <c r="A55" i="30" s="1"/>
  <c r="A56" i="30" s="1"/>
  <c r="F141" i="30"/>
  <c r="G6" i="30"/>
  <c r="O32" i="29"/>
  <c r="A51" i="29"/>
  <c r="A52" i="29" s="1"/>
  <c r="A54" i="29" s="1"/>
  <c r="A55" i="29" s="1"/>
  <c r="A56" i="29" s="1"/>
  <c r="D141" i="28"/>
  <c r="Q75" i="28"/>
  <c r="A46" i="28"/>
  <c r="Q39" i="28"/>
  <c r="P39" i="28"/>
  <c r="A35" i="28"/>
  <c r="A34" i="28"/>
  <c r="A32" i="28"/>
  <c r="A30" i="28"/>
  <c r="A29" i="28"/>
  <c r="A28" i="28"/>
  <c r="A26" i="28"/>
  <c r="A27" i="28" s="1"/>
  <c r="A22" i="28"/>
  <c r="A23" i="28" s="1"/>
  <c r="A18" i="28"/>
  <c r="A20" i="28" s="1"/>
  <c r="A16" i="28"/>
  <c r="A15" i="28"/>
  <c r="A14" i="28"/>
  <c r="A12" i="28"/>
  <c r="A11" i="28"/>
  <c r="A10" i="28"/>
  <c r="E6" i="28"/>
  <c r="I26" i="34" a="1"/>
  <c r="C32" i="34" a="1"/>
  <c r="H26" i="34" a="1"/>
  <c r="E26" i="35" a="1"/>
  <c r="G34" i="35" a="1"/>
  <c r="I10" i="35" a="1"/>
  <c r="E26" i="34" a="1"/>
  <c r="F30" i="34" a="1"/>
  <c r="M32" i="34" a="1"/>
  <c r="K28" i="35" a="1"/>
  <c r="C29" i="35" a="1"/>
  <c r="C29" i="34" a="1"/>
  <c r="D35" i="35" a="1"/>
  <c r="E27" i="34" a="1"/>
  <c r="G26" i="34" a="1"/>
  <c r="F34" i="35" a="1"/>
  <c r="D30" i="34" a="1"/>
  <c r="J29" i="34" a="1"/>
  <c r="D34" i="35" a="1"/>
  <c r="J58" i="35" a="1"/>
  <c r="G34" i="34" a="1"/>
  <c r="H32" i="34" a="1"/>
  <c r="D26" i="35" a="1"/>
  <c r="C27" i="35" a="1"/>
  <c r="J30" i="34" a="1"/>
  <c r="G35" i="34" a="1"/>
  <c r="G26" i="35" a="1"/>
  <c r="D28" i="35" a="1"/>
  <c r="M68" i="35" a="1"/>
  <c r="C35" i="35" a="1"/>
  <c r="D35" i="34" a="1"/>
  <c r="H34" i="34" a="1"/>
  <c r="E29" i="35" a="1"/>
  <c r="D26" i="34" a="1"/>
  <c r="F35" i="35" a="1"/>
  <c r="F27" i="34" a="1"/>
  <c r="H27" i="35" a="1"/>
  <c r="I30" i="34" a="1"/>
  <c r="D32" i="34" a="1"/>
  <c r="I35" i="34" a="1"/>
  <c r="N28" i="35" a="1"/>
  <c r="I27" i="34" a="1"/>
  <c r="C35" i="34" a="1"/>
  <c r="N27" i="35" a="1"/>
  <c r="J50" i="35" a="1"/>
  <c r="F28" i="34" a="1"/>
  <c r="I34" i="34" a="1"/>
  <c r="I20" i="35" a="1"/>
  <c r="N26" i="35" a="1"/>
  <c r="G27" i="34" a="1"/>
  <c r="E32" i="35" a="1"/>
  <c r="J26" i="34" a="1"/>
  <c r="C26" i="34" a="1"/>
  <c r="E28" i="34" a="1"/>
  <c r="H22" i="35" a="1"/>
  <c r="O27" i="35" a="1"/>
  <c r="N35" i="34" a="1"/>
  <c r="L27" i="35" a="1"/>
  <c r="C28" i="35" a="1"/>
  <c r="E28" i="35" a="1"/>
  <c r="K35" i="34" a="1"/>
  <c r="N30" i="34" a="1"/>
  <c r="F26" i="34" a="1"/>
  <c r="F34" i="34" a="1"/>
  <c r="C34" i="34" a="1"/>
  <c r="F28" i="35" a="1"/>
  <c r="G29" i="34" a="1"/>
  <c r="J35" i="34" a="1"/>
  <c r="C30" i="35" a="1"/>
  <c r="G29" i="35" a="1"/>
  <c r="E30" i="35" a="1"/>
  <c r="H18" i="35" a="1"/>
  <c r="J34" i="34" a="1"/>
  <c r="C27" i="34" a="1"/>
  <c r="I32" i="34" a="1"/>
  <c r="D30" i="35" a="1"/>
  <c r="K30" i="34" a="1"/>
  <c r="G27" i="35" a="1"/>
  <c r="J27" i="34" a="1"/>
  <c r="I16" i="35" a="1"/>
  <c r="F32" i="34" a="1"/>
  <c r="J10" i="35" a="1"/>
  <c r="C68" i="37" a="1"/>
  <c r="I27" i="35" a="1"/>
  <c r="C32" i="35" a="1"/>
  <c r="G32" i="34" a="1"/>
  <c r="D27" i="34" a="1"/>
  <c r="J22" i="35" a="1"/>
  <c r="G30" i="34" a="1"/>
  <c r="D29" i="34" a="1"/>
  <c r="E29" i="34" a="1"/>
  <c r="F27" i="35" a="1"/>
  <c r="J27" i="35" a="1"/>
  <c r="D27" i="35" a="1"/>
  <c r="O28" i="35" a="1"/>
  <c r="C28" i="34" a="1"/>
  <c r="G30" i="35" a="1"/>
  <c r="G28" i="34" a="1"/>
  <c r="J26" i="35" a="1"/>
  <c r="E27" i="35" a="1"/>
  <c r="M66" i="35" a="1"/>
  <c r="L28" i="35" a="1"/>
  <c r="F29" i="35" a="1"/>
  <c r="E35" i="34" a="1"/>
  <c r="I29" i="34" a="1"/>
  <c r="E35" i="35" a="1"/>
  <c r="H30" i="34" a="1"/>
  <c r="F32" i="35" a="1"/>
  <c r="C30" i="34" a="1"/>
  <c r="H26" i="35" a="1"/>
  <c r="G35" i="35" a="1"/>
  <c r="K54" i="35" a="1"/>
  <c r="M26" i="35" a="1"/>
  <c r="I26" i="35" a="1"/>
  <c r="E32" i="34" a="1"/>
  <c r="F29" i="34" a="1"/>
  <c r="H29" i="34" a="1"/>
  <c r="D29" i="35" a="1"/>
  <c r="D28" i="34" a="1"/>
  <c r="J32" i="34" a="1"/>
  <c r="G28" i="35" a="1"/>
  <c r="H28" i="34" a="1"/>
  <c r="M27" i="35" a="1"/>
  <c r="C26" i="35" a="1"/>
  <c r="E30" i="34" a="1"/>
  <c r="F30" i="35" a="1"/>
  <c r="H35" i="34" a="1"/>
  <c r="O26" i="35" a="1"/>
  <c r="I28" i="35" a="1"/>
  <c r="C70" i="37" a="1"/>
  <c r="I18" i="35" a="1"/>
  <c r="M28" i="35" a="1"/>
  <c r="K26" i="35" a="1"/>
  <c r="I28" i="34" a="1"/>
  <c r="K50" i="35" a="1"/>
  <c r="E34" i="34" a="1"/>
  <c r="H27" i="34" a="1"/>
  <c r="H28" i="35" a="1"/>
  <c r="J28" i="34" a="1"/>
  <c r="C71" i="37" a="1"/>
  <c r="E34" i="35" a="1"/>
  <c r="D32" i="35" a="1"/>
  <c r="J28" i="35" a="1"/>
  <c r="F26" i="35" a="1"/>
  <c r="F35" i="34" a="1"/>
  <c r="C34" i="35" a="1"/>
  <c r="K27" i="35" a="1"/>
  <c r="D34" i="34" a="1"/>
  <c r="L26" i="35" a="1"/>
  <c r="J58" i="35" l="1"/>
  <c r="J50" i="35"/>
  <c r="I16" i="35"/>
  <c r="I20" i="35"/>
  <c r="H18" i="35"/>
  <c r="H22" i="35"/>
  <c r="K54" i="35"/>
  <c r="K50" i="35"/>
  <c r="I10" i="35"/>
  <c r="J10" i="35"/>
  <c r="C71" i="37"/>
  <c r="C70" i="37"/>
  <c r="C68" i="37"/>
  <c r="J136" i="36"/>
  <c r="K6" i="36"/>
  <c r="I18" i="35"/>
  <c r="M66" i="35"/>
  <c r="M68" i="35"/>
  <c r="J22" i="35"/>
  <c r="N116" i="35"/>
  <c r="N111" i="35"/>
  <c r="D32" i="35"/>
  <c r="G28" i="35"/>
  <c r="N26" i="35"/>
  <c r="F29" i="35"/>
  <c r="O26" i="35"/>
  <c r="E30" i="35"/>
  <c r="E29" i="35"/>
  <c r="E32" i="35"/>
  <c r="M28" i="35"/>
  <c r="G34" i="35"/>
  <c r="F26" i="35"/>
  <c r="K28" i="35"/>
  <c r="E28" i="35"/>
  <c r="M26" i="35"/>
  <c r="F30" i="35"/>
  <c r="D27" i="35"/>
  <c r="E35" i="35"/>
  <c r="F34" i="35"/>
  <c r="J26" i="35"/>
  <c r="E27" i="35"/>
  <c r="O28" i="35"/>
  <c r="I26" i="35"/>
  <c r="I27" i="35"/>
  <c r="E26" i="35"/>
  <c r="L27" i="35"/>
  <c r="C34" i="35"/>
  <c r="C26" i="35"/>
  <c r="F32" i="35"/>
  <c r="D29" i="35"/>
  <c r="C28" i="35"/>
  <c r="G26" i="35"/>
  <c r="H27" i="35"/>
  <c r="F27" i="35"/>
  <c r="O27" i="35"/>
  <c r="D34" i="35"/>
  <c r="D30" i="35"/>
  <c r="L28" i="35"/>
  <c r="C35" i="35"/>
  <c r="N27" i="35"/>
  <c r="M27" i="35"/>
  <c r="K26" i="35"/>
  <c r="C30" i="35"/>
  <c r="G29" i="35"/>
  <c r="E34" i="35"/>
  <c r="C32" i="35"/>
  <c r="J27" i="35"/>
  <c r="H28" i="35"/>
  <c r="D35" i="35"/>
  <c r="L26" i="35"/>
  <c r="D26" i="35"/>
  <c r="H26" i="35"/>
  <c r="C29" i="35"/>
  <c r="G35" i="35"/>
  <c r="J28" i="35"/>
  <c r="F28" i="35"/>
  <c r="G30" i="35"/>
  <c r="N28" i="35"/>
  <c r="F35" i="35"/>
  <c r="G27" i="35"/>
  <c r="D28" i="35"/>
  <c r="C27" i="35"/>
  <c r="I28" i="35"/>
  <c r="K27" i="35"/>
  <c r="J128" i="35"/>
  <c r="K6" i="35"/>
  <c r="R62" i="35"/>
  <c r="R64" i="35"/>
  <c r="G30" i="34"/>
  <c r="N30" i="34"/>
  <c r="F30" i="34"/>
  <c r="H26" i="34"/>
  <c r="C35" i="34"/>
  <c r="H30" i="34"/>
  <c r="G35" i="34"/>
  <c r="H27" i="34"/>
  <c r="I35" i="34"/>
  <c r="C30" i="34"/>
  <c r="E27" i="34"/>
  <c r="G29" i="34"/>
  <c r="D34" i="34"/>
  <c r="E26" i="34"/>
  <c r="J26" i="34"/>
  <c r="J35" i="34"/>
  <c r="F27" i="34"/>
  <c r="F34" i="34"/>
  <c r="D35" i="34"/>
  <c r="D28" i="34"/>
  <c r="F35" i="34"/>
  <c r="C26" i="34"/>
  <c r="J30" i="34"/>
  <c r="H34" i="34"/>
  <c r="E34" i="34"/>
  <c r="N35" i="34"/>
  <c r="I29" i="34"/>
  <c r="C32" i="34"/>
  <c r="C28" i="34"/>
  <c r="I34" i="34"/>
  <c r="F26" i="34"/>
  <c r="I26" i="34"/>
  <c r="H32" i="34"/>
  <c r="H28" i="34"/>
  <c r="F32" i="34"/>
  <c r="E30" i="34"/>
  <c r="J32" i="34"/>
  <c r="E35" i="34"/>
  <c r="E28" i="34"/>
  <c r="F28" i="34"/>
  <c r="D26" i="34"/>
  <c r="G27" i="34"/>
  <c r="J34" i="34"/>
  <c r="J27" i="34"/>
  <c r="D29" i="34"/>
  <c r="G32" i="34"/>
  <c r="D32" i="34"/>
  <c r="G26" i="34"/>
  <c r="I32" i="34"/>
  <c r="C27" i="34"/>
  <c r="M32" i="34"/>
  <c r="I30" i="34"/>
  <c r="E29" i="34"/>
  <c r="G34" i="34"/>
  <c r="K35" i="34"/>
  <c r="D30" i="34"/>
  <c r="G28" i="34"/>
  <c r="I28" i="34"/>
  <c r="C29" i="34"/>
  <c r="J29" i="34"/>
  <c r="I27" i="34"/>
  <c r="D27" i="34"/>
  <c r="K30" i="34"/>
  <c r="F29" i="34"/>
  <c r="E32" i="34"/>
  <c r="C34" i="34"/>
  <c r="H29" i="34"/>
  <c r="J28" i="34"/>
  <c r="H35" i="34"/>
  <c r="L136" i="34"/>
  <c r="M6" i="34"/>
  <c r="J141" i="33"/>
  <c r="K6" i="33"/>
  <c r="G128" i="29"/>
  <c r="G141" i="30"/>
  <c r="H6" i="30"/>
  <c r="A59" i="30"/>
  <c r="A60" i="30"/>
  <c r="A58" i="30"/>
  <c r="A58" i="29"/>
  <c r="A59" i="29"/>
  <c r="A60" i="29"/>
  <c r="H128" i="29"/>
  <c r="I6" i="29"/>
  <c r="A24" i="28"/>
  <c r="A19" i="28"/>
  <c r="E141" i="28"/>
  <c r="F6" i="28"/>
  <c r="A47" i="28"/>
  <c r="A48" i="28" s="1"/>
  <c r="A50" i="28" s="1"/>
  <c r="D136" i="15"/>
  <c r="C136" i="15"/>
  <c r="I14" i="35" a="1"/>
  <c r="M71" i="35" a="1"/>
  <c r="I22" i="35" a="1"/>
  <c r="K32" i="35" a="1"/>
  <c r="O32" i="28" a="1"/>
  <c r="J14" i="35" a="1"/>
  <c r="J18" i="35" a="1"/>
  <c r="L30" i="35" a="1"/>
  <c r="I14" i="35" l="1"/>
  <c r="I22" i="35"/>
  <c r="J14" i="35"/>
  <c r="J18" i="35"/>
  <c r="K136" i="36"/>
  <c r="L6" i="36"/>
  <c r="M71" i="35"/>
  <c r="K32" i="35"/>
  <c r="L30" i="35"/>
  <c r="K128" i="35"/>
  <c r="L6" i="35"/>
  <c r="R27" i="35"/>
  <c r="R28" i="35"/>
  <c r="R26" i="35"/>
  <c r="M136" i="34"/>
  <c r="N6" i="34"/>
  <c r="K141" i="33"/>
  <c r="L6" i="33"/>
  <c r="A62" i="30"/>
  <c r="A63" i="30"/>
  <c r="A64" i="30"/>
  <c r="A65" i="30"/>
  <c r="A66" i="30"/>
  <c r="A68" i="30"/>
  <c r="A71" i="30"/>
  <c r="A70" i="30"/>
  <c r="H141" i="30"/>
  <c r="I6" i="30"/>
  <c r="I128" i="29"/>
  <c r="J6" i="29"/>
  <c r="A66" i="29"/>
  <c r="A62" i="29"/>
  <c r="A63" i="29"/>
  <c r="A64" i="29"/>
  <c r="A65" i="29"/>
  <c r="A70" i="29"/>
  <c r="A68" i="29"/>
  <c r="A71" i="29"/>
  <c r="O32" i="28"/>
  <c r="F141" i="28"/>
  <c r="G6" i="28"/>
  <c r="A51" i="28"/>
  <c r="A52" i="28" s="1"/>
  <c r="A54" i="28" s="1"/>
  <c r="A55" i="28" s="1"/>
  <c r="A56" i="28" s="1"/>
  <c r="L35" i="35" a="1"/>
  <c r="L136" i="36" l="1"/>
  <c r="M6" i="36"/>
  <c r="L35" i="35"/>
  <c r="L128" i="35"/>
  <c r="M6" i="35"/>
  <c r="N136" i="34"/>
  <c r="O6" i="34"/>
  <c r="L141" i="33"/>
  <c r="M6" i="33"/>
  <c r="I141" i="30"/>
  <c r="J6" i="30"/>
  <c r="J128" i="29"/>
  <c r="K6" i="29"/>
  <c r="A58" i="28"/>
  <c r="A59" i="28"/>
  <c r="A60" i="28"/>
  <c r="G141" i="28"/>
  <c r="H6" i="28"/>
  <c r="D64" i="29" a="1"/>
  <c r="I64" i="29" a="1"/>
  <c r="N64" i="29" a="1"/>
  <c r="I63" i="29" a="1"/>
  <c r="N63" i="29" a="1"/>
  <c r="N62" i="29" a="1"/>
  <c r="I62" i="29" a="1"/>
  <c r="O62" i="29" a="1"/>
  <c r="E62" i="29" a="1"/>
  <c r="O64" i="29" a="1"/>
  <c r="J64" i="29" a="1"/>
  <c r="F63" i="29" a="1"/>
  <c r="D63" i="29" a="1"/>
  <c r="P63" i="29" a="1"/>
  <c r="E64" i="29" a="1"/>
  <c r="P62" i="29" a="1"/>
  <c r="M63" i="29" a="1"/>
  <c r="L63" i="29" a="1"/>
  <c r="F62" i="29" a="1"/>
  <c r="O63" i="29" a="1"/>
  <c r="M64" i="29" a="1"/>
  <c r="G63" i="29" a="1"/>
  <c r="H62" i="29" a="1"/>
  <c r="C63" i="29" a="1"/>
  <c r="C62" i="29" a="1"/>
  <c r="K62" i="29" a="1"/>
  <c r="M62" i="29" a="1"/>
  <c r="C64" i="29" a="1"/>
  <c r="H63" i="29" a="1"/>
  <c r="F64" i="29" a="1"/>
  <c r="K64" i="29" a="1"/>
  <c r="J62" i="29" a="1"/>
  <c r="D62" i="29" a="1"/>
  <c r="L64" i="29" a="1"/>
  <c r="G62" i="29" a="1"/>
  <c r="H64" i="29" a="1"/>
  <c r="E63" i="29" a="1"/>
  <c r="P64" i="29" a="1"/>
  <c r="L62" i="29" a="1"/>
  <c r="J63" i="29" a="1"/>
  <c r="G64" i="29" a="1"/>
  <c r="K63" i="29" a="1"/>
  <c r="M136" i="36" l="1"/>
  <c r="N6" i="36"/>
  <c r="M128" i="35"/>
  <c r="N6" i="35"/>
  <c r="O136" i="34"/>
  <c r="P6" i="34"/>
  <c r="M141" i="33"/>
  <c r="N6" i="33"/>
  <c r="J141" i="30"/>
  <c r="K6" i="30"/>
  <c r="M62" i="29"/>
  <c r="D63" i="29"/>
  <c r="J64" i="29"/>
  <c r="K64" i="29"/>
  <c r="D64" i="29"/>
  <c r="K62" i="29"/>
  <c r="P63" i="29"/>
  <c r="K63" i="29"/>
  <c r="D62" i="29"/>
  <c r="G62" i="29"/>
  <c r="E64" i="29"/>
  <c r="L62" i="29"/>
  <c r="N64" i="29"/>
  <c r="O64" i="29"/>
  <c r="H64" i="29"/>
  <c r="O62" i="29"/>
  <c r="C64" i="29"/>
  <c r="N62" i="29"/>
  <c r="L63" i="29"/>
  <c r="L64" i="29"/>
  <c r="I64" i="29"/>
  <c r="C62" i="29"/>
  <c r="H62" i="29"/>
  <c r="F63" i="29"/>
  <c r="P64" i="29"/>
  <c r="M63" i="29"/>
  <c r="G64" i="29"/>
  <c r="M64" i="29"/>
  <c r="H63" i="29"/>
  <c r="E63" i="29"/>
  <c r="E62" i="29"/>
  <c r="J63" i="29"/>
  <c r="C63" i="29"/>
  <c r="J62" i="29"/>
  <c r="F64" i="29"/>
  <c r="O63" i="29"/>
  <c r="P62" i="29"/>
  <c r="I63" i="29"/>
  <c r="I62" i="29"/>
  <c r="N63" i="29"/>
  <c r="F62" i="29"/>
  <c r="G63" i="29"/>
  <c r="K128" i="29"/>
  <c r="L6" i="29"/>
  <c r="A66" i="28"/>
  <c r="A62" i="28"/>
  <c r="A63" i="28"/>
  <c r="A65" i="28"/>
  <c r="A64" i="28"/>
  <c r="A70" i="28"/>
  <c r="A68" i="28"/>
  <c r="A71" i="28"/>
  <c r="H141" i="28"/>
  <c r="I6" i="28"/>
  <c r="L28" i="29" a="1"/>
  <c r="H27" i="29" a="1"/>
  <c r="N26" i="29" a="1"/>
  <c r="E27" i="29" a="1"/>
  <c r="M27" i="29" a="1"/>
  <c r="F26" i="29" a="1"/>
  <c r="D28" i="29" a="1"/>
  <c r="H28" i="29" a="1"/>
  <c r="E26" i="29" a="1"/>
  <c r="N27" i="29" a="1"/>
  <c r="G27" i="29" a="1"/>
  <c r="E28" i="29" a="1"/>
  <c r="N28" i="29" a="1"/>
  <c r="D27" i="29" a="1"/>
  <c r="O26" i="29" a="1"/>
  <c r="C28" i="29" a="1"/>
  <c r="L26" i="29" a="1"/>
  <c r="C26" i="29" a="1"/>
  <c r="J28" i="29" a="1"/>
  <c r="I27" i="29" a="1"/>
  <c r="M26" i="29" a="1"/>
  <c r="K28" i="29" a="1"/>
  <c r="K26" i="29" a="1"/>
  <c r="C27" i="29" a="1"/>
  <c r="M28" i="29" a="1"/>
  <c r="H26" i="29" a="1"/>
  <c r="O28" i="29" a="1"/>
  <c r="O27" i="29" a="1"/>
  <c r="D26" i="29" a="1"/>
  <c r="J27" i="29" a="1"/>
  <c r="I26" i="29" a="1"/>
  <c r="I28" i="29" a="1"/>
  <c r="J26" i="29" a="1"/>
  <c r="F28" i="29" a="1"/>
  <c r="G28" i="29" a="1"/>
  <c r="K27" i="29" a="1"/>
  <c r="L27" i="29" a="1"/>
  <c r="G26" i="29" a="1"/>
  <c r="F27" i="29" a="1"/>
  <c r="N136" i="36" l="1"/>
  <c r="O6" i="36"/>
  <c r="N128" i="35"/>
  <c r="O6" i="35"/>
  <c r="P136" i="34"/>
  <c r="Q6" i="34"/>
  <c r="Q136" i="34" s="1"/>
  <c r="N141" i="33"/>
  <c r="O6" i="33"/>
  <c r="K141" i="30"/>
  <c r="L6" i="30"/>
  <c r="C28" i="29"/>
  <c r="O26" i="29"/>
  <c r="I26" i="29"/>
  <c r="D26" i="29"/>
  <c r="F28" i="29"/>
  <c r="K28" i="29"/>
  <c r="N28" i="29"/>
  <c r="C26" i="29"/>
  <c r="F26" i="29"/>
  <c r="D27" i="29"/>
  <c r="E27" i="29"/>
  <c r="J28" i="29"/>
  <c r="F27" i="29"/>
  <c r="G27" i="29"/>
  <c r="M28" i="29"/>
  <c r="E26" i="29"/>
  <c r="L28" i="29"/>
  <c r="M26" i="29"/>
  <c r="K26" i="29"/>
  <c r="J27" i="29"/>
  <c r="I28" i="29"/>
  <c r="M27" i="29"/>
  <c r="N27" i="29"/>
  <c r="L27" i="29"/>
  <c r="G26" i="29"/>
  <c r="D28" i="29"/>
  <c r="O27" i="29"/>
  <c r="H26" i="29"/>
  <c r="E28" i="29"/>
  <c r="H28" i="29"/>
  <c r="K27" i="29"/>
  <c r="N26" i="29"/>
  <c r="C27" i="29"/>
  <c r="L26" i="29"/>
  <c r="I27" i="29"/>
  <c r="H27" i="29"/>
  <c r="O28" i="29"/>
  <c r="G28" i="29"/>
  <c r="J26" i="29"/>
  <c r="R64" i="29"/>
  <c r="R62" i="29"/>
  <c r="L128" i="29"/>
  <c r="M6" i="29"/>
  <c r="I141" i="28"/>
  <c r="J6" i="28"/>
  <c r="O136" i="36" l="1"/>
  <c r="P6" i="36"/>
  <c r="O128" i="35"/>
  <c r="P6" i="35"/>
  <c r="O141" i="33"/>
  <c r="P6" i="33"/>
  <c r="L141" i="30"/>
  <c r="M6" i="30"/>
  <c r="R26" i="29"/>
  <c r="R27" i="29"/>
  <c r="M128" i="29"/>
  <c r="N6" i="29"/>
  <c r="R28" i="29"/>
  <c r="J141" i="28"/>
  <c r="K6" i="28"/>
  <c r="P136" i="36" l="1"/>
  <c r="Q6" i="36"/>
  <c r="Q136" i="36" s="1"/>
  <c r="P128" i="35"/>
  <c r="Q6" i="35"/>
  <c r="Q128" i="35" s="1"/>
  <c r="P141" i="33"/>
  <c r="Q6" i="33"/>
  <c r="Q141" i="33" s="1"/>
  <c r="M141" i="30"/>
  <c r="N6" i="30"/>
  <c r="N128" i="29"/>
  <c r="O6" i="29"/>
  <c r="K141" i="28"/>
  <c r="L6" i="28"/>
  <c r="N141" i="30" l="1"/>
  <c r="O6" i="30"/>
  <c r="O128" i="29"/>
  <c r="P6" i="29"/>
  <c r="L141" i="28"/>
  <c r="M6" i="28"/>
  <c r="P105" i="29"/>
  <c r="L84" i="29"/>
  <c r="E86" i="29"/>
  <c r="J84" i="29"/>
  <c r="Q88" i="29"/>
  <c r="Q84" i="29"/>
  <c r="Q110" i="29"/>
  <c r="E84" i="29"/>
  <c r="P106" i="29"/>
  <c r="P110" i="29"/>
  <c r="E88" i="29"/>
  <c r="G84" i="29"/>
  <c r="N84" i="29"/>
  <c r="C33" i="5"/>
  <c r="C35" i="5"/>
  <c r="D46" i="29" a="1"/>
  <c r="O65" i="29" a="1"/>
  <c r="P48" i="29" a="1"/>
  <c r="O70" i="29" a="1"/>
  <c r="O66" i="29" a="1"/>
  <c r="P70" i="29" a="1"/>
  <c r="D48" i="29" a="1"/>
  <c r="P129" i="29" l="1"/>
  <c r="P130" i="29"/>
  <c r="P113" i="29"/>
  <c r="P120" i="29" s="1"/>
  <c r="P114" i="29"/>
  <c r="P121" i="29" s="1"/>
  <c r="D46" i="29"/>
  <c r="P70" i="29"/>
  <c r="O70" i="29"/>
  <c r="O66" i="29"/>
  <c r="P48" i="29"/>
  <c r="D48" i="29"/>
  <c r="O65" i="29"/>
  <c r="E98" i="29"/>
  <c r="E90" i="29"/>
  <c r="E94" i="29"/>
  <c r="I105" i="29"/>
  <c r="I107" i="33" s="1"/>
  <c r="G111" i="29"/>
  <c r="G116" i="33" s="1"/>
  <c r="D105" i="29"/>
  <c r="D107" i="33" s="1"/>
  <c r="Q115" i="30"/>
  <c r="I110" i="29"/>
  <c r="I115" i="33" s="1"/>
  <c r="P115" i="30"/>
  <c r="G105" i="29"/>
  <c r="G107" i="33" s="1"/>
  <c r="P108" i="30"/>
  <c r="Q100" i="29"/>
  <c r="Q96" i="29"/>
  <c r="Q92" i="29"/>
  <c r="G110" i="29"/>
  <c r="G115" i="33" s="1"/>
  <c r="F110" i="29"/>
  <c r="F115" i="33" s="1"/>
  <c r="E100" i="29"/>
  <c r="E96" i="29"/>
  <c r="E92" i="29"/>
  <c r="H110" i="29"/>
  <c r="H115" i="33" s="1"/>
  <c r="H106" i="29"/>
  <c r="H108" i="33" s="1"/>
  <c r="P107" i="30"/>
  <c r="F106" i="29"/>
  <c r="F108" i="33" s="1"/>
  <c r="O141" i="30"/>
  <c r="P6" i="30"/>
  <c r="P128" i="29"/>
  <c r="Q6" i="29"/>
  <c r="Q128" i="29" s="1"/>
  <c r="M141" i="28"/>
  <c r="N6" i="28"/>
  <c r="H87" i="29"/>
  <c r="O110" i="29"/>
  <c r="P87" i="29"/>
  <c r="P111" i="29"/>
  <c r="Q87" i="29"/>
  <c r="D86" i="29"/>
  <c r="P84" i="29"/>
  <c r="I88" i="29"/>
  <c r="D88" i="29"/>
  <c r="I84" i="29"/>
  <c r="F84" i="29"/>
  <c r="D87" i="29"/>
  <c r="H84" i="29"/>
  <c r="E87" i="29"/>
  <c r="G86" i="29"/>
  <c r="Q111" i="29"/>
  <c r="F87" i="29"/>
  <c r="G88" i="29"/>
  <c r="H88" i="29"/>
  <c r="M84" i="29"/>
  <c r="P88" i="29"/>
  <c r="O84" i="29"/>
  <c r="I86" i="29"/>
  <c r="K84" i="29"/>
  <c r="N110" i="29"/>
  <c r="F86" i="29"/>
  <c r="G87" i="29"/>
  <c r="Q86" i="29"/>
  <c r="F88" i="29"/>
  <c r="Q106" i="29"/>
  <c r="I87" i="29"/>
  <c r="P86" i="29"/>
  <c r="Q105" i="29"/>
  <c r="P52" i="29" a="1"/>
  <c r="H65" i="29" a="1"/>
  <c r="E47" i="29" a="1"/>
  <c r="P60" i="29" a="1"/>
  <c r="P47" i="29" a="1"/>
  <c r="O12" i="29" a="1"/>
  <c r="G68" i="33" a="1"/>
  <c r="G47" i="29" a="1"/>
  <c r="O46" i="29" a="1"/>
  <c r="E66" i="29" a="1"/>
  <c r="D56" i="29" a="1"/>
  <c r="P46" i="29" a="1"/>
  <c r="C46" i="29" a="1"/>
  <c r="G48" i="29" a="1"/>
  <c r="F48" i="29" a="1"/>
  <c r="F46" i="29" a="1"/>
  <c r="D60" i="29" a="1"/>
  <c r="D58" i="29" a="1"/>
  <c r="P71" i="29" a="1"/>
  <c r="E48" i="29" a="1"/>
  <c r="C65" i="29" a="1"/>
  <c r="D54" i="29" a="1"/>
  <c r="P66" i="29" a="1"/>
  <c r="N70" i="29" a="1"/>
  <c r="M70" i="29" a="1"/>
  <c r="D52" i="29" a="1"/>
  <c r="N29" i="29" a="1"/>
  <c r="E70" i="29" a="1"/>
  <c r="H48" i="29" a="1"/>
  <c r="N34" i="29" a="1"/>
  <c r="O34" i="29" a="1"/>
  <c r="F70" i="29" a="1"/>
  <c r="C12" i="29" a="1"/>
  <c r="O71" i="29" a="1"/>
  <c r="D47" i="29" a="1"/>
  <c r="H47" i="29" a="1"/>
  <c r="C10" i="29" a="1"/>
  <c r="E46" i="29" a="1"/>
  <c r="F65" i="29" a="1"/>
  <c r="E68" i="33" a="1"/>
  <c r="O68" i="30" a="1"/>
  <c r="O48" i="29" a="1"/>
  <c r="N30" i="29" a="1"/>
  <c r="G66" i="29" a="1"/>
  <c r="O47" i="29" a="1"/>
  <c r="H70" i="29" a="1"/>
  <c r="D50" i="29" a="1"/>
  <c r="G70" i="29" a="1"/>
  <c r="C47" i="29" a="1"/>
  <c r="P56" i="29" a="1"/>
  <c r="F47" i="29" a="1"/>
  <c r="C48" i="29" a="1"/>
  <c r="P65" i="29" a="1"/>
  <c r="F71" i="29" a="1"/>
  <c r="H46" i="29" a="1"/>
  <c r="E68" i="33" l="1"/>
  <c r="G68" i="33"/>
  <c r="R84" i="29"/>
  <c r="Q129" i="29"/>
  <c r="Q130" i="29"/>
  <c r="I129" i="29"/>
  <c r="I145" i="33" s="1"/>
  <c r="I130" i="29"/>
  <c r="I144" i="33" s="1"/>
  <c r="D129" i="29"/>
  <c r="D145" i="33" s="1"/>
  <c r="D130" i="29"/>
  <c r="D144" i="33" s="1"/>
  <c r="P144" i="30"/>
  <c r="P144" i="28"/>
  <c r="G129" i="29"/>
  <c r="G145" i="33" s="1"/>
  <c r="G130" i="29"/>
  <c r="G144" i="33" s="1"/>
  <c r="G114" i="29"/>
  <c r="G121" i="29" s="1"/>
  <c r="G113" i="29"/>
  <c r="G120" i="29" s="1"/>
  <c r="Q113" i="29"/>
  <c r="Q120" i="29" s="1"/>
  <c r="Q114" i="29"/>
  <c r="I114" i="29"/>
  <c r="I121" i="29" s="1"/>
  <c r="I113" i="29"/>
  <c r="I120" i="29" s="1"/>
  <c r="D114" i="29"/>
  <c r="D121" i="29" s="1"/>
  <c r="D113" i="29"/>
  <c r="D120" i="29" s="1"/>
  <c r="E85" i="29"/>
  <c r="O46" i="29"/>
  <c r="E46" i="29"/>
  <c r="P71" i="29"/>
  <c r="G66" i="29"/>
  <c r="P60" i="29"/>
  <c r="D54" i="29"/>
  <c r="C48" i="29"/>
  <c r="D52" i="29"/>
  <c r="O68" i="30"/>
  <c r="H65" i="29"/>
  <c r="M70" i="29"/>
  <c r="E48" i="29"/>
  <c r="O48" i="29"/>
  <c r="H48" i="29"/>
  <c r="P47" i="29"/>
  <c r="O71" i="29"/>
  <c r="N70" i="29"/>
  <c r="E70" i="29"/>
  <c r="N30" i="29"/>
  <c r="G70" i="29"/>
  <c r="F65" i="29"/>
  <c r="C65" i="29"/>
  <c r="F71" i="29"/>
  <c r="H46" i="29"/>
  <c r="F46" i="29"/>
  <c r="O47" i="29"/>
  <c r="F70" i="29"/>
  <c r="D50" i="29"/>
  <c r="N34" i="29"/>
  <c r="O34" i="29"/>
  <c r="P46" i="29"/>
  <c r="D47" i="29"/>
  <c r="D75" i="29" s="1"/>
  <c r="G47" i="29"/>
  <c r="D56" i="29"/>
  <c r="P52" i="29"/>
  <c r="H70" i="29"/>
  <c r="D58" i="29"/>
  <c r="N29" i="29"/>
  <c r="F47" i="29"/>
  <c r="P65" i="29"/>
  <c r="H47" i="29"/>
  <c r="C12" i="29"/>
  <c r="C10" i="29"/>
  <c r="P66" i="29"/>
  <c r="F48" i="29"/>
  <c r="E66" i="29"/>
  <c r="G48" i="29"/>
  <c r="E47" i="29"/>
  <c r="C47" i="29"/>
  <c r="C46" i="29"/>
  <c r="D60" i="29"/>
  <c r="P56" i="29"/>
  <c r="O12" i="29"/>
  <c r="P98" i="29"/>
  <c r="P132" i="29"/>
  <c r="P94" i="29"/>
  <c r="P85" i="29"/>
  <c r="P90" i="29"/>
  <c r="F98" i="29"/>
  <c r="F132" i="29"/>
  <c r="F94" i="29"/>
  <c r="F85" i="29"/>
  <c r="F90" i="29"/>
  <c r="D110" i="29"/>
  <c r="D115" i="33" s="1"/>
  <c r="H105" i="29"/>
  <c r="H107" i="33" s="1"/>
  <c r="Q116" i="30"/>
  <c r="H111" i="29"/>
  <c r="H116" i="33" s="1"/>
  <c r="F105" i="29"/>
  <c r="F107" i="33" s="1"/>
  <c r="H108" i="30"/>
  <c r="H108" i="28"/>
  <c r="D100" i="29"/>
  <c r="D96" i="29"/>
  <c r="D92" i="29"/>
  <c r="I107" i="28"/>
  <c r="I107" i="30"/>
  <c r="N115" i="30"/>
  <c r="F100" i="29"/>
  <c r="F92" i="29"/>
  <c r="F96" i="29"/>
  <c r="I111" i="29"/>
  <c r="I116" i="33" s="1"/>
  <c r="P100" i="29"/>
  <c r="P92" i="29"/>
  <c r="P96" i="29"/>
  <c r="E106" i="29"/>
  <c r="E108" i="33" s="1"/>
  <c r="I96" i="29"/>
  <c r="I100" i="29"/>
  <c r="I92" i="29"/>
  <c r="Q99" i="29"/>
  <c r="Q91" i="29"/>
  <c r="Q95" i="29"/>
  <c r="P116" i="30"/>
  <c r="O115" i="30"/>
  <c r="F115" i="30"/>
  <c r="F115" i="28"/>
  <c r="E132" i="29"/>
  <c r="E105" i="29"/>
  <c r="E107" i="33" s="1"/>
  <c r="H115" i="30"/>
  <c r="H115" i="28"/>
  <c r="G107" i="28"/>
  <c r="G107" i="30"/>
  <c r="D107" i="30"/>
  <c r="D107" i="28"/>
  <c r="G116" i="30"/>
  <c r="G116" i="28"/>
  <c r="I98" i="29"/>
  <c r="I132" i="29"/>
  <c r="I94" i="29"/>
  <c r="I90" i="29"/>
  <c r="I85" i="29"/>
  <c r="G98" i="29"/>
  <c r="G90" i="29"/>
  <c r="G85" i="29"/>
  <c r="G132" i="29"/>
  <c r="G94" i="29"/>
  <c r="P99" i="29"/>
  <c r="P91" i="29"/>
  <c r="P95" i="29"/>
  <c r="G115" i="30"/>
  <c r="G115" i="28"/>
  <c r="Q98" i="29"/>
  <c r="Q90" i="29"/>
  <c r="Q94" i="29"/>
  <c r="Q132" i="29"/>
  <c r="Q85" i="29"/>
  <c r="E110" i="29"/>
  <c r="E115" i="33" s="1"/>
  <c r="E111" i="29"/>
  <c r="E116" i="33" s="1"/>
  <c r="E91" i="29"/>
  <c r="E95" i="29"/>
  <c r="E99" i="29"/>
  <c r="H95" i="29"/>
  <c r="H91" i="29"/>
  <c r="H99" i="29"/>
  <c r="I115" i="30"/>
  <c r="I115" i="28"/>
  <c r="I106" i="29"/>
  <c r="I108" i="33" s="1"/>
  <c r="G95" i="29"/>
  <c r="G91" i="29"/>
  <c r="G99" i="29"/>
  <c r="D106" i="29"/>
  <c r="D108" i="33" s="1"/>
  <c r="Q107" i="30"/>
  <c r="I99" i="29"/>
  <c r="I95" i="29"/>
  <c r="I91" i="29"/>
  <c r="Q108" i="30"/>
  <c r="G100" i="29"/>
  <c r="G96" i="29"/>
  <c r="G92" i="29"/>
  <c r="G106" i="29"/>
  <c r="G108" i="33" s="1"/>
  <c r="F108" i="30"/>
  <c r="F108" i="28"/>
  <c r="D111" i="29"/>
  <c r="D116" i="33" s="1"/>
  <c r="H100" i="29"/>
  <c r="H96" i="29"/>
  <c r="H92" i="29"/>
  <c r="F99" i="29"/>
  <c r="F91" i="29"/>
  <c r="F95" i="29"/>
  <c r="D99" i="29"/>
  <c r="D95" i="29"/>
  <c r="D91" i="29"/>
  <c r="D132" i="29"/>
  <c r="D94" i="29"/>
  <c r="D90" i="29"/>
  <c r="D98" i="29"/>
  <c r="F111" i="29"/>
  <c r="F116" i="33" s="1"/>
  <c r="P141" i="30"/>
  <c r="Q6" i="30"/>
  <c r="Q141" i="30" s="1"/>
  <c r="N141" i="28"/>
  <c r="O6" i="28"/>
  <c r="H86" i="29"/>
  <c r="C68" i="33" a="1"/>
  <c r="E50" i="29" a="1"/>
  <c r="G12" i="29" a="1"/>
  <c r="C18" i="29" a="1"/>
  <c r="G52" i="29" a="1"/>
  <c r="F12" i="29" a="1"/>
  <c r="G56" i="29" a="1"/>
  <c r="F50" i="29" a="1"/>
  <c r="D55" i="29" a="1"/>
  <c r="F58" i="29" a="1"/>
  <c r="D59" i="29" a="1"/>
  <c r="E54" i="29" a="1"/>
  <c r="D51" i="29" a="1"/>
  <c r="H66" i="29" a="1"/>
  <c r="F56" i="29" a="1"/>
  <c r="E32" i="33" a="1"/>
  <c r="F55" i="29" a="1"/>
  <c r="D65" i="29" a="1"/>
  <c r="G68" i="28" a="1"/>
  <c r="E12" i="29" a="1"/>
  <c r="E51" i="29" a="1"/>
  <c r="D30" i="29" a="1"/>
  <c r="F54" i="29" a="1"/>
  <c r="E10" i="29" a="1"/>
  <c r="E68" i="28" a="1"/>
  <c r="C16" i="29" a="1"/>
  <c r="D10" i="29" a="1"/>
  <c r="N11" i="29" a="1"/>
  <c r="G51" i="29" a="1"/>
  <c r="F51" i="29" a="1"/>
  <c r="C50" i="29" a="1"/>
  <c r="E11" i="29" a="1"/>
  <c r="O55" i="29" a="1"/>
  <c r="E29" i="29" a="1"/>
  <c r="G29" i="29" a="1"/>
  <c r="C14" i="29" a="1"/>
  <c r="O52" i="29" a="1"/>
  <c r="E58" i="29" a="1"/>
  <c r="E71" i="29" a="1"/>
  <c r="C66" i="29" a="1"/>
  <c r="C52" i="29" a="1"/>
  <c r="M34" i="29" a="1"/>
  <c r="O29" i="29" a="1"/>
  <c r="H60" i="29" a="1"/>
  <c r="H59" i="29" a="1"/>
  <c r="C54" i="29" a="1"/>
  <c r="C60" i="29" a="1"/>
  <c r="G59" i="29" a="1"/>
  <c r="E59" i="29" a="1"/>
  <c r="H52" i="29" a="1"/>
  <c r="F60" i="29" a="1"/>
  <c r="C24" i="29" a="1"/>
  <c r="H56" i="29" a="1"/>
  <c r="C58" i="29" a="1"/>
  <c r="G71" i="29" a="1"/>
  <c r="G60" i="29" a="1"/>
  <c r="C71" i="29" a="1"/>
  <c r="P50" i="29" a="1"/>
  <c r="P51" i="29" a="1"/>
  <c r="F66" i="29" a="1"/>
  <c r="E56" i="29" a="1"/>
  <c r="O35" i="29" a="1"/>
  <c r="D71" i="29" a="1"/>
  <c r="C11" i="29" a="1"/>
  <c r="E52" i="29" a="1"/>
  <c r="C32" i="33" a="1"/>
  <c r="C20" i="29" a="1"/>
  <c r="H51" i="29" a="1"/>
  <c r="G11" i="29" a="1"/>
  <c r="F34" i="29" a="1"/>
  <c r="O30" i="29" a="1"/>
  <c r="F52" i="29" a="1"/>
  <c r="O20" i="29" a="1"/>
  <c r="O24" i="29" a="1"/>
  <c r="C56" i="29" a="1"/>
  <c r="P59" i="29" a="1"/>
  <c r="M32" i="30" a="1"/>
  <c r="D12" i="29" a="1"/>
  <c r="E34" i="29" a="1"/>
  <c r="O59" i="29" a="1"/>
  <c r="D66" i="29" a="1"/>
  <c r="E55" i="29" a="1"/>
  <c r="G68" i="30" a="1"/>
  <c r="D68" i="33" a="1"/>
  <c r="G10" i="29" a="1"/>
  <c r="O54" i="29" a="1"/>
  <c r="E60" i="29" a="1"/>
  <c r="H58" i="29" a="1"/>
  <c r="H68" i="33" a="1"/>
  <c r="P55" i="29" a="1"/>
  <c r="D34" i="29" a="1"/>
  <c r="E65" i="29" a="1"/>
  <c r="F11" i="29" a="1"/>
  <c r="G55" i="29" a="1"/>
  <c r="H54" i="29" a="1"/>
  <c r="O51" i="29" a="1"/>
  <c r="L34" i="29" a="1"/>
  <c r="G46" i="29" a="1"/>
  <c r="C70" i="29" a="1"/>
  <c r="G65" i="29" a="1"/>
  <c r="O60" i="29" a="1"/>
  <c r="O11" i="29" a="1"/>
  <c r="C51" i="29" a="1"/>
  <c r="H50" i="29" a="1"/>
  <c r="N35" i="29" a="1"/>
  <c r="P68" i="30" a="1"/>
  <c r="H71" i="29" a="1"/>
  <c r="C59" i="29" a="1"/>
  <c r="P54" i="29" a="1"/>
  <c r="C22" i="29" a="1"/>
  <c r="H55" i="29" a="1"/>
  <c r="C55" i="29" a="1"/>
  <c r="F30" i="29" a="1"/>
  <c r="N10" i="29" a="1"/>
  <c r="O58" i="29" a="1"/>
  <c r="P58" i="29" a="1"/>
  <c r="F59" i="29" a="1"/>
  <c r="F68" i="33" a="1"/>
  <c r="D70" i="29" a="1"/>
  <c r="O10" i="29" a="1"/>
  <c r="E35" i="29" a="1"/>
  <c r="E68" i="30" a="1"/>
  <c r="G34" i="29" a="1"/>
  <c r="O50" i="29" a="1"/>
  <c r="D11" i="29" a="1"/>
  <c r="N12" i="29" a="1"/>
  <c r="O16" i="29" a="1"/>
  <c r="O56" i="29" a="1"/>
  <c r="D68" i="33" l="1"/>
  <c r="H68" i="33"/>
  <c r="C68" i="33"/>
  <c r="F68" i="33"/>
  <c r="E32" i="33"/>
  <c r="C32" i="33"/>
  <c r="G144" i="28"/>
  <c r="G144" i="30"/>
  <c r="I144" i="28"/>
  <c r="I144" i="30"/>
  <c r="E130" i="29"/>
  <c r="E144" i="33" s="1"/>
  <c r="E129" i="29"/>
  <c r="E145" i="33" s="1"/>
  <c r="F130" i="29"/>
  <c r="F144" i="33" s="1"/>
  <c r="F129" i="29"/>
  <c r="F145" i="33" s="1"/>
  <c r="H129" i="29"/>
  <c r="H145" i="33" s="1"/>
  <c r="H130" i="29"/>
  <c r="H144" i="33" s="1"/>
  <c r="D144" i="28"/>
  <c r="D144" i="30"/>
  <c r="Q144" i="30"/>
  <c r="Q144" i="28"/>
  <c r="E114" i="29"/>
  <c r="E121" i="29" s="1"/>
  <c r="E113" i="29"/>
  <c r="E120" i="29" s="1"/>
  <c r="F114" i="29"/>
  <c r="F121" i="29" s="1"/>
  <c r="F113" i="29"/>
  <c r="F120" i="29" s="1"/>
  <c r="H113" i="29"/>
  <c r="H120" i="29" s="1"/>
  <c r="H114" i="29"/>
  <c r="H121" i="29" s="1"/>
  <c r="P75" i="29"/>
  <c r="E71" i="29"/>
  <c r="C51" i="29"/>
  <c r="G71" i="29"/>
  <c r="O58" i="29"/>
  <c r="C16" i="29"/>
  <c r="C58" i="29"/>
  <c r="F55" i="29"/>
  <c r="G51" i="29"/>
  <c r="H54" i="29"/>
  <c r="P51" i="29"/>
  <c r="D66" i="29"/>
  <c r="E34" i="29"/>
  <c r="D12" i="29"/>
  <c r="E59" i="29"/>
  <c r="F59" i="29"/>
  <c r="C71" i="29"/>
  <c r="F52" i="29"/>
  <c r="H55" i="29"/>
  <c r="G59" i="29"/>
  <c r="H50" i="29"/>
  <c r="P55" i="29"/>
  <c r="E58" i="29"/>
  <c r="F11" i="29"/>
  <c r="C14" i="29"/>
  <c r="G10" i="29"/>
  <c r="N12" i="29"/>
  <c r="F30" i="29"/>
  <c r="C55" i="29"/>
  <c r="F56" i="29"/>
  <c r="C59" i="29"/>
  <c r="G52" i="29"/>
  <c r="F60" i="29"/>
  <c r="H59" i="29"/>
  <c r="G55" i="29"/>
  <c r="D71" i="29"/>
  <c r="P54" i="29"/>
  <c r="E56" i="29"/>
  <c r="C60" i="29"/>
  <c r="O50" i="29"/>
  <c r="O20" i="29"/>
  <c r="D30" i="29"/>
  <c r="C22" i="29"/>
  <c r="C11" i="29"/>
  <c r="C39" i="29" s="1"/>
  <c r="G46" i="29"/>
  <c r="P50" i="29"/>
  <c r="O55" i="29"/>
  <c r="F50" i="29"/>
  <c r="P59" i="29"/>
  <c r="O56" i="29"/>
  <c r="G65" i="29"/>
  <c r="E50" i="29"/>
  <c r="C24" i="29"/>
  <c r="E12" i="29"/>
  <c r="G11" i="29"/>
  <c r="O10" i="29"/>
  <c r="N11" i="29"/>
  <c r="D34" i="29"/>
  <c r="O35" i="29"/>
  <c r="F51" i="29"/>
  <c r="D51" i="29"/>
  <c r="H71" i="29"/>
  <c r="E68" i="28"/>
  <c r="C50" i="29"/>
  <c r="G56" i="29"/>
  <c r="E68" i="30"/>
  <c r="P68" i="30"/>
  <c r="H66" i="29"/>
  <c r="D70" i="29"/>
  <c r="O51" i="29"/>
  <c r="F58" i="29"/>
  <c r="H58" i="29"/>
  <c r="H52" i="29"/>
  <c r="O52" i="29"/>
  <c r="E52" i="29"/>
  <c r="G68" i="28"/>
  <c r="O30" i="29"/>
  <c r="O29" i="29"/>
  <c r="G34" i="29"/>
  <c r="E35" i="29"/>
  <c r="M34" i="29"/>
  <c r="E55" i="29"/>
  <c r="G60" i="29"/>
  <c r="C66" i="29"/>
  <c r="O59" i="29"/>
  <c r="G68" i="30"/>
  <c r="E11" i="29"/>
  <c r="N35" i="29"/>
  <c r="L34" i="29"/>
  <c r="C18" i="29"/>
  <c r="C54" i="29"/>
  <c r="F66" i="29"/>
  <c r="E60" i="29"/>
  <c r="D10" i="29"/>
  <c r="E51" i="29"/>
  <c r="D59" i="29"/>
  <c r="P58" i="29"/>
  <c r="F54" i="29"/>
  <c r="H60" i="29"/>
  <c r="O60" i="29"/>
  <c r="C52" i="29"/>
  <c r="E65" i="29"/>
  <c r="E54" i="29"/>
  <c r="O54" i="29"/>
  <c r="D11" i="29"/>
  <c r="O16" i="29"/>
  <c r="E10" i="29"/>
  <c r="E29" i="29"/>
  <c r="O11" i="29"/>
  <c r="G29" i="29"/>
  <c r="N10" i="29"/>
  <c r="H51" i="29"/>
  <c r="D55" i="29"/>
  <c r="D65" i="29"/>
  <c r="H56" i="29"/>
  <c r="C56" i="29"/>
  <c r="C70" i="29"/>
  <c r="F12" i="29"/>
  <c r="C20" i="29"/>
  <c r="F34" i="29"/>
  <c r="G12" i="29"/>
  <c r="M32" i="30"/>
  <c r="O24" i="29"/>
  <c r="F116" i="30"/>
  <c r="F116" i="28"/>
  <c r="H116" i="30"/>
  <c r="H116" i="28"/>
  <c r="E108" i="30"/>
  <c r="E108" i="28"/>
  <c r="D116" i="30"/>
  <c r="D116" i="28"/>
  <c r="E116" i="30"/>
  <c r="E116" i="28"/>
  <c r="H98" i="29"/>
  <c r="H90" i="29"/>
  <c r="H85" i="29"/>
  <c r="H132" i="29"/>
  <c r="H94" i="29"/>
  <c r="H107" i="28"/>
  <c r="H107" i="30"/>
  <c r="I116" i="30"/>
  <c r="I116" i="28"/>
  <c r="I108" i="30"/>
  <c r="I108" i="28"/>
  <c r="E115" i="30"/>
  <c r="E115" i="28"/>
  <c r="C75" i="29"/>
  <c r="D108" i="30"/>
  <c r="D108" i="28"/>
  <c r="G108" i="30"/>
  <c r="G108" i="28"/>
  <c r="E75" i="29"/>
  <c r="F107" i="28"/>
  <c r="F107" i="30"/>
  <c r="F75" i="29"/>
  <c r="O75" i="29"/>
  <c r="E107" i="28"/>
  <c r="E107" i="30"/>
  <c r="D115" i="28"/>
  <c r="D115" i="30"/>
  <c r="H75" i="29"/>
  <c r="O141" i="28"/>
  <c r="P6" i="28"/>
  <c r="F138" i="18"/>
  <c r="F138" i="19"/>
  <c r="E138" i="18"/>
  <c r="E144" i="18" s="1"/>
  <c r="F139" i="19"/>
  <c r="G139" i="19"/>
  <c r="G139" i="20"/>
  <c r="F139" i="20"/>
  <c r="E138" i="19"/>
  <c r="E144" i="19" s="1"/>
  <c r="M140" i="20"/>
  <c r="G138" i="18"/>
  <c r="H138" i="18"/>
  <c r="I138" i="18"/>
  <c r="J138" i="18"/>
  <c r="K138" i="18"/>
  <c r="G139" i="18"/>
  <c r="H139" i="18"/>
  <c r="I139" i="18"/>
  <c r="J139" i="18"/>
  <c r="K139" i="18"/>
  <c r="F139" i="18"/>
  <c r="G138" i="19"/>
  <c r="H138" i="19"/>
  <c r="I138" i="19"/>
  <c r="J138" i="19"/>
  <c r="H139" i="19"/>
  <c r="I139" i="19"/>
  <c r="J139" i="19"/>
  <c r="H139" i="20"/>
  <c r="G18" i="29" a="1"/>
  <c r="E15" i="29" a="1"/>
  <c r="C23" i="29" a="1"/>
  <c r="D29" i="29" a="1"/>
  <c r="N14" i="29" a="1"/>
  <c r="C19" i="29" a="1"/>
  <c r="H68" i="30" a="1"/>
  <c r="N32" i="30" a="1"/>
  <c r="E32" i="28" a="1"/>
  <c r="N15" i="29" a="1"/>
  <c r="C30" i="29" a="1"/>
  <c r="D68" i="30" a="1"/>
  <c r="F32" i="33" a="1"/>
  <c r="D24" i="29" a="1"/>
  <c r="G20" i="29" a="1"/>
  <c r="C32" i="30" a="1"/>
  <c r="H68" i="28" a="1"/>
  <c r="D35" i="29" a="1"/>
  <c r="D20" i="29" a="1"/>
  <c r="F10" i="29" a="1"/>
  <c r="G19" i="29" a="1"/>
  <c r="G16" i="29" a="1"/>
  <c r="G58" i="29" a="1"/>
  <c r="G24" i="29" a="1"/>
  <c r="G54" i="29" a="1"/>
  <c r="G15" i="29" a="1"/>
  <c r="D23" i="29" a="1"/>
  <c r="N18" i="29" a="1"/>
  <c r="F20" i="29" a="1"/>
  <c r="O14" i="29" a="1"/>
  <c r="G22" i="29" a="1"/>
  <c r="E23" i="29" a="1"/>
  <c r="E19" i="29" a="1"/>
  <c r="E30" i="29" a="1"/>
  <c r="F29" i="29" a="1"/>
  <c r="O22" i="29" a="1"/>
  <c r="N19" i="29" a="1"/>
  <c r="N16" i="29" a="1"/>
  <c r="N22" i="29" a="1"/>
  <c r="F35" i="29" a="1"/>
  <c r="G35" i="29" a="1"/>
  <c r="G50" i="29" a="1"/>
  <c r="D19" i="29" a="1"/>
  <c r="E32" i="30" a="1"/>
  <c r="C15" i="29" a="1"/>
  <c r="F23" i="29" a="1"/>
  <c r="N20" i="29" a="1"/>
  <c r="F16" i="29" a="1"/>
  <c r="O19" i="29" a="1"/>
  <c r="E24" i="29" a="1"/>
  <c r="G23" i="29" a="1"/>
  <c r="O18" i="29" a="1"/>
  <c r="D32" i="33" a="1"/>
  <c r="D14" i="29" a="1"/>
  <c r="C34" i="29" a="1"/>
  <c r="D22" i="29" a="1"/>
  <c r="E20" i="29" a="1"/>
  <c r="E16" i="29" a="1"/>
  <c r="D15" i="29" a="1"/>
  <c r="F19" i="29" a="1"/>
  <c r="N23" i="29" a="1"/>
  <c r="G14" i="29" a="1"/>
  <c r="F68" i="30" a="1"/>
  <c r="F24" i="29" a="1"/>
  <c r="O15" i="29" a="1"/>
  <c r="C68" i="30" a="1"/>
  <c r="F68" i="28" a="1"/>
  <c r="C29" i="29" a="1"/>
  <c r="D68" i="28" a="1"/>
  <c r="G30" i="29" a="1"/>
  <c r="E14" i="29" a="1"/>
  <c r="F15" i="29" a="1"/>
  <c r="D18" i="29" a="1"/>
  <c r="N24" i="29" a="1"/>
  <c r="C35" i="29" a="1"/>
  <c r="E22" i="29" a="1"/>
  <c r="O23" i="29" a="1"/>
  <c r="D16" i="29" a="1"/>
  <c r="E18" i="29" a="1"/>
  <c r="D32" i="33" l="1"/>
  <c r="F32" i="33"/>
  <c r="H144" i="30"/>
  <c r="H144" i="28"/>
  <c r="F144" i="28"/>
  <c r="F144" i="30"/>
  <c r="E144" i="30"/>
  <c r="E144" i="28"/>
  <c r="N39" i="29"/>
  <c r="O39" i="29"/>
  <c r="G39" i="29"/>
  <c r="E39" i="29"/>
  <c r="D39" i="29"/>
  <c r="G58" i="29"/>
  <c r="G15" i="29"/>
  <c r="C23" i="29"/>
  <c r="F24" i="29"/>
  <c r="G16" i="29"/>
  <c r="D14" i="29"/>
  <c r="O14" i="29"/>
  <c r="D22" i="29"/>
  <c r="E16" i="29"/>
  <c r="F68" i="28"/>
  <c r="H68" i="28"/>
  <c r="N24" i="29"/>
  <c r="E30" i="29"/>
  <c r="D19" i="29"/>
  <c r="G22" i="29"/>
  <c r="N32" i="30"/>
  <c r="F29" i="29"/>
  <c r="D20" i="29"/>
  <c r="G23" i="29"/>
  <c r="N22" i="29"/>
  <c r="N18" i="29"/>
  <c r="G18" i="29"/>
  <c r="D18" i="29"/>
  <c r="E22" i="29"/>
  <c r="F20" i="29"/>
  <c r="E15" i="29"/>
  <c r="N20" i="29"/>
  <c r="E24" i="29"/>
  <c r="O19" i="29"/>
  <c r="D23" i="29"/>
  <c r="F68" i="30"/>
  <c r="H68" i="30"/>
  <c r="G24" i="29"/>
  <c r="E32" i="30"/>
  <c r="C15" i="29"/>
  <c r="F10" i="29"/>
  <c r="F39" i="29" s="1"/>
  <c r="F35" i="29"/>
  <c r="G20" i="29"/>
  <c r="D15" i="29"/>
  <c r="E32" i="28"/>
  <c r="N15" i="29"/>
  <c r="O23" i="29"/>
  <c r="F16" i="29"/>
  <c r="F15" i="29"/>
  <c r="C68" i="30"/>
  <c r="G54" i="29"/>
  <c r="C32" i="30"/>
  <c r="E23" i="29"/>
  <c r="D68" i="28"/>
  <c r="C29" i="29"/>
  <c r="D29" i="29"/>
  <c r="E18" i="29"/>
  <c r="C34" i="29"/>
  <c r="O18" i="29"/>
  <c r="G14" i="29"/>
  <c r="E19" i="29"/>
  <c r="G50" i="29"/>
  <c r="D68" i="30"/>
  <c r="O22" i="29"/>
  <c r="N23" i="29"/>
  <c r="D16" i="29"/>
  <c r="G30" i="29"/>
  <c r="E14" i="29"/>
  <c r="N14" i="29"/>
  <c r="C35" i="29"/>
  <c r="E20" i="29"/>
  <c r="F23" i="29"/>
  <c r="C30" i="29"/>
  <c r="C19" i="29"/>
  <c r="D24" i="29"/>
  <c r="N16" i="29"/>
  <c r="G35" i="29"/>
  <c r="N19" i="29"/>
  <c r="F19" i="29"/>
  <c r="G19" i="29"/>
  <c r="O15" i="29"/>
  <c r="D35" i="29"/>
  <c r="G75" i="29"/>
  <c r="F144" i="18"/>
  <c r="O144" i="19"/>
  <c r="P141" i="28"/>
  <c r="Q6" i="28"/>
  <c r="Q141" i="28" s="1"/>
  <c r="G144" i="18"/>
  <c r="Q144" i="20"/>
  <c r="I144" i="18"/>
  <c r="K144" i="19"/>
  <c r="L144" i="19"/>
  <c r="H144" i="18"/>
  <c r="G144" i="19"/>
  <c r="N144" i="20"/>
  <c r="K144" i="18"/>
  <c r="M144" i="20"/>
  <c r="J144" i="18"/>
  <c r="M144" i="19"/>
  <c r="P144" i="18"/>
  <c r="N144" i="19"/>
  <c r="O144" i="20"/>
  <c r="J144" i="19"/>
  <c r="O144" i="18"/>
  <c r="Q144" i="18"/>
  <c r="I144" i="19"/>
  <c r="Q144" i="19"/>
  <c r="N144" i="18"/>
  <c r="P144" i="20"/>
  <c r="H144" i="19"/>
  <c r="P144" i="19"/>
  <c r="L144" i="18"/>
  <c r="M144" i="18"/>
  <c r="F144" i="19"/>
  <c r="K144" i="20"/>
  <c r="L144" i="20"/>
  <c r="F144" i="20"/>
  <c r="F14" i="29" a="1"/>
  <c r="D32" i="30" a="1"/>
  <c r="F32" i="28" a="1"/>
  <c r="F22" i="29" a="1"/>
  <c r="D32" i="28" a="1"/>
  <c r="F32" i="30" a="1"/>
  <c r="F18" i="29" a="1"/>
  <c r="F32" i="30" l="1"/>
  <c r="D32" i="28"/>
  <c r="F18" i="29"/>
  <c r="D32" i="30"/>
  <c r="F14" i="29"/>
  <c r="F32" i="28"/>
  <c r="F22" i="29"/>
  <c r="Q61" i="20"/>
  <c r="Q61" i="19"/>
  <c r="C85" i="22"/>
  <c r="Q45" i="22"/>
  <c r="Q9" i="22"/>
  <c r="P9" i="22"/>
  <c r="C85" i="18"/>
  <c r="Q45" i="18"/>
  <c r="Q9" i="18"/>
  <c r="P9" i="18"/>
  <c r="Q9" i="19"/>
  <c r="P9" i="19"/>
  <c r="Q45" i="19"/>
  <c r="C85" i="19"/>
  <c r="Q45" i="20"/>
  <c r="Q9" i="20"/>
  <c r="P9" i="20"/>
  <c r="Q39" i="15" l="1"/>
  <c r="P39" i="15"/>
  <c r="Q75" i="15"/>
  <c r="K53" i="5"/>
  <c r="K17" i="5"/>
  <c r="K18" i="5"/>
  <c r="K16" i="5"/>
  <c r="A105" i="22" l="1"/>
  <c r="A104" i="22"/>
  <c r="A103" i="22"/>
  <c r="D118" i="22"/>
  <c r="R74" i="22"/>
  <c r="R73" i="22"/>
  <c r="B72" i="22"/>
  <c r="A46" i="22"/>
  <c r="A47" i="22" s="1"/>
  <c r="A48" i="22" s="1"/>
  <c r="A50" i="22" s="1"/>
  <c r="A35" i="22"/>
  <c r="A34" i="22"/>
  <c r="A32" i="22"/>
  <c r="A30" i="22"/>
  <c r="A29" i="22"/>
  <c r="A28" i="22"/>
  <c r="A26" i="22"/>
  <c r="A27" i="22" s="1"/>
  <c r="A22" i="22"/>
  <c r="A24" i="22" s="1"/>
  <c r="A18" i="22"/>
  <c r="A16" i="22"/>
  <c r="A15" i="22"/>
  <c r="A14" i="22"/>
  <c r="A12" i="22"/>
  <c r="A11" i="22"/>
  <c r="A10" i="22"/>
  <c r="I6" i="22"/>
  <c r="J6" i="22" s="1"/>
  <c r="K6" i="22" s="1"/>
  <c r="L6" i="22" s="1"/>
  <c r="M6" i="22" s="1"/>
  <c r="N6" i="22" s="1"/>
  <c r="O6" i="22" s="1"/>
  <c r="P6" i="22" s="1"/>
  <c r="Q6" i="22" s="1"/>
  <c r="E6" i="22"/>
  <c r="F6" i="22" s="1"/>
  <c r="G6" i="22" s="1"/>
  <c r="H6" i="22" s="1"/>
  <c r="O32" i="22" a="1"/>
  <c r="B2" i="22" l="1"/>
  <c r="A23" i="22"/>
  <c r="O32" i="22"/>
  <c r="A19" i="22"/>
  <c r="A20" i="22"/>
  <c r="A51" i="22"/>
  <c r="A52" i="22" s="1"/>
  <c r="A54" i="22" s="1"/>
  <c r="A55" i="22" s="1"/>
  <c r="A56" i="22" s="1"/>
  <c r="A10" i="20"/>
  <c r="A11" i="20"/>
  <c r="A12" i="20"/>
  <c r="A14" i="20"/>
  <c r="A15" i="20"/>
  <c r="A16" i="20"/>
  <c r="A18" i="20"/>
  <c r="A19" i="20" s="1"/>
  <c r="A22" i="20"/>
  <c r="A23" i="20" s="1"/>
  <c r="A26" i="20"/>
  <c r="A27" i="20" s="1"/>
  <c r="A28" i="20"/>
  <c r="A29" i="20"/>
  <c r="A30" i="20"/>
  <c r="A32" i="20"/>
  <c r="A34" i="20"/>
  <c r="A35" i="20"/>
  <c r="O32" i="20" a="1"/>
  <c r="A20" i="20" l="1"/>
  <c r="A24" i="20"/>
  <c r="O32" i="20"/>
  <c r="A58" i="22"/>
  <c r="A59" i="22"/>
  <c r="A60" i="22"/>
  <c r="A71" i="22" l="1"/>
  <c r="A68" i="22"/>
  <c r="A70" i="22"/>
  <c r="A64" i="22"/>
  <c r="A66" i="22"/>
  <c r="A63" i="22"/>
  <c r="A62" i="22"/>
  <c r="A65" i="22"/>
  <c r="C70" i="22" a="1"/>
  <c r="C68" i="22" a="1"/>
  <c r="C71" i="22" a="1"/>
  <c r="C68" i="22" l="1"/>
  <c r="C70" i="22"/>
  <c r="C71" i="22"/>
  <c r="C32" i="5"/>
  <c r="B111" i="20" l="1"/>
  <c r="B110" i="20"/>
  <c r="B108" i="20"/>
  <c r="B106" i="20"/>
  <c r="B103" i="20"/>
  <c r="B102" i="20"/>
  <c r="R74" i="20"/>
  <c r="R73" i="20"/>
  <c r="B72" i="20"/>
  <c r="A46" i="20"/>
  <c r="E6" i="20"/>
  <c r="F6" i="20" s="1"/>
  <c r="G6" i="20" s="1"/>
  <c r="H6" i="20" s="1"/>
  <c r="I6" i="20" s="1"/>
  <c r="J6" i="20" s="1"/>
  <c r="K6" i="20" s="1"/>
  <c r="L6" i="20" s="1"/>
  <c r="M6" i="20" s="1"/>
  <c r="N6" i="20" s="1"/>
  <c r="O6" i="20" s="1"/>
  <c r="P6" i="20" s="1"/>
  <c r="Q6" i="20" s="1"/>
  <c r="R74" i="19"/>
  <c r="R73" i="19"/>
  <c r="B72" i="19"/>
  <c r="A46" i="19"/>
  <c r="A35" i="19"/>
  <c r="A34" i="19"/>
  <c r="A32" i="19"/>
  <c r="A30" i="19"/>
  <c r="A29" i="19"/>
  <c r="A28" i="19"/>
  <c r="A26" i="19"/>
  <c r="A22" i="19"/>
  <c r="A18" i="19"/>
  <c r="A16" i="19"/>
  <c r="A15" i="19"/>
  <c r="A14" i="19"/>
  <c r="A12" i="19"/>
  <c r="A11" i="19"/>
  <c r="A10" i="19"/>
  <c r="E6" i="19"/>
  <c r="F6" i="19" s="1"/>
  <c r="G6" i="19" s="1"/>
  <c r="H6" i="19" s="1"/>
  <c r="I6" i="19" s="1"/>
  <c r="J6" i="19" s="1"/>
  <c r="K6" i="19" s="1"/>
  <c r="L6" i="19" s="1"/>
  <c r="M6" i="19" s="1"/>
  <c r="N6" i="19" s="1"/>
  <c r="O6" i="19" s="1"/>
  <c r="P6" i="19" s="1"/>
  <c r="Q6" i="19" s="1"/>
  <c r="O32" i="19" a="1"/>
  <c r="O32" i="19" l="1"/>
  <c r="A20" i="19"/>
  <c r="A27" i="19"/>
  <c r="A24" i="19"/>
  <c r="A23" i="19"/>
  <c r="A19" i="19"/>
  <c r="A47" i="20"/>
  <c r="A48" i="20" s="1"/>
  <c r="A50" i="20" s="1"/>
  <c r="A47" i="19"/>
  <c r="A48" i="19" s="1"/>
  <c r="A50" i="19" s="1"/>
  <c r="A51" i="20" l="1"/>
  <c r="A52" i="20" s="1"/>
  <c r="A54" i="20" s="1"/>
  <c r="A55" i="20" s="1"/>
  <c r="A56" i="20" s="1"/>
  <c r="A51" i="19"/>
  <c r="A52" i="19" s="1"/>
  <c r="A54" i="19" s="1"/>
  <c r="A55" i="19" s="1"/>
  <c r="A56" i="19" s="1"/>
  <c r="A58" i="20" l="1"/>
  <c r="A59" i="20"/>
  <c r="A60" i="20"/>
  <c r="A60" i="19"/>
  <c r="A58" i="19"/>
  <c r="A59" i="19"/>
  <c r="B102" i="18"/>
  <c r="B103" i="18"/>
  <c r="B106" i="18"/>
  <c r="B108" i="18"/>
  <c r="B110" i="18"/>
  <c r="B111" i="18"/>
  <c r="A46" i="18"/>
  <c r="B72" i="18"/>
  <c r="R73" i="18"/>
  <c r="R74" i="18"/>
  <c r="E6" i="18"/>
  <c r="F6" i="18" s="1"/>
  <c r="G6" i="18"/>
  <c r="H6" i="18"/>
  <c r="I6" i="18" s="1"/>
  <c r="J6" i="18"/>
  <c r="K6" i="18" s="1"/>
  <c r="L6" i="18" s="1"/>
  <c r="M6" i="18" s="1"/>
  <c r="N6" i="18" s="1"/>
  <c r="O6" i="18" s="1"/>
  <c r="P6" i="18" s="1"/>
  <c r="Q6" i="18" s="1"/>
  <c r="A10" i="18"/>
  <c r="A11" i="18"/>
  <c r="A12" i="18"/>
  <c r="A14" i="18"/>
  <c r="A15" i="18"/>
  <c r="A16" i="18"/>
  <c r="A18" i="18"/>
  <c r="A22" i="18"/>
  <c r="A24" i="18" s="1"/>
  <c r="A26" i="18"/>
  <c r="A28" i="18"/>
  <c r="A29" i="18"/>
  <c r="A30" i="18"/>
  <c r="A32" i="18"/>
  <c r="A34" i="18"/>
  <c r="A35" i="18"/>
  <c r="O32" i="18" a="1"/>
  <c r="O32" i="18" l="1"/>
  <c r="A70" i="20"/>
  <c r="A71" i="20"/>
  <c r="A68" i="20"/>
  <c r="A65" i="20"/>
  <c r="A66" i="20"/>
  <c r="A62" i="20"/>
  <c r="A63" i="20"/>
  <c r="A64" i="20"/>
  <c r="A66" i="19"/>
  <c r="A64" i="19"/>
  <c r="A62" i="19"/>
  <c r="A65" i="19"/>
  <c r="A63" i="19"/>
  <c r="A70" i="19"/>
  <c r="A71" i="19"/>
  <c r="A68" i="19"/>
  <c r="A20" i="18"/>
  <c r="A19" i="18"/>
  <c r="A23" i="18"/>
  <c r="A27" i="18"/>
  <c r="A47" i="18"/>
  <c r="A48" i="18" s="1"/>
  <c r="A50" i="18" s="1"/>
  <c r="C71" i="19" a="1"/>
  <c r="C71" i="20" a="1"/>
  <c r="C70" i="19" a="1"/>
  <c r="C70" i="20" a="1"/>
  <c r="C71" i="19" l="1"/>
  <c r="C70" i="19"/>
  <c r="C71" i="20"/>
  <c r="C70" i="20"/>
  <c r="A51" i="18"/>
  <c r="A52" i="18" s="1"/>
  <c r="A54" i="18" s="1"/>
  <c r="A55" i="18" s="1"/>
  <c r="A56" i="18" s="1"/>
  <c r="A58" i="18" l="1"/>
  <c r="A59" i="18"/>
  <c r="A60" i="18"/>
  <c r="K30" i="5"/>
  <c r="K32" i="5"/>
  <c r="A70" i="18" l="1"/>
  <c r="A71" i="18"/>
  <c r="A68" i="18"/>
  <c r="A63" i="18"/>
  <c r="A66" i="18"/>
  <c r="A62" i="18"/>
  <c r="A65" i="18"/>
  <c r="A64" i="18"/>
  <c r="C34" i="5"/>
  <c r="C71" i="18" a="1"/>
  <c r="C70" i="18" a="1"/>
  <c r="C71" i="18" l="1"/>
  <c r="C70" i="18"/>
  <c r="A46" i="15" l="1"/>
  <c r="A47" i="15" l="1"/>
  <c r="A48" i="15" s="1"/>
  <c r="A50" i="15" s="1"/>
  <c r="A51" i="15" s="1"/>
  <c r="A52" i="15" s="1"/>
  <c r="A54" i="15" s="1"/>
  <c r="A55" i="15" s="1"/>
  <c r="A56" i="15" s="1"/>
  <c r="A60" i="15" s="1"/>
  <c r="A35" i="15"/>
  <c r="A34" i="15"/>
  <c r="A32" i="15"/>
  <c r="A30" i="15"/>
  <c r="A29" i="15"/>
  <c r="A28" i="15"/>
  <c r="A26" i="15"/>
  <c r="A27" i="15" s="1"/>
  <c r="A22" i="15"/>
  <c r="A23" i="15" s="1"/>
  <c r="A18" i="15"/>
  <c r="A19" i="15" s="1"/>
  <c r="A11" i="15"/>
  <c r="A12" i="15"/>
  <c r="A10" i="15"/>
  <c r="A15" i="15"/>
  <c r="A16" i="15"/>
  <c r="A14" i="15"/>
  <c r="O32" i="15" a="1"/>
  <c r="A58" i="15" l="1"/>
  <c r="A59" i="15"/>
  <c r="A71" i="15" s="1"/>
  <c r="O32" i="15"/>
  <c r="A20" i="15"/>
  <c r="A24" i="15"/>
  <c r="A64" i="15"/>
  <c r="A65" i="15"/>
  <c r="A66" i="15"/>
  <c r="A63" i="15"/>
  <c r="A62" i="15"/>
  <c r="A68" i="15" l="1"/>
  <c r="A70" i="15"/>
  <c r="P57" i="5" l="1"/>
  <c r="P56" i="5"/>
  <c r="C36" i="5"/>
  <c r="E6" i="15"/>
  <c r="P47" i="5" l="1"/>
  <c r="P52" i="5" s="1"/>
  <c r="K41" i="5" s="1"/>
  <c r="D128" i="37"/>
  <c r="I128" i="34"/>
  <c r="E128" i="34"/>
  <c r="K122" i="34"/>
  <c r="E122" i="34"/>
  <c r="K133" i="34"/>
  <c r="F124" i="34"/>
  <c r="J133" i="34"/>
  <c r="G124" i="34"/>
  <c r="K128" i="34"/>
  <c r="H133" i="34"/>
  <c r="F133" i="34"/>
  <c r="F122" i="34"/>
  <c r="I133" i="34"/>
  <c r="J123" i="34"/>
  <c r="I124" i="34"/>
  <c r="G125" i="34"/>
  <c r="K123" i="34"/>
  <c r="L122" i="34"/>
  <c r="F125" i="34"/>
  <c r="L123" i="34"/>
  <c r="F128" i="34"/>
  <c r="G128" i="34"/>
  <c r="E124" i="34"/>
  <c r="H122" i="34"/>
  <c r="H123" i="34"/>
  <c r="J125" i="34"/>
  <c r="M128" i="34"/>
  <c r="J122" i="34"/>
  <c r="H124" i="34"/>
  <c r="K125" i="34"/>
  <c r="G123" i="34"/>
  <c r="P128" i="34"/>
  <c r="G122" i="34"/>
  <c r="I122" i="34"/>
  <c r="E133" i="34"/>
  <c r="L133" i="34"/>
  <c r="E125" i="34"/>
  <c r="G133" i="34"/>
  <c r="K124" i="34"/>
  <c r="I123" i="34"/>
  <c r="I125" i="34"/>
  <c r="E123" i="34"/>
  <c r="L124" i="34"/>
  <c r="F123" i="34"/>
  <c r="H128" i="34"/>
  <c r="J127" i="34"/>
  <c r="J138" i="34" s="1"/>
  <c r="I127" i="34"/>
  <c r="I138" i="34" s="1"/>
  <c r="D133" i="34"/>
  <c r="J128" i="34"/>
  <c r="E127" i="34"/>
  <c r="E138" i="34" s="1"/>
  <c r="L125" i="34"/>
  <c r="D125" i="34"/>
  <c r="K127" i="34"/>
  <c r="K138" i="34" s="1"/>
  <c r="H125" i="34"/>
  <c r="G127" i="34"/>
  <c r="G138" i="34" s="1"/>
  <c r="F127" i="34"/>
  <c r="F138" i="34" s="1"/>
  <c r="J124" i="34"/>
  <c r="L128" i="34"/>
  <c r="D128" i="34"/>
  <c r="L127" i="34"/>
  <c r="L138" i="34" s="1"/>
  <c r="H127" i="34"/>
  <c r="H138" i="34" s="1"/>
  <c r="F6" i="15"/>
  <c r="E136" i="15"/>
  <c r="D128" i="22"/>
  <c r="F18" i="5"/>
  <c r="B88" i="36" s="1"/>
  <c r="F17" i="5"/>
  <c r="B87" i="36" s="1"/>
  <c r="F16" i="5"/>
  <c r="B86" i="36" s="1"/>
  <c r="B98" i="36" l="1"/>
  <c r="B94" i="36"/>
  <c r="B90" i="36"/>
  <c r="B99" i="36"/>
  <c r="B95" i="36"/>
  <c r="B91" i="36"/>
  <c r="B100" i="36"/>
  <c r="B96" i="36"/>
  <c r="B92" i="36"/>
  <c r="E124" i="35"/>
  <c r="F124" i="35" s="1"/>
  <c r="G124" i="35" s="1"/>
  <c r="H124" i="35" s="1"/>
  <c r="I124" i="35" s="1"/>
  <c r="E131" i="34"/>
  <c r="F131" i="34" s="1"/>
  <c r="G131" i="34" s="1"/>
  <c r="H131" i="34" s="1"/>
  <c r="I131" i="34" s="1"/>
  <c r="J131" i="34" s="1"/>
  <c r="K131" i="34" s="1"/>
  <c r="L131" i="34" s="1"/>
  <c r="E124" i="29"/>
  <c r="F124" i="29" s="1"/>
  <c r="G124" i="29" s="1"/>
  <c r="H124" i="29" s="1"/>
  <c r="I124" i="29" s="1"/>
  <c r="G126" i="34"/>
  <c r="G137" i="34" s="1"/>
  <c r="H126" i="34"/>
  <c r="H129" i="34" s="1"/>
  <c r="I126" i="34"/>
  <c r="L126" i="34"/>
  <c r="J126" i="34"/>
  <c r="F126" i="34"/>
  <c r="E126" i="34"/>
  <c r="K126" i="34"/>
  <c r="B88" i="34"/>
  <c r="B88" i="33"/>
  <c r="B88" i="35"/>
  <c r="B86" i="35"/>
  <c r="B86" i="34"/>
  <c r="B86" i="33"/>
  <c r="B87" i="34"/>
  <c r="B87" i="33"/>
  <c r="B87" i="35"/>
  <c r="B86" i="30"/>
  <c r="B86" i="29"/>
  <c r="B86" i="28"/>
  <c r="B87" i="29"/>
  <c r="B87" i="30"/>
  <c r="B87" i="28"/>
  <c r="B88" i="29"/>
  <c r="B88" i="30"/>
  <c r="B88" i="28"/>
  <c r="G6" i="15"/>
  <c r="F136" i="15"/>
  <c r="B88" i="15"/>
  <c r="B92" i="15" s="1"/>
  <c r="B88" i="20"/>
  <c r="B88" i="18"/>
  <c r="B86" i="15"/>
  <c r="B90" i="15" s="1"/>
  <c r="B86" i="20"/>
  <c r="B86" i="18"/>
  <c r="B87" i="15"/>
  <c r="B99" i="15" s="1"/>
  <c r="B87" i="20"/>
  <c r="B87" i="18"/>
  <c r="G129" i="34" l="1"/>
  <c r="H137" i="34"/>
  <c r="B100" i="33"/>
  <c r="B92" i="33"/>
  <c r="B96" i="33"/>
  <c r="B98" i="33"/>
  <c r="B90" i="33"/>
  <c r="B94" i="33"/>
  <c r="B98" i="35"/>
  <c r="G83" i="35"/>
  <c r="G117" i="35" s="1"/>
  <c r="G125" i="35" s="1"/>
  <c r="B94" i="35"/>
  <c r="I83" i="35"/>
  <c r="I117" i="35" s="1"/>
  <c r="I125" i="35" s="1"/>
  <c r="E83" i="35"/>
  <c r="D83" i="35"/>
  <c r="H83" i="35"/>
  <c r="H117" i="35" s="1"/>
  <c r="H125" i="35" s="1"/>
  <c r="B90" i="35"/>
  <c r="F83" i="35"/>
  <c r="F117" i="35" s="1"/>
  <c r="F125" i="35" s="1"/>
  <c r="B100" i="35"/>
  <c r="B96" i="35"/>
  <c r="B92" i="35"/>
  <c r="K137" i="34"/>
  <c r="K129" i="34"/>
  <c r="L137" i="34"/>
  <c r="L129" i="34"/>
  <c r="H83" i="34"/>
  <c r="H119" i="34" s="1"/>
  <c r="H132" i="34" s="1"/>
  <c r="L83" i="34"/>
  <c r="L119" i="34" s="1"/>
  <c r="L132" i="34" s="1"/>
  <c r="G83" i="34"/>
  <c r="G119" i="34" s="1"/>
  <c r="G132" i="34" s="1"/>
  <c r="E83" i="34"/>
  <c r="B98" i="34"/>
  <c r="B90" i="34"/>
  <c r="K83" i="34"/>
  <c r="K119" i="34" s="1"/>
  <c r="K132" i="34" s="1"/>
  <c r="J83" i="34"/>
  <c r="J119" i="34" s="1"/>
  <c r="J132" i="34" s="1"/>
  <c r="I83" i="34"/>
  <c r="I119" i="34" s="1"/>
  <c r="I132" i="34" s="1"/>
  <c r="F83" i="34"/>
  <c r="F119" i="34" s="1"/>
  <c r="F132" i="34" s="1"/>
  <c r="B94" i="34"/>
  <c r="B99" i="35"/>
  <c r="B95" i="35"/>
  <c r="B91" i="35"/>
  <c r="E137" i="34"/>
  <c r="E129" i="34"/>
  <c r="B99" i="33"/>
  <c r="B91" i="33"/>
  <c r="B95" i="33"/>
  <c r="B92" i="34"/>
  <c r="B96" i="34"/>
  <c r="B100" i="34"/>
  <c r="F137" i="34"/>
  <c r="F129" i="34"/>
  <c r="B91" i="34"/>
  <c r="B99" i="34"/>
  <c r="B95" i="34"/>
  <c r="J129" i="34"/>
  <c r="J137" i="34"/>
  <c r="I129" i="34"/>
  <c r="I137" i="34"/>
  <c r="B98" i="30"/>
  <c r="B90" i="30"/>
  <c r="B94" i="30"/>
  <c r="B100" i="28"/>
  <c r="B96" i="28"/>
  <c r="B92" i="28"/>
  <c r="B99" i="28"/>
  <c r="B95" i="28"/>
  <c r="B91" i="28"/>
  <c r="B99" i="30"/>
  <c r="B95" i="30"/>
  <c r="B91" i="30"/>
  <c r="B99" i="29"/>
  <c r="B91" i="29"/>
  <c r="B95" i="29"/>
  <c r="B100" i="30"/>
  <c r="B96" i="30"/>
  <c r="B92" i="30"/>
  <c r="B98" i="28"/>
  <c r="B94" i="28"/>
  <c r="B90" i="28"/>
  <c r="B100" i="29"/>
  <c r="B92" i="29"/>
  <c r="B96" i="29"/>
  <c r="B98" i="29"/>
  <c r="B90" i="29"/>
  <c r="B94" i="29"/>
  <c r="D83" i="29"/>
  <c r="E83" i="29"/>
  <c r="P83" i="29"/>
  <c r="P117" i="29" s="1"/>
  <c r="P125" i="29" s="1"/>
  <c r="F83" i="29"/>
  <c r="I83" i="29"/>
  <c r="I117" i="29" s="1"/>
  <c r="I125" i="29" s="1"/>
  <c r="G83" i="29"/>
  <c r="G117" i="29" s="1"/>
  <c r="G125" i="29" s="1"/>
  <c r="Q83" i="29"/>
  <c r="Q117" i="29" s="1"/>
  <c r="Q125" i="29" s="1"/>
  <c r="H83" i="29"/>
  <c r="H117" i="29" s="1"/>
  <c r="H125" i="29" s="1"/>
  <c r="H6" i="15"/>
  <c r="G136" i="15"/>
  <c r="B98" i="15"/>
  <c r="B95" i="15"/>
  <c r="B94" i="15"/>
  <c r="B100" i="20"/>
  <c r="B96" i="20"/>
  <c r="B92" i="20"/>
  <c r="B91" i="15"/>
  <c r="B90" i="18"/>
  <c r="B94" i="18"/>
  <c r="B98" i="18"/>
  <c r="B100" i="15"/>
  <c r="B98" i="20"/>
  <c r="B94" i="20"/>
  <c r="B90" i="20"/>
  <c r="B99" i="20"/>
  <c r="B95" i="20"/>
  <c r="B91" i="20"/>
  <c r="B96" i="15"/>
  <c r="B99" i="18"/>
  <c r="B91" i="18"/>
  <c r="B95" i="18"/>
  <c r="B92" i="18"/>
  <c r="B96" i="18"/>
  <c r="B100" i="18"/>
  <c r="N110" i="35" l="1"/>
  <c r="N86" i="34"/>
  <c r="N87" i="34"/>
  <c r="N115" i="33"/>
  <c r="N88" i="35"/>
  <c r="N86" i="35"/>
  <c r="E119" i="34"/>
  <c r="E132" i="34" s="1"/>
  <c r="F82" i="34"/>
  <c r="F130" i="34" s="1"/>
  <c r="I82" i="34"/>
  <c r="I130" i="34" s="1"/>
  <c r="E82" i="34"/>
  <c r="E130" i="34" s="1"/>
  <c r="H82" i="34"/>
  <c r="H130" i="34" s="1"/>
  <c r="J82" i="34"/>
  <c r="J130" i="34" s="1"/>
  <c r="G82" i="34"/>
  <c r="G130" i="34" s="1"/>
  <c r="K82" i="34"/>
  <c r="K130" i="34" s="1"/>
  <c r="L82" i="34"/>
  <c r="L130" i="34" s="1"/>
  <c r="O88" i="29"/>
  <c r="N88" i="29"/>
  <c r="D117" i="35"/>
  <c r="D125" i="35" s="1"/>
  <c r="D82" i="35"/>
  <c r="O87" i="29"/>
  <c r="E117" i="35"/>
  <c r="E125" i="35" s="1"/>
  <c r="E82" i="35"/>
  <c r="F82" i="35"/>
  <c r="F123" i="35" s="1"/>
  <c r="G82" i="35"/>
  <c r="G123" i="35" s="1"/>
  <c r="I82" i="35"/>
  <c r="I123" i="35" s="1"/>
  <c r="H82" i="35"/>
  <c r="H123" i="35" s="1"/>
  <c r="N87" i="29"/>
  <c r="F82" i="29"/>
  <c r="F123" i="29" s="1"/>
  <c r="F117" i="29"/>
  <c r="F125" i="29" s="1"/>
  <c r="J86" i="29"/>
  <c r="E82" i="29"/>
  <c r="H82" i="29"/>
  <c r="H123" i="29" s="1"/>
  <c r="I82" i="29"/>
  <c r="I123" i="29" s="1"/>
  <c r="G82" i="29"/>
  <c r="G123" i="29" s="1"/>
  <c r="E117" i="29"/>
  <c r="E125" i="29" s="1"/>
  <c r="D82" i="29"/>
  <c r="D117" i="29"/>
  <c r="D125" i="29" s="1"/>
  <c r="M86" i="29"/>
  <c r="J88" i="29"/>
  <c r="I6" i="15"/>
  <c r="H136" i="15"/>
  <c r="I48" i="29" a="1"/>
  <c r="M48" i="29" a="1"/>
  <c r="M47" i="34" a="1"/>
  <c r="L46" i="29" a="1"/>
  <c r="I46" i="29" a="1"/>
  <c r="M47" i="29" a="1"/>
  <c r="M70" i="35" a="1"/>
  <c r="N47" i="29" a="1"/>
  <c r="N48" i="29" a="1"/>
  <c r="M46" i="34" a="1"/>
  <c r="M46" i="35" a="1"/>
  <c r="M48" i="35" a="1"/>
  <c r="M70" i="35" l="1"/>
  <c r="N105" i="35"/>
  <c r="M47" i="34"/>
  <c r="M46" i="34"/>
  <c r="N99" i="34"/>
  <c r="N114" i="34"/>
  <c r="N123" i="34" s="1"/>
  <c r="N95" i="34"/>
  <c r="N91" i="34"/>
  <c r="N98" i="34"/>
  <c r="N94" i="34"/>
  <c r="N90" i="34"/>
  <c r="N113" i="34"/>
  <c r="M46" i="35"/>
  <c r="M48" i="35"/>
  <c r="N98" i="35"/>
  <c r="N90" i="35"/>
  <c r="N94" i="35"/>
  <c r="N96" i="35"/>
  <c r="N92" i="35"/>
  <c r="N100" i="35"/>
  <c r="L88" i="29"/>
  <c r="P88" i="34"/>
  <c r="P100" i="34" s="1"/>
  <c r="Q86" i="34"/>
  <c r="Q87" i="34"/>
  <c r="Q86" i="35"/>
  <c r="Q94" i="35" s="1"/>
  <c r="N87" i="35"/>
  <c r="N132" i="35" s="1"/>
  <c r="M86" i="34"/>
  <c r="M98" i="34" s="1"/>
  <c r="P87" i="34"/>
  <c r="P99" i="34" s="1"/>
  <c r="M87" i="34"/>
  <c r="M91" i="34" s="1"/>
  <c r="O87" i="34"/>
  <c r="O95" i="34" s="1"/>
  <c r="P86" i="34"/>
  <c r="P98" i="34" s="1"/>
  <c r="N47" i="29"/>
  <c r="M47" i="29"/>
  <c r="M48" i="29"/>
  <c r="N48" i="29"/>
  <c r="O105" i="29"/>
  <c r="P86" i="35"/>
  <c r="N86" i="29"/>
  <c r="O91" i="29"/>
  <c r="O99" i="29"/>
  <c r="O95" i="29"/>
  <c r="N105" i="29"/>
  <c r="O86" i="35"/>
  <c r="N99" i="29"/>
  <c r="N95" i="29"/>
  <c r="N91" i="29"/>
  <c r="O86" i="29"/>
  <c r="N92" i="29"/>
  <c r="N100" i="29"/>
  <c r="N96" i="29"/>
  <c r="O100" i="29"/>
  <c r="O96" i="29"/>
  <c r="O92" i="29"/>
  <c r="I48" i="29"/>
  <c r="L46" i="29"/>
  <c r="I46" i="29"/>
  <c r="L100" i="29"/>
  <c r="L96" i="29"/>
  <c r="L92" i="29"/>
  <c r="J92" i="29"/>
  <c r="J96" i="29"/>
  <c r="J100" i="29"/>
  <c r="L86" i="29"/>
  <c r="M87" i="29"/>
  <c r="M90" i="29"/>
  <c r="M98" i="29"/>
  <c r="M94" i="29"/>
  <c r="K88" i="29"/>
  <c r="J98" i="29"/>
  <c r="J90" i="29"/>
  <c r="J94" i="29"/>
  <c r="K86" i="29"/>
  <c r="J6" i="15"/>
  <c r="I136" i="15"/>
  <c r="M50" i="34" a="1"/>
  <c r="M54" i="35" a="1"/>
  <c r="O60" i="34" a="1"/>
  <c r="N55" i="29" a="1"/>
  <c r="M59" i="29" a="1"/>
  <c r="H12" i="29" a="1"/>
  <c r="L51" i="34" a="1"/>
  <c r="K46" i="29" a="1"/>
  <c r="M65" i="35" a="1"/>
  <c r="L47" i="34" a="1"/>
  <c r="L47" i="29" a="1"/>
  <c r="P46" i="35" a="1"/>
  <c r="L10" i="34" a="1"/>
  <c r="M12" i="29" a="1"/>
  <c r="I54" i="29" a="1"/>
  <c r="L12" i="29" a="1"/>
  <c r="M55" i="34" a="1"/>
  <c r="M56" i="35" a="1"/>
  <c r="L54" i="29" a="1"/>
  <c r="K52" i="29" a="1"/>
  <c r="L46" i="34" a="1"/>
  <c r="H10" i="29" a="1"/>
  <c r="K56" i="29" a="1"/>
  <c r="P46" i="34" a="1"/>
  <c r="J46" i="29" a="1"/>
  <c r="N56" i="29" a="1"/>
  <c r="L58" i="34" a="1"/>
  <c r="M51" i="29" a="1"/>
  <c r="N55" i="34" a="1"/>
  <c r="M50" i="35" a="1"/>
  <c r="L34" i="35" a="1"/>
  <c r="M51" i="34" a="1"/>
  <c r="M60" i="35" a="1"/>
  <c r="N46" i="35" a="1"/>
  <c r="I56" i="29" a="1"/>
  <c r="J48" i="29" a="1"/>
  <c r="L50" i="29" a="1"/>
  <c r="M47" i="35" a="1"/>
  <c r="M56" i="29" a="1"/>
  <c r="N65" i="29" a="1"/>
  <c r="N51" i="29" a="1"/>
  <c r="M65" i="29" a="1"/>
  <c r="I58" i="29" a="1"/>
  <c r="L11" i="34" a="1"/>
  <c r="L10" i="35" a="1"/>
  <c r="K48" i="29" a="1"/>
  <c r="M60" i="29" a="1"/>
  <c r="N46" i="29" a="1"/>
  <c r="O48" i="34" a="1"/>
  <c r="L58" i="29" a="1"/>
  <c r="M46" i="29" a="1"/>
  <c r="M52" i="35" a="1"/>
  <c r="M52" i="29" a="1"/>
  <c r="O59" i="34" a="1"/>
  <c r="O46" i="35" a="1"/>
  <c r="M58" i="34" a="1"/>
  <c r="L12" i="35" a="1"/>
  <c r="I60" i="29" a="1"/>
  <c r="N59" i="29" a="1"/>
  <c r="K60" i="29" a="1"/>
  <c r="N52" i="29" a="1"/>
  <c r="P47" i="34" a="1"/>
  <c r="K10" i="29" a="1"/>
  <c r="O47" i="34" a="1"/>
  <c r="I52" i="29" a="1"/>
  <c r="M54" i="34" a="1"/>
  <c r="M58" i="35" a="1"/>
  <c r="L11" i="29" a="1"/>
  <c r="M55" i="29" a="1"/>
  <c r="O46" i="34" a="1"/>
  <c r="M11" i="29" a="1"/>
  <c r="P54" i="35" a="1"/>
  <c r="I50" i="29" a="1"/>
  <c r="N60" i="29" a="1"/>
  <c r="N47" i="34" a="1"/>
  <c r="M59" i="34" a="1"/>
  <c r="O58" i="34" a="1"/>
  <c r="L34" i="35" l="1"/>
  <c r="O91" i="34"/>
  <c r="M51" i="34"/>
  <c r="M55" i="34"/>
  <c r="M50" i="34"/>
  <c r="M59" i="34"/>
  <c r="M54" i="34"/>
  <c r="L10" i="34"/>
  <c r="M58" i="34"/>
  <c r="L11" i="34"/>
  <c r="N122" i="34"/>
  <c r="M60" i="35"/>
  <c r="M56" i="35"/>
  <c r="M54" i="35"/>
  <c r="M50" i="35"/>
  <c r="M58" i="35"/>
  <c r="M52" i="35"/>
  <c r="L12" i="35"/>
  <c r="L10" i="35"/>
  <c r="N83" i="35"/>
  <c r="N117" i="35" s="1"/>
  <c r="N125" i="35" s="1"/>
  <c r="N85" i="35"/>
  <c r="Q98" i="35"/>
  <c r="Q90" i="35"/>
  <c r="N91" i="35"/>
  <c r="N95" i="35"/>
  <c r="K48" i="29"/>
  <c r="M99" i="34"/>
  <c r="M114" i="34"/>
  <c r="M123" i="34" s="1"/>
  <c r="M95" i="34"/>
  <c r="P115" i="34"/>
  <c r="P124" i="34" s="1"/>
  <c r="P85" i="34"/>
  <c r="O114" i="34"/>
  <c r="O123" i="34" s="1"/>
  <c r="M113" i="34"/>
  <c r="M122" i="34" s="1"/>
  <c r="M90" i="34"/>
  <c r="O99" i="34"/>
  <c r="M94" i="34"/>
  <c r="P92" i="34"/>
  <c r="P47" i="34"/>
  <c r="P46" i="34"/>
  <c r="Q114" i="34"/>
  <c r="Q123" i="34" s="1"/>
  <c r="Q95" i="34"/>
  <c r="Q99" i="34"/>
  <c r="Q91" i="34"/>
  <c r="P96" i="34"/>
  <c r="Q90" i="34"/>
  <c r="Q113" i="34"/>
  <c r="Q98" i="34"/>
  <c r="Q94" i="34"/>
  <c r="M47" i="35"/>
  <c r="M75" i="35" s="1"/>
  <c r="P46" i="35"/>
  <c r="N99" i="35"/>
  <c r="N47" i="34"/>
  <c r="L46" i="34"/>
  <c r="O46" i="34"/>
  <c r="O47" i="34"/>
  <c r="L47" i="34"/>
  <c r="O48" i="34"/>
  <c r="O86" i="34"/>
  <c r="O98" i="34" s="1"/>
  <c r="P110" i="34"/>
  <c r="P91" i="34"/>
  <c r="P90" i="34"/>
  <c r="P83" i="34"/>
  <c r="M88" i="34"/>
  <c r="M131" i="34" s="1"/>
  <c r="M105" i="34"/>
  <c r="M110" i="34"/>
  <c r="P114" i="34"/>
  <c r="P123" i="34" s="1"/>
  <c r="P142" i="34"/>
  <c r="P104" i="34"/>
  <c r="P94" i="34"/>
  <c r="P102" i="34"/>
  <c r="P120" i="34" s="1"/>
  <c r="P133" i="34" s="1"/>
  <c r="P95" i="34"/>
  <c r="M104" i="34"/>
  <c r="M102" i="34"/>
  <c r="M120" i="34" s="1"/>
  <c r="M133" i="34" s="1"/>
  <c r="P113" i="34"/>
  <c r="P122" i="34" s="1"/>
  <c r="P105" i="34"/>
  <c r="O59" i="34"/>
  <c r="O58" i="34"/>
  <c r="O60" i="34"/>
  <c r="M51" i="29"/>
  <c r="N51" i="29"/>
  <c r="M46" i="29"/>
  <c r="N65" i="29"/>
  <c r="N52" i="29"/>
  <c r="M55" i="29"/>
  <c r="M65" i="29"/>
  <c r="M59" i="29"/>
  <c r="N46" i="35"/>
  <c r="O46" i="35"/>
  <c r="N60" i="29"/>
  <c r="N55" i="34"/>
  <c r="M12" i="29"/>
  <c r="M11" i="29"/>
  <c r="M56" i="29"/>
  <c r="N46" i="29"/>
  <c r="L51" i="34"/>
  <c r="L12" i="29"/>
  <c r="M60" i="29"/>
  <c r="L11" i="29"/>
  <c r="M52" i="29"/>
  <c r="P54" i="35"/>
  <c r="N55" i="29"/>
  <c r="N56" i="29"/>
  <c r="M65" i="35"/>
  <c r="N59" i="29"/>
  <c r="L58" i="34"/>
  <c r="N106" i="29"/>
  <c r="N98" i="29"/>
  <c r="N85" i="29"/>
  <c r="N132" i="29"/>
  <c r="N94" i="29"/>
  <c r="N90" i="29"/>
  <c r="N83" i="29"/>
  <c r="O129" i="29"/>
  <c r="O114" i="29"/>
  <c r="O121" i="29" s="1"/>
  <c r="O130" i="29"/>
  <c r="O113" i="29"/>
  <c r="O120" i="29" s="1"/>
  <c r="O107" i="30"/>
  <c r="N107" i="33"/>
  <c r="N114" i="29"/>
  <c r="N121" i="29" s="1"/>
  <c r="N113" i="29"/>
  <c r="N120" i="29" s="1"/>
  <c r="N107" i="30"/>
  <c r="N130" i="29"/>
  <c r="N129" i="29"/>
  <c r="O90" i="35"/>
  <c r="O98" i="35"/>
  <c r="O94" i="35"/>
  <c r="P94" i="35"/>
  <c r="P90" i="35"/>
  <c r="P98" i="35"/>
  <c r="O85" i="29"/>
  <c r="O94" i="29"/>
  <c r="O132" i="29"/>
  <c r="O90" i="29"/>
  <c r="O98" i="29"/>
  <c r="O83" i="29"/>
  <c r="O106" i="29"/>
  <c r="N130" i="35"/>
  <c r="N144" i="33" s="1"/>
  <c r="N114" i="35"/>
  <c r="N121" i="35" s="1"/>
  <c r="N129" i="35"/>
  <c r="N145" i="33" s="1"/>
  <c r="N113" i="35"/>
  <c r="N120" i="35" s="1"/>
  <c r="J46" i="29"/>
  <c r="L58" i="29"/>
  <c r="I56" i="29"/>
  <c r="K52" i="29"/>
  <c r="I52" i="29"/>
  <c r="K56" i="29"/>
  <c r="K60" i="29"/>
  <c r="J48" i="29"/>
  <c r="L50" i="29"/>
  <c r="L47" i="29"/>
  <c r="H10" i="29"/>
  <c r="I54" i="29"/>
  <c r="K10" i="29"/>
  <c r="I50" i="29"/>
  <c r="L54" i="29"/>
  <c r="K46" i="29"/>
  <c r="H12" i="29"/>
  <c r="I58" i="29"/>
  <c r="I60" i="29"/>
  <c r="K98" i="29"/>
  <c r="K94" i="29"/>
  <c r="K90" i="29"/>
  <c r="R86" i="29"/>
  <c r="K92" i="29"/>
  <c r="K96" i="29"/>
  <c r="K100" i="29"/>
  <c r="M91" i="29"/>
  <c r="M99" i="29"/>
  <c r="M95" i="29"/>
  <c r="L98" i="29"/>
  <c r="L90" i="29"/>
  <c r="L94" i="29"/>
  <c r="K6" i="15"/>
  <c r="J136" i="15"/>
  <c r="L19" i="34" a="1"/>
  <c r="L14" i="35" a="1"/>
  <c r="L65" i="34" a="1"/>
  <c r="L51" i="29" a="1"/>
  <c r="J50" i="29" a="1"/>
  <c r="J56" i="29" a="1"/>
  <c r="M54" i="29" a="1"/>
  <c r="L29" i="35" a="1"/>
  <c r="N50" i="35" a="1"/>
  <c r="L19" i="29" a="1"/>
  <c r="H14" i="29" a="1"/>
  <c r="K11" i="29" a="1"/>
  <c r="N24" i="34" a="1"/>
  <c r="N58" i="35" a="1"/>
  <c r="P50" i="35" a="1"/>
  <c r="H16" i="29" a="1"/>
  <c r="J52" i="29" a="1"/>
  <c r="M23" i="29" a="1"/>
  <c r="O50" i="34" a="1"/>
  <c r="O56" i="34" a="1"/>
  <c r="L16" i="29" a="1"/>
  <c r="L23" i="29" a="1"/>
  <c r="M10" i="29" a="1"/>
  <c r="O70" i="34" a="1"/>
  <c r="M19" i="34" a="1"/>
  <c r="O50" i="35" a="1"/>
  <c r="K58" i="29" a="1"/>
  <c r="L18" i="35" a="1"/>
  <c r="M11" i="34" a="1"/>
  <c r="L29" i="29" a="1"/>
  <c r="L14" i="34" a="1"/>
  <c r="L22" i="35" a="1"/>
  <c r="L55" i="29" a="1"/>
  <c r="L50" i="34" a="1"/>
  <c r="P58" i="34" a="1"/>
  <c r="M16" i="29" a="1"/>
  <c r="P50" i="34" a="1"/>
  <c r="I10" i="29" a="1"/>
  <c r="M20" i="29" a="1"/>
  <c r="J58" i="29" a="1"/>
  <c r="L15" i="29" a="1"/>
  <c r="N54" i="35" a="1"/>
  <c r="O65" i="34" a="1"/>
  <c r="M58" i="29" a="1"/>
  <c r="N46" i="34" a="1"/>
  <c r="N10" i="35" a="1"/>
  <c r="O18" i="35" a="1"/>
  <c r="M51" i="35" a="1"/>
  <c r="K15" i="34" a="1"/>
  <c r="H24" i="29" a="1"/>
  <c r="M19" i="29" a="1"/>
  <c r="L24" i="35" a="1"/>
  <c r="N58" i="29" a="1"/>
  <c r="L54" i="34" a="1"/>
  <c r="O62" i="34" a="1"/>
  <c r="O58" i="35" a="1"/>
  <c r="L11" i="35" a="1"/>
  <c r="M29" i="29" a="1"/>
  <c r="K11" i="34" a="1"/>
  <c r="L23" i="34" a="1"/>
  <c r="L16" i="35" a="1"/>
  <c r="O10" i="34" a="1"/>
  <c r="J16" i="29" a="1"/>
  <c r="K22" i="29" a="1"/>
  <c r="L55" i="34" a="1"/>
  <c r="O55" i="34" a="1"/>
  <c r="P54" i="34" a="1"/>
  <c r="P59" i="34" a="1"/>
  <c r="N58" i="34" a="1"/>
  <c r="O52" i="34" a="1"/>
  <c r="H18" i="29" a="1"/>
  <c r="L64" i="34" a="1"/>
  <c r="H20" i="29" a="1"/>
  <c r="L22" i="34" a="1"/>
  <c r="N11" i="34" a="1"/>
  <c r="K10" i="34" a="1"/>
  <c r="O11" i="34" a="1"/>
  <c r="H22" i="29" a="1"/>
  <c r="N54" i="29" a="1"/>
  <c r="K18" i="29" a="1"/>
  <c r="N59" i="34" a="1"/>
  <c r="L62" i="34" a="1"/>
  <c r="L18" i="34" a="1"/>
  <c r="P58" i="35" a="1"/>
  <c r="J10" i="29" a="1"/>
  <c r="M15" i="29" a="1"/>
  <c r="L20" i="29" a="1"/>
  <c r="K22" i="34" a="1"/>
  <c r="L10" i="29" a="1"/>
  <c r="O51" i="34" a="1"/>
  <c r="L48" i="34" a="1"/>
  <c r="M55" i="35" a="1"/>
  <c r="J24" i="29" a="1"/>
  <c r="J12" i="29" a="1"/>
  <c r="I12" i="29" a="1"/>
  <c r="K54" i="29" a="1"/>
  <c r="N66" i="29" a="1"/>
  <c r="N12" i="34" a="1"/>
  <c r="L59" i="29" a="1"/>
  <c r="O64" i="34" a="1"/>
  <c r="M24" i="29" a="1"/>
  <c r="O10" i="35" a="1"/>
  <c r="N50" i="29" a="1"/>
  <c r="K14" i="29" a="1"/>
  <c r="O54" i="34" a="1"/>
  <c r="P55" i="34" a="1"/>
  <c r="J54" i="29" a="1"/>
  <c r="N51" i="34" a="1"/>
  <c r="L20" i="35" a="1"/>
  <c r="N22" i="34" a="1"/>
  <c r="M50" i="29" a="1"/>
  <c r="L70" i="34" a="1"/>
  <c r="J60" i="29" a="1"/>
  <c r="O54" i="35" a="1"/>
  <c r="M59" i="35" a="1"/>
  <c r="K50" i="29" a="1"/>
  <c r="M66" i="29" a="1"/>
  <c r="N10" i="34" a="1"/>
  <c r="P51" i="34" a="1"/>
  <c r="M10" i="35" a="1"/>
  <c r="L59" i="34" a="1"/>
  <c r="N23" i="34" a="1"/>
  <c r="L24" i="29" a="1"/>
  <c r="L15" i="34" a="1"/>
  <c r="J20" i="29" a="1"/>
  <c r="N51" i="34" l="1"/>
  <c r="L22" i="34"/>
  <c r="L18" i="34"/>
  <c r="L23" i="34"/>
  <c r="L14" i="34"/>
  <c r="L19" i="34"/>
  <c r="L15" i="34"/>
  <c r="M83" i="34"/>
  <c r="M119" i="34" s="1"/>
  <c r="M132" i="34" s="1"/>
  <c r="M142" i="34"/>
  <c r="L16" i="35"/>
  <c r="L22" i="35"/>
  <c r="L14" i="35"/>
  <c r="L18" i="35"/>
  <c r="L20" i="35"/>
  <c r="L24" i="35"/>
  <c r="P58" i="35"/>
  <c r="M55" i="35"/>
  <c r="M51" i="35"/>
  <c r="P50" i="35"/>
  <c r="M103" i="34"/>
  <c r="L59" i="34"/>
  <c r="J12" i="29"/>
  <c r="O113" i="34"/>
  <c r="O122" i="34" s="1"/>
  <c r="M116" i="34"/>
  <c r="M125" i="34" s="1"/>
  <c r="M115" i="34"/>
  <c r="M124" i="34" s="1"/>
  <c r="M100" i="34"/>
  <c r="O94" i="34"/>
  <c r="L55" i="34"/>
  <c r="P119" i="34"/>
  <c r="P132" i="34" s="1"/>
  <c r="O90" i="34"/>
  <c r="M92" i="34"/>
  <c r="M85" i="34"/>
  <c r="M96" i="34"/>
  <c r="O52" i="34"/>
  <c r="L54" i="34"/>
  <c r="N59" i="34"/>
  <c r="L50" i="34"/>
  <c r="P54" i="34"/>
  <c r="P55" i="34"/>
  <c r="P58" i="34"/>
  <c r="O10" i="34"/>
  <c r="P50" i="34"/>
  <c r="O11" i="34"/>
  <c r="P51" i="34"/>
  <c r="O56" i="34"/>
  <c r="P59" i="34"/>
  <c r="Q122" i="34"/>
  <c r="R47" i="34"/>
  <c r="M59" i="35"/>
  <c r="O10" i="35"/>
  <c r="L11" i="35"/>
  <c r="L39" i="35" s="1"/>
  <c r="O54" i="34"/>
  <c r="L48" i="34"/>
  <c r="O65" i="34"/>
  <c r="O50" i="34"/>
  <c r="N11" i="34"/>
  <c r="L70" i="34"/>
  <c r="O51" i="34"/>
  <c r="N10" i="34"/>
  <c r="K10" i="34"/>
  <c r="L62" i="34"/>
  <c r="O70" i="34"/>
  <c r="N12" i="34"/>
  <c r="O62" i="34"/>
  <c r="L65" i="34"/>
  <c r="M11" i="34"/>
  <c r="L64" i="34"/>
  <c r="O64" i="34"/>
  <c r="O55" i="34"/>
  <c r="N46" i="34"/>
  <c r="K11" i="34"/>
  <c r="P103" i="34"/>
  <c r="P101" i="34" s="1"/>
  <c r="O75" i="34"/>
  <c r="P116" i="34"/>
  <c r="P125" i="34" s="1"/>
  <c r="P126" i="34" s="1"/>
  <c r="P129" i="34" s="1"/>
  <c r="N24" i="34"/>
  <c r="N22" i="34"/>
  <c r="N23" i="34"/>
  <c r="N50" i="29"/>
  <c r="O58" i="35"/>
  <c r="N50" i="35"/>
  <c r="M66" i="29"/>
  <c r="M20" i="29"/>
  <c r="L20" i="29"/>
  <c r="N10" i="35"/>
  <c r="M16" i="29"/>
  <c r="O50" i="35"/>
  <c r="K15" i="34"/>
  <c r="N58" i="34"/>
  <c r="N54" i="29"/>
  <c r="O54" i="35"/>
  <c r="M50" i="29"/>
  <c r="M10" i="35"/>
  <c r="M29" i="29"/>
  <c r="M54" i="29"/>
  <c r="L23" i="29"/>
  <c r="L10" i="29"/>
  <c r="L39" i="29" s="1"/>
  <c r="N66" i="29"/>
  <c r="K22" i="34"/>
  <c r="M19" i="29"/>
  <c r="M19" i="34"/>
  <c r="M15" i="29"/>
  <c r="M23" i="29"/>
  <c r="O18" i="35"/>
  <c r="L29" i="29"/>
  <c r="N54" i="35"/>
  <c r="M58" i="29"/>
  <c r="L29" i="35"/>
  <c r="L16" i="29"/>
  <c r="L24" i="29"/>
  <c r="M24" i="29"/>
  <c r="L15" i="29"/>
  <c r="N58" i="29"/>
  <c r="N58" i="35"/>
  <c r="M10" i="29"/>
  <c r="M39" i="29" s="1"/>
  <c r="L19" i="29"/>
  <c r="N108" i="33"/>
  <c r="N108" i="30"/>
  <c r="N111" i="29"/>
  <c r="M75" i="29"/>
  <c r="O108" i="30"/>
  <c r="M101" i="34"/>
  <c r="O111" i="29"/>
  <c r="N144" i="30"/>
  <c r="N144" i="28"/>
  <c r="O144" i="28"/>
  <c r="O144" i="30"/>
  <c r="N75" i="29"/>
  <c r="R46" i="29"/>
  <c r="R98" i="29"/>
  <c r="L59" i="29"/>
  <c r="J52" i="29"/>
  <c r="J58" i="29"/>
  <c r="H18" i="29"/>
  <c r="H16" i="29"/>
  <c r="K58" i="29"/>
  <c r="J10" i="29"/>
  <c r="L51" i="29"/>
  <c r="K18" i="29"/>
  <c r="K11" i="29"/>
  <c r="J16" i="29"/>
  <c r="J50" i="29"/>
  <c r="H24" i="29"/>
  <c r="H14" i="29"/>
  <c r="K14" i="29"/>
  <c r="H20" i="29"/>
  <c r="K54" i="29"/>
  <c r="J54" i="29"/>
  <c r="I12" i="29"/>
  <c r="K22" i="29"/>
  <c r="K50" i="29"/>
  <c r="J60" i="29"/>
  <c r="J24" i="29"/>
  <c r="L55" i="29"/>
  <c r="J56" i="29"/>
  <c r="H22" i="29"/>
  <c r="J20" i="29"/>
  <c r="I10" i="29"/>
  <c r="R94" i="29"/>
  <c r="R90" i="29"/>
  <c r="L6" i="15"/>
  <c r="K136" i="15"/>
  <c r="M23" i="34" a="1"/>
  <c r="I24" i="29" a="1"/>
  <c r="M71" i="29" a="1"/>
  <c r="L22" i="29" a="1"/>
  <c r="M14" i="35" a="1"/>
  <c r="L18" i="29" a="1"/>
  <c r="N18" i="35" a="1"/>
  <c r="K12" i="34" a="1"/>
  <c r="O23" i="34" a="1"/>
  <c r="N15" i="34" a="1"/>
  <c r="M22" i="29" a="1"/>
  <c r="L63" i="34" a="1"/>
  <c r="M22" i="34" a="1"/>
  <c r="M15" i="34" a="1"/>
  <c r="N22" i="35" a="1"/>
  <c r="K18" i="34" a="1"/>
  <c r="K14" i="34" a="1"/>
  <c r="L30" i="29" a="1"/>
  <c r="K23" i="29" a="1"/>
  <c r="N34" i="34" a="1"/>
  <c r="I14" i="29" a="1"/>
  <c r="O22" i="34" a="1"/>
  <c r="I16" i="29" a="1"/>
  <c r="N14" i="35" a="1"/>
  <c r="K19" i="29" a="1"/>
  <c r="M68" i="30" a="1"/>
  <c r="K34" i="34" a="1"/>
  <c r="O22" i="35" a="1"/>
  <c r="N71" i="29" a="1"/>
  <c r="N18" i="34" a="1"/>
  <c r="O15" i="34" a="1"/>
  <c r="K23" i="34" a="1"/>
  <c r="N68" i="30" a="1"/>
  <c r="O19" i="34" a="1"/>
  <c r="M30" i="29" a="1"/>
  <c r="I18" i="29" a="1"/>
  <c r="L15" i="35" a="1"/>
  <c r="K29" i="34" a="1"/>
  <c r="L23" i="35" a="1"/>
  <c r="L14" i="29" a="1"/>
  <c r="M68" i="33" a="1"/>
  <c r="M18" i="35" a="1"/>
  <c r="K28" i="34" a="1"/>
  <c r="M22" i="35" a="1"/>
  <c r="K19" i="34" a="1"/>
  <c r="O14" i="35" a="1"/>
  <c r="K15" i="29" a="1"/>
  <c r="N28" i="34" a="1"/>
  <c r="N54" i="34" a="1"/>
  <c r="J18" i="29" a="1"/>
  <c r="M18" i="29" a="1"/>
  <c r="L52" i="34" a="1"/>
  <c r="N26" i="34" a="1"/>
  <c r="N19" i="34" a="1"/>
  <c r="N50" i="34" a="1"/>
  <c r="N16" i="34" a="1"/>
  <c r="M14" i="29" a="1"/>
  <c r="I22" i="29" a="1"/>
  <c r="M10" i="34" a="1"/>
  <c r="N14" i="34" a="1"/>
  <c r="L56" i="34" a="1"/>
  <c r="N29" i="34" a="1"/>
  <c r="O18" i="34" a="1"/>
  <c r="L19" i="35" a="1"/>
  <c r="N20" i="34" a="1"/>
  <c r="O63" i="34" a="1"/>
  <c r="K26" i="34" a="1"/>
  <c r="J22" i="29" a="1"/>
  <c r="L60" i="34" a="1"/>
  <c r="J14" i="29" a="1"/>
  <c r="O14" i="34" a="1"/>
  <c r="I20" i="29" a="1"/>
  <c r="M15" i="34" l="1"/>
  <c r="M82" i="34"/>
  <c r="O22" i="35"/>
  <c r="L19" i="35"/>
  <c r="L63" i="34"/>
  <c r="O14" i="35"/>
  <c r="L15" i="35"/>
  <c r="K23" i="34"/>
  <c r="M126" i="34"/>
  <c r="M129" i="34" s="1"/>
  <c r="M117" i="34"/>
  <c r="M127" i="34" s="1"/>
  <c r="M138" i="34" s="1"/>
  <c r="L60" i="34"/>
  <c r="N54" i="34"/>
  <c r="K19" i="34"/>
  <c r="R59" i="34"/>
  <c r="L56" i="34"/>
  <c r="L52" i="34"/>
  <c r="N50" i="34"/>
  <c r="R58" i="34"/>
  <c r="K14" i="34"/>
  <c r="M23" i="34"/>
  <c r="K18" i="34"/>
  <c r="N16" i="34"/>
  <c r="R55" i="34"/>
  <c r="P117" i="34"/>
  <c r="P127" i="34" s="1"/>
  <c r="P138" i="34" s="1"/>
  <c r="R51" i="34"/>
  <c r="N20" i="34"/>
  <c r="O14" i="34"/>
  <c r="O22" i="34"/>
  <c r="O15" i="34"/>
  <c r="O19" i="34"/>
  <c r="O23" i="34"/>
  <c r="O18" i="34"/>
  <c r="R11" i="34"/>
  <c r="N39" i="34"/>
  <c r="L23" i="35"/>
  <c r="K29" i="34"/>
  <c r="N34" i="34"/>
  <c r="N29" i="34"/>
  <c r="N19" i="34"/>
  <c r="N28" i="34"/>
  <c r="K26" i="34"/>
  <c r="K12" i="34"/>
  <c r="K39" i="34" s="1"/>
  <c r="K28" i="34"/>
  <c r="N26" i="34"/>
  <c r="N18" i="34"/>
  <c r="N15" i="34"/>
  <c r="N14" i="34"/>
  <c r="O63" i="34"/>
  <c r="K34" i="34"/>
  <c r="M10" i="34"/>
  <c r="R10" i="34" s="1"/>
  <c r="L75" i="34"/>
  <c r="R46" i="34"/>
  <c r="P137" i="34"/>
  <c r="N71" i="29"/>
  <c r="M30" i="29"/>
  <c r="L18" i="29"/>
  <c r="N18" i="35"/>
  <c r="M18" i="29"/>
  <c r="M71" i="29"/>
  <c r="M22" i="34"/>
  <c r="M22" i="35"/>
  <c r="N68" i="30"/>
  <c r="M68" i="30"/>
  <c r="M22" i="29"/>
  <c r="L30" i="29"/>
  <c r="M68" i="33"/>
  <c r="L22" i="29"/>
  <c r="M14" i="35"/>
  <c r="M18" i="35"/>
  <c r="N22" i="35"/>
  <c r="L14" i="29"/>
  <c r="N14" i="35"/>
  <c r="M14" i="29"/>
  <c r="O116" i="30"/>
  <c r="O117" i="29"/>
  <c r="O125" i="29" s="1"/>
  <c r="N116" i="33"/>
  <c r="N116" i="30"/>
  <c r="N117" i="29"/>
  <c r="N125" i="29" s="1"/>
  <c r="R58" i="29"/>
  <c r="R10" i="29"/>
  <c r="R50" i="29"/>
  <c r="K15" i="29"/>
  <c r="I14" i="29"/>
  <c r="I18" i="29"/>
  <c r="I22" i="29"/>
  <c r="J18" i="29"/>
  <c r="I16" i="29"/>
  <c r="I24" i="29"/>
  <c r="K23" i="29"/>
  <c r="I20" i="29"/>
  <c r="J14" i="29"/>
  <c r="K19" i="29"/>
  <c r="J22" i="29"/>
  <c r="R54" i="29"/>
  <c r="M6" i="15"/>
  <c r="L136" i="15"/>
  <c r="N27" i="34" a="1"/>
  <c r="L35" i="29" a="1"/>
  <c r="M35" i="29" a="1"/>
  <c r="L32" i="30" a="1"/>
  <c r="M18" i="34" a="1"/>
  <c r="K24" i="34" a="1"/>
  <c r="K27" i="34" a="1"/>
  <c r="K16" i="34" a="1"/>
  <c r="K20" i="34" a="1"/>
  <c r="K32" i="30" a="1"/>
  <c r="M14" i="34" a="1"/>
  <c r="K32" i="33" a="1"/>
  <c r="K27" i="34" l="1"/>
  <c r="M137" i="34"/>
  <c r="K24" i="34"/>
  <c r="M18" i="34"/>
  <c r="R18" i="34" s="1"/>
  <c r="R54" i="34"/>
  <c r="R15" i="34"/>
  <c r="R23" i="34"/>
  <c r="M14" i="34"/>
  <c r="R14" i="34" s="1"/>
  <c r="K16" i="34"/>
  <c r="K20" i="34"/>
  <c r="R50" i="34"/>
  <c r="R22" i="34"/>
  <c r="R19" i="34"/>
  <c r="N27" i="34"/>
  <c r="L35" i="29"/>
  <c r="K32" i="30"/>
  <c r="L32" i="30"/>
  <c r="K32" i="33"/>
  <c r="M35" i="29"/>
  <c r="R14" i="29"/>
  <c r="R18" i="29"/>
  <c r="R22" i="29"/>
  <c r="N6" i="15"/>
  <c r="M136" i="15"/>
  <c r="O6" i="15" l="1"/>
  <c r="N136" i="15"/>
  <c r="P6" i="15" l="1"/>
  <c r="O136" i="15"/>
  <c r="Q6" i="15" l="1"/>
  <c r="Q136" i="15" s="1"/>
  <c r="P136" i="15"/>
  <c r="I87" i="36" l="1"/>
  <c r="H102" i="36"/>
  <c r="I102" i="36"/>
  <c r="G108" i="36"/>
  <c r="D110" i="36"/>
  <c r="F102" i="36"/>
  <c r="G104" i="36"/>
  <c r="D104" i="36"/>
  <c r="G110" i="36"/>
  <c r="I105" i="36"/>
  <c r="J104" i="36"/>
  <c r="H104" i="36"/>
  <c r="G102" i="36"/>
  <c r="H105" i="36"/>
  <c r="E111" i="36"/>
  <c r="F110" i="36"/>
  <c r="E110" i="36"/>
  <c r="G105" i="36"/>
  <c r="K105" i="36"/>
  <c r="F105" i="36"/>
  <c r="E106" i="36"/>
  <c r="D105" i="36"/>
  <c r="D111" i="36"/>
  <c r="D102" i="36"/>
  <c r="F106" i="36"/>
  <c r="F104" i="36"/>
  <c r="D106" i="36"/>
  <c r="F108" i="36"/>
  <c r="E105" i="36"/>
  <c r="G106" i="36"/>
  <c r="J105" i="36"/>
  <c r="D108" i="36"/>
  <c r="E104" i="36"/>
  <c r="I104" i="36"/>
  <c r="E108" i="36"/>
  <c r="E102" i="36"/>
  <c r="I64" i="36" a="1"/>
  <c r="E68" i="36" a="1"/>
  <c r="H47" i="36" a="1"/>
  <c r="C66" i="36" a="1"/>
  <c r="C64" i="36" a="1"/>
  <c r="D71" i="36" a="1"/>
  <c r="J65" i="36" a="1"/>
  <c r="C71" i="36" a="1"/>
  <c r="F62" i="36" a="1"/>
  <c r="I65" i="36" a="1"/>
  <c r="D64" i="36" a="1"/>
  <c r="C68" i="36" a="1"/>
  <c r="G64" i="36" a="1"/>
  <c r="F64" i="36" a="1"/>
  <c r="G65" i="36" a="1"/>
  <c r="D66" i="36" a="1"/>
  <c r="H62" i="36" a="1"/>
  <c r="E70" i="36" a="1"/>
  <c r="D68" i="36" a="1"/>
  <c r="E62" i="36" a="1"/>
  <c r="E66" i="36" a="1"/>
  <c r="G62" i="36" a="1"/>
  <c r="F65" i="36" a="1"/>
  <c r="D65" i="36" a="1"/>
  <c r="C62" i="36" a="1"/>
  <c r="C70" i="36" a="1"/>
  <c r="E64" i="36" a="1"/>
  <c r="F66" i="36" a="1"/>
  <c r="D62" i="36" a="1"/>
  <c r="E65" i="36" a="1"/>
  <c r="H64" i="36" a="1"/>
  <c r="F70" i="36" a="1"/>
  <c r="H65" i="36" a="1"/>
  <c r="D70" i="36" a="1"/>
  <c r="F68" i="36" a="1"/>
  <c r="C65" i="36" a="1"/>
  <c r="E65" i="36" l="1"/>
  <c r="F62" i="36"/>
  <c r="I64" i="36"/>
  <c r="F68" i="36"/>
  <c r="D68" i="36"/>
  <c r="C62" i="36"/>
  <c r="F65" i="36"/>
  <c r="C64" i="36"/>
  <c r="D65" i="36"/>
  <c r="C65" i="36"/>
  <c r="E64" i="36"/>
  <c r="E70" i="36"/>
  <c r="D64" i="36"/>
  <c r="F66" i="36"/>
  <c r="C71" i="36"/>
  <c r="D70" i="36"/>
  <c r="G62" i="36"/>
  <c r="E66" i="36"/>
  <c r="J65" i="36"/>
  <c r="D71" i="36"/>
  <c r="F70" i="36"/>
  <c r="E62" i="36"/>
  <c r="C70" i="36"/>
  <c r="H62" i="36"/>
  <c r="H47" i="36"/>
  <c r="H64" i="36"/>
  <c r="I65" i="36"/>
  <c r="E68" i="36"/>
  <c r="D66" i="36"/>
  <c r="D62" i="36"/>
  <c r="C68" i="36"/>
  <c r="C66" i="36"/>
  <c r="G65" i="36"/>
  <c r="G64" i="36"/>
  <c r="H65" i="36"/>
  <c r="F64" i="36"/>
  <c r="G120" i="36"/>
  <c r="G133" i="36" s="1"/>
  <c r="G103" i="36"/>
  <c r="G116" i="36"/>
  <c r="G125" i="36" s="1"/>
  <c r="G118" i="36"/>
  <c r="G128" i="36" s="1"/>
  <c r="F86" i="36"/>
  <c r="E118" i="36"/>
  <c r="E128" i="36" s="1"/>
  <c r="D103" i="36"/>
  <c r="D116" i="36"/>
  <c r="D125" i="36" s="1"/>
  <c r="D120" i="36"/>
  <c r="D133" i="36" s="1"/>
  <c r="D102" i="37"/>
  <c r="D102" i="22"/>
  <c r="G84" i="15"/>
  <c r="G84" i="33" s="1"/>
  <c r="G84" i="36"/>
  <c r="D104" i="37"/>
  <c r="D104" i="22"/>
  <c r="Q84" i="15"/>
  <c r="Q84" i="33" s="1"/>
  <c r="Q84" i="36"/>
  <c r="D105" i="37"/>
  <c r="D105" i="22"/>
  <c r="F87" i="36"/>
  <c r="J84" i="15"/>
  <c r="J84" i="33" s="1"/>
  <c r="J84" i="36"/>
  <c r="N84" i="15"/>
  <c r="N84" i="33" s="1"/>
  <c r="N84" i="36"/>
  <c r="E84" i="15"/>
  <c r="E84" i="33" s="1"/>
  <c r="E84" i="36"/>
  <c r="F111" i="36"/>
  <c r="D84" i="34"/>
  <c r="M130" i="34" s="1"/>
  <c r="D84" i="36"/>
  <c r="F84" i="15"/>
  <c r="F84" i="33" s="1"/>
  <c r="F84" i="36"/>
  <c r="P84" i="15"/>
  <c r="P84" i="33" s="1"/>
  <c r="P84" i="36"/>
  <c r="K84" i="15"/>
  <c r="K84" i="33" s="1"/>
  <c r="K84" i="36"/>
  <c r="M84" i="15"/>
  <c r="M84" i="33" s="1"/>
  <c r="M84" i="36"/>
  <c r="D99" i="34"/>
  <c r="D87" i="36"/>
  <c r="H120" i="36"/>
  <c r="H133" i="36" s="1"/>
  <c r="H103" i="36"/>
  <c r="H116" i="36"/>
  <c r="H125" i="36" s="1"/>
  <c r="F120" i="36"/>
  <c r="F133" i="36" s="1"/>
  <c r="F103" i="36"/>
  <c r="F116" i="36"/>
  <c r="F125" i="36" s="1"/>
  <c r="I116" i="36"/>
  <c r="I125" i="36" s="1"/>
  <c r="I120" i="36"/>
  <c r="I133" i="36" s="1"/>
  <c r="I103" i="36"/>
  <c r="I91" i="36"/>
  <c r="I95" i="36"/>
  <c r="I87" i="22"/>
  <c r="I87" i="37"/>
  <c r="I114" i="36"/>
  <c r="I123" i="36" s="1"/>
  <c r="I99" i="36"/>
  <c r="F118" i="36"/>
  <c r="F128" i="36" s="1"/>
  <c r="L84" i="15"/>
  <c r="L84" i="33" s="1"/>
  <c r="L84" i="36"/>
  <c r="G87" i="36"/>
  <c r="E120" i="36"/>
  <c r="E133" i="36" s="1"/>
  <c r="E103" i="36"/>
  <c r="E116" i="36"/>
  <c r="E125" i="36" s="1"/>
  <c r="I84" i="15"/>
  <c r="I84" i="33" s="1"/>
  <c r="I84" i="36"/>
  <c r="D118" i="36"/>
  <c r="D128" i="36" s="1"/>
  <c r="D106" i="37"/>
  <c r="D106" i="22"/>
  <c r="H84" i="15"/>
  <c r="H84" i="33" s="1"/>
  <c r="H84" i="36"/>
  <c r="G111" i="36"/>
  <c r="O84" i="15"/>
  <c r="O84" i="33" s="1"/>
  <c r="O84" i="36"/>
  <c r="O87" i="36"/>
  <c r="R84" i="34"/>
  <c r="D91" i="34"/>
  <c r="Q84" i="30"/>
  <c r="M84" i="30"/>
  <c r="F108" i="29"/>
  <c r="F111" i="33" s="1"/>
  <c r="G108" i="29"/>
  <c r="G111" i="33" s="1"/>
  <c r="G84" i="28"/>
  <c r="G84" i="30"/>
  <c r="E108" i="29"/>
  <c r="E111" i="33" s="1"/>
  <c r="D108" i="29"/>
  <c r="D111" i="33" s="1"/>
  <c r="J84" i="28"/>
  <c r="K84" i="28" s="1"/>
  <c r="L84" i="28" s="1"/>
  <c r="M84" i="28" s="1"/>
  <c r="N84" i="28" s="1"/>
  <c r="O84" i="28" s="1"/>
  <c r="P84" i="28" s="1"/>
  <c r="Q84" i="28" s="1"/>
  <c r="D102" i="15"/>
  <c r="D102" i="33" s="1"/>
  <c r="E105" i="15"/>
  <c r="E105" i="33" s="1"/>
  <c r="D105" i="15"/>
  <c r="D105" i="33" s="1"/>
  <c r="G102" i="15"/>
  <c r="G102" i="33" s="1"/>
  <c r="I102" i="15"/>
  <c r="I102" i="33" s="1"/>
  <c r="F104" i="15"/>
  <c r="F104" i="33" s="1"/>
  <c r="G105" i="15"/>
  <c r="G105" i="33" s="1"/>
  <c r="H104" i="15"/>
  <c r="H104" i="33" s="1"/>
  <c r="G110" i="15"/>
  <c r="G113" i="33" s="1"/>
  <c r="F111" i="15"/>
  <c r="F114" i="33" s="1"/>
  <c r="G106" i="15"/>
  <c r="G106" i="33" s="1"/>
  <c r="D111" i="15"/>
  <c r="D114" i="33" s="1"/>
  <c r="G87" i="15"/>
  <c r="G87" i="33" s="1"/>
  <c r="E102" i="15"/>
  <c r="E102" i="33" s="1"/>
  <c r="F106" i="15"/>
  <c r="F106" i="33" s="1"/>
  <c r="F110" i="15"/>
  <c r="F113" i="33" s="1"/>
  <c r="F151" i="33" s="1"/>
  <c r="I105" i="15"/>
  <c r="I105" i="33" s="1"/>
  <c r="G111" i="15"/>
  <c r="G114" i="33" s="1"/>
  <c r="F102" i="15"/>
  <c r="F102" i="33" s="1"/>
  <c r="D110" i="15"/>
  <c r="D113" i="33" s="1"/>
  <c r="O87" i="15"/>
  <c r="H105" i="15"/>
  <c r="H105" i="33" s="1"/>
  <c r="E104" i="15"/>
  <c r="E104" i="33" s="1"/>
  <c r="I104" i="15"/>
  <c r="I104" i="33" s="1"/>
  <c r="J105" i="15"/>
  <c r="J105" i="33" s="1"/>
  <c r="E106" i="15"/>
  <c r="E106" i="33" s="1"/>
  <c r="E110" i="15"/>
  <c r="E113" i="33" s="1"/>
  <c r="J104" i="15"/>
  <c r="J104" i="33" s="1"/>
  <c r="H102" i="15"/>
  <c r="H102" i="33" s="1"/>
  <c r="D106" i="15"/>
  <c r="D106" i="33" s="1"/>
  <c r="K105" i="15"/>
  <c r="K105" i="33" s="1"/>
  <c r="E111" i="15"/>
  <c r="E114" i="33" s="1"/>
  <c r="D104" i="15"/>
  <c r="D104" i="33" s="1"/>
  <c r="G104" i="15"/>
  <c r="G104" i="33" s="1"/>
  <c r="F105" i="15"/>
  <c r="F105" i="33" s="1"/>
  <c r="F87" i="15"/>
  <c r="F87" i="33" s="1"/>
  <c r="D108" i="15"/>
  <c r="D110" i="33" s="1"/>
  <c r="F108" i="15"/>
  <c r="F110" i="33" s="1"/>
  <c r="G108" i="15"/>
  <c r="G110" i="33" s="1"/>
  <c r="E108" i="15"/>
  <c r="E110" i="33" s="1"/>
  <c r="F86" i="15"/>
  <c r="F86" i="33" s="1"/>
  <c r="J88" i="36"/>
  <c r="I110" i="36"/>
  <c r="H110" i="36"/>
  <c r="D84" i="15"/>
  <c r="D84" i="33" s="1"/>
  <c r="F62" i="33" a="1"/>
  <c r="C68" i="29" a="1"/>
  <c r="G29" i="36" a="1"/>
  <c r="F68" i="29" a="1"/>
  <c r="C66" i="15" a="1"/>
  <c r="F64" i="33" a="1"/>
  <c r="E71" i="15" a="1"/>
  <c r="D71" i="33" a="1"/>
  <c r="F47" i="33" a="1"/>
  <c r="F68" i="15" a="1"/>
  <c r="I64" i="33" a="1"/>
  <c r="D30" i="36" a="1"/>
  <c r="C66" i="33" a="1"/>
  <c r="C64" i="15" a="1"/>
  <c r="D68" i="15" a="1"/>
  <c r="C28" i="36" a="1"/>
  <c r="G11" i="36" a="1"/>
  <c r="C71" i="15" a="1"/>
  <c r="F62" i="15" a="1"/>
  <c r="G64" i="15" a="1"/>
  <c r="E62" i="33" a="1"/>
  <c r="G28" i="36" a="1"/>
  <c r="H55" i="36" a="1"/>
  <c r="H65" i="15" a="1"/>
  <c r="C63" i="36" a="1"/>
  <c r="E71" i="36" a="1"/>
  <c r="D63" i="36" a="1"/>
  <c r="C65" i="15" a="1"/>
  <c r="F66" i="15" a="1"/>
  <c r="D65" i="33" a="1"/>
  <c r="C51" i="34" a="1"/>
  <c r="E68" i="29" a="1"/>
  <c r="H63" i="36" a="1"/>
  <c r="C66" i="37" a="1"/>
  <c r="C62" i="15" a="1"/>
  <c r="C35" i="36" a="1"/>
  <c r="C65" i="37" a="1"/>
  <c r="F47" i="36" a="1"/>
  <c r="G62" i="33" a="1"/>
  <c r="D34" i="36" a="1"/>
  <c r="F29" i="36" a="1"/>
  <c r="D32" i="36" a="1"/>
  <c r="E47" i="36" a="1"/>
  <c r="F63" i="36" a="1"/>
  <c r="E66" i="15" a="1"/>
  <c r="D29" i="36" a="1"/>
  <c r="C62" i="33" a="1"/>
  <c r="E28" i="36" a="1"/>
  <c r="N47" i="15" a="1"/>
  <c r="I65" i="15" a="1"/>
  <c r="D28" i="36" a="1"/>
  <c r="H62" i="15" a="1"/>
  <c r="G64" i="33" a="1"/>
  <c r="F65" i="15" a="1"/>
  <c r="D26" i="36" a="1"/>
  <c r="E65" i="33" a="1"/>
  <c r="H62" i="33" a="1"/>
  <c r="E30" i="36" a="1"/>
  <c r="N47" i="36" a="1"/>
  <c r="E62" i="15" a="1"/>
  <c r="C70" i="15" a="1"/>
  <c r="I48" i="36" a="1"/>
  <c r="F70" i="15" a="1"/>
  <c r="J65" i="15" a="1"/>
  <c r="D70" i="33" a="1"/>
  <c r="D66" i="33" a="1"/>
  <c r="E26" i="36" a="1"/>
  <c r="C64" i="37" a="1"/>
  <c r="E64" i="15" a="1"/>
  <c r="H70" i="36" a="1"/>
  <c r="F66" i="33" a="1"/>
  <c r="E46" i="36" a="1"/>
  <c r="C47" i="34" a="1"/>
  <c r="E70" i="15" a="1"/>
  <c r="C70" i="33" a="1"/>
  <c r="E68" i="15" a="1"/>
  <c r="G26" i="36" a="1"/>
  <c r="F71" i="33" a="1"/>
  <c r="F28" i="36" a="1"/>
  <c r="G63" i="36" a="1"/>
  <c r="E46" i="33" a="1"/>
  <c r="D65" i="15" a="1"/>
  <c r="E46" i="15" a="1"/>
  <c r="C68" i="15" a="1"/>
  <c r="F64" i="15" a="1"/>
  <c r="G62" i="15" a="1"/>
  <c r="E71" i="33" a="1"/>
  <c r="F26" i="36" a="1"/>
  <c r="D64" i="15" a="1"/>
  <c r="C65" i="33" a="1"/>
  <c r="D62" i="33" a="1"/>
  <c r="I29" i="36" a="1"/>
  <c r="H29" i="36" a="1"/>
  <c r="H47" i="37" a="1"/>
  <c r="C64" i="33" a="1"/>
  <c r="E29" i="36" a="1"/>
  <c r="D66" i="15" a="1"/>
  <c r="F71" i="36" a="1"/>
  <c r="E65" i="15" a="1"/>
  <c r="H59" i="36" a="1"/>
  <c r="D62" i="15" a="1"/>
  <c r="E34" i="36" a="1"/>
  <c r="F47" i="15" a="1"/>
  <c r="E70" i="33" a="1"/>
  <c r="C29" i="36" a="1"/>
  <c r="E47" i="15" a="1"/>
  <c r="H65" i="33" a="1"/>
  <c r="C34" i="36" a="1"/>
  <c r="I65" i="33" a="1"/>
  <c r="C30" i="36" a="1"/>
  <c r="D71" i="15" a="1"/>
  <c r="I64" i="15" a="1"/>
  <c r="H64" i="15" a="1"/>
  <c r="E47" i="33" a="1"/>
  <c r="H51" i="36" a="1"/>
  <c r="D68" i="29" a="1"/>
  <c r="E66" i="33" a="1"/>
  <c r="D70" i="15" a="1"/>
  <c r="F65" i="33" a="1"/>
  <c r="H28" i="36" a="1"/>
  <c r="C47" i="36" a="1"/>
  <c r="E63" i="36" a="1"/>
  <c r="G65" i="15" a="1"/>
  <c r="C59" i="34" a="1"/>
  <c r="G70" i="36" a="1"/>
  <c r="H64" i="33" a="1"/>
  <c r="C62" i="37" a="1"/>
  <c r="C71" i="33" a="1"/>
  <c r="E64" i="33" a="1"/>
  <c r="G65" i="33" a="1"/>
  <c r="C32" i="36" a="1"/>
  <c r="C26" i="36" a="1"/>
  <c r="F71" i="15" a="1"/>
  <c r="F70" i="33" a="1"/>
  <c r="C47" i="15" a="1"/>
  <c r="D64" i="33" a="1"/>
  <c r="K84" i="30" l="1"/>
  <c r="E84" i="28"/>
  <c r="D95" i="34"/>
  <c r="R95" i="34" s="1"/>
  <c r="F84" i="30"/>
  <c r="D87" i="33"/>
  <c r="D119" i="33" s="1"/>
  <c r="E84" i="30"/>
  <c r="N84" i="30"/>
  <c r="J84" i="30"/>
  <c r="P84" i="30"/>
  <c r="L84" i="30"/>
  <c r="O84" i="30"/>
  <c r="D151" i="33"/>
  <c r="F84" i="28"/>
  <c r="R87" i="34"/>
  <c r="I84" i="30"/>
  <c r="D114" i="34"/>
  <c r="D123" i="34" s="1"/>
  <c r="I84" i="28"/>
  <c r="G151" i="33"/>
  <c r="D63" i="36"/>
  <c r="H63" i="36"/>
  <c r="G26" i="36"/>
  <c r="C34" i="36"/>
  <c r="E29" i="36"/>
  <c r="N47" i="36"/>
  <c r="F47" i="36"/>
  <c r="H59" i="36"/>
  <c r="G63" i="36"/>
  <c r="C63" i="36"/>
  <c r="F63" i="36"/>
  <c r="C26" i="36"/>
  <c r="D26" i="36"/>
  <c r="E30" i="36"/>
  <c r="C66" i="37"/>
  <c r="E71" i="36"/>
  <c r="C64" i="37"/>
  <c r="C30" i="36"/>
  <c r="E34" i="36"/>
  <c r="C28" i="36"/>
  <c r="G70" i="36"/>
  <c r="H47" i="37"/>
  <c r="E63" i="36"/>
  <c r="E28" i="36"/>
  <c r="C32" i="36"/>
  <c r="C35" i="36"/>
  <c r="D34" i="36"/>
  <c r="D32" i="36"/>
  <c r="C47" i="36"/>
  <c r="E47" i="36"/>
  <c r="G29" i="36"/>
  <c r="H29" i="36"/>
  <c r="I29" i="36"/>
  <c r="D28" i="36"/>
  <c r="H28" i="36"/>
  <c r="H70" i="36"/>
  <c r="I48" i="36"/>
  <c r="F71" i="36"/>
  <c r="H55" i="36"/>
  <c r="C47" i="34"/>
  <c r="E46" i="36"/>
  <c r="F28" i="36"/>
  <c r="G28" i="36"/>
  <c r="D30" i="36"/>
  <c r="E26" i="36"/>
  <c r="H51" i="36"/>
  <c r="C65" i="37"/>
  <c r="C62" i="37"/>
  <c r="F29" i="36"/>
  <c r="G11" i="36"/>
  <c r="F26" i="36"/>
  <c r="C29" i="36"/>
  <c r="D29" i="36"/>
  <c r="D113" i="34"/>
  <c r="D122" i="34" s="1"/>
  <c r="D86" i="36"/>
  <c r="E104" i="37"/>
  <c r="E102" i="22"/>
  <c r="E105" i="37"/>
  <c r="E103" i="37"/>
  <c r="E101" i="36"/>
  <c r="E102" i="37"/>
  <c r="E103" i="22"/>
  <c r="E104" i="22"/>
  <c r="E105" i="22"/>
  <c r="I105" i="37"/>
  <c r="I103" i="37"/>
  <c r="I102" i="37"/>
  <c r="I102" i="22"/>
  <c r="I101" i="36"/>
  <c r="I104" i="37"/>
  <c r="I103" i="22"/>
  <c r="I105" i="22"/>
  <c r="I104" i="22"/>
  <c r="D84" i="37"/>
  <c r="D84" i="22"/>
  <c r="O114" i="36"/>
  <c r="O123" i="36" s="1"/>
  <c r="O91" i="36"/>
  <c r="O95" i="36"/>
  <c r="O87" i="22"/>
  <c r="O87" i="37"/>
  <c r="O99" i="36"/>
  <c r="G99" i="36"/>
  <c r="G114" i="36"/>
  <c r="G123" i="36" s="1"/>
  <c r="G87" i="22"/>
  <c r="G95" i="36"/>
  <c r="G87" i="37"/>
  <c r="G91" i="36"/>
  <c r="H105" i="37"/>
  <c r="H101" i="36"/>
  <c r="H102" i="37"/>
  <c r="H103" i="37"/>
  <c r="H102" i="22"/>
  <c r="H104" i="37"/>
  <c r="H104" i="22"/>
  <c r="H105" i="22"/>
  <c r="H103" i="22"/>
  <c r="D103" i="37"/>
  <c r="D103" i="22"/>
  <c r="D101" i="36"/>
  <c r="G103" i="22"/>
  <c r="G102" i="37"/>
  <c r="G104" i="37"/>
  <c r="G102" i="22"/>
  <c r="G105" i="37"/>
  <c r="G101" i="36"/>
  <c r="G103" i="37"/>
  <c r="G105" i="22"/>
  <c r="G104" i="22"/>
  <c r="D115" i="34"/>
  <c r="D124" i="34" s="1"/>
  <c r="D88" i="36"/>
  <c r="E88" i="36"/>
  <c r="H84" i="28"/>
  <c r="G86" i="36"/>
  <c r="E87" i="36"/>
  <c r="E151" i="33"/>
  <c r="H84" i="30"/>
  <c r="I114" i="37"/>
  <c r="I123" i="37" s="1"/>
  <c r="I99" i="37"/>
  <c r="I95" i="37"/>
  <c r="I91" i="37"/>
  <c r="F103" i="37"/>
  <c r="F105" i="37"/>
  <c r="F101" i="36"/>
  <c r="F102" i="37"/>
  <c r="F104" i="37"/>
  <c r="F102" i="22"/>
  <c r="F103" i="22"/>
  <c r="F105" i="22"/>
  <c r="F104" i="22"/>
  <c r="P87" i="36"/>
  <c r="D87" i="22"/>
  <c r="D87" i="19"/>
  <c r="D87" i="20"/>
  <c r="D87" i="37"/>
  <c r="D114" i="36"/>
  <c r="D123" i="36" s="1"/>
  <c r="D99" i="36"/>
  <c r="D95" i="36"/>
  <c r="D91" i="36"/>
  <c r="R84" i="36"/>
  <c r="F114" i="36"/>
  <c r="F123" i="36" s="1"/>
  <c r="F95" i="36"/>
  <c r="F91" i="36"/>
  <c r="F87" i="22"/>
  <c r="F99" i="36"/>
  <c r="F87" i="37"/>
  <c r="H88" i="36"/>
  <c r="F88" i="36"/>
  <c r="F142" i="36" s="1"/>
  <c r="G88" i="36"/>
  <c r="J115" i="36"/>
  <c r="J124" i="36" s="1"/>
  <c r="J88" i="22"/>
  <c r="J88" i="37"/>
  <c r="J92" i="36"/>
  <c r="J96" i="36"/>
  <c r="J100" i="36"/>
  <c r="F94" i="36"/>
  <c r="F113" i="36"/>
  <c r="F98" i="36"/>
  <c r="F86" i="22"/>
  <c r="F90" i="36"/>
  <c r="F86" i="37"/>
  <c r="D116" i="37"/>
  <c r="D125" i="37" s="1"/>
  <c r="C71" i="33"/>
  <c r="D71" i="33"/>
  <c r="F71" i="33"/>
  <c r="C59" i="34"/>
  <c r="E71" i="33"/>
  <c r="C51" i="34"/>
  <c r="R99" i="34"/>
  <c r="R91" i="34"/>
  <c r="R84" i="33"/>
  <c r="G65" i="33"/>
  <c r="C65" i="33"/>
  <c r="F62" i="33"/>
  <c r="E70" i="33"/>
  <c r="C70" i="33"/>
  <c r="C64" i="33"/>
  <c r="I64" i="33"/>
  <c r="G64" i="33"/>
  <c r="D65" i="33"/>
  <c r="F70" i="33"/>
  <c r="F64" i="33"/>
  <c r="E47" i="33"/>
  <c r="E62" i="33"/>
  <c r="C62" i="33"/>
  <c r="D66" i="33"/>
  <c r="F47" i="33"/>
  <c r="F65" i="33"/>
  <c r="E66" i="33"/>
  <c r="D62" i="33"/>
  <c r="C66" i="33"/>
  <c r="I65" i="33"/>
  <c r="H65" i="33"/>
  <c r="E64" i="33"/>
  <c r="F66" i="33"/>
  <c r="G62" i="33"/>
  <c r="E46" i="33"/>
  <c r="H64" i="33"/>
  <c r="D70" i="33"/>
  <c r="E65" i="33"/>
  <c r="D64" i="33"/>
  <c r="H62" i="33"/>
  <c r="G125" i="33"/>
  <c r="G138" i="33" s="1"/>
  <c r="G121" i="33"/>
  <c r="F123" i="33"/>
  <c r="F133" i="33" s="1"/>
  <c r="D123" i="33"/>
  <c r="D133" i="33" s="1"/>
  <c r="G123" i="33"/>
  <c r="G133" i="33" s="1"/>
  <c r="F99" i="33"/>
  <c r="F119" i="33"/>
  <c r="F91" i="33"/>
  <c r="F95" i="33"/>
  <c r="F121" i="33"/>
  <c r="F125" i="33"/>
  <c r="F138" i="33" s="1"/>
  <c r="D121" i="33"/>
  <c r="D125" i="33"/>
  <c r="D138" i="33" s="1"/>
  <c r="K105" i="30"/>
  <c r="G99" i="33"/>
  <c r="G91" i="33"/>
  <c r="G119" i="33"/>
  <c r="G95" i="33"/>
  <c r="E125" i="33"/>
  <c r="E138" i="33" s="1"/>
  <c r="E121" i="33"/>
  <c r="H121" i="33"/>
  <c r="H125" i="33"/>
  <c r="H138" i="33" s="1"/>
  <c r="F118" i="33"/>
  <c r="F98" i="33"/>
  <c r="F90" i="33"/>
  <c r="F94" i="33"/>
  <c r="E123" i="33"/>
  <c r="E133" i="33" s="1"/>
  <c r="I125" i="33"/>
  <c r="I138" i="33" s="1"/>
  <c r="I121" i="33"/>
  <c r="C68" i="29"/>
  <c r="D68" i="29"/>
  <c r="F68" i="29"/>
  <c r="E68" i="29"/>
  <c r="D87" i="28"/>
  <c r="D87" i="30"/>
  <c r="D118" i="15"/>
  <c r="D128" i="15" s="1"/>
  <c r="D110" i="28"/>
  <c r="D123" i="28" s="1"/>
  <c r="D133" i="28" s="1"/>
  <c r="D110" i="30"/>
  <c r="D104" i="28"/>
  <c r="D104" i="30"/>
  <c r="J104" i="28"/>
  <c r="K104" i="28" s="1"/>
  <c r="L104" i="28" s="1"/>
  <c r="M104" i="28" s="1"/>
  <c r="N104" i="28" s="1"/>
  <c r="O104" i="28" s="1"/>
  <c r="P104" i="28" s="1"/>
  <c r="Q104" i="28" s="1"/>
  <c r="J104" i="30"/>
  <c r="D113" i="28"/>
  <c r="D113" i="30"/>
  <c r="H104" i="28"/>
  <c r="H104" i="30"/>
  <c r="E105" i="28"/>
  <c r="E105" i="30"/>
  <c r="D116" i="29"/>
  <c r="D111" i="30"/>
  <c r="D111" i="28"/>
  <c r="D84" i="28"/>
  <c r="D84" i="30"/>
  <c r="F87" i="28"/>
  <c r="F99" i="28" s="1"/>
  <c r="F87" i="30"/>
  <c r="E114" i="28"/>
  <c r="E114" i="30"/>
  <c r="E113" i="28"/>
  <c r="E113" i="30"/>
  <c r="F102" i="28"/>
  <c r="F102" i="30"/>
  <c r="D103" i="15"/>
  <c r="D103" i="33" s="1"/>
  <c r="D120" i="15"/>
  <c r="D133" i="15" s="1"/>
  <c r="D102" i="28"/>
  <c r="D102" i="30"/>
  <c r="G114" i="28"/>
  <c r="G114" i="30"/>
  <c r="D106" i="28"/>
  <c r="D106" i="30"/>
  <c r="J105" i="28"/>
  <c r="K105" i="28" s="1"/>
  <c r="L105" i="28" s="1"/>
  <c r="M105" i="28" s="1"/>
  <c r="N105" i="28" s="1"/>
  <c r="O105" i="28" s="1"/>
  <c r="P105" i="28" s="1"/>
  <c r="Q105" i="28" s="1"/>
  <c r="J105" i="30"/>
  <c r="I105" i="28"/>
  <c r="I105" i="30"/>
  <c r="D114" i="28"/>
  <c r="D114" i="30"/>
  <c r="F104" i="28"/>
  <c r="F104" i="30"/>
  <c r="G87" i="28"/>
  <c r="G119" i="28" s="1"/>
  <c r="G128" i="28" s="1"/>
  <c r="G87" i="30"/>
  <c r="F86" i="30"/>
  <c r="F86" i="28"/>
  <c r="I104" i="28"/>
  <c r="I104" i="30"/>
  <c r="G106" i="28"/>
  <c r="G106" i="30"/>
  <c r="E111" i="30"/>
  <c r="E111" i="28"/>
  <c r="E116" i="29"/>
  <c r="G111" i="30"/>
  <c r="G116" i="29"/>
  <c r="G111" i="28"/>
  <c r="G105" i="28"/>
  <c r="G105" i="30"/>
  <c r="E110" i="30"/>
  <c r="E110" i="28"/>
  <c r="E123" i="28" s="1"/>
  <c r="E133" i="28" s="1"/>
  <c r="F105" i="28"/>
  <c r="F105" i="30"/>
  <c r="E104" i="28"/>
  <c r="E104" i="30"/>
  <c r="F113" i="28"/>
  <c r="F113" i="30"/>
  <c r="F114" i="28"/>
  <c r="F114" i="30"/>
  <c r="I120" i="15"/>
  <c r="I133" i="15" s="1"/>
  <c r="I102" i="28"/>
  <c r="I102" i="30"/>
  <c r="E106" i="28"/>
  <c r="E106" i="30"/>
  <c r="G110" i="30"/>
  <c r="G110" i="28"/>
  <c r="G123" i="28" s="1"/>
  <c r="G133" i="28" s="1"/>
  <c r="H102" i="28"/>
  <c r="H102" i="30"/>
  <c r="H105" i="28"/>
  <c r="H105" i="30"/>
  <c r="F106" i="28"/>
  <c r="F106" i="30"/>
  <c r="G102" i="28"/>
  <c r="G102" i="30"/>
  <c r="F111" i="28"/>
  <c r="F111" i="30"/>
  <c r="F116" i="29"/>
  <c r="F110" i="30"/>
  <c r="F110" i="28"/>
  <c r="F123" i="28" s="1"/>
  <c r="F133" i="28" s="1"/>
  <c r="G104" i="28"/>
  <c r="G104" i="30"/>
  <c r="O87" i="28"/>
  <c r="O95" i="28" s="1"/>
  <c r="O87" i="30"/>
  <c r="E120" i="15"/>
  <c r="E102" i="28"/>
  <c r="E102" i="30"/>
  <c r="G113" i="28"/>
  <c r="G113" i="30"/>
  <c r="D105" i="28"/>
  <c r="D105" i="30"/>
  <c r="H103" i="15"/>
  <c r="H103" i="33" s="1"/>
  <c r="H120" i="15"/>
  <c r="H133" i="15" s="1"/>
  <c r="G103" i="15"/>
  <c r="G103" i="33" s="1"/>
  <c r="G120" i="15"/>
  <c r="G133" i="15" s="1"/>
  <c r="F103" i="15"/>
  <c r="F103" i="33" s="1"/>
  <c r="F120" i="15"/>
  <c r="F133" i="15" s="1"/>
  <c r="H62" i="15"/>
  <c r="I110" i="15"/>
  <c r="I113" i="33" s="1"/>
  <c r="I103" i="15"/>
  <c r="I103" i="33" s="1"/>
  <c r="H110" i="15"/>
  <c r="H113" i="33" s="1"/>
  <c r="H88" i="15"/>
  <c r="H88" i="33" s="1"/>
  <c r="P87" i="15"/>
  <c r="E88" i="15"/>
  <c r="E88" i="33" s="1"/>
  <c r="F88" i="15"/>
  <c r="E87" i="15"/>
  <c r="E87" i="33" s="1"/>
  <c r="J88" i="15"/>
  <c r="G88" i="15"/>
  <c r="G88" i="33" s="1"/>
  <c r="G86" i="15"/>
  <c r="G86" i="33" s="1"/>
  <c r="D86" i="33"/>
  <c r="J87" i="36"/>
  <c r="G99" i="15"/>
  <c r="O99" i="15"/>
  <c r="F91" i="15"/>
  <c r="D87" i="18"/>
  <c r="F98" i="15"/>
  <c r="G118" i="15"/>
  <c r="G128" i="15" s="1"/>
  <c r="F118" i="15"/>
  <c r="F128" i="15" s="1"/>
  <c r="I116" i="15"/>
  <c r="I125" i="15" s="1"/>
  <c r="I130" i="33" s="1"/>
  <c r="D99" i="15"/>
  <c r="D95" i="15"/>
  <c r="F90" i="15"/>
  <c r="F94" i="15"/>
  <c r="F113" i="15"/>
  <c r="D114" i="15"/>
  <c r="D123" i="15" s="1"/>
  <c r="F114" i="15"/>
  <c r="F116" i="15"/>
  <c r="F125" i="15" s="1"/>
  <c r="F130" i="33" s="1"/>
  <c r="D91" i="15"/>
  <c r="F99" i="15"/>
  <c r="O95" i="15"/>
  <c r="F95" i="15"/>
  <c r="H116" i="15"/>
  <c r="H125" i="15" s="1"/>
  <c r="H130" i="33" s="1"/>
  <c r="G91" i="15"/>
  <c r="G114" i="15"/>
  <c r="G123" i="15" s="1"/>
  <c r="G128" i="33" s="1"/>
  <c r="G95" i="15"/>
  <c r="R84" i="15"/>
  <c r="D116" i="15"/>
  <c r="D125" i="15" s="1"/>
  <c r="D130" i="33" s="1"/>
  <c r="E103" i="15"/>
  <c r="E103" i="33" s="1"/>
  <c r="F65" i="15"/>
  <c r="H64" i="15"/>
  <c r="D68" i="15"/>
  <c r="E62" i="15"/>
  <c r="D66" i="15"/>
  <c r="C68" i="15"/>
  <c r="H65" i="15"/>
  <c r="C62" i="15"/>
  <c r="I65" i="15"/>
  <c r="F71" i="15"/>
  <c r="G62" i="15"/>
  <c r="E68" i="15"/>
  <c r="C64" i="15"/>
  <c r="J65" i="15"/>
  <c r="D64" i="15"/>
  <c r="C47" i="15"/>
  <c r="E66" i="15"/>
  <c r="F47" i="15"/>
  <c r="G65" i="15"/>
  <c r="F70" i="15"/>
  <c r="E47" i="15"/>
  <c r="D70" i="15"/>
  <c r="F68" i="15"/>
  <c r="E65" i="15"/>
  <c r="E46" i="15"/>
  <c r="D62" i="15"/>
  <c r="E71" i="15"/>
  <c r="F62" i="15"/>
  <c r="F66" i="15"/>
  <c r="C71" i="15"/>
  <c r="D65" i="15"/>
  <c r="F64" i="15"/>
  <c r="C66" i="15"/>
  <c r="D71" i="15"/>
  <c r="C70" i="15"/>
  <c r="E64" i="15"/>
  <c r="E70" i="15"/>
  <c r="N47" i="15"/>
  <c r="C65" i="15"/>
  <c r="G64" i="15"/>
  <c r="G116" i="15"/>
  <c r="G125" i="15" s="1"/>
  <c r="G130" i="33" s="1"/>
  <c r="E116" i="15"/>
  <c r="E125" i="15" s="1"/>
  <c r="E130" i="33" s="1"/>
  <c r="E118" i="15"/>
  <c r="E128" i="15" s="1"/>
  <c r="O114" i="15"/>
  <c r="O123" i="15" s="1"/>
  <c r="O128" i="33" s="1"/>
  <c r="O91" i="15"/>
  <c r="I64" i="15"/>
  <c r="D63" i="33" a="1"/>
  <c r="I48" i="15" a="1"/>
  <c r="N51" i="15" a="1"/>
  <c r="F55" i="33" a="1"/>
  <c r="G29" i="33" a="1"/>
  <c r="E63" i="15" a="1"/>
  <c r="D27" i="36" a="1"/>
  <c r="H28" i="15" a="1"/>
  <c r="F46" i="15" a="1"/>
  <c r="I65" i="30" a="1"/>
  <c r="H51" i="37" a="1"/>
  <c r="F51" i="33" a="1"/>
  <c r="C30" i="33" a="1"/>
  <c r="C47" i="20" a="1"/>
  <c r="C32" i="15" a="1"/>
  <c r="I47" i="36" a="1"/>
  <c r="C35" i="33" a="1"/>
  <c r="C28" i="33" a="1"/>
  <c r="C55" i="34" a="1"/>
  <c r="H63" i="33" a="1"/>
  <c r="C59" i="15" a="1"/>
  <c r="E51" i="15" a="1"/>
  <c r="I65" i="28" a="1"/>
  <c r="O47" i="15" a="1"/>
  <c r="D62" i="37" a="1"/>
  <c r="D70" i="28" a="1"/>
  <c r="C55" i="36" a="1"/>
  <c r="H28" i="33" a="1"/>
  <c r="F48" i="33" a="1"/>
  <c r="C63" i="37" a="1"/>
  <c r="G26" i="33" a="1"/>
  <c r="C26" i="33" a="1"/>
  <c r="F64" i="28" a="1"/>
  <c r="N47" i="28" a="1"/>
  <c r="F66" i="30" a="1"/>
  <c r="E46" i="28" a="1"/>
  <c r="F48" i="36" a="1"/>
  <c r="F34" i="36" a="1"/>
  <c r="F59" i="36" a="1"/>
  <c r="E63" i="37" a="1"/>
  <c r="F26" i="33" a="1"/>
  <c r="E47" i="30" a="1"/>
  <c r="G62" i="37" a="1"/>
  <c r="D35" i="33" a="1"/>
  <c r="E63" i="33" a="1"/>
  <c r="G65" i="30" a="1"/>
  <c r="C47" i="22" a="1"/>
  <c r="D10" i="36" a="1"/>
  <c r="G48" i="33" a="1"/>
  <c r="E62" i="30" a="1"/>
  <c r="I48" i="37" a="1"/>
  <c r="G62" i="28" a="1"/>
  <c r="G65" i="37" a="1"/>
  <c r="E65" i="30" a="1"/>
  <c r="E46" i="37" a="1"/>
  <c r="E71" i="28" a="1"/>
  <c r="D62" i="28" a="1"/>
  <c r="E54" i="15" a="1"/>
  <c r="C47" i="18" a="1"/>
  <c r="G64" i="28" a="1"/>
  <c r="F27" i="36" a="1"/>
  <c r="C48" i="15" a="1"/>
  <c r="C46" i="15" a="1"/>
  <c r="G64" i="30" a="1"/>
  <c r="F47" i="37" a="1"/>
  <c r="D10" i="15" a="1"/>
  <c r="D64" i="37" a="1"/>
  <c r="D64" i="28" a="1"/>
  <c r="H64" i="37" a="1"/>
  <c r="J65" i="33" a="1"/>
  <c r="G48" i="36" a="1"/>
  <c r="D48" i="33" a="1"/>
  <c r="D11" i="36" a="1"/>
  <c r="E50" i="33" a="1"/>
  <c r="N51" i="36" a="1"/>
  <c r="E11" i="33" a="1"/>
  <c r="G26" i="15" a="1"/>
  <c r="F55" i="36" a="1"/>
  <c r="D29" i="33" a="1"/>
  <c r="H29" i="15" a="1"/>
  <c r="E55" i="15" a="1"/>
  <c r="C30" i="15" a="1"/>
  <c r="H12" i="36" a="1"/>
  <c r="E30" i="33" a="1"/>
  <c r="E51" i="36" a="1"/>
  <c r="E26" i="33" a="1"/>
  <c r="D11" i="15" a="1"/>
  <c r="D30" i="33" a="1"/>
  <c r="H62" i="28" a="1"/>
  <c r="E59" i="28" a="1"/>
  <c r="E55" i="33" a="1"/>
  <c r="C29" i="15" a="1"/>
  <c r="E65" i="37" a="1"/>
  <c r="E47" i="22" a="1"/>
  <c r="D47" i="36" a="1"/>
  <c r="C26" i="15" a="1"/>
  <c r="O47" i="36" a="1"/>
  <c r="H63" i="15" a="1"/>
  <c r="C32" i="29" a="1"/>
  <c r="C66" i="30" a="1"/>
  <c r="F70" i="28" a="1"/>
  <c r="E58" i="33" a="1"/>
  <c r="C46" i="33" a="1"/>
  <c r="G63" i="15" a="1"/>
  <c r="F71" i="28" a="1"/>
  <c r="D28" i="33" a="1"/>
  <c r="E62" i="28" a="1"/>
  <c r="G63" i="33" a="1"/>
  <c r="E48" i="15" a="1"/>
  <c r="E54" i="36" a="1"/>
  <c r="I60" i="36" a="1"/>
  <c r="D32" i="29" a="1"/>
  <c r="D35" i="15" a="1"/>
  <c r="F66" i="28" a="1"/>
  <c r="D10" i="33" a="1"/>
  <c r="C59" i="36" a="1"/>
  <c r="H63" i="37" a="1"/>
  <c r="C65" i="22" a="1"/>
  <c r="C47" i="37" a="1"/>
  <c r="D32" i="15" a="1"/>
  <c r="C55" i="15" a="1"/>
  <c r="F59" i="33" a="1"/>
  <c r="E11" i="15" a="1"/>
  <c r="E70" i="30" a="1"/>
  <c r="I64" i="30" a="1"/>
  <c r="G62" i="30" a="1"/>
  <c r="G64" i="37" a="1"/>
  <c r="F47" i="30" a="1"/>
  <c r="E27" i="36" a="1"/>
  <c r="C48" i="36" a="1"/>
  <c r="F65" i="28" a="1"/>
  <c r="C65" i="30" a="1"/>
  <c r="E59" i="15" a="1"/>
  <c r="H29" i="33" a="1"/>
  <c r="F48" i="15" a="1"/>
  <c r="E30" i="15" a="1"/>
  <c r="C47" i="30" a="1"/>
  <c r="F46" i="36" a="1"/>
  <c r="H65" i="30" a="1"/>
  <c r="G34" i="36" a="1"/>
  <c r="E35" i="33" a="1"/>
  <c r="D65" i="37" a="1"/>
  <c r="E64" i="28" a="1"/>
  <c r="F62" i="30" a="1"/>
  <c r="F47" i="28" a="1"/>
  <c r="D11" i="33" a="1"/>
  <c r="D66" i="28" a="1"/>
  <c r="D63" i="37" a="1"/>
  <c r="F63" i="33" a="1"/>
  <c r="H59" i="37" a="1"/>
  <c r="F63" i="15" a="1"/>
  <c r="N55" i="15" a="1"/>
  <c r="D71" i="28" a="1"/>
  <c r="E58" i="15" a="1"/>
  <c r="C62" i="30" a="1"/>
  <c r="C51" i="15" a="1"/>
  <c r="N59" i="15" a="1"/>
  <c r="D34" i="15" a="1"/>
  <c r="D35" i="36" a="1"/>
  <c r="D66" i="30" a="1"/>
  <c r="D63" i="15" a="1"/>
  <c r="E64" i="30" a="1"/>
  <c r="C47" i="19" a="1"/>
  <c r="E66" i="28" a="1"/>
  <c r="E47" i="37" a="1"/>
  <c r="E11" i="36" a="1"/>
  <c r="H64" i="28" a="1"/>
  <c r="G65" i="28" a="1"/>
  <c r="E29" i="33" a="1"/>
  <c r="E26" i="15" a="1"/>
  <c r="F64" i="37" a="1"/>
  <c r="E62" i="37" a="1"/>
  <c r="C70" i="30" a="1"/>
  <c r="F26" i="15" a="1"/>
  <c r="H62" i="37" a="1"/>
  <c r="D71" i="30" a="1"/>
  <c r="E71" i="30" a="1"/>
  <c r="F70" i="30" a="1"/>
  <c r="C27" i="36" a="1"/>
  <c r="E29" i="15" a="1"/>
  <c r="E35" i="36" a="1"/>
  <c r="I29" i="15" a="1"/>
  <c r="F62" i="28" a="1"/>
  <c r="E59" i="36" a="1"/>
  <c r="F51" i="15" a="1"/>
  <c r="G19" i="36" a="1"/>
  <c r="J65" i="30" a="1"/>
  <c r="D62" i="30" a="1"/>
  <c r="D28" i="15" a="1"/>
  <c r="H55" i="37" a="1"/>
  <c r="I52" i="36" a="1"/>
  <c r="E34" i="33" a="1"/>
  <c r="F62" i="37" a="1"/>
  <c r="D34" i="33" a="1"/>
  <c r="D47" i="15" a="1"/>
  <c r="G11" i="37" a="1"/>
  <c r="C46" i="34" a="1"/>
  <c r="D26" i="33" a="1"/>
  <c r="D48" i="15" a="1"/>
  <c r="D30" i="15" a="1"/>
  <c r="C34" i="15" a="1"/>
  <c r="E54" i="33" a="1"/>
  <c r="G48" i="15" a="1"/>
  <c r="G63" i="37" a="1"/>
  <c r="D29" i="15" a="1"/>
  <c r="C29" i="33" a="1"/>
  <c r="E64" i="37" a="1"/>
  <c r="N59" i="36" a="1"/>
  <c r="F46" i="33" a="1"/>
  <c r="N47" i="30" a="1"/>
  <c r="G15" i="36" a="1"/>
  <c r="I64" i="28" a="1"/>
  <c r="C28" i="15" a="1"/>
  <c r="D48" i="36" a="1"/>
  <c r="F29" i="33" a="1"/>
  <c r="C48" i="34" a="1"/>
  <c r="E50" i="15" a="1"/>
  <c r="F65" i="30" a="1"/>
  <c r="G23" i="36" a="1"/>
  <c r="C35" i="15" a="1"/>
  <c r="F55" i="15" a="1"/>
  <c r="N55" i="28" a="1"/>
  <c r="F29" i="15" a="1"/>
  <c r="E28" i="15" a="1"/>
  <c r="E48" i="36" a="1"/>
  <c r="F64" i="30" a="1"/>
  <c r="N47" i="37" a="1"/>
  <c r="E35" i="15" a="1"/>
  <c r="E34" i="15" a="1"/>
  <c r="C46" i="36" a="1"/>
  <c r="F51" i="36" a="1"/>
  <c r="E51" i="33" a="1"/>
  <c r="E47" i="28" a="1"/>
  <c r="D64" i="30" a="1"/>
  <c r="E50" i="36" a="1"/>
  <c r="D70" i="30" a="1"/>
  <c r="G29" i="15" a="1"/>
  <c r="H64" i="30" a="1"/>
  <c r="G28" i="15" a="1"/>
  <c r="E70" i="28" a="1"/>
  <c r="E58" i="36" a="1"/>
  <c r="D65" i="28" a="1"/>
  <c r="C51" i="36" a="1"/>
  <c r="C64" i="30" a="1"/>
  <c r="E28" i="33" a="1"/>
  <c r="C71" i="30" a="1"/>
  <c r="E66" i="30" a="1"/>
  <c r="F71" i="30" a="1"/>
  <c r="E65" i="28" a="1"/>
  <c r="F59" i="15" a="1"/>
  <c r="N55" i="36" a="1"/>
  <c r="M11" i="15" a="1"/>
  <c r="G27" i="36" a="1"/>
  <c r="E46" i="30" a="1"/>
  <c r="C64" i="22" a="1"/>
  <c r="F28" i="15" a="1"/>
  <c r="D65" i="30" a="1"/>
  <c r="F65" i="37" a="1"/>
  <c r="E55" i="36" a="1"/>
  <c r="F28" i="33" a="1"/>
  <c r="I56" i="36" a="1"/>
  <c r="C66" i="22" a="1"/>
  <c r="E59" i="33" a="1"/>
  <c r="G28" i="33" a="1"/>
  <c r="D47" i="33" a="1"/>
  <c r="H65" i="28" a="1"/>
  <c r="H65" i="37" a="1"/>
  <c r="H62" i="30" a="1"/>
  <c r="C47" i="33" a="1"/>
  <c r="C62" i="22" a="1"/>
  <c r="F63" i="37" a="1"/>
  <c r="D26" i="15" a="1"/>
  <c r="M11" i="36" a="1"/>
  <c r="C63" i="15" a="1"/>
  <c r="C34" i="33" a="1"/>
  <c r="D95" i="33" l="1"/>
  <c r="D99" i="33"/>
  <c r="D91" i="33"/>
  <c r="D100" i="34"/>
  <c r="D83" i="34"/>
  <c r="D119" i="34" s="1"/>
  <c r="D132" i="34" s="1"/>
  <c r="D142" i="34"/>
  <c r="D128" i="33"/>
  <c r="R84" i="28"/>
  <c r="C47" i="33"/>
  <c r="C55" i="34"/>
  <c r="G149" i="33"/>
  <c r="D92" i="34"/>
  <c r="D98" i="34"/>
  <c r="D96" i="34"/>
  <c r="D90" i="34"/>
  <c r="D94" i="34"/>
  <c r="R94" i="34" s="1"/>
  <c r="R84" i="30"/>
  <c r="R86" i="34"/>
  <c r="D88" i="33"/>
  <c r="D149" i="33" s="1"/>
  <c r="E87" i="19"/>
  <c r="F87" i="19" s="1"/>
  <c r="G87" i="19" s="1"/>
  <c r="F83" i="36"/>
  <c r="F119" i="36" s="1"/>
  <c r="F132" i="36" s="1"/>
  <c r="E87" i="20"/>
  <c r="F87" i="20" s="1"/>
  <c r="E58" i="36"/>
  <c r="I48" i="37"/>
  <c r="H55" i="37"/>
  <c r="F65" i="37"/>
  <c r="N59" i="36"/>
  <c r="H64" i="37"/>
  <c r="D35" i="36"/>
  <c r="G23" i="36"/>
  <c r="G48" i="36"/>
  <c r="C51" i="36"/>
  <c r="H59" i="37"/>
  <c r="G65" i="37"/>
  <c r="N47" i="37"/>
  <c r="D62" i="37"/>
  <c r="C46" i="36"/>
  <c r="G19" i="36"/>
  <c r="D27" i="36"/>
  <c r="E11" i="36"/>
  <c r="E54" i="36"/>
  <c r="E47" i="37"/>
  <c r="C55" i="36"/>
  <c r="O47" i="36"/>
  <c r="E64" i="37"/>
  <c r="F46" i="36"/>
  <c r="C48" i="36"/>
  <c r="F64" i="37"/>
  <c r="F51" i="36"/>
  <c r="C46" i="34"/>
  <c r="G15" i="36"/>
  <c r="E35" i="36"/>
  <c r="D11" i="36"/>
  <c r="G11" i="37"/>
  <c r="M11" i="36"/>
  <c r="E46" i="37"/>
  <c r="E59" i="36"/>
  <c r="C59" i="36"/>
  <c r="E62" i="37"/>
  <c r="C48" i="34"/>
  <c r="F62" i="37"/>
  <c r="F47" i="37"/>
  <c r="N55" i="36"/>
  <c r="H62" i="37"/>
  <c r="D63" i="37"/>
  <c r="H12" i="36"/>
  <c r="F34" i="36"/>
  <c r="I47" i="36"/>
  <c r="E50" i="36"/>
  <c r="F48" i="36"/>
  <c r="G64" i="37"/>
  <c r="F55" i="36"/>
  <c r="N51" i="36"/>
  <c r="H63" i="37"/>
  <c r="D65" i="37"/>
  <c r="G34" i="36"/>
  <c r="I60" i="36"/>
  <c r="E51" i="36"/>
  <c r="C47" i="37"/>
  <c r="E65" i="37"/>
  <c r="H65" i="37"/>
  <c r="E27" i="36"/>
  <c r="I56" i="36"/>
  <c r="E55" i="36"/>
  <c r="E63" i="37"/>
  <c r="D47" i="36"/>
  <c r="F63" i="37"/>
  <c r="G63" i="37"/>
  <c r="D64" i="37"/>
  <c r="G27" i="36"/>
  <c r="I52" i="36"/>
  <c r="E48" i="36"/>
  <c r="E75" i="36" s="1"/>
  <c r="H51" i="37"/>
  <c r="D48" i="36"/>
  <c r="C63" i="37"/>
  <c r="G62" i="37"/>
  <c r="F59" i="36"/>
  <c r="D10" i="36"/>
  <c r="F27" i="36"/>
  <c r="C27" i="36"/>
  <c r="H87" i="36"/>
  <c r="J115" i="37"/>
  <c r="J124" i="37" s="1"/>
  <c r="J96" i="37"/>
  <c r="J100" i="37"/>
  <c r="J92" i="37"/>
  <c r="H86" i="36"/>
  <c r="I88" i="36"/>
  <c r="F122" i="36"/>
  <c r="H115" i="36"/>
  <c r="H124" i="36" s="1"/>
  <c r="H92" i="36"/>
  <c r="H96" i="36"/>
  <c r="H88" i="22"/>
  <c r="H100" i="36"/>
  <c r="H88" i="37"/>
  <c r="O114" i="37"/>
  <c r="O123" i="37" s="1"/>
  <c r="O95" i="37"/>
  <c r="O99" i="37"/>
  <c r="O91" i="37"/>
  <c r="E116" i="37"/>
  <c r="E120" i="37"/>
  <c r="E133" i="37" s="1"/>
  <c r="D102" i="19"/>
  <c r="D103" i="20"/>
  <c r="D86" i="22"/>
  <c r="D102" i="20"/>
  <c r="D94" i="36"/>
  <c r="D86" i="19"/>
  <c r="D106" i="19"/>
  <c r="D86" i="20"/>
  <c r="D90" i="36"/>
  <c r="D105" i="19"/>
  <c r="D106" i="20"/>
  <c r="D86" i="37"/>
  <c r="D104" i="19"/>
  <c r="D105" i="20"/>
  <c r="D103" i="19"/>
  <c r="D104" i="20"/>
  <c r="D142" i="36"/>
  <c r="D83" i="36"/>
  <c r="D113" i="36"/>
  <c r="D122" i="36" s="1"/>
  <c r="D98" i="36"/>
  <c r="F91" i="37"/>
  <c r="F95" i="37"/>
  <c r="F99" i="37"/>
  <c r="F114" i="37"/>
  <c r="F123" i="37" s="1"/>
  <c r="P87" i="37"/>
  <c r="P99" i="36"/>
  <c r="P114" i="36"/>
  <c r="P123" i="36" s="1"/>
  <c r="P95" i="36"/>
  <c r="P91" i="36"/>
  <c r="P87" i="22"/>
  <c r="G113" i="36"/>
  <c r="G142" i="36"/>
  <c r="G86" i="22"/>
  <c r="G94" i="36"/>
  <c r="G85" i="36"/>
  <c r="G86" i="37"/>
  <c r="G83" i="36"/>
  <c r="G119" i="36" s="1"/>
  <c r="G132" i="36" s="1"/>
  <c r="G98" i="36"/>
  <c r="G90" i="36"/>
  <c r="D100" i="36"/>
  <c r="D88" i="19"/>
  <c r="E88" i="19" s="1"/>
  <c r="F88" i="19" s="1"/>
  <c r="D96" i="36"/>
  <c r="D88" i="20"/>
  <c r="E88" i="20" s="1"/>
  <c r="D92" i="36"/>
  <c r="D88" i="37"/>
  <c r="D88" i="22"/>
  <c r="D115" i="36"/>
  <c r="D124" i="36" s="1"/>
  <c r="J110" i="36"/>
  <c r="F113" i="37"/>
  <c r="F98" i="37"/>
  <c r="F90" i="37"/>
  <c r="F94" i="37"/>
  <c r="F120" i="37"/>
  <c r="F133" i="37" s="1"/>
  <c r="F116" i="37"/>
  <c r="G120" i="37"/>
  <c r="G133" i="37" s="1"/>
  <c r="G116" i="37"/>
  <c r="G91" i="37"/>
  <c r="G99" i="37"/>
  <c r="G95" i="37"/>
  <c r="G114" i="37"/>
  <c r="G123" i="37" s="1"/>
  <c r="I120" i="37"/>
  <c r="I133" i="37" s="1"/>
  <c r="I116" i="37"/>
  <c r="E101" i="37"/>
  <c r="I86" i="36"/>
  <c r="J95" i="36"/>
  <c r="J114" i="36"/>
  <c r="J123" i="36" s="1"/>
  <c r="J99" i="36"/>
  <c r="J87" i="22"/>
  <c r="J87" i="37"/>
  <c r="J91" i="36"/>
  <c r="M87" i="36"/>
  <c r="J86" i="36"/>
  <c r="J102" i="15"/>
  <c r="J120" i="15" s="1"/>
  <c r="J133" i="15" s="1"/>
  <c r="J102" i="36"/>
  <c r="G96" i="36"/>
  <c r="G100" i="36"/>
  <c r="G92" i="36"/>
  <c r="G88" i="22"/>
  <c r="G88" i="37"/>
  <c r="G115" i="36"/>
  <c r="G124" i="36" s="1"/>
  <c r="I101" i="37"/>
  <c r="D126" i="34"/>
  <c r="D129" i="34" s="1"/>
  <c r="F85" i="36"/>
  <c r="D99" i="37"/>
  <c r="D91" i="37"/>
  <c r="D95" i="37"/>
  <c r="D114" i="37"/>
  <c r="D123" i="37" s="1"/>
  <c r="F101" i="37"/>
  <c r="E114" i="36"/>
  <c r="E123" i="36" s="1"/>
  <c r="E99" i="36"/>
  <c r="E91" i="36"/>
  <c r="E95" i="36"/>
  <c r="E87" i="22"/>
  <c r="E114" i="22" s="1"/>
  <c r="E123" i="22" s="1"/>
  <c r="E87" i="37"/>
  <c r="G101" i="37"/>
  <c r="H101" i="37"/>
  <c r="F96" i="36"/>
  <c r="F88" i="22"/>
  <c r="F85" i="22" s="1"/>
  <c r="F92" i="36"/>
  <c r="F88" i="37"/>
  <c r="F85" i="37" s="1"/>
  <c r="F100" i="36"/>
  <c r="F115" i="36"/>
  <c r="F124" i="36" s="1"/>
  <c r="E92" i="36"/>
  <c r="E115" i="36"/>
  <c r="E124" i="36" s="1"/>
  <c r="E88" i="37"/>
  <c r="E96" i="36"/>
  <c r="E100" i="36"/>
  <c r="E88" i="22"/>
  <c r="E96" i="22" s="1"/>
  <c r="D101" i="37"/>
  <c r="H120" i="37"/>
  <c r="H133" i="37" s="1"/>
  <c r="H116" i="37"/>
  <c r="E121" i="28"/>
  <c r="E130" i="28" s="1"/>
  <c r="D35" i="33"/>
  <c r="E35" i="33"/>
  <c r="C35" i="33"/>
  <c r="R98" i="34"/>
  <c r="R90" i="34"/>
  <c r="F88" i="33"/>
  <c r="D47" i="33"/>
  <c r="C28" i="33"/>
  <c r="G29" i="33"/>
  <c r="D63" i="33"/>
  <c r="G63" i="33"/>
  <c r="E50" i="33"/>
  <c r="J65" i="33"/>
  <c r="D29" i="33"/>
  <c r="H29" i="33"/>
  <c r="E54" i="33"/>
  <c r="F59" i="33"/>
  <c r="E59" i="33"/>
  <c r="H28" i="33"/>
  <c r="D48" i="33"/>
  <c r="E58" i="33"/>
  <c r="J65" i="30"/>
  <c r="C34" i="33"/>
  <c r="D26" i="33"/>
  <c r="C46" i="33"/>
  <c r="C26" i="33"/>
  <c r="D10" i="33"/>
  <c r="D30" i="33"/>
  <c r="E28" i="33"/>
  <c r="E26" i="33"/>
  <c r="G48" i="33"/>
  <c r="D11" i="33"/>
  <c r="F46" i="33"/>
  <c r="E63" i="33"/>
  <c r="F55" i="33"/>
  <c r="E55" i="33"/>
  <c r="F26" i="33"/>
  <c r="E29" i="33"/>
  <c r="E34" i="33"/>
  <c r="G28" i="33"/>
  <c r="D34" i="33"/>
  <c r="F48" i="33"/>
  <c r="E51" i="33"/>
  <c r="E30" i="33"/>
  <c r="E11" i="33"/>
  <c r="C29" i="33"/>
  <c r="H63" i="33"/>
  <c r="F63" i="33"/>
  <c r="F51" i="33"/>
  <c r="G26" i="33"/>
  <c r="D28" i="33"/>
  <c r="C30" i="33"/>
  <c r="F28" i="33"/>
  <c r="F29" i="33"/>
  <c r="E91" i="33"/>
  <c r="E99" i="33"/>
  <c r="E119" i="33"/>
  <c r="E95" i="33"/>
  <c r="I130" i="30"/>
  <c r="H101" i="33"/>
  <c r="D130" i="30"/>
  <c r="E120" i="33"/>
  <c r="E100" i="33"/>
  <c r="E92" i="33"/>
  <c r="E96" i="33"/>
  <c r="E101" i="33"/>
  <c r="D118" i="33"/>
  <c r="D98" i="33"/>
  <c r="D94" i="33"/>
  <c r="D90" i="33"/>
  <c r="F130" i="30"/>
  <c r="G130" i="30"/>
  <c r="H100" i="33"/>
  <c r="H120" i="33"/>
  <c r="H96" i="33"/>
  <c r="H92" i="33"/>
  <c r="O128" i="30"/>
  <c r="G128" i="30"/>
  <c r="G98" i="33"/>
  <c r="G118" i="33"/>
  <c r="G85" i="33"/>
  <c r="G83" i="33"/>
  <c r="G124" i="33" s="1"/>
  <c r="G137" i="33" s="1"/>
  <c r="G94" i="33"/>
  <c r="G90" i="33"/>
  <c r="F101" i="33"/>
  <c r="D128" i="30"/>
  <c r="G100" i="33"/>
  <c r="G96" i="33"/>
  <c r="G120" i="33"/>
  <c r="G92" i="33"/>
  <c r="E130" i="30"/>
  <c r="H130" i="30"/>
  <c r="G101" i="33"/>
  <c r="D101" i="15"/>
  <c r="I101" i="33"/>
  <c r="J110" i="15"/>
  <c r="J113" i="33" s="1"/>
  <c r="G95" i="28"/>
  <c r="F91" i="28"/>
  <c r="D113" i="19"/>
  <c r="D122" i="19" s="1"/>
  <c r="O119" i="28"/>
  <c r="O128" i="28" s="1"/>
  <c r="G99" i="28"/>
  <c r="F119" i="28"/>
  <c r="F128" i="28" s="1"/>
  <c r="G91" i="28"/>
  <c r="O99" i="28"/>
  <c r="F95" i="28"/>
  <c r="O91" i="28"/>
  <c r="F121" i="28"/>
  <c r="F130" i="28" s="1"/>
  <c r="D121" i="28"/>
  <c r="D130" i="28" s="1"/>
  <c r="G121" i="28"/>
  <c r="G130" i="28" s="1"/>
  <c r="G65" i="28"/>
  <c r="E65" i="30"/>
  <c r="H65" i="30"/>
  <c r="D62" i="30"/>
  <c r="E70" i="28"/>
  <c r="E66" i="28"/>
  <c r="D66" i="28"/>
  <c r="D64" i="30"/>
  <c r="F71" i="28"/>
  <c r="H64" i="30"/>
  <c r="D62" i="28"/>
  <c r="E70" i="30"/>
  <c r="G65" i="30"/>
  <c r="H62" i="30"/>
  <c r="D64" i="28"/>
  <c r="H64" i="28"/>
  <c r="C47" i="30"/>
  <c r="E71" i="30"/>
  <c r="G62" i="30"/>
  <c r="E65" i="28"/>
  <c r="E46" i="30"/>
  <c r="H65" i="28"/>
  <c r="E46" i="28"/>
  <c r="I64" i="30"/>
  <c r="C65" i="30"/>
  <c r="N47" i="30"/>
  <c r="E71" i="28"/>
  <c r="G62" i="28"/>
  <c r="D70" i="28"/>
  <c r="D71" i="28"/>
  <c r="F47" i="30"/>
  <c r="I65" i="30"/>
  <c r="E47" i="30"/>
  <c r="D65" i="30"/>
  <c r="C64" i="30"/>
  <c r="C32" i="29"/>
  <c r="F71" i="30"/>
  <c r="C71" i="30"/>
  <c r="N47" i="28"/>
  <c r="F62" i="30"/>
  <c r="F70" i="28"/>
  <c r="D70" i="30"/>
  <c r="D71" i="30"/>
  <c r="F47" i="28"/>
  <c r="E47" i="28"/>
  <c r="D65" i="28"/>
  <c r="D32" i="29"/>
  <c r="H62" i="28"/>
  <c r="C62" i="30"/>
  <c r="F64" i="30"/>
  <c r="F62" i="28"/>
  <c r="F70" i="30"/>
  <c r="F65" i="30"/>
  <c r="F66" i="30"/>
  <c r="E64" i="30"/>
  <c r="C66" i="30"/>
  <c r="E62" i="30"/>
  <c r="G64" i="30"/>
  <c r="C70" i="30"/>
  <c r="F64" i="28"/>
  <c r="E66" i="30"/>
  <c r="D66" i="30"/>
  <c r="F65" i="28"/>
  <c r="F66" i="28"/>
  <c r="E64" i="28"/>
  <c r="E62" i="28"/>
  <c r="G64" i="28"/>
  <c r="D86" i="30"/>
  <c r="D86" i="28"/>
  <c r="D98" i="28" s="1"/>
  <c r="I120" i="22"/>
  <c r="I133" i="22" s="1"/>
  <c r="I103" i="28"/>
  <c r="I101" i="28" s="1"/>
  <c r="I103" i="30"/>
  <c r="J102" i="28"/>
  <c r="E125" i="30"/>
  <c r="E138" i="30" s="1"/>
  <c r="E121" i="30"/>
  <c r="E101" i="15"/>
  <c r="E103" i="28"/>
  <c r="E101" i="28" s="1"/>
  <c r="E103" i="30"/>
  <c r="G113" i="15"/>
  <c r="G122" i="15" s="1"/>
  <c r="G127" i="33" s="1"/>
  <c r="G86" i="28"/>
  <c r="G94" i="28" s="1"/>
  <c r="G86" i="30"/>
  <c r="P91" i="15"/>
  <c r="P87" i="28"/>
  <c r="P119" i="28" s="1"/>
  <c r="P128" i="28" s="1"/>
  <c r="P87" i="30"/>
  <c r="H121" i="28"/>
  <c r="H130" i="28" s="1"/>
  <c r="G103" i="28"/>
  <c r="G101" i="28" s="1"/>
  <c r="G103" i="30"/>
  <c r="E125" i="28"/>
  <c r="E138" i="28" s="1"/>
  <c r="F123" i="30"/>
  <c r="F133" i="30" s="1"/>
  <c r="I125" i="30"/>
  <c r="I138" i="30" s="1"/>
  <c r="I121" i="30"/>
  <c r="D119" i="30"/>
  <c r="D91" i="30"/>
  <c r="D99" i="30"/>
  <c r="D95" i="30"/>
  <c r="G92" i="15"/>
  <c r="G88" i="28"/>
  <c r="G120" i="28" s="1"/>
  <c r="G129" i="28" s="1"/>
  <c r="G88" i="30"/>
  <c r="H101" i="15"/>
  <c r="H103" i="28"/>
  <c r="H101" i="28" s="1"/>
  <c r="H103" i="30"/>
  <c r="E133" i="15"/>
  <c r="H121" i="30"/>
  <c r="H125" i="30"/>
  <c r="H138" i="30" s="1"/>
  <c r="F118" i="30"/>
  <c r="F98" i="30"/>
  <c r="F94" i="30"/>
  <c r="F90" i="30"/>
  <c r="D125" i="28"/>
  <c r="D138" i="28" s="1"/>
  <c r="D88" i="28"/>
  <c r="D100" i="28" s="1"/>
  <c r="D88" i="30"/>
  <c r="J88" i="28"/>
  <c r="J100" i="28" s="1"/>
  <c r="J88" i="30"/>
  <c r="D99" i="28"/>
  <c r="E95" i="15"/>
  <c r="E87" i="28"/>
  <c r="E119" i="28" s="1"/>
  <c r="E128" i="28" s="1"/>
  <c r="E87" i="30"/>
  <c r="D91" i="28"/>
  <c r="H96" i="15"/>
  <c r="H88" i="28"/>
  <c r="H100" i="28" s="1"/>
  <c r="H88" i="30"/>
  <c r="H113" i="28"/>
  <c r="H113" i="30"/>
  <c r="F94" i="28"/>
  <c r="O119" i="30"/>
  <c r="O91" i="30"/>
  <c r="O99" i="30"/>
  <c r="O95" i="30"/>
  <c r="H125" i="28"/>
  <c r="H138" i="28" s="1"/>
  <c r="G119" i="30"/>
  <c r="G91" i="30"/>
  <c r="G99" i="30"/>
  <c r="G95" i="30"/>
  <c r="F119" i="30"/>
  <c r="F99" i="30"/>
  <c r="F95" i="30"/>
  <c r="F91" i="30"/>
  <c r="F85" i="15"/>
  <c r="F88" i="30"/>
  <c r="F85" i="30" s="1"/>
  <c r="F88" i="28"/>
  <c r="F120" i="28" s="1"/>
  <c r="F129" i="28" s="1"/>
  <c r="D95" i="28"/>
  <c r="I113" i="28"/>
  <c r="I113" i="30"/>
  <c r="F118" i="28"/>
  <c r="F127" i="28" s="1"/>
  <c r="G125" i="30"/>
  <c r="G138" i="30" s="1"/>
  <c r="G121" i="30"/>
  <c r="E123" i="30"/>
  <c r="E133" i="30" s="1"/>
  <c r="D103" i="28"/>
  <c r="D101" i="28" s="1"/>
  <c r="D103" i="30"/>
  <c r="I125" i="28"/>
  <c r="I138" i="28" s="1"/>
  <c r="D125" i="30"/>
  <c r="D138" i="30" s="1"/>
  <c r="D121" i="30"/>
  <c r="E115" i="15"/>
  <c r="E124" i="15" s="1"/>
  <c r="E129" i="33" s="1"/>
  <c r="E88" i="28"/>
  <c r="E100" i="28" s="1"/>
  <c r="E88" i="30"/>
  <c r="D119" i="28"/>
  <c r="D128" i="28" s="1"/>
  <c r="I121" i="28"/>
  <c r="I130" i="28" s="1"/>
  <c r="F90" i="28"/>
  <c r="G125" i="28"/>
  <c r="G138" i="28" s="1"/>
  <c r="G123" i="30"/>
  <c r="G133" i="30" s="1"/>
  <c r="F125" i="30"/>
  <c r="F138" i="30" s="1"/>
  <c r="F121" i="30"/>
  <c r="D123" i="30"/>
  <c r="D133" i="30" s="1"/>
  <c r="F98" i="28"/>
  <c r="F103" i="28"/>
  <c r="F101" i="28" s="1"/>
  <c r="F103" i="30"/>
  <c r="F125" i="28"/>
  <c r="F138" i="28" s="1"/>
  <c r="J116" i="15"/>
  <c r="J125" i="15" s="1"/>
  <c r="J130" i="33" s="1"/>
  <c r="I65" i="28"/>
  <c r="I64" i="28"/>
  <c r="I101" i="15"/>
  <c r="P99" i="15"/>
  <c r="N55" i="28"/>
  <c r="E59" i="28"/>
  <c r="O47" i="15"/>
  <c r="G26" i="15"/>
  <c r="H63" i="15"/>
  <c r="I87" i="15"/>
  <c r="I87" i="33" s="1"/>
  <c r="I86" i="15"/>
  <c r="I86" i="33" s="1"/>
  <c r="E86" i="15"/>
  <c r="J86" i="15"/>
  <c r="J86" i="33" s="1"/>
  <c r="I88" i="15"/>
  <c r="I88" i="33" s="1"/>
  <c r="P114" i="15"/>
  <c r="P123" i="15" s="1"/>
  <c r="P128" i="33" s="1"/>
  <c r="J103" i="15"/>
  <c r="J103" i="33" s="1"/>
  <c r="P95" i="15"/>
  <c r="H86" i="15"/>
  <c r="H86" i="33" s="1"/>
  <c r="H87" i="15"/>
  <c r="H87" i="33" s="1"/>
  <c r="M87" i="15"/>
  <c r="F122" i="15"/>
  <c r="F127" i="33" s="1"/>
  <c r="E96" i="15"/>
  <c r="E100" i="15"/>
  <c r="E92" i="15"/>
  <c r="D48" i="15"/>
  <c r="E99" i="15"/>
  <c r="E114" i="15"/>
  <c r="E123" i="15" s="1"/>
  <c r="E128" i="33" s="1"/>
  <c r="E91" i="15"/>
  <c r="E87" i="18"/>
  <c r="F87" i="18" s="1"/>
  <c r="F99" i="18" s="1"/>
  <c r="G94" i="15"/>
  <c r="G98" i="15"/>
  <c r="G90" i="15"/>
  <c r="D47" i="15"/>
  <c r="D115" i="15"/>
  <c r="D124" i="15" s="1"/>
  <c r="D129" i="33" s="1"/>
  <c r="D88" i="18"/>
  <c r="D100" i="18" s="1"/>
  <c r="D92" i="15"/>
  <c r="D96" i="15"/>
  <c r="F100" i="15"/>
  <c r="F115" i="15"/>
  <c r="F124" i="15" s="1"/>
  <c r="F129" i="33" s="1"/>
  <c r="F83" i="15"/>
  <c r="F119" i="15" s="1"/>
  <c r="F132" i="15" s="1"/>
  <c r="F142" i="15"/>
  <c r="F92" i="15"/>
  <c r="F96" i="15"/>
  <c r="D113" i="15"/>
  <c r="D122" i="15" s="1"/>
  <c r="D127" i="33" s="1"/>
  <c r="D96" i="22"/>
  <c r="D106" i="18"/>
  <c r="D100" i="15"/>
  <c r="H115" i="15"/>
  <c r="H124" i="15" s="1"/>
  <c r="H129" i="33" s="1"/>
  <c r="H100" i="15"/>
  <c r="H92" i="15"/>
  <c r="E48" i="15"/>
  <c r="E75" i="15" s="1"/>
  <c r="G115" i="15"/>
  <c r="G124" i="15" s="1"/>
  <c r="G129" i="33" s="1"/>
  <c r="G85" i="15"/>
  <c r="D102" i="18"/>
  <c r="G83" i="15"/>
  <c r="G119" i="15" s="1"/>
  <c r="G132" i="15" s="1"/>
  <c r="F48" i="15"/>
  <c r="D113" i="22"/>
  <c r="D122" i="22" s="1"/>
  <c r="D105" i="18"/>
  <c r="D94" i="15"/>
  <c r="D98" i="15"/>
  <c r="D104" i="18"/>
  <c r="G100" i="15"/>
  <c r="D103" i="18"/>
  <c r="G142" i="15"/>
  <c r="G96" i="15"/>
  <c r="D142" i="15"/>
  <c r="D83" i="15"/>
  <c r="D86" i="18"/>
  <c r="D113" i="18" s="1"/>
  <c r="D122" i="18" s="1"/>
  <c r="D90" i="15"/>
  <c r="G48" i="15"/>
  <c r="F46" i="15"/>
  <c r="C48" i="15"/>
  <c r="C46" i="15"/>
  <c r="E144" i="20"/>
  <c r="G144" i="20"/>
  <c r="H144" i="20"/>
  <c r="F120" i="22"/>
  <c r="F133" i="22" s="1"/>
  <c r="F101" i="15"/>
  <c r="G120" i="22"/>
  <c r="G133" i="22" s="1"/>
  <c r="G101" i="15"/>
  <c r="H108" i="36"/>
  <c r="E51" i="15"/>
  <c r="N59" i="15"/>
  <c r="F59" i="15"/>
  <c r="J96" i="15"/>
  <c r="D114" i="18"/>
  <c r="D123" i="18" s="1"/>
  <c r="D99" i="18"/>
  <c r="D95" i="18"/>
  <c r="D91" i="18"/>
  <c r="D114" i="19"/>
  <c r="D123" i="19" s="1"/>
  <c r="D99" i="19"/>
  <c r="D95" i="19"/>
  <c r="D91" i="19"/>
  <c r="E58" i="15"/>
  <c r="H120" i="22"/>
  <c r="H133" i="22" s="1"/>
  <c r="E120" i="22"/>
  <c r="E133" i="22" s="1"/>
  <c r="E47" i="22"/>
  <c r="C64" i="22"/>
  <c r="C47" i="20"/>
  <c r="F63" i="15"/>
  <c r="C65" i="22"/>
  <c r="C47" i="18"/>
  <c r="G63" i="15"/>
  <c r="C66" i="22"/>
  <c r="C47" i="22"/>
  <c r="C47" i="19"/>
  <c r="C62" i="22"/>
  <c r="C63" i="15"/>
  <c r="F99" i="22"/>
  <c r="F95" i="22"/>
  <c r="F91" i="22"/>
  <c r="F114" i="22"/>
  <c r="F123" i="22" s="1"/>
  <c r="D114" i="22"/>
  <c r="D123" i="22" s="1"/>
  <c r="D95" i="22"/>
  <c r="D99" i="22"/>
  <c r="D91" i="22"/>
  <c r="D116" i="22"/>
  <c r="D125" i="22" s="1"/>
  <c r="D101" i="22"/>
  <c r="C26" i="15"/>
  <c r="I108" i="36"/>
  <c r="E63" i="15"/>
  <c r="C59" i="15"/>
  <c r="E35" i="15"/>
  <c r="D35" i="15"/>
  <c r="E34" i="15"/>
  <c r="D34" i="15"/>
  <c r="C35" i="15"/>
  <c r="C34" i="15"/>
  <c r="D32" i="15"/>
  <c r="C32" i="15"/>
  <c r="F28" i="15"/>
  <c r="I29" i="15"/>
  <c r="E29" i="15"/>
  <c r="H29" i="15"/>
  <c r="D28" i="15"/>
  <c r="G28" i="15"/>
  <c r="E30" i="15"/>
  <c r="C29" i="15"/>
  <c r="F29" i="15"/>
  <c r="E26" i="15"/>
  <c r="C28" i="15"/>
  <c r="F26" i="15"/>
  <c r="C30" i="15"/>
  <c r="E28" i="15"/>
  <c r="D29" i="15"/>
  <c r="D30" i="15"/>
  <c r="G29" i="15"/>
  <c r="D26" i="15"/>
  <c r="H28" i="15"/>
  <c r="E11" i="15"/>
  <c r="M11" i="15"/>
  <c r="D11" i="15"/>
  <c r="D10" i="15"/>
  <c r="F123" i="15"/>
  <c r="F128" i="33" s="1"/>
  <c r="J106" i="36"/>
  <c r="C55" i="15"/>
  <c r="E54" i="15"/>
  <c r="E50" i="15"/>
  <c r="C51" i="15"/>
  <c r="J115" i="15"/>
  <c r="J124" i="15" s="1"/>
  <c r="J129" i="33" s="1"/>
  <c r="N55" i="15"/>
  <c r="E55" i="15"/>
  <c r="E59" i="15"/>
  <c r="F51" i="15"/>
  <c r="F55" i="15"/>
  <c r="D63" i="15"/>
  <c r="J100" i="15"/>
  <c r="J92" i="15"/>
  <c r="I48" i="15"/>
  <c r="N51" i="15"/>
  <c r="J108" i="36"/>
  <c r="G27" i="33" a="1"/>
  <c r="D35" i="28" a="1"/>
  <c r="D60" i="36" a="1"/>
  <c r="F63" i="28" a="1"/>
  <c r="G56" i="33" a="1"/>
  <c r="D28" i="37" a="1"/>
  <c r="D48" i="20" a="1"/>
  <c r="C52" i="36" a="1"/>
  <c r="C46" i="37" a="1"/>
  <c r="C51" i="30" a="1"/>
  <c r="F29" i="37" a="1"/>
  <c r="F47" i="22" a="1"/>
  <c r="G27" i="37" a="1"/>
  <c r="D55" i="36" a="1"/>
  <c r="G52" i="33" a="1"/>
  <c r="F12" i="36" a="1"/>
  <c r="H46" i="15" a="1"/>
  <c r="D52" i="33" a="1"/>
  <c r="E29" i="30" a="1"/>
  <c r="E55" i="37" a="1"/>
  <c r="G28" i="30" a="1"/>
  <c r="I46" i="36" a="1"/>
  <c r="D60" i="28" a="1"/>
  <c r="M11" i="37" a="1"/>
  <c r="E15" i="36" a="1"/>
  <c r="E35" i="30" a="1"/>
  <c r="I68" i="36" a="1"/>
  <c r="E51" i="22" a="1"/>
  <c r="I56" i="37" a="1"/>
  <c r="F56" i="33" a="1"/>
  <c r="D14" i="36" a="1"/>
  <c r="D48" i="22" a="1"/>
  <c r="C54" i="36" a="1"/>
  <c r="E11" i="37" a="1"/>
  <c r="E26" i="30" a="1"/>
  <c r="M19" i="15" a="1"/>
  <c r="N51" i="30" a="1"/>
  <c r="C58" i="34" a="1"/>
  <c r="D23" i="28" a="1"/>
  <c r="N59" i="37" a="1"/>
  <c r="F59" i="37" a="1"/>
  <c r="D30" i="28" a="1"/>
  <c r="G63" i="30" a="1"/>
  <c r="N51" i="37" a="1"/>
  <c r="D59" i="15" a="1"/>
  <c r="F58" i="15" a="1"/>
  <c r="J65" i="28" a="1"/>
  <c r="D19" i="15" a="1"/>
  <c r="I29" i="30" a="1"/>
  <c r="G28" i="28" a="1"/>
  <c r="C52" i="15" a="1"/>
  <c r="E10" i="33" a="1"/>
  <c r="G56" i="15" a="1"/>
  <c r="H12" i="37" a="1"/>
  <c r="F54" i="36" a="1"/>
  <c r="H12" i="15" a="1"/>
  <c r="D12" i="15" a="1"/>
  <c r="F63" i="30" a="1"/>
  <c r="C63" i="18" a="1"/>
  <c r="C59" i="18" a="1"/>
  <c r="C28" i="30" a="1"/>
  <c r="I60" i="37" a="1"/>
  <c r="C48" i="18" a="1"/>
  <c r="F54" i="33" a="1"/>
  <c r="M23" i="15" a="1"/>
  <c r="C48" i="20" a="1"/>
  <c r="D23" i="33" a="1"/>
  <c r="F55" i="28" a="1"/>
  <c r="C26" i="30" a="1"/>
  <c r="O55" i="36" a="1"/>
  <c r="E50" i="30" a="1"/>
  <c r="E58" i="28" a="1"/>
  <c r="H24" i="36" a="1"/>
  <c r="E27" i="15" a="1"/>
  <c r="D10" i="30" a="1"/>
  <c r="D47" i="30" a="1"/>
  <c r="F12" i="33" a="1"/>
  <c r="E56" i="36" a="1"/>
  <c r="F51" i="30" a="1"/>
  <c r="G27" i="15" a="1"/>
  <c r="D60" i="15" a="1"/>
  <c r="M19" i="36" a="1"/>
  <c r="D22" i="15" a="1"/>
  <c r="E19" i="36" a="1"/>
  <c r="E59" i="37" a="1"/>
  <c r="M15" i="15" a="1"/>
  <c r="G56" i="36" a="1"/>
  <c r="D15" i="36" a="1"/>
  <c r="E28" i="28" a="1"/>
  <c r="O59" i="15" a="1"/>
  <c r="H46" i="33" a="1"/>
  <c r="E54" i="30" a="1"/>
  <c r="E19" i="15" a="1"/>
  <c r="I51" i="36" a="1"/>
  <c r="C12" i="15" a="1"/>
  <c r="D51" i="36" a="1"/>
  <c r="E54" i="28" a="1"/>
  <c r="D35" i="30" a="1"/>
  <c r="N11" i="36" a="1"/>
  <c r="C50" i="34" a="1"/>
  <c r="F55" i="37" a="1"/>
  <c r="D10" i="28" a="1"/>
  <c r="D19" i="33" a="1"/>
  <c r="C27" i="33" a="1"/>
  <c r="D15" i="15" a="1"/>
  <c r="L47" i="15" a="1"/>
  <c r="I55" i="36" a="1"/>
  <c r="H48" i="33" a="1"/>
  <c r="O51" i="36" a="1"/>
  <c r="E12" i="15" a="1"/>
  <c r="O55" i="15" a="1"/>
  <c r="E54" i="37" a="1"/>
  <c r="I48" i="28" a="1"/>
  <c r="H20" i="36" a="1"/>
  <c r="C59" i="37" a="1"/>
  <c r="G29" i="28" a="1"/>
  <c r="D29" i="28" a="1"/>
  <c r="F59" i="28" a="1"/>
  <c r="C55" i="22" a="1"/>
  <c r="C27" i="37" a="1"/>
  <c r="E34" i="30" a="1"/>
  <c r="F48" i="28" a="1"/>
  <c r="F56" i="36" a="1"/>
  <c r="F51" i="28" a="1"/>
  <c r="G48" i="28" a="1"/>
  <c r="C28" i="37" a="1"/>
  <c r="D15" i="33" a="1"/>
  <c r="E11" i="28" a="1"/>
  <c r="C46" i="22" a="1"/>
  <c r="C66" i="18" a="1"/>
  <c r="D29" i="37" a="1"/>
  <c r="F59" i="30" a="1"/>
  <c r="G47" i="36" a="1"/>
  <c r="E48" i="30" a="1"/>
  <c r="C51" i="19" a="1"/>
  <c r="C56" i="34" a="1"/>
  <c r="C29" i="30" a="1"/>
  <c r="D55" i="33" a="1"/>
  <c r="D48" i="37" a="1"/>
  <c r="F26" i="28" a="1"/>
  <c r="D27" i="33" a="1"/>
  <c r="F46" i="28" a="1"/>
  <c r="C50" i="36" a="1"/>
  <c r="E29" i="37" a="1"/>
  <c r="G26" i="30" a="1"/>
  <c r="F54" i="28" a="1"/>
  <c r="D56" i="22" a="1"/>
  <c r="F52" i="15" a="1"/>
  <c r="C12" i="36" a="1"/>
  <c r="H47" i="15" a="1"/>
  <c r="C11" i="15" a="1"/>
  <c r="C64" i="20" a="1"/>
  <c r="E23" i="33" a="1"/>
  <c r="D46" i="15" a="1"/>
  <c r="I70" i="36" a="1"/>
  <c r="C63" i="33" a="1"/>
  <c r="H29" i="28" a="1"/>
  <c r="D18" i="15" a="1"/>
  <c r="C63" i="22" a="1"/>
  <c r="C48" i="19" a="1"/>
  <c r="D19" i="36" a="1"/>
  <c r="E50" i="28" a="1"/>
  <c r="E23" i="15" a="1"/>
  <c r="C46" i="20" a="1"/>
  <c r="I48" i="30" a="1"/>
  <c r="E59" i="22" a="1"/>
  <c r="C55" i="33" a="1"/>
  <c r="C51" i="22" a="1"/>
  <c r="I60" i="28" a="1"/>
  <c r="C66" i="20" a="1"/>
  <c r="G60" i="33" a="1"/>
  <c r="E28" i="30" a="1"/>
  <c r="C60" i="36" a="1"/>
  <c r="F26" i="30" a="1"/>
  <c r="C55" i="19" a="1"/>
  <c r="N51" i="28" a="1"/>
  <c r="C34" i="30" a="1"/>
  <c r="F27" i="33" a="1"/>
  <c r="F48" i="30" a="1"/>
  <c r="H47" i="33" a="1"/>
  <c r="O59" i="36" a="1"/>
  <c r="G46" i="36" a="1"/>
  <c r="G47" i="15" a="1"/>
  <c r="C27" i="15" a="1"/>
  <c r="E63" i="30" a="1"/>
  <c r="D12" i="36" a="1"/>
  <c r="F46" i="30" a="1"/>
  <c r="E52" i="36" a="1"/>
  <c r="F28" i="28" a="1"/>
  <c r="F46" i="37" a="1"/>
  <c r="D63" i="28" a="1"/>
  <c r="G46" i="15" a="1"/>
  <c r="D22" i="33" a="1"/>
  <c r="F26" i="37" a="1"/>
  <c r="F56" i="15" a="1"/>
  <c r="E23" i="36" a="1"/>
  <c r="G68" i="36" a="1"/>
  <c r="I62" i="15" a="1"/>
  <c r="D51" i="15" a="1"/>
  <c r="C51" i="37" a="1"/>
  <c r="O47" i="30" a="1"/>
  <c r="I52" i="15" a="1"/>
  <c r="G15" i="37" a="1"/>
  <c r="C55" i="18" a="1"/>
  <c r="G29" i="30" a="1"/>
  <c r="F50" i="15" a="1"/>
  <c r="D23" i="36" a="1"/>
  <c r="G60" i="15" a="1"/>
  <c r="C48" i="37" a="1"/>
  <c r="E58" i="30" a="1"/>
  <c r="C11" i="33" a="1"/>
  <c r="C58" i="36" a="1"/>
  <c r="F58" i="33" a="1"/>
  <c r="C60" i="18" a="1"/>
  <c r="E59" i="30" a="1"/>
  <c r="C63" i="19" a="1"/>
  <c r="M23" i="36" a="1"/>
  <c r="O47" i="28" a="1"/>
  <c r="M11" i="30" a="1"/>
  <c r="D59" i="33" a="1"/>
  <c r="C62" i="20" a="1"/>
  <c r="E15" i="15" a="1"/>
  <c r="C56" i="36" a="1"/>
  <c r="E34" i="28" a="1"/>
  <c r="D48" i="28" a="1"/>
  <c r="D11" i="30" a="1"/>
  <c r="H63" i="28" a="1"/>
  <c r="D52" i="15" a="1"/>
  <c r="N59" i="30" a="1"/>
  <c r="C51" i="33" a="1"/>
  <c r="M15" i="36" a="1"/>
  <c r="I62" i="36" a="1"/>
  <c r="E15" i="33" a="1"/>
  <c r="D47" i="19" a="1"/>
  <c r="G29" i="37" a="1"/>
  <c r="F48" i="37" a="1"/>
  <c r="F28" i="37" a="1"/>
  <c r="G28" i="37" a="1"/>
  <c r="D11" i="22" a="1"/>
  <c r="D14" i="15" a="1"/>
  <c r="G52" i="36" a="1"/>
  <c r="F52" i="33" a="1"/>
  <c r="I47" i="37" a="1"/>
  <c r="C46" i="30" a="1"/>
  <c r="D26" i="28" a="1"/>
  <c r="D63" i="30" a="1"/>
  <c r="F58" i="36" a="1"/>
  <c r="C50" i="15" a="1"/>
  <c r="H11" i="36" a="1"/>
  <c r="I46" i="15" a="1"/>
  <c r="E48" i="37" a="1"/>
  <c r="C50" i="33" a="1"/>
  <c r="D52" i="36" a="1"/>
  <c r="E58" i="37" a="1"/>
  <c r="C12" i="33" a="1"/>
  <c r="H46" i="36" a="1"/>
  <c r="D48" i="30" a="1"/>
  <c r="D34" i="28" a="1"/>
  <c r="H48" i="36" a="1"/>
  <c r="G63" i="28" a="1"/>
  <c r="D56" i="33" a="1"/>
  <c r="D18" i="33" a="1"/>
  <c r="E48" i="33" a="1"/>
  <c r="E52" i="15" a="1"/>
  <c r="C58" i="33" a="1"/>
  <c r="G48" i="37" a="1"/>
  <c r="F12" i="15" a="1"/>
  <c r="D59" i="36" a="1"/>
  <c r="E48" i="22" a="1"/>
  <c r="D11" i="37" a="1"/>
  <c r="C48" i="30" a="1"/>
  <c r="H63" i="30" a="1"/>
  <c r="D26" i="37" a="1"/>
  <c r="C59" i="22" a="1"/>
  <c r="C64" i="19" a="1"/>
  <c r="E56" i="15" a="1"/>
  <c r="D60" i="33" a="1"/>
  <c r="C54" i="15" a="1"/>
  <c r="D10" i="37" a="1"/>
  <c r="C65" i="20" a="1"/>
  <c r="D47" i="28" a="1"/>
  <c r="C56" i="15" a="1"/>
  <c r="C30" i="30" a="1"/>
  <c r="F29" i="30" a="1"/>
  <c r="D18" i="36" a="1"/>
  <c r="C59" i="30" a="1"/>
  <c r="C59" i="33" a="1"/>
  <c r="C62" i="19" a="1"/>
  <c r="E19" i="33" a="1"/>
  <c r="E63" i="28" a="1"/>
  <c r="E50" i="37" a="1"/>
  <c r="G46" i="33" a="1"/>
  <c r="F54" i="15" a="1"/>
  <c r="E60" i="15" a="1"/>
  <c r="G60" i="36" a="1"/>
  <c r="G19" i="37" a="1"/>
  <c r="E51" i="37" a="1"/>
  <c r="H48" i="15" a="1"/>
  <c r="F50" i="36" a="1"/>
  <c r="F28" i="30" a="1"/>
  <c r="D55" i="15" a="1"/>
  <c r="G60" i="28" a="1"/>
  <c r="C58" i="15" a="1"/>
  <c r="D14" i="33" a="1"/>
  <c r="D47" i="37" a="1"/>
  <c r="E48" i="28" a="1"/>
  <c r="C60" i="15" a="1"/>
  <c r="C62" i="18" a="1"/>
  <c r="C66" i="19" a="1"/>
  <c r="E29" i="28" a="1"/>
  <c r="C55" i="37" a="1"/>
  <c r="N11" i="15" a="1"/>
  <c r="C63" i="30" a="1"/>
  <c r="D11" i="28" a="1"/>
  <c r="C52" i="34" a="1"/>
  <c r="F50" i="33" a="1"/>
  <c r="N55" i="37" a="1"/>
  <c r="C60" i="34" a="1"/>
  <c r="H28" i="30" a="1"/>
  <c r="C65" i="18" a="1"/>
  <c r="O51" i="15" a="1"/>
  <c r="F60" i="36" a="1"/>
  <c r="F60" i="33" a="1"/>
  <c r="C35" i="30" a="1"/>
  <c r="H29" i="30" a="1"/>
  <c r="I46" i="33" a="1"/>
  <c r="F60" i="15" a="1"/>
  <c r="C11" i="36" a="1"/>
  <c r="E60" i="36" a="1"/>
  <c r="D30" i="30" a="1"/>
  <c r="D27" i="15" a="1"/>
  <c r="D22" i="36" a="1"/>
  <c r="F52" i="36" a="1"/>
  <c r="I56" i="15" a="1"/>
  <c r="E26" i="37" a="1"/>
  <c r="F51" i="37" a="1"/>
  <c r="C46" i="18" a="1"/>
  <c r="D28" i="28" a="1"/>
  <c r="E55" i="22" a="1"/>
  <c r="D29" i="30" a="1"/>
  <c r="D51" i="33" a="1"/>
  <c r="M11" i="28" a="1"/>
  <c r="E35" i="28" a="1"/>
  <c r="F27" i="15" a="1"/>
  <c r="I52" i="37" a="1"/>
  <c r="D56" i="15" a="1"/>
  <c r="E26" i="28" a="1"/>
  <c r="C29" i="37" a="1"/>
  <c r="E28" i="37" a="1"/>
  <c r="E30" i="30" a="1"/>
  <c r="E51" i="30" a="1"/>
  <c r="F55" i="30" a="1"/>
  <c r="E51" i="28" a="1"/>
  <c r="G52" i="15" a="1"/>
  <c r="C63" i="20" a="1"/>
  <c r="H28" i="28" a="1"/>
  <c r="I60" i="15" a="1"/>
  <c r="C48" i="22" a="1"/>
  <c r="H68" i="36" a="1"/>
  <c r="I66" i="36" a="1"/>
  <c r="F27" i="37" a="1"/>
  <c r="E10" i="36" a="1"/>
  <c r="C65" i="19" a="1"/>
  <c r="E12" i="36" a="1"/>
  <c r="C64" i="18" a="1"/>
  <c r="E12" i="33" a="1"/>
  <c r="L47" i="36" a="1"/>
  <c r="D27" i="37" a="1"/>
  <c r="N55" i="30" a="1"/>
  <c r="D46" i="36" a="1"/>
  <c r="D34" i="30" a="1"/>
  <c r="H16" i="36" a="1"/>
  <c r="D26" i="30" a="1"/>
  <c r="C26" i="37" a="1"/>
  <c r="F29" i="28" a="1"/>
  <c r="G47" i="33" a="1"/>
  <c r="E30" i="28" a="1"/>
  <c r="C48" i="33" a="1"/>
  <c r="G48" i="30" a="1"/>
  <c r="E27" i="37" a="1"/>
  <c r="I63" i="33" a="1"/>
  <c r="E11" i="30" a="1"/>
  <c r="O47" i="37" a="1"/>
  <c r="E27" i="33" a="1"/>
  <c r="C51" i="18" a="1"/>
  <c r="I63" i="15" a="1"/>
  <c r="I29" i="33" a="1"/>
  <c r="D23" i="15" a="1"/>
  <c r="C55" i="30" a="1"/>
  <c r="D47" i="22" a="1"/>
  <c r="G23" i="37" a="1"/>
  <c r="E55" i="30" a="1"/>
  <c r="N59" i="28" a="1"/>
  <c r="D28" i="30" a="1"/>
  <c r="C54" i="34" a="1"/>
  <c r="E10" i="15" a="1"/>
  <c r="E55" i="28" a="1"/>
  <c r="I59" i="36" a="1"/>
  <c r="G26" i="37" a="1"/>
  <c r="G26" i="28" a="1"/>
  <c r="C54" i="33" a="1"/>
  <c r="C46" i="19" a="1"/>
  <c r="D47" i="18" a="1"/>
  <c r="D56" i="36" a="1"/>
  <c r="C56" i="22" a="1"/>
  <c r="M19" i="28" a="1"/>
  <c r="C59" i="19" a="1"/>
  <c r="D82" i="34" l="1"/>
  <c r="C55" i="33"/>
  <c r="D83" i="33"/>
  <c r="D124" i="33" s="1"/>
  <c r="D137" i="33" s="1"/>
  <c r="D96" i="33"/>
  <c r="C59" i="33"/>
  <c r="C51" i="33"/>
  <c r="C60" i="34"/>
  <c r="J102" i="30"/>
  <c r="D137" i="34"/>
  <c r="C54" i="34"/>
  <c r="C50" i="34"/>
  <c r="C56" i="34"/>
  <c r="C58" i="34"/>
  <c r="C52" i="34"/>
  <c r="C48" i="33"/>
  <c r="C75" i="33" s="1"/>
  <c r="D100" i="33"/>
  <c r="E86" i="19"/>
  <c r="E106" i="19" s="1"/>
  <c r="D120" i="33"/>
  <c r="D92" i="33"/>
  <c r="G87" i="20"/>
  <c r="H87" i="20" s="1"/>
  <c r="I87" i="20" s="1"/>
  <c r="F117" i="36"/>
  <c r="F127" i="36" s="1"/>
  <c r="F138" i="36" s="1"/>
  <c r="I149" i="33"/>
  <c r="G88" i="19"/>
  <c r="H88" i="19" s="1"/>
  <c r="C75" i="34"/>
  <c r="G68" i="36"/>
  <c r="E48" i="37"/>
  <c r="E45" i="37" s="1"/>
  <c r="D55" i="36"/>
  <c r="C55" i="37"/>
  <c r="I62" i="36"/>
  <c r="I47" i="37"/>
  <c r="G46" i="36"/>
  <c r="C12" i="36"/>
  <c r="C11" i="36"/>
  <c r="D15" i="36"/>
  <c r="E12" i="36"/>
  <c r="E11" i="37"/>
  <c r="E10" i="36"/>
  <c r="I68" i="36"/>
  <c r="I66" i="36"/>
  <c r="D60" i="36"/>
  <c r="E52" i="36"/>
  <c r="D51" i="36"/>
  <c r="C51" i="37"/>
  <c r="F48" i="37"/>
  <c r="I62" i="15"/>
  <c r="C48" i="37"/>
  <c r="F50" i="36"/>
  <c r="C50" i="36"/>
  <c r="G48" i="37"/>
  <c r="G15" i="37"/>
  <c r="D27" i="37"/>
  <c r="H24" i="36"/>
  <c r="D14" i="36"/>
  <c r="E26" i="37"/>
  <c r="D28" i="37"/>
  <c r="D56" i="36"/>
  <c r="D59" i="36"/>
  <c r="C59" i="37"/>
  <c r="I59" i="36"/>
  <c r="I70" i="36"/>
  <c r="C52" i="36"/>
  <c r="F58" i="36"/>
  <c r="E59" i="37"/>
  <c r="G60" i="36"/>
  <c r="D46" i="36"/>
  <c r="I52" i="37"/>
  <c r="D12" i="36"/>
  <c r="D39" i="36" s="1"/>
  <c r="D19" i="36"/>
  <c r="H11" i="36"/>
  <c r="N11" i="36"/>
  <c r="C26" i="37"/>
  <c r="G28" i="37"/>
  <c r="D48" i="37"/>
  <c r="E56" i="36"/>
  <c r="F52" i="36"/>
  <c r="I46" i="36"/>
  <c r="F55" i="37"/>
  <c r="E54" i="37"/>
  <c r="O51" i="36"/>
  <c r="E55" i="37"/>
  <c r="I60" i="37"/>
  <c r="H16" i="36"/>
  <c r="H20" i="36"/>
  <c r="C29" i="37"/>
  <c r="D26" i="37"/>
  <c r="M11" i="37"/>
  <c r="M23" i="36"/>
  <c r="F60" i="36"/>
  <c r="I55" i="36"/>
  <c r="F59" i="37"/>
  <c r="E50" i="37"/>
  <c r="C56" i="36"/>
  <c r="F46" i="37"/>
  <c r="O55" i="36"/>
  <c r="E51" i="37"/>
  <c r="N51" i="37"/>
  <c r="G56" i="36"/>
  <c r="I56" i="37"/>
  <c r="G27" i="37"/>
  <c r="D11" i="37"/>
  <c r="F29" i="37"/>
  <c r="E29" i="37"/>
  <c r="H68" i="36"/>
  <c r="D52" i="36"/>
  <c r="F56" i="36"/>
  <c r="L47" i="36"/>
  <c r="H46" i="36"/>
  <c r="F51" i="37"/>
  <c r="E58" i="37"/>
  <c r="C54" i="36"/>
  <c r="N59" i="37"/>
  <c r="G52" i="36"/>
  <c r="H48" i="36"/>
  <c r="E23" i="36"/>
  <c r="C28" i="37"/>
  <c r="G29" i="37"/>
  <c r="M15" i="36"/>
  <c r="C27" i="37"/>
  <c r="D23" i="36"/>
  <c r="E15" i="36"/>
  <c r="D18" i="36"/>
  <c r="G23" i="37"/>
  <c r="G19" i="37"/>
  <c r="D47" i="37"/>
  <c r="C60" i="36"/>
  <c r="F54" i="36"/>
  <c r="O59" i="36"/>
  <c r="C58" i="36"/>
  <c r="C46" i="37"/>
  <c r="N55" i="37"/>
  <c r="G47" i="36"/>
  <c r="F26" i="37"/>
  <c r="F27" i="37"/>
  <c r="D29" i="37"/>
  <c r="E19" i="36"/>
  <c r="G26" i="37"/>
  <c r="D10" i="37"/>
  <c r="E28" i="37"/>
  <c r="H12" i="37"/>
  <c r="E60" i="36"/>
  <c r="I51" i="36"/>
  <c r="O47" i="37"/>
  <c r="E27" i="37"/>
  <c r="F28" i="37"/>
  <c r="M19" i="36"/>
  <c r="F12" i="36"/>
  <c r="D22" i="36"/>
  <c r="F88" i="20"/>
  <c r="G88" i="20" s="1"/>
  <c r="H88" i="20" s="1"/>
  <c r="H118" i="36"/>
  <c r="H128" i="36" s="1"/>
  <c r="E131" i="15"/>
  <c r="F131" i="15" s="1"/>
  <c r="G131" i="15" s="1"/>
  <c r="H131" i="15" s="1"/>
  <c r="I131" i="15" s="1"/>
  <c r="E86" i="33"/>
  <c r="E90" i="33" s="1"/>
  <c r="F115" i="37"/>
  <c r="F124" i="37" s="1"/>
  <c r="F96" i="37"/>
  <c r="F92" i="37"/>
  <c r="F100" i="37"/>
  <c r="J103" i="36"/>
  <c r="J120" i="36"/>
  <c r="J133" i="36" s="1"/>
  <c r="J116" i="36"/>
  <c r="J125" i="36" s="1"/>
  <c r="J91" i="37"/>
  <c r="J95" i="37"/>
  <c r="J114" i="37"/>
  <c r="J123" i="37" s="1"/>
  <c r="J99" i="37"/>
  <c r="I127" i="37"/>
  <c r="I125" i="37"/>
  <c r="F125" i="37"/>
  <c r="F127" i="37"/>
  <c r="F122" i="37"/>
  <c r="F117" i="37"/>
  <c r="D108" i="19"/>
  <c r="D118" i="19" s="1"/>
  <c r="D128" i="19" s="1"/>
  <c r="D108" i="20"/>
  <c r="D82" i="36"/>
  <c r="D119" i="36"/>
  <c r="D132" i="36" s="1"/>
  <c r="F126" i="36"/>
  <c r="H113" i="36"/>
  <c r="H90" i="36"/>
  <c r="H142" i="36"/>
  <c r="H98" i="36"/>
  <c r="H85" i="36"/>
  <c r="H94" i="36"/>
  <c r="H86" i="22"/>
  <c r="H83" i="36"/>
  <c r="H86" i="37"/>
  <c r="F75" i="36"/>
  <c r="J118" i="36"/>
  <c r="J128" i="36" s="1"/>
  <c r="F120" i="33"/>
  <c r="F122" i="33" s="1"/>
  <c r="F132" i="33" s="1"/>
  <c r="F149" i="33"/>
  <c r="G100" i="37"/>
  <c r="G115" i="37"/>
  <c r="G124" i="37" s="1"/>
  <c r="G96" i="37"/>
  <c r="G92" i="37"/>
  <c r="J102" i="33"/>
  <c r="D115" i="37"/>
  <c r="D124" i="37" s="1"/>
  <c r="D92" i="37"/>
  <c r="D96" i="37"/>
  <c r="D100" i="37"/>
  <c r="G122" i="36"/>
  <c r="G126" i="36" s="1"/>
  <c r="G117" i="36"/>
  <c r="G127" i="36" s="1"/>
  <c r="G138" i="36" s="1"/>
  <c r="H100" i="37"/>
  <c r="H115" i="37"/>
  <c r="H124" i="37" s="1"/>
  <c r="H92" i="37"/>
  <c r="H96" i="37"/>
  <c r="C75" i="36"/>
  <c r="E86" i="20"/>
  <c r="E131" i="20" s="1"/>
  <c r="E98" i="36"/>
  <c r="E94" i="36"/>
  <c r="E142" i="36"/>
  <c r="E90" i="36"/>
  <c r="E85" i="36"/>
  <c r="E86" i="22"/>
  <c r="E94" i="22" s="1"/>
  <c r="E131" i="36"/>
  <c r="F131" i="36" s="1"/>
  <c r="G131" i="36" s="1"/>
  <c r="H131" i="36" s="1"/>
  <c r="I131" i="36" s="1"/>
  <c r="J131" i="36" s="1"/>
  <c r="E86" i="37"/>
  <c r="E131" i="37" s="1"/>
  <c r="E113" i="36"/>
  <c r="E83" i="36"/>
  <c r="E96" i="37"/>
  <c r="E115" i="37"/>
  <c r="E124" i="37" s="1"/>
  <c r="E100" i="37"/>
  <c r="E92" i="37"/>
  <c r="J94" i="36"/>
  <c r="J113" i="36"/>
  <c r="J90" i="36"/>
  <c r="J98" i="36"/>
  <c r="J86" i="37"/>
  <c r="J86" i="22"/>
  <c r="J142" i="36"/>
  <c r="J83" i="36"/>
  <c r="J85" i="36"/>
  <c r="E127" i="37"/>
  <c r="E125" i="37"/>
  <c r="H149" i="33"/>
  <c r="G113" i="37"/>
  <c r="G122" i="37" s="1"/>
  <c r="G94" i="37"/>
  <c r="G83" i="37"/>
  <c r="G98" i="37"/>
  <c r="G85" i="37"/>
  <c r="G90" i="37"/>
  <c r="I118" i="36"/>
  <c r="I128" i="36" s="1"/>
  <c r="H125" i="37"/>
  <c r="H127" i="37"/>
  <c r="M99" i="36"/>
  <c r="M114" i="36"/>
  <c r="M123" i="36" s="1"/>
  <c r="M87" i="22"/>
  <c r="M95" i="36"/>
  <c r="M87" i="37"/>
  <c r="M91" i="36"/>
  <c r="I83" i="36"/>
  <c r="I142" i="36"/>
  <c r="I85" i="36"/>
  <c r="I86" i="37"/>
  <c r="I94" i="36"/>
  <c r="I113" i="36"/>
  <c r="I98" i="36"/>
  <c r="I86" i="22"/>
  <c r="I90" i="36"/>
  <c r="I96" i="36"/>
  <c r="I115" i="36"/>
  <c r="I124" i="36" s="1"/>
  <c r="I88" i="22"/>
  <c r="I100" i="36"/>
  <c r="I88" i="37"/>
  <c r="I92" i="36"/>
  <c r="E99" i="37"/>
  <c r="E95" i="37"/>
  <c r="E114" i="37"/>
  <c r="E123" i="37" s="1"/>
  <c r="E91" i="37"/>
  <c r="G125" i="37"/>
  <c r="G127" i="37"/>
  <c r="F83" i="37"/>
  <c r="D98" i="37"/>
  <c r="D83" i="37"/>
  <c r="D113" i="37"/>
  <c r="D122" i="37" s="1"/>
  <c r="D85" i="37"/>
  <c r="D120" i="37" s="1"/>
  <c r="D94" i="37"/>
  <c r="D90" i="37"/>
  <c r="H91" i="36"/>
  <c r="H99" i="36"/>
  <c r="H95" i="36"/>
  <c r="H114" i="36"/>
  <c r="H123" i="36" s="1"/>
  <c r="H87" i="22"/>
  <c r="H87" i="37"/>
  <c r="H87" i="19"/>
  <c r="I87" i="19" s="1"/>
  <c r="J87" i="19" s="1"/>
  <c r="P114" i="37"/>
  <c r="P123" i="37" s="1"/>
  <c r="P91" i="37"/>
  <c r="P99" i="37"/>
  <c r="P95" i="37"/>
  <c r="D126" i="36"/>
  <c r="F83" i="33"/>
  <c r="F124" i="33" s="1"/>
  <c r="F137" i="33" s="1"/>
  <c r="F100" i="33"/>
  <c r="J113" i="30"/>
  <c r="K113" i="30" s="1"/>
  <c r="J113" i="28"/>
  <c r="K113" i="28" s="1"/>
  <c r="L113" i="28" s="1"/>
  <c r="M113" i="28" s="1"/>
  <c r="N113" i="28" s="1"/>
  <c r="O113" i="28" s="1"/>
  <c r="P113" i="28" s="1"/>
  <c r="Q113" i="28" s="1"/>
  <c r="E48" i="33"/>
  <c r="E75" i="33" s="1"/>
  <c r="F85" i="33"/>
  <c r="F92" i="33"/>
  <c r="F96" i="33"/>
  <c r="G122" i="33"/>
  <c r="G132" i="33" s="1"/>
  <c r="F60" i="33"/>
  <c r="C54" i="33"/>
  <c r="D52" i="33"/>
  <c r="D59" i="33"/>
  <c r="D14" i="33"/>
  <c r="I46" i="33"/>
  <c r="G52" i="33"/>
  <c r="C58" i="33"/>
  <c r="D60" i="33"/>
  <c r="D51" i="33"/>
  <c r="E15" i="33"/>
  <c r="F12" i="33"/>
  <c r="D23" i="33"/>
  <c r="F27" i="33"/>
  <c r="I63" i="33"/>
  <c r="G56" i="33"/>
  <c r="E27" i="33"/>
  <c r="D15" i="33"/>
  <c r="E23" i="33"/>
  <c r="G47" i="33"/>
  <c r="F58" i="33"/>
  <c r="G27" i="33"/>
  <c r="D19" i="33"/>
  <c r="D18" i="33"/>
  <c r="G46" i="33"/>
  <c r="H46" i="33"/>
  <c r="G60" i="33"/>
  <c r="E12" i="33"/>
  <c r="C27" i="33"/>
  <c r="F52" i="33"/>
  <c r="E19" i="33"/>
  <c r="I29" i="30"/>
  <c r="H48" i="33"/>
  <c r="H47" i="33"/>
  <c r="F50" i="33"/>
  <c r="D55" i="33"/>
  <c r="D27" i="33"/>
  <c r="D22" i="33"/>
  <c r="C63" i="33"/>
  <c r="F56" i="33"/>
  <c r="F54" i="33"/>
  <c r="C50" i="33"/>
  <c r="D56" i="33"/>
  <c r="E10" i="33"/>
  <c r="C12" i="33"/>
  <c r="I29" i="33"/>
  <c r="C11" i="33"/>
  <c r="E129" i="30"/>
  <c r="F128" i="30"/>
  <c r="J129" i="30"/>
  <c r="G129" i="30"/>
  <c r="D129" i="30"/>
  <c r="E128" i="30"/>
  <c r="F127" i="30"/>
  <c r="J118" i="33"/>
  <c r="J90" i="33"/>
  <c r="J94" i="33"/>
  <c r="J98" i="33"/>
  <c r="J101" i="33"/>
  <c r="F129" i="30"/>
  <c r="H119" i="33"/>
  <c r="H95" i="33"/>
  <c r="H91" i="33"/>
  <c r="H99" i="33"/>
  <c r="P128" i="30"/>
  <c r="G127" i="30"/>
  <c r="J130" i="30"/>
  <c r="H94" i="33"/>
  <c r="H83" i="33"/>
  <c r="H98" i="33"/>
  <c r="H118" i="33"/>
  <c r="H90" i="33"/>
  <c r="H85" i="33"/>
  <c r="I118" i="33"/>
  <c r="I83" i="33"/>
  <c r="I85" i="33"/>
  <c r="I98" i="33"/>
  <c r="I94" i="33"/>
  <c r="I90" i="33"/>
  <c r="D127" i="30"/>
  <c r="I100" i="33"/>
  <c r="I96" i="33"/>
  <c r="I120" i="33"/>
  <c r="I92" i="33"/>
  <c r="H129" i="30"/>
  <c r="I99" i="33"/>
  <c r="I119" i="33"/>
  <c r="I95" i="33"/>
  <c r="I91" i="33"/>
  <c r="D101" i="33"/>
  <c r="F75" i="33"/>
  <c r="D100" i="19"/>
  <c r="D92" i="19"/>
  <c r="E51" i="28"/>
  <c r="F55" i="28"/>
  <c r="D83" i="19"/>
  <c r="D84" i="19" s="1"/>
  <c r="E91" i="28"/>
  <c r="F95" i="19"/>
  <c r="G92" i="28"/>
  <c r="G100" i="28"/>
  <c r="G96" i="28"/>
  <c r="E55" i="28"/>
  <c r="N51" i="28"/>
  <c r="N59" i="28"/>
  <c r="F51" i="28"/>
  <c r="F59" i="28"/>
  <c r="D96" i="28"/>
  <c r="F146" i="28"/>
  <c r="J96" i="28"/>
  <c r="H92" i="28"/>
  <c r="E115" i="19"/>
  <c r="E124" i="19" s="1"/>
  <c r="H96" i="28"/>
  <c r="D96" i="19"/>
  <c r="H120" i="28"/>
  <c r="H129" i="28" s="1"/>
  <c r="D115" i="19"/>
  <c r="D124" i="19" s="1"/>
  <c r="J92" i="28"/>
  <c r="P91" i="28"/>
  <c r="J120" i="28"/>
  <c r="J129" i="28" s="1"/>
  <c r="P95" i="28"/>
  <c r="G85" i="28"/>
  <c r="P99" i="28"/>
  <c r="G83" i="28"/>
  <c r="G124" i="28" s="1"/>
  <c r="G137" i="28" s="1"/>
  <c r="F83" i="28"/>
  <c r="F124" i="28" s="1"/>
  <c r="F137" i="28" s="1"/>
  <c r="E92" i="28"/>
  <c r="F96" i="28"/>
  <c r="G90" i="28"/>
  <c r="E99" i="28"/>
  <c r="E95" i="28"/>
  <c r="F100" i="28"/>
  <c r="G98" i="28"/>
  <c r="G118" i="28"/>
  <c r="G122" i="28" s="1"/>
  <c r="G146" i="28"/>
  <c r="F83" i="30"/>
  <c r="F124" i="30" s="1"/>
  <c r="F137" i="30" s="1"/>
  <c r="E120" i="28"/>
  <c r="E129" i="28" s="1"/>
  <c r="D92" i="28"/>
  <c r="D118" i="28"/>
  <c r="D127" i="28" s="1"/>
  <c r="D120" i="28"/>
  <c r="D129" i="28" s="1"/>
  <c r="D90" i="28"/>
  <c r="D146" i="28"/>
  <c r="D94" i="28"/>
  <c r="D83" i="28"/>
  <c r="D124" i="28" s="1"/>
  <c r="D137" i="28" s="1"/>
  <c r="E51" i="30"/>
  <c r="E50" i="30"/>
  <c r="F46" i="30"/>
  <c r="G29" i="28"/>
  <c r="E63" i="30"/>
  <c r="E55" i="30"/>
  <c r="N55" i="30"/>
  <c r="G48" i="30"/>
  <c r="I48" i="30"/>
  <c r="E54" i="30"/>
  <c r="G63" i="30"/>
  <c r="C55" i="30"/>
  <c r="F46" i="28"/>
  <c r="D28" i="28"/>
  <c r="D26" i="30"/>
  <c r="C34" i="30"/>
  <c r="D35" i="28"/>
  <c r="D10" i="30"/>
  <c r="G26" i="30"/>
  <c r="F28" i="30"/>
  <c r="E28" i="30"/>
  <c r="C35" i="30"/>
  <c r="F26" i="28"/>
  <c r="C28" i="30"/>
  <c r="E63" i="28"/>
  <c r="D48" i="30"/>
  <c r="C63" i="30"/>
  <c r="E59" i="30"/>
  <c r="N59" i="30"/>
  <c r="G48" i="28"/>
  <c r="I48" i="28"/>
  <c r="E58" i="30"/>
  <c r="G63" i="28"/>
  <c r="C59" i="30"/>
  <c r="F63" i="30"/>
  <c r="E30" i="28"/>
  <c r="G26" i="28"/>
  <c r="E34" i="28"/>
  <c r="C29" i="30"/>
  <c r="M11" i="30"/>
  <c r="D29" i="28"/>
  <c r="F29" i="30"/>
  <c r="D30" i="28"/>
  <c r="E58" i="28"/>
  <c r="D48" i="28"/>
  <c r="E48" i="28"/>
  <c r="N51" i="30"/>
  <c r="G56" i="15"/>
  <c r="C48" i="30"/>
  <c r="C51" i="30"/>
  <c r="F63" i="28"/>
  <c r="C46" i="30"/>
  <c r="E29" i="28"/>
  <c r="D28" i="30"/>
  <c r="E26" i="30"/>
  <c r="D11" i="30"/>
  <c r="F26" i="30"/>
  <c r="D34" i="30"/>
  <c r="D34" i="28"/>
  <c r="E48" i="30"/>
  <c r="E75" i="30" s="1"/>
  <c r="F55" i="30"/>
  <c r="D63" i="30"/>
  <c r="C30" i="30"/>
  <c r="E30" i="30"/>
  <c r="M11" i="28"/>
  <c r="H29" i="30"/>
  <c r="H28" i="30"/>
  <c r="D35" i="30"/>
  <c r="C26" i="30"/>
  <c r="F59" i="30"/>
  <c r="D47" i="30"/>
  <c r="C48" i="19"/>
  <c r="F48" i="30"/>
  <c r="O47" i="30"/>
  <c r="D63" i="28"/>
  <c r="D30" i="30"/>
  <c r="E29" i="30"/>
  <c r="E11" i="30"/>
  <c r="D10" i="28"/>
  <c r="G29" i="30"/>
  <c r="F51" i="30"/>
  <c r="E54" i="28"/>
  <c r="D47" i="28"/>
  <c r="F48" i="28"/>
  <c r="O47" i="28"/>
  <c r="H63" i="30"/>
  <c r="F28" i="28"/>
  <c r="E28" i="28"/>
  <c r="E34" i="30"/>
  <c r="D11" i="28"/>
  <c r="G28" i="30"/>
  <c r="D29" i="30"/>
  <c r="E50" i="28"/>
  <c r="D55" i="15"/>
  <c r="F52" i="15"/>
  <c r="O51" i="15"/>
  <c r="H63" i="28"/>
  <c r="D26" i="28"/>
  <c r="E26" i="28"/>
  <c r="E11" i="28"/>
  <c r="E35" i="30"/>
  <c r="G28" i="28"/>
  <c r="E35" i="28"/>
  <c r="F29" i="28"/>
  <c r="G118" i="30"/>
  <c r="G94" i="30"/>
  <c r="G98" i="30"/>
  <c r="G85" i="30"/>
  <c r="G83" i="30"/>
  <c r="G124" i="30" s="1"/>
  <c r="G137" i="30" s="1"/>
  <c r="G90" i="30"/>
  <c r="F92" i="28"/>
  <c r="E96" i="28"/>
  <c r="F101" i="30"/>
  <c r="H96" i="30"/>
  <c r="H92" i="30"/>
  <c r="H100" i="30"/>
  <c r="H120" i="30"/>
  <c r="J100" i="30"/>
  <c r="J120" i="30"/>
  <c r="J96" i="30"/>
  <c r="J92" i="30"/>
  <c r="H101" i="30"/>
  <c r="M95" i="15"/>
  <c r="M87" i="28"/>
  <c r="M119" i="28" s="1"/>
  <c r="M128" i="28" s="1"/>
  <c r="M87" i="30"/>
  <c r="J103" i="28"/>
  <c r="K103" i="28" s="1"/>
  <c r="L103" i="28" s="1"/>
  <c r="M103" i="28" s="1"/>
  <c r="N103" i="28" s="1"/>
  <c r="O103" i="28" s="1"/>
  <c r="P103" i="28" s="1"/>
  <c r="Q103" i="28" s="1"/>
  <c r="J103" i="30"/>
  <c r="J86" i="28"/>
  <c r="J94" i="28" s="1"/>
  <c r="J86" i="30"/>
  <c r="E120" i="30"/>
  <c r="E96" i="30"/>
  <c r="E92" i="30"/>
  <c r="E100" i="30"/>
  <c r="D101" i="30"/>
  <c r="G101" i="30"/>
  <c r="H114" i="15"/>
  <c r="H123" i="15" s="1"/>
  <c r="H128" i="33" s="1"/>
  <c r="H87" i="28"/>
  <c r="H91" i="28" s="1"/>
  <c r="H87" i="30"/>
  <c r="E86" i="28"/>
  <c r="E113" i="15"/>
  <c r="E122" i="15" s="1"/>
  <c r="E86" i="30"/>
  <c r="D120" i="30"/>
  <c r="D96" i="30"/>
  <c r="D92" i="30"/>
  <c r="D100" i="30"/>
  <c r="D118" i="30"/>
  <c r="D98" i="30"/>
  <c r="D94" i="30"/>
  <c r="D83" i="30"/>
  <c r="D90" i="30"/>
  <c r="D119" i="15"/>
  <c r="D132" i="15" s="1"/>
  <c r="H108" i="29"/>
  <c r="H111" i="33" s="1"/>
  <c r="H86" i="28"/>
  <c r="H86" i="30"/>
  <c r="I96" i="15"/>
  <c r="I88" i="28"/>
  <c r="I120" i="28" s="1"/>
  <c r="I129" i="28" s="1"/>
  <c r="I88" i="30"/>
  <c r="I91" i="15"/>
  <c r="I87" i="28"/>
  <c r="I87" i="30"/>
  <c r="F85" i="28"/>
  <c r="F96" i="30"/>
  <c r="F92" i="30"/>
  <c r="F120" i="30"/>
  <c r="F122" i="30" s="1"/>
  <c r="F132" i="30" s="1"/>
  <c r="F100" i="30"/>
  <c r="E101" i="30"/>
  <c r="J125" i="30"/>
  <c r="J138" i="30" s="1"/>
  <c r="J121" i="30"/>
  <c r="I86" i="28"/>
  <c r="I94" i="28" s="1"/>
  <c r="I86" i="30"/>
  <c r="E119" i="30"/>
  <c r="E91" i="30"/>
  <c r="E99" i="30"/>
  <c r="E95" i="30"/>
  <c r="G96" i="30"/>
  <c r="G100" i="30"/>
  <c r="G120" i="30"/>
  <c r="G92" i="30"/>
  <c r="P91" i="30"/>
  <c r="P99" i="30"/>
  <c r="P119" i="30"/>
  <c r="P95" i="30"/>
  <c r="K102" i="28"/>
  <c r="J125" i="28"/>
  <c r="J138" i="28" s="1"/>
  <c r="I108" i="29"/>
  <c r="I111" i="33" s="1"/>
  <c r="I101" i="30"/>
  <c r="E83" i="15"/>
  <c r="E119" i="15" s="1"/>
  <c r="E132" i="15" s="1"/>
  <c r="J65" i="28"/>
  <c r="H28" i="28"/>
  <c r="H29" i="28"/>
  <c r="I101" i="22"/>
  <c r="O59" i="15"/>
  <c r="E85" i="15"/>
  <c r="I60" i="28"/>
  <c r="G27" i="15"/>
  <c r="G60" i="28"/>
  <c r="O55" i="15"/>
  <c r="I63" i="15"/>
  <c r="N11" i="15"/>
  <c r="D23" i="28"/>
  <c r="F54" i="28"/>
  <c r="D60" i="28"/>
  <c r="M19" i="28"/>
  <c r="I108" i="15"/>
  <c r="I110" i="33" s="1"/>
  <c r="J106" i="15"/>
  <c r="J106" i="33" s="1"/>
  <c r="J101" i="15"/>
  <c r="F131" i="28"/>
  <c r="F142" i="28" s="1"/>
  <c r="H108" i="15"/>
  <c r="H110" i="33" s="1"/>
  <c r="F122" i="28"/>
  <c r="M99" i="15"/>
  <c r="M91" i="15"/>
  <c r="G126" i="15"/>
  <c r="L47" i="15"/>
  <c r="M114" i="15"/>
  <c r="M123" i="15" s="1"/>
  <c r="M128" i="33" s="1"/>
  <c r="F117" i="15"/>
  <c r="F127" i="15" s="1"/>
  <c r="F138" i="15" s="1"/>
  <c r="F143" i="33" s="1"/>
  <c r="G117" i="15"/>
  <c r="G127" i="15" s="1"/>
  <c r="G138" i="15" s="1"/>
  <c r="G143" i="33" s="1"/>
  <c r="G85" i="22"/>
  <c r="E100" i="22"/>
  <c r="E115" i="22"/>
  <c r="E124" i="22" s="1"/>
  <c r="E92" i="22"/>
  <c r="D56" i="15"/>
  <c r="D48" i="22"/>
  <c r="D52" i="15"/>
  <c r="D60" i="15"/>
  <c r="C12" i="15"/>
  <c r="D59" i="15"/>
  <c r="E95" i="22"/>
  <c r="D51" i="15"/>
  <c r="E95" i="19"/>
  <c r="E99" i="22"/>
  <c r="E114" i="19"/>
  <c r="E123" i="19" s="1"/>
  <c r="G87" i="18"/>
  <c r="G95" i="18" s="1"/>
  <c r="E95" i="18"/>
  <c r="F95" i="18"/>
  <c r="F114" i="18"/>
  <c r="F123" i="18" s="1"/>
  <c r="E99" i="18"/>
  <c r="E114" i="18"/>
  <c r="E123" i="18" s="1"/>
  <c r="F91" i="18"/>
  <c r="E91" i="19"/>
  <c r="E99" i="19"/>
  <c r="E91" i="18"/>
  <c r="D47" i="22"/>
  <c r="E91" i="22"/>
  <c r="D92" i="20"/>
  <c r="D96" i="20"/>
  <c r="D115" i="20"/>
  <c r="D124" i="20" s="1"/>
  <c r="D100" i="20"/>
  <c r="D83" i="20"/>
  <c r="D84" i="20" s="1"/>
  <c r="D115" i="18"/>
  <c r="D124" i="18" s="1"/>
  <c r="F58" i="15"/>
  <c r="F54" i="15"/>
  <c r="D126" i="15"/>
  <c r="D96" i="18"/>
  <c r="D92" i="18"/>
  <c r="F50" i="15"/>
  <c r="C11" i="15"/>
  <c r="C52" i="15"/>
  <c r="C48" i="20"/>
  <c r="C48" i="18"/>
  <c r="E88" i="18"/>
  <c r="F126" i="15"/>
  <c r="E60" i="15"/>
  <c r="C56" i="15"/>
  <c r="E56" i="15"/>
  <c r="E52" i="15"/>
  <c r="D94" i="18"/>
  <c r="D92" i="22"/>
  <c r="D115" i="22"/>
  <c r="D124" i="22" s="1"/>
  <c r="D126" i="22" s="1"/>
  <c r="D129" i="22" s="1"/>
  <c r="D100" i="22"/>
  <c r="C60" i="15"/>
  <c r="C66" i="18"/>
  <c r="C48" i="22"/>
  <c r="D116" i="18"/>
  <c r="D125" i="18" s="1"/>
  <c r="C75" i="15"/>
  <c r="D116" i="20"/>
  <c r="D125" i="20" s="1"/>
  <c r="E142" i="15"/>
  <c r="C66" i="19"/>
  <c r="C65" i="20"/>
  <c r="D90" i="19"/>
  <c r="G52" i="15"/>
  <c r="G60" i="15"/>
  <c r="D116" i="19"/>
  <c r="D125" i="19" s="1"/>
  <c r="D12" i="15"/>
  <c r="D39" i="15" s="1"/>
  <c r="D82" i="15"/>
  <c r="I92" i="15"/>
  <c r="I114" i="15"/>
  <c r="I123" i="15" s="1"/>
  <c r="I128" i="33" s="1"/>
  <c r="E94" i="15"/>
  <c r="D94" i="19"/>
  <c r="I115" i="15"/>
  <c r="I124" i="15" s="1"/>
  <c r="I129" i="33" s="1"/>
  <c r="I95" i="15"/>
  <c r="D108" i="18"/>
  <c r="E90" i="15"/>
  <c r="I100" i="15"/>
  <c r="D85" i="19"/>
  <c r="E98" i="15"/>
  <c r="I99" i="15"/>
  <c r="D98" i="19"/>
  <c r="D85" i="22"/>
  <c r="D120" i="22" s="1"/>
  <c r="C62" i="18"/>
  <c r="D90" i="22"/>
  <c r="H85" i="15"/>
  <c r="F75" i="15"/>
  <c r="D98" i="22"/>
  <c r="D83" i="22"/>
  <c r="D82" i="22" s="1"/>
  <c r="D94" i="22"/>
  <c r="D85" i="20"/>
  <c r="H95" i="15"/>
  <c r="D101" i="18"/>
  <c r="C62" i="19"/>
  <c r="F56" i="15"/>
  <c r="C64" i="20"/>
  <c r="C58" i="15"/>
  <c r="C50" i="15"/>
  <c r="C54" i="15"/>
  <c r="C65" i="18"/>
  <c r="C46" i="18"/>
  <c r="C46" i="19"/>
  <c r="C62" i="20"/>
  <c r="C65" i="19"/>
  <c r="C63" i="19"/>
  <c r="F60" i="15"/>
  <c r="C66" i="20"/>
  <c r="C46" i="20"/>
  <c r="C64" i="18"/>
  <c r="C46" i="22"/>
  <c r="C64" i="19"/>
  <c r="E12" i="15"/>
  <c r="D98" i="18"/>
  <c r="H91" i="15"/>
  <c r="D83" i="18"/>
  <c r="D82" i="18" s="1"/>
  <c r="H83" i="15"/>
  <c r="H142" i="15"/>
  <c r="D85" i="18"/>
  <c r="H90" i="15"/>
  <c r="H94" i="15"/>
  <c r="D90" i="18"/>
  <c r="E86" i="18"/>
  <c r="H98" i="15"/>
  <c r="G47" i="15"/>
  <c r="D46" i="15"/>
  <c r="H47" i="15"/>
  <c r="G46" i="15"/>
  <c r="H48" i="15"/>
  <c r="E10" i="15"/>
  <c r="F12" i="15"/>
  <c r="H99" i="15"/>
  <c r="H113" i="15"/>
  <c r="I106" i="36"/>
  <c r="I144" i="20"/>
  <c r="I85" i="15"/>
  <c r="H101" i="22"/>
  <c r="F101" i="22"/>
  <c r="E101" i="22"/>
  <c r="G101" i="22"/>
  <c r="I142" i="15"/>
  <c r="H106" i="36"/>
  <c r="I56" i="15"/>
  <c r="E23" i="15"/>
  <c r="M23" i="15"/>
  <c r="D15" i="15"/>
  <c r="E96" i="19"/>
  <c r="E92" i="19"/>
  <c r="I83" i="15"/>
  <c r="D22" i="15"/>
  <c r="C63" i="20"/>
  <c r="C63" i="18"/>
  <c r="E100" i="20"/>
  <c r="E96" i="20"/>
  <c r="E92" i="20"/>
  <c r="E115" i="20"/>
  <c r="E124" i="20" s="1"/>
  <c r="C63" i="22"/>
  <c r="D47" i="19"/>
  <c r="F27" i="15"/>
  <c r="C51" i="19"/>
  <c r="E48" i="22"/>
  <c r="E51" i="22"/>
  <c r="E27" i="15"/>
  <c r="C51" i="18"/>
  <c r="C56" i="22"/>
  <c r="C51" i="22"/>
  <c r="E55" i="22"/>
  <c r="C59" i="18"/>
  <c r="F47" i="22"/>
  <c r="C59" i="22"/>
  <c r="E59" i="22"/>
  <c r="D11" i="22"/>
  <c r="C59" i="19"/>
  <c r="C60" i="18"/>
  <c r="C55" i="22"/>
  <c r="D47" i="18"/>
  <c r="C55" i="19"/>
  <c r="C55" i="18"/>
  <c r="D48" i="20"/>
  <c r="D56" i="22"/>
  <c r="F100" i="22"/>
  <c r="F92" i="22"/>
  <c r="F96" i="22"/>
  <c r="F115" i="22"/>
  <c r="F124" i="22" s="1"/>
  <c r="I90" i="15"/>
  <c r="G95" i="22"/>
  <c r="G91" i="22"/>
  <c r="G114" i="22"/>
  <c r="G123" i="22" s="1"/>
  <c r="G99" i="22"/>
  <c r="C27" i="15"/>
  <c r="D27" i="15"/>
  <c r="D23" i="15"/>
  <c r="M19" i="15"/>
  <c r="D19" i="15"/>
  <c r="D18" i="15"/>
  <c r="E19" i="15"/>
  <c r="M15" i="15"/>
  <c r="E15" i="15"/>
  <c r="D14" i="15"/>
  <c r="H12" i="15"/>
  <c r="I60" i="15"/>
  <c r="J90" i="15"/>
  <c r="J98" i="15"/>
  <c r="J113" i="15"/>
  <c r="J94" i="15"/>
  <c r="I113" i="15"/>
  <c r="I52" i="15"/>
  <c r="I98" i="15"/>
  <c r="I94" i="15"/>
  <c r="H46" i="15"/>
  <c r="I46" i="15"/>
  <c r="C11" i="37" a="1"/>
  <c r="H16" i="15" a="1"/>
  <c r="C50" i="37" a="1"/>
  <c r="D14" i="37" a="1"/>
  <c r="G11" i="15" a="1"/>
  <c r="D56" i="30" a="1"/>
  <c r="E20" i="36" a="1"/>
  <c r="G59" i="36" a="1"/>
  <c r="H10" i="33" a="1"/>
  <c r="O59" i="28" a="1"/>
  <c r="C56" i="20" a="1"/>
  <c r="H27" i="33" a="1"/>
  <c r="G54" i="33" a="1"/>
  <c r="G56" i="30" a="1"/>
  <c r="D56" i="20" a="1"/>
  <c r="C56" i="18" a="1"/>
  <c r="D22" i="28" a="1"/>
  <c r="M23" i="37" a="1"/>
  <c r="L51" i="36" a="1"/>
  <c r="C20" i="15" a="1"/>
  <c r="D51" i="37" a="1"/>
  <c r="D50" i="36" a="1"/>
  <c r="D58" i="15" a="1"/>
  <c r="I59" i="37" a="1"/>
  <c r="E15" i="28" a="1"/>
  <c r="D46" i="30" a="1"/>
  <c r="G11" i="33" a="1"/>
  <c r="F58" i="37" a="1"/>
  <c r="G55" i="15" a="1"/>
  <c r="D50" i="15" a="1"/>
  <c r="C60" i="22" a="1"/>
  <c r="D59" i="22" a="1"/>
  <c r="C50" i="22" a="1"/>
  <c r="D46" i="37" a="1"/>
  <c r="E22" i="36" a="1"/>
  <c r="H24" i="28" a="1"/>
  <c r="G52" i="30" a="1"/>
  <c r="D15" i="37" a="1"/>
  <c r="D51" i="19" a="1"/>
  <c r="I62" i="33" a="1"/>
  <c r="C58" i="30" a="1"/>
  <c r="F11" i="15" a="1"/>
  <c r="I46" i="37" a="1"/>
  <c r="C19" i="36" a="1"/>
  <c r="F58" i="30" a="1"/>
  <c r="G54" i="15" a="1"/>
  <c r="C24" i="15" a="1"/>
  <c r="H46" i="28" a="1"/>
  <c r="H46" i="37" a="1"/>
  <c r="H11" i="37" a="1"/>
  <c r="C15" i="36" a="1"/>
  <c r="E10" i="30" a="1"/>
  <c r="H58" i="33" a="1"/>
  <c r="I50" i="33" a="1"/>
  <c r="D15" i="28" a="1"/>
  <c r="D14" i="30" a="1"/>
  <c r="H34" i="36" a="1"/>
  <c r="M19" i="30" a="1"/>
  <c r="C52" i="20" a="1"/>
  <c r="D54" i="36" a="1"/>
  <c r="N11" i="28" a="1"/>
  <c r="F27" i="28" a="1"/>
  <c r="D60" i="20" a="1"/>
  <c r="C23" i="15" a="1"/>
  <c r="F54" i="30" a="1"/>
  <c r="D27" i="28" a="1"/>
  <c r="E12" i="30" a="1"/>
  <c r="E60" i="22" a="1"/>
  <c r="F51" i="22" a="1"/>
  <c r="D60" i="22" a="1"/>
  <c r="K11" i="15" a="1"/>
  <c r="D14" i="28" a="1"/>
  <c r="E23" i="28" a="1"/>
  <c r="H54" i="28" a="1"/>
  <c r="G56" i="28" a="1"/>
  <c r="G71" i="33" a="1"/>
  <c r="C60" i="30" a="1"/>
  <c r="C50" i="30" a="1"/>
  <c r="F24" i="36" a="1"/>
  <c r="E19" i="37" a="1"/>
  <c r="D23" i="30" a="1"/>
  <c r="D51" i="30" a="1"/>
  <c r="E22" i="33" a="1"/>
  <c r="H12" i="28" a="1"/>
  <c r="G52" i="28" a="1"/>
  <c r="G58" i="15" a="1"/>
  <c r="M23" i="30" a="1"/>
  <c r="D59" i="19" a="1"/>
  <c r="H50" i="15" a="1"/>
  <c r="N15" i="36" a="1"/>
  <c r="E56" i="22" a="1"/>
  <c r="C54" i="22" a="1"/>
  <c r="D12" i="22" a="1"/>
  <c r="E32" i="36" a="1"/>
  <c r="C56" i="19" a="1"/>
  <c r="C60" i="20" a="1"/>
  <c r="I60" i="30" a="1"/>
  <c r="G32" i="36" a="1"/>
  <c r="E24" i="15" a="1"/>
  <c r="E18" i="33" a="1"/>
  <c r="D23" i="37" a="1"/>
  <c r="H54" i="15" a="1"/>
  <c r="C24" i="36" a="1"/>
  <c r="C68" i="18" a="1"/>
  <c r="L59" i="15" a="1"/>
  <c r="G12" i="15" a="1"/>
  <c r="C11" i="22" a="1"/>
  <c r="E56" i="30" a="1"/>
  <c r="D52" i="20" a="1"/>
  <c r="I52" i="30" a="1"/>
  <c r="G51" i="36" a="1"/>
  <c r="H71" i="33" a="1"/>
  <c r="F50" i="30" a="1"/>
  <c r="I50" i="15" a="1"/>
  <c r="F50" i="28" a="1"/>
  <c r="I55" i="37" a="1"/>
  <c r="N11" i="37" a="1"/>
  <c r="G50" i="15" a="1"/>
  <c r="C68" i="19" a="1"/>
  <c r="H20" i="15" a="1"/>
  <c r="D55" i="22" a="1"/>
  <c r="F16" i="33" a="1"/>
  <c r="N15" i="15" a="1"/>
  <c r="M19" i="37" a="1"/>
  <c r="F56" i="28" a="1"/>
  <c r="G58" i="33" a="1"/>
  <c r="E55" i="19" a="1"/>
  <c r="H12" i="30" a="1"/>
  <c r="I58" i="15" a="1"/>
  <c r="D56" i="28" a="1"/>
  <c r="E47" i="19" a="1"/>
  <c r="D22" i="30" a="1"/>
  <c r="G12" i="33" a="1"/>
  <c r="H20" i="37" a="1"/>
  <c r="D52" i="30" a="1"/>
  <c r="O59" i="30" a="1"/>
  <c r="C58" i="22" a="1"/>
  <c r="C60" i="19" a="1"/>
  <c r="H52" i="33" a="1"/>
  <c r="K11" i="36" a="1"/>
  <c r="G55" i="33" a="1"/>
  <c r="I29" i="28" a="1"/>
  <c r="D19" i="37" a="1"/>
  <c r="I54" i="33" a="1"/>
  <c r="D16" i="36" a="1"/>
  <c r="C19" i="15" a="1"/>
  <c r="F24" i="33" a="1"/>
  <c r="F50" i="37" a="1"/>
  <c r="E15" i="37" a="1"/>
  <c r="H70" i="15" a="1"/>
  <c r="F12" i="37" a="1"/>
  <c r="D51" i="28" a="1"/>
  <c r="G59" i="33" a="1"/>
  <c r="G51" i="15" a="1"/>
  <c r="G10" i="33" a="1"/>
  <c r="C68" i="20" a="1"/>
  <c r="E11" i="22" a="1"/>
  <c r="C58" i="37" a="1"/>
  <c r="E23" i="37" a="1"/>
  <c r="E14" i="36" a="1"/>
  <c r="F55" i="22" a="1"/>
  <c r="H10" i="36" a="1"/>
  <c r="D12" i="37" a="1"/>
  <c r="F60" i="28" a="1"/>
  <c r="D23" i="22" a="1"/>
  <c r="I58" i="36" a="1"/>
  <c r="I63" i="28" a="1"/>
  <c r="O51" i="37" a="1"/>
  <c r="D15" i="30" a="1"/>
  <c r="H24" i="15" a="1"/>
  <c r="C12" i="22" a="1"/>
  <c r="M15" i="30" a="1"/>
  <c r="E15" i="30" a="1"/>
  <c r="H48" i="30" a="1"/>
  <c r="D55" i="30" a="1"/>
  <c r="I56" i="30" a="1"/>
  <c r="D52" i="37" a="1"/>
  <c r="I56" i="28" a="1"/>
  <c r="C10" i="36" a="1"/>
  <c r="E12" i="37" a="1"/>
  <c r="H60" i="36" a="1"/>
  <c r="N11" i="30" a="1"/>
  <c r="H19" i="36" a="1"/>
  <c r="E12" i="28" a="1"/>
  <c r="E56" i="33" a="1"/>
  <c r="F27" i="30" a="1"/>
  <c r="G46" i="37" a="1"/>
  <c r="C23" i="36" a="1"/>
  <c r="D51" i="22" a="1"/>
  <c r="C52" i="22" a="1"/>
  <c r="D12" i="28" a="1"/>
  <c r="H70" i="33" a="1"/>
  <c r="G54" i="36" a="1"/>
  <c r="C52" i="18" a="1"/>
  <c r="C56" i="33" a="1"/>
  <c r="H50" i="33" a="1"/>
  <c r="H54" i="33" a="1"/>
  <c r="H55" i="33" a="1"/>
  <c r="H46" i="30" a="1"/>
  <c r="M23" i="28" a="1"/>
  <c r="O55" i="28" a="1"/>
  <c r="G12" i="36" a="1"/>
  <c r="F16" i="36" a="1"/>
  <c r="D24" i="36" a="1"/>
  <c r="F56" i="37" a="1"/>
  <c r="C54" i="30" a="1"/>
  <c r="I46" i="30" a="1"/>
  <c r="D18" i="37" a="1"/>
  <c r="H26" i="15" a="1"/>
  <c r="C12" i="37" a="1"/>
  <c r="N23" i="15" a="1"/>
  <c r="I54" i="28" a="1"/>
  <c r="E16" i="36" a="1"/>
  <c r="C54" i="37" a="1"/>
  <c r="I50" i="36" a="1"/>
  <c r="E14" i="33" a="1"/>
  <c r="G27" i="28" a="1"/>
  <c r="H68" i="29" a="1"/>
  <c r="H55" i="15" a="1"/>
  <c r="F10" i="15" a="1"/>
  <c r="E10" i="28" a="1"/>
  <c r="E27" i="30" a="1"/>
  <c r="D59" i="30" a="1"/>
  <c r="G47" i="22" a="1"/>
  <c r="N19" i="36" a="1"/>
  <c r="D54" i="22" a="1"/>
  <c r="D24" i="15" a="1"/>
  <c r="E52" i="33" a="1"/>
  <c r="H59" i="33" a="1"/>
  <c r="E27" i="28" a="1"/>
  <c r="E48" i="20" a="1"/>
  <c r="I62" i="28" a="1"/>
  <c r="C15" i="15" a="1"/>
  <c r="E52" i="37" a="1"/>
  <c r="H60" i="15" a="1"/>
  <c r="H56" i="33" a="1"/>
  <c r="O55" i="30" a="1"/>
  <c r="G58" i="36" a="1"/>
  <c r="H27" i="15" a="1"/>
  <c r="D52" i="22" a="1"/>
  <c r="H48" i="28" a="1"/>
  <c r="D46" i="18" a="1"/>
  <c r="D20" i="36" a="1"/>
  <c r="D18" i="28" a="1"/>
  <c r="H10" i="15" a="1"/>
  <c r="M15" i="28" a="1"/>
  <c r="D20" i="15" a="1"/>
  <c r="L47" i="30" a="1"/>
  <c r="E14" i="15" a="1"/>
  <c r="O59" i="37" a="1"/>
  <c r="D58" i="36" a="1"/>
  <c r="D46" i="33" a="1"/>
  <c r="I51" i="37" a="1"/>
  <c r="C16" i="15" a="1"/>
  <c r="G51" i="33" a="1"/>
  <c r="E20" i="33" a="1"/>
  <c r="G50" i="36" a="1"/>
  <c r="H59" i="15" a="1"/>
  <c r="D12" i="33" a="1"/>
  <c r="F54" i="37" a="1"/>
  <c r="I66" i="33" a="1"/>
  <c r="D59" i="37" a="1"/>
  <c r="D19" i="22" a="1"/>
  <c r="D27" i="30" a="1"/>
  <c r="H47" i="30" a="1"/>
  <c r="F11" i="33" a="1"/>
  <c r="L55" i="36" a="1"/>
  <c r="D55" i="19" a="1"/>
  <c r="E23" i="30" a="1"/>
  <c r="E47" i="18" a="1"/>
  <c r="F20" i="36" a="1"/>
  <c r="E16" i="15" a="1"/>
  <c r="G59" i="15" a="1"/>
  <c r="G68" i="29" a="1"/>
  <c r="L47" i="28" a="1"/>
  <c r="D16" i="15" a="1"/>
  <c r="H26" i="36" a="1"/>
  <c r="F20" i="33" a="1"/>
  <c r="C12" i="30" a="1"/>
  <c r="F10" i="36" a="1"/>
  <c r="D55" i="18" a="1"/>
  <c r="H50" i="36" a="1"/>
  <c r="G47" i="28" a="1"/>
  <c r="H48" i="37" a="1"/>
  <c r="C23" i="33" a="1"/>
  <c r="H30" i="36" a="1"/>
  <c r="E52" i="28" a="1"/>
  <c r="H54" i="36" a="1"/>
  <c r="I63" i="36" a="1"/>
  <c r="F56" i="30" a="1"/>
  <c r="D19" i="30" a="1"/>
  <c r="E24" i="33" a="1"/>
  <c r="L47" i="37" a="1"/>
  <c r="H58" i="15" a="1"/>
  <c r="E10" i="37" a="1"/>
  <c r="E18" i="15" a="1"/>
  <c r="D12" i="30" a="1"/>
  <c r="C50" i="19" a="1"/>
  <c r="D59" i="18" a="1"/>
  <c r="D46" i="22" a="1"/>
  <c r="F52" i="28" a="1"/>
  <c r="F11" i="36" a="1"/>
  <c r="O55" i="37" a="1"/>
  <c r="C15" i="33" a="1"/>
  <c r="E60" i="33" a="1"/>
  <c r="D15" i="22" a="1"/>
  <c r="C58" i="18" a="1"/>
  <c r="H16" i="37" a="1"/>
  <c r="C60" i="33" a="1"/>
  <c r="D51" i="18" a="1"/>
  <c r="C11" i="19" a="1"/>
  <c r="G60" i="30" a="1"/>
  <c r="G70" i="15" a="1"/>
  <c r="I62" i="30" a="1"/>
  <c r="F58" i="28" a="1"/>
  <c r="D46" i="28" a="1"/>
  <c r="C11" i="18" a="1"/>
  <c r="D52" i="19" a="1"/>
  <c r="E19" i="28" a="1"/>
  <c r="F20" i="15" a="1"/>
  <c r="H47" i="28" a="1"/>
  <c r="F52" i="30" a="1"/>
  <c r="H24" i="37" a="1"/>
  <c r="F32" i="36" a="1"/>
  <c r="G47" i="30" a="1"/>
  <c r="D54" i="15" a="1"/>
  <c r="N19" i="15" a="1"/>
  <c r="G27" i="30" a="1"/>
  <c r="H66" i="36" a="1"/>
  <c r="G52" i="37" a="1"/>
  <c r="C52" i="33" a="1"/>
  <c r="F12" i="30" a="1"/>
  <c r="I63" i="30" a="1"/>
  <c r="E52" i="30" a="1"/>
  <c r="F52" i="37" a="1"/>
  <c r="O51" i="28" a="1"/>
  <c r="C52" i="37" a="1"/>
  <c r="E20" i="15" a="1"/>
  <c r="I54" i="36" a="1"/>
  <c r="F12" i="28" a="1"/>
  <c r="H52" i="36" a="1"/>
  <c r="E60" i="28" a="1"/>
  <c r="G60" i="37" a="1"/>
  <c r="L59" i="36" a="1"/>
  <c r="H23" i="36" a="1"/>
  <c r="D19" i="28" a="1"/>
  <c r="I70" i="15" a="1"/>
  <c r="C54" i="18" a="1"/>
  <c r="G10" i="15" a="1"/>
  <c r="I46" i="28" a="1"/>
  <c r="E52" i="22" a="1"/>
  <c r="H51" i="15" a="1"/>
  <c r="G10" i="36" a="1"/>
  <c r="G47" i="37" a="1"/>
  <c r="E19" i="30" a="1"/>
  <c r="C20" i="33" a="1"/>
  <c r="D55" i="28" a="1"/>
  <c r="L51" i="15" a="1"/>
  <c r="D46" i="19" a="1"/>
  <c r="D60" i="30" a="1"/>
  <c r="C20" i="22" a="1"/>
  <c r="C60" i="37" a="1"/>
  <c r="O51" i="30" a="1"/>
  <c r="C50" i="18" a="1"/>
  <c r="C11" i="30" a="1"/>
  <c r="D22" i="37" a="1"/>
  <c r="I66" i="15" a="1"/>
  <c r="E60" i="37" a="1"/>
  <c r="G50" i="33" a="1"/>
  <c r="H58" i="36" a="1"/>
  <c r="E16" i="33" a="1"/>
  <c r="E18" i="28" a="1"/>
  <c r="I52" i="28" a="1"/>
  <c r="H52" i="15" a="1"/>
  <c r="E46" i="22" a="1"/>
  <c r="E18" i="36" a="1"/>
  <c r="D56" i="37" a="1"/>
  <c r="D50" i="33" a="1"/>
  <c r="E56" i="28" a="1"/>
  <c r="G66" i="36" a="1"/>
  <c r="C19" i="33" a="1"/>
  <c r="D48" i="19" a="1"/>
  <c r="H60" i="33" a="1"/>
  <c r="F48" i="20" a="1"/>
  <c r="C24" i="33" a="1"/>
  <c r="F24" i="15" a="1"/>
  <c r="C52" i="30" a="1"/>
  <c r="D55" i="37" a="1"/>
  <c r="E22" i="15" a="1"/>
  <c r="H68" i="15" a="1"/>
  <c r="H56" i="15" a="1"/>
  <c r="D56" i="19" a="1"/>
  <c r="D48" i="18" a="1"/>
  <c r="C20" i="36" a="1"/>
  <c r="F16" i="15" a="1"/>
  <c r="G46" i="28" a="1"/>
  <c r="E56" i="37" a="1"/>
  <c r="F24" i="28" a="1"/>
  <c r="N23" i="36" a="1"/>
  <c r="E60" i="30" a="1"/>
  <c r="H51" i="33" a="1"/>
  <c r="H15" i="36" a="1"/>
  <c r="G56" i="37" a="1"/>
  <c r="L55" i="15" a="1"/>
  <c r="F48" i="22" a="1"/>
  <c r="D52" i="28" a="1"/>
  <c r="C12" i="20" a="1"/>
  <c r="F60" i="30" a="1"/>
  <c r="C56" i="30" a="1"/>
  <c r="G46" i="30" a="1"/>
  <c r="M15" i="37" a="1"/>
  <c r="D59" i="28" a="1"/>
  <c r="C16" i="36" a="1"/>
  <c r="F10" i="33" a="1"/>
  <c r="C16" i="33" a="1"/>
  <c r="F60" i="37" a="1"/>
  <c r="G51" i="28" a="1"/>
  <c r="C54" i="19" a="1"/>
  <c r="C27" i="30" a="1"/>
  <c r="G70" i="33" a="1"/>
  <c r="E24" i="36" a="1"/>
  <c r="G68" i="15" a="1"/>
  <c r="I54" i="15" a="1"/>
  <c r="C56" i="37" a="1"/>
  <c r="D60" i="37" a="1"/>
  <c r="F59" i="22" a="1"/>
  <c r="C52" i="19" a="1"/>
  <c r="C58" i="19" a="1"/>
  <c r="G55" i="36" a="1"/>
  <c r="I58" i="33" a="1"/>
  <c r="C10" i="15" a="1"/>
  <c r="D18" i="30" a="1"/>
  <c r="H56" i="36" a="1"/>
  <c r="E105" i="19" l="1"/>
  <c r="E131" i="19"/>
  <c r="D82" i="33"/>
  <c r="C56" i="33"/>
  <c r="I62" i="30"/>
  <c r="E104" i="19"/>
  <c r="E98" i="33"/>
  <c r="E102" i="19"/>
  <c r="F86" i="19"/>
  <c r="G86" i="19" s="1"/>
  <c r="H86" i="19" s="1"/>
  <c r="H106" i="19" s="1"/>
  <c r="I88" i="19"/>
  <c r="J88" i="19" s="1"/>
  <c r="E106" i="20"/>
  <c r="E103" i="19"/>
  <c r="C60" i="33"/>
  <c r="C52" i="33"/>
  <c r="E118" i="33"/>
  <c r="E122" i="33" s="1"/>
  <c r="E132" i="33" s="1"/>
  <c r="J87" i="20"/>
  <c r="E102" i="20"/>
  <c r="D131" i="30"/>
  <c r="D134" i="30" s="1"/>
  <c r="D126" i="37"/>
  <c r="D129" i="37" s="1"/>
  <c r="G126" i="37"/>
  <c r="G129" i="37" s="1"/>
  <c r="E85" i="33"/>
  <c r="G117" i="37"/>
  <c r="F126" i="37"/>
  <c r="F129" i="37" s="1"/>
  <c r="F86" i="20"/>
  <c r="G86" i="20" s="1"/>
  <c r="G103" i="20" s="1"/>
  <c r="C45" i="37"/>
  <c r="G59" i="36"/>
  <c r="H56" i="36"/>
  <c r="H54" i="36"/>
  <c r="D60" i="37"/>
  <c r="I59" i="37"/>
  <c r="F16" i="36"/>
  <c r="C16" i="36"/>
  <c r="M15" i="37"/>
  <c r="E24" i="36"/>
  <c r="D19" i="37"/>
  <c r="F24" i="36"/>
  <c r="C20" i="36"/>
  <c r="C24" i="36"/>
  <c r="H66" i="36"/>
  <c r="G51" i="36"/>
  <c r="D55" i="37"/>
  <c r="H46" i="37"/>
  <c r="F50" i="37"/>
  <c r="D54" i="36"/>
  <c r="I62" i="33"/>
  <c r="G50" i="36"/>
  <c r="E60" i="37"/>
  <c r="N23" i="36"/>
  <c r="M23" i="37"/>
  <c r="F32" i="36"/>
  <c r="D15" i="37"/>
  <c r="N15" i="36"/>
  <c r="D23" i="37"/>
  <c r="E14" i="36"/>
  <c r="H30" i="36"/>
  <c r="F10" i="36"/>
  <c r="C50" i="37"/>
  <c r="D59" i="37"/>
  <c r="L59" i="36"/>
  <c r="I46" i="37"/>
  <c r="D56" i="37"/>
  <c r="D58" i="36"/>
  <c r="F52" i="37"/>
  <c r="G46" i="37"/>
  <c r="I55" i="37"/>
  <c r="E52" i="37"/>
  <c r="N11" i="37"/>
  <c r="E18" i="36"/>
  <c r="N19" i="36"/>
  <c r="D18" i="37"/>
  <c r="E22" i="36"/>
  <c r="G32" i="36"/>
  <c r="H11" i="37"/>
  <c r="G66" i="36"/>
  <c r="C54" i="37"/>
  <c r="H52" i="36"/>
  <c r="F58" i="37"/>
  <c r="I58" i="36"/>
  <c r="D46" i="37"/>
  <c r="G56" i="37"/>
  <c r="F56" i="37"/>
  <c r="I51" i="37"/>
  <c r="E56" i="37"/>
  <c r="H15" i="36"/>
  <c r="D22" i="37"/>
  <c r="E10" i="37"/>
  <c r="E19" i="37"/>
  <c r="H26" i="15"/>
  <c r="H26" i="36"/>
  <c r="O55" i="37"/>
  <c r="G47" i="37"/>
  <c r="H48" i="37"/>
  <c r="H50" i="36"/>
  <c r="I50" i="36"/>
  <c r="G52" i="37"/>
  <c r="C60" i="37"/>
  <c r="D24" i="36"/>
  <c r="C11" i="37"/>
  <c r="E15" i="37"/>
  <c r="H10" i="36"/>
  <c r="H39" i="36" s="1"/>
  <c r="H34" i="36"/>
  <c r="E12" i="37"/>
  <c r="O59" i="37"/>
  <c r="H60" i="36"/>
  <c r="L51" i="36"/>
  <c r="F54" i="37"/>
  <c r="C56" i="37"/>
  <c r="F60" i="37"/>
  <c r="G54" i="36"/>
  <c r="D46" i="33"/>
  <c r="D75" i="33" s="1"/>
  <c r="F11" i="36"/>
  <c r="G10" i="36"/>
  <c r="D14" i="37"/>
  <c r="E16" i="36"/>
  <c r="H23" i="36"/>
  <c r="C19" i="36"/>
  <c r="O51" i="37"/>
  <c r="H58" i="36"/>
  <c r="L47" i="37"/>
  <c r="I54" i="36"/>
  <c r="G60" i="37"/>
  <c r="C52" i="37"/>
  <c r="M19" i="37"/>
  <c r="K11" i="36"/>
  <c r="H20" i="37"/>
  <c r="E23" i="37"/>
  <c r="D20" i="36"/>
  <c r="H16" i="37"/>
  <c r="C15" i="36"/>
  <c r="D12" i="37"/>
  <c r="D9" i="37" s="1"/>
  <c r="G55" i="36"/>
  <c r="C58" i="37"/>
  <c r="D51" i="37"/>
  <c r="L55" i="36"/>
  <c r="D52" i="37"/>
  <c r="D50" i="36"/>
  <c r="G58" i="36"/>
  <c r="I63" i="36"/>
  <c r="G12" i="36"/>
  <c r="E20" i="36"/>
  <c r="F20" i="36"/>
  <c r="H19" i="36"/>
  <c r="H24" i="37"/>
  <c r="C12" i="37"/>
  <c r="C10" i="36"/>
  <c r="C39" i="36" s="1"/>
  <c r="C23" i="36"/>
  <c r="F12" i="37"/>
  <c r="D16" i="36"/>
  <c r="E32" i="36"/>
  <c r="H111" i="36"/>
  <c r="H119" i="36" s="1"/>
  <c r="H132" i="36" s="1"/>
  <c r="I111" i="36"/>
  <c r="I119" i="36" s="1"/>
  <c r="I132" i="36" s="1"/>
  <c r="E94" i="33"/>
  <c r="E105" i="20"/>
  <c r="I88" i="20"/>
  <c r="J88" i="20" s="1"/>
  <c r="D129" i="36"/>
  <c r="D137" i="36"/>
  <c r="I90" i="37"/>
  <c r="I98" i="37"/>
  <c r="I113" i="37"/>
  <c r="I85" i="37"/>
  <c r="I83" i="37"/>
  <c r="I94" i="37"/>
  <c r="G82" i="36"/>
  <c r="G130" i="36" s="1"/>
  <c r="H82" i="36"/>
  <c r="H130" i="36" s="1"/>
  <c r="E82" i="36"/>
  <c r="E130" i="36" s="1"/>
  <c r="E119" i="36"/>
  <c r="E132" i="36" s="1"/>
  <c r="I82" i="36"/>
  <c r="I130" i="36" s="1"/>
  <c r="F82" i="36"/>
  <c r="F130" i="36" s="1"/>
  <c r="J82" i="36"/>
  <c r="J130" i="36" s="1"/>
  <c r="J125" i="33"/>
  <c r="J138" i="33" s="1"/>
  <c r="J121" i="33"/>
  <c r="G75" i="36"/>
  <c r="J111" i="36"/>
  <c r="E136" i="30"/>
  <c r="F136" i="30" s="1"/>
  <c r="G136" i="30" s="1"/>
  <c r="H136" i="30" s="1"/>
  <c r="I136" i="30" s="1"/>
  <c r="F110" i="37"/>
  <c r="F108" i="37"/>
  <c r="F106" i="37"/>
  <c r="F84" i="37"/>
  <c r="F111" i="37"/>
  <c r="J98" i="37"/>
  <c r="J113" i="37"/>
  <c r="J90" i="37"/>
  <c r="J94" i="37"/>
  <c r="J85" i="37"/>
  <c r="E104" i="20"/>
  <c r="E122" i="36"/>
  <c r="E126" i="36" s="1"/>
  <c r="E117" i="36"/>
  <c r="E127" i="36" s="1"/>
  <c r="E138" i="36" s="1"/>
  <c r="H94" i="37"/>
  <c r="H85" i="37"/>
  <c r="H113" i="37"/>
  <c r="H90" i="37"/>
  <c r="H83" i="37"/>
  <c r="H106" i="37" s="1"/>
  <c r="H98" i="37"/>
  <c r="H122" i="36"/>
  <c r="H126" i="36" s="1"/>
  <c r="H117" i="36"/>
  <c r="H127" i="36" s="1"/>
  <c r="H138" i="36" s="1"/>
  <c r="E113" i="37"/>
  <c r="E94" i="37"/>
  <c r="E98" i="37"/>
  <c r="E90" i="37"/>
  <c r="F131" i="37"/>
  <c r="G131" i="37" s="1"/>
  <c r="H131" i="37" s="1"/>
  <c r="I131" i="37" s="1"/>
  <c r="J131" i="37" s="1"/>
  <c r="E83" i="37"/>
  <c r="E85" i="37"/>
  <c r="G137" i="36"/>
  <c r="G129" i="36"/>
  <c r="F137" i="36"/>
  <c r="F129" i="36"/>
  <c r="F45" i="37"/>
  <c r="E39" i="36"/>
  <c r="E113" i="18"/>
  <c r="E131" i="18"/>
  <c r="E98" i="28"/>
  <c r="E136" i="28"/>
  <c r="F136" i="28" s="1"/>
  <c r="G136" i="28" s="1"/>
  <c r="H136" i="28" s="1"/>
  <c r="I136" i="28" s="1"/>
  <c r="H114" i="37"/>
  <c r="H123" i="37" s="1"/>
  <c r="H99" i="37"/>
  <c r="H95" i="37"/>
  <c r="H91" i="37"/>
  <c r="I92" i="37"/>
  <c r="I115" i="37"/>
  <c r="I124" i="37" s="1"/>
  <c r="I100" i="37"/>
  <c r="I96" i="37"/>
  <c r="G108" i="37"/>
  <c r="G106" i="37"/>
  <c r="G110" i="37"/>
  <c r="G84" i="37"/>
  <c r="G111" i="37"/>
  <c r="J83" i="37"/>
  <c r="I75" i="36"/>
  <c r="J122" i="36"/>
  <c r="J126" i="36" s="1"/>
  <c r="J117" i="36"/>
  <c r="J127" i="36" s="1"/>
  <c r="J138" i="36" s="1"/>
  <c r="E131" i="22"/>
  <c r="F131" i="22" s="1"/>
  <c r="G131" i="22" s="1"/>
  <c r="H131" i="22" s="1"/>
  <c r="I131" i="22" s="1"/>
  <c r="J131" i="22" s="1"/>
  <c r="E149" i="33"/>
  <c r="E136" i="33"/>
  <c r="F136" i="33" s="1"/>
  <c r="G136" i="33" s="1"/>
  <c r="H136" i="33" s="1"/>
  <c r="I136" i="33" s="1"/>
  <c r="E83" i="33"/>
  <c r="G82" i="33" s="1"/>
  <c r="H75" i="36"/>
  <c r="D119" i="37"/>
  <c r="D132" i="37" s="1"/>
  <c r="D82" i="37"/>
  <c r="M99" i="37"/>
  <c r="M95" i="37"/>
  <c r="M114" i="37"/>
  <c r="M123" i="37" s="1"/>
  <c r="M91" i="37"/>
  <c r="F131" i="19"/>
  <c r="I122" i="36"/>
  <c r="I126" i="36" s="1"/>
  <c r="I117" i="36"/>
  <c r="I127" i="36" s="1"/>
  <c r="I138" i="36" s="1"/>
  <c r="E103" i="20"/>
  <c r="J103" i="37"/>
  <c r="J102" i="37"/>
  <c r="J104" i="37"/>
  <c r="J102" i="22"/>
  <c r="J120" i="22" s="1"/>
  <c r="J133" i="22" s="1"/>
  <c r="J101" i="36"/>
  <c r="J105" i="37"/>
  <c r="J104" i="22"/>
  <c r="J103" i="22"/>
  <c r="J105" i="22"/>
  <c r="D75" i="36"/>
  <c r="E60" i="33"/>
  <c r="F131" i="30"/>
  <c r="F134" i="30" s="1"/>
  <c r="G131" i="30"/>
  <c r="G134" i="30" s="1"/>
  <c r="H71" i="33"/>
  <c r="G71" i="33"/>
  <c r="E56" i="33"/>
  <c r="E52" i="33"/>
  <c r="D12" i="33"/>
  <c r="D39" i="33" s="1"/>
  <c r="E127" i="33"/>
  <c r="E131" i="33" s="1"/>
  <c r="E142" i="33" s="1"/>
  <c r="G131" i="33"/>
  <c r="G142" i="33" s="1"/>
  <c r="I50" i="33"/>
  <c r="H50" i="33"/>
  <c r="G59" i="33"/>
  <c r="H27" i="33"/>
  <c r="H51" i="33"/>
  <c r="H56" i="33"/>
  <c r="H54" i="33"/>
  <c r="G58" i="33"/>
  <c r="G51" i="33"/>
  <c r="C20" i="33"/>
  <c r="C19" i="33"/>
  <c r="F24" i="33"/>
  <c r="E22" i="33"/>
  <c r="F16" i="33"/>
  <c r="G55" i="33"/>
  <c r="I66" i="33"/>
  <c r="H55" i="33"/>
  <c r="G10" i="33"/>
  <c r="H70" i="33"/>
  <c r="G54" i="33"/>
  <c r="E18" i="33"/>
  <c r="E16" i="33"/>
  <c r="F10" i="33"/>
  <c r="F11" i="33"/>
  <c r="H10" i="33"/>
  <c r="H59" i="33"/>
  <c r="I58" i="33"/>
  <c r="E20" i="33"/>
  <c r="E14" i="33"/>
  <c r="F20" i="33"/>
  <c r="C23" i="33"/>
  <c r="H60" i="33"/>
  <c r="H58" i="33"/>
  <c r="I54" i="33"/>
  <c r="G11" i="33"/>
  <c r="C15" i="33"/>
  <c r="C16" i="33"/>
  <c r="G70" i="33"/>
  <c r="H52" i="33"/>
  <c r="G50" i="33"/>
  <c r="D50" i="33"/>
  <c r="G12" i="33"/>
  <c r="C24" i="33"/>
  <c r="E24" i="33"/>
  <c r="M128" i="30"/>
  <c r="I122" i="33"/>
  <c r="I132" i="33" s="1"/>
  <c r="H122" i="33"/>
  <c r="H132" i="33" s="1"/>
  <c r="I128" i="30"/>
  <c r="H128" i="30"/>
  <c r="F131" i="33"/>
  <c r="H75" i="33"/>
  <c r="I123" i="33"/>
  <c r="I133" i="33" s="1"/>
  <c r="G75" i="33"/>
  <c r="D131" i="33"/>
  <c r="I129" i="30"/>
  <c r="H123" i="33"/>
  <c r="H133" i="33" s="1"/>
  <c r="E39" i="33"/>
  <c r="C52" i="19"/>
  <c r="C60" i="19"/>
  <c r="E19" i="28"/>
  <c r="D15" i="28"/>
  <c r="E127" i="30"/>
  <c r="E131" i="30" s="1"/>
  <c r="E134" i="30" s="1"/>
  <c r="D51" i="28"/>
  <c r="H99" i="28"/>
  <c r="E47" i="19"/>
  <c r="F99" i="19"/>
  <c r="F91" i="19"/>
  <c r="E83" i="19"/>
  <c r="G114" i="19"/>
  <c r="G123" i="19" s="1"/>
  <c r="F114" i="19"/>
  <c r="F123" i="19" s="1"/>
  <c r="E83" i="28"/>
  <c r="E82" i="28" s="1"/>
  <c r="E135" i="28" s="1"/>
  <c r="H83" i="28"/>
  <c r="M99" i="28"/>
  <c r="E146" i="28"/>
  <c r="M91" i="28"/>
  <c r="E90" i="28"/>
  <c r="M95" i="28"/>
  <c r="E94" i="28"/>
  <c r="E85" i="28"/>
  <c r="D82" i="28"/>
  <c r="H119" i="28"/>
  <c r="H128" i="28" s="1"/>
  <c r="E100" i="19"/>
  <c r="H98" i="28"/>
  <c r="I98" i="28"/>
  <c r="H146" i="28"/>
  <c r="F56" i="28"/>
  <c r="F60" i="28"/>
  <c r="F52" i="28"/>
  <c r="H94" i="28"/>
  <c r="E23" i="28"/>
  <c r="E15" i="28"/>
  <c r="M23" i="28"/>
  <c r="M15" i="28"/>
  <c r="D19" i="28"/>
  <c r="H90" i="28"/>
  <c r="H118" i="28"/>
  <c r="H127" i="28" s="1"/>
  <c r="I90" i="28"/>
  <c r="I118" i="28"/>
  <c r="I127" i="28" s="1"/>
  <c r="I56" i="28"/>
  <c r="D131" i="28"/>
  <c r="D134" i="28" s="1"/>
  <c r="G52" i="28"/>
  <c r="G127" i="28"/>
  <c r="G131" i="28" s="1"/>
  <c r="G142" i="28" s="1"/>
  <c r="I92" i="28"/>
  <c r="D126" i="19"/>
  <c r="D129" i="19" s="1"/>
  <c r="O51" i="28"/>
  <c r="I52" i="28"/>
  <c r="O59" i="28"/>
  <c r="C56" i="19"/>
  <c r="G56" i="28"/>
  <c r="O55" i="28"/>
  <c r="D48" i="19"/>
  <c r="J101" i="28"/>
  <c r="F58" i="28"/>
  <c r="E60" i="28"/>
  <c r="D55" i="28"/>
  <c r="D59" i="28"/>
  <c r="F50" i="28"/>
  <c r="E56" i="28"/>
  <c r="D52" i="28"/>
  <c r="H95" i="28"/>
  <c r="H85" i="28"/>
  <c r="C45" i="19"/>
  <c r="G122" i="30"/>
  <c r="G132" i="30" s="1"/>
  <c r="I96" i="28"/>
  <c r="I100" i="28"/>
  <c r="D120" i="20"/>
  <c r="I60" i="30"/>
  <c r="O51" i="30"/>
  <c r="H51" i="15"/>
  <c r="D46" i="28"/>
  <c r="D75" i="28" s="1"/>
  <c r="I63" i="30"/>
  <c r="E27" i="30"/>
  <c r="E10" i="28"/>
  <c r="D27" i="30"/>
  <c r="H47" i="28"/>
  <c r="E12" i="28"/>
  <c r="H68" i="29"/>
  <c r="F52" i="30"/>
  <c r="E60" i="30"/>
  <c r="H48" i="30"/>
  <c r="G47" i="30"/>
  <c r="D60" i="30"/>
  <c r="G60" i="30"/>
  <c r="G27" i="28"/>
  <c r="D18" i="28"/>
  <c r="C27" i="30"/>
  <c r="F20" i="15"/>
  <c r="D51" i="30"/>
  <c r="H46" i="30"/>
  <c r="H48" i="28"/>
  <c r="C60" i="30"/>
  <c r="G47" i="28"/>
  <c r="D52" i="30"/>
  <c r="G52" i="30"/>
  <c r="F50" i="30"/>
  <c r="N15" i="15"/>
  <c r="E15" i="30"/>
  <c r="N11" i="30"/>
  <c r="M15" i="30"/>
  <c r="F27" i="28"/>
  <c r="C12" i="30"/>
  <c r="F27" i="30"/>
  <c r="D19" i="30"/>
  <c r="F60" i="30"/>
  <c r="H46" i="28"/>
  <c r="E52" i="30"/>
  <c r="H56" i="15"/>
  <c r="C50" i="30"/>
  <c r="C52" i="30"/>
  <c r="D56" i="30"/>
  <c r="L47" i="30"/>
  <c r="G56" i="30"/>
  <c r="E16" i="15"/>
  <c r="E12" i="30"/>
  <c r="D12" i="28"/>
  <c r="D39" i="28" s="1"/>
  <c r="D22" i="30"/>
  <c r="D27" i="28"/>
  <c r="D18" i="30"/>
  <c r="E10" i="30"/>
  <c r="I46" i="28"/>
  <c r="F56" i="30"/>
  <c r="E56" i="30"/>
  <c r="G46" i="30"/>
  <c r="C56" i="30"/>
  <c r="L47" i="28"/>
  <c r="I52" i="30"/>
  <c r="C19" i="15"/>
  <c r="E19" i="30"/>
  <c r="H12" i="28"/>
  <c r="H12" i="30"/>
  <c r="D14" i="30"/>
  <c r="D23" i="30"/>
  <c r="O55" i="30"/>
  <c r="D55" i="30"/>
  <c r="G46" i="28"/>
  <c r="C54" i="30"/>
  <c r="L55" i="15"/>
  <c r="I56" i="30"/>
  <c r="D56" i="28"/>
  <c r="F58" i="30"/>
  <c r="D14" i="28"/>
  <c r="G27" i="30"/>
  <c r="C11" i="30"/>
  <c r="D12" i="30"/>
  <c r="D39" i="30" s="1"/>
  <c r="F12" i="28"/>
  <c r="F12" i="30"/>
  <c r="O59" i="30"/>
  <c r="D59" i="30"/>
  <c r="H47" i="30"/>
  <c r="G68" i="29"/>
  <c r="C58" i="30"/>
  <c r="D46" i="30"/>
  <c r="I46" i="30"/>
  <c r="E52" i="28"/>
  <c r="F54" i="30"/>
  <c r="N11" i="28"/>
  <c r="E23" i="30"/>
  <c r="E27" i="28"/>
  <c r="D22" i="28"/>
  <c r="M23" i="30"/>
  <c r="M19" i="30"/>
  <c r="D15" i="30"/>
  <c r="G129" i="15"/>
  <c r="G137" i="15"/>
  <c r="H118" i="15"/>
  <c r="H128" i="15" s="1"/>
  <c r="H110" i="30"/>
  <c r="H110" i="28"/>
  <c r="H123" i="28" s="1"/>
  <c r="H133" i="28" s="1"/>
  <c r="E118" i="28"/>
  <c r="E122" i="28" s="1"/>
  <c r="E132" i="28" s="1"/>
  <c r="E143" i="28" s="1"/>
  <c r="J101" i="30"/>
  <c r="J98" i="28"/>
  <c r="I116" i="29"/>
  <c r="I111" i="30"/>
  <c r="I111" i="28"/>
  <c r="I120" i="30"/>
  <c r="I100" i="30"/>
  <c r="I96" i="30"/>
  <c r="I92" i="30"/>
  <c r="H99" i="30"/>
  <c r="H119" i="30"/>
  <c r="H95" i="30"/>
  <c r="H91" i="30"/>
  <c r="F137" i="15"/>
  <c r="J106" i="28"/>
  <c r="K106" i="28" s="1"/>
  <c r="L106" i="28" s="1"/>
  <c r="M106" i="28" s="1"/>
  <c r="N106" i="28" s="1"/>
  <c r="O106" i="28" s="1"/>
  <c r="P106" i="28" s="1"/>
  <c r="Q106" i="28" s="1"/>
  <c r="J106" i="30"/>
  <c r="I85" i="30"/>
  <c r="I94" i="30"/>
  <c r="I118" i="30"/>
  <c r="I90" i="30"/>
  <c r="I98" i="30"/>
  <c r="I83" i="30"/>
  <c r="D137" i="15"/>
  <c r="D142" i="30"/>
  <c r="F75" i="28"/>
  <c r="I83" i="28"/>
  <c r="I91" i="28"/>
  <c r="M119" i="30"/>
  <c r="M99" i="30"/>
  <c r="M91" i="30"/>
  <c r="M95" i="30"/>
  <c r="E75" i="28"/>
  <c r="F75" i="30"/>
  <c r="J118" i="28"/>
  <c r="J127" i="28" s="1"/>
  <c r="I99" i="28"/>
  <c r="L102" i="28"/>
  <c r="K125" i="28"/>
  <c r="K138" i="28" s="1"/>
  <c r="H118" i="30"/>
  <c r="H98" i="30"/>
  <c r="H83" i="30"/>
  <c r="H94" i="30"/>
  <c r="H85" i="30"/>
  <c r="H90" i="30"/>
  <c r="D82" i="30"/>
  <c r="D124" i="30"/>
  <c r="D137" i="30" s="1"/>
  <c r="J90" i="28"/>
  <c r="I146" i="28"/>
  <c r="I95" i="28"/>
  <c r="C75" i="30"/>
  <c r="I85" i="28"/>
  <c r="I118" i="15"/>
  <c r="I128" i="15" s="1"/>
  <c r="I110" i="30"/>
  <c r="I110" i="28"/>
  <c r="I123" i="28" s="1"/>
  <c r="I133" i="28" s="1"/>
  <c r="I119" i="28"/>
  <c r="I128" i="28" s="1"/>
  <c r="I91" i="30"/>
  <c r="I99" i="30"/>
  <c r="I119" i="30"/>
  <c r="I95" i="30"/>
  <c r="H116" i="29"/>
  <c r="H111" i="30"/>
  <c r="H111" i="28"/>
  <c r="E94" i="30"/>
  <c r="E98" i="30"/>
  <c r="E83" i="30"/>
  <c r="E90" i="30"/>
  <c r="E118" i="30"/>
  <c r="E122" i="30" s="1"/>
  <c r="E132" i="30" s="1"/>
  <c r="E85" i="30"/>
  <c r="J118" i="30"/>
  <c r="J98" i="30"/>
  <c r="J90" i="30"/>
  <c r="J94" i="30"/>
  <c r="E122" i="18"/>
  <c r="D119" i="19"/>
  <c r="D132" i="19" s="1"/>
  <c r="D120" i="19"/>
  <c r="G143" i="30"/>
  <c r="F143" i="30"/>
  <c r="I62" i="28"/>
  <c r="J121" i="28"/>
  <c r="J130" i="28" s="1"/>
  <c r="I29" i="28"/>
  <c r="I63" i="28"/>
  <c r="F132" i="28"/>
  <c r="F143" i="28" s="1"/>
  <c r="G132" i="28"/>
  <c r="G143" i="28" s="1"/>
  <c r="N23" i="15"/>
  <c r="E18" i="28"/>
  <c r="N19" i="15"/>
  <c r="I54" i="28"/>
  <c r="G70" i="15"/>
  <c r="G51" i="28"/>
  <c r="H54" i="28"/>
  <c r="F24" i="28"/>
  <c r="H70" i="15"/>
  <c r="H27" i="15"/>
  <c r="H24" i="28"/>
  <c r="H111" i="15"/>
  <c r="H114" i="33" s="1"/>
  <c r="H151" i="33" s="1"/>
  <c r="I106" i="15"/>
  <c r="I106" i="33" s="1"/>
  <c r="F134" i="28"/>
  <c r="J111" i="15"/>
  <c r="J114" i="33" s="1"/>
  <c r="I111" i="15"/>
  <c r="H106" i="15"/>
  <c r="H106" i="33" s="1"/>
  <c r="I70" i="15"/>
  <c r="L59" i="15"/>
  <c r="L51" i="15"/>
  <c r="K11" i="15"/>
  <c r="F129" i="15"/>
  <c r="D129" i="15"/>
  <c r="I122" i="15"/>
  <c r="I127" i="33" s="1"/>
  <c r="I117" i="15"/>
  <c r="I127" i="15" s="1"/>
  <c r="I138" i="15" s="1"/>
  <c r="I143" i="33" s="1"/>
  <c r="E126" i="15"/>
  <c r="E117" i="15"/>
  <c r="J122" i="15"/>
  <c r="J127" i="33" s="1"/>
  <c r="H122" i="15"/>
  <c r="H127" i="33" s="1"/>
  <c r="H117" i="15"/>
  <c r="H127" i="15" s="1"/>
  <c r="H138" i="15" s="1"/>
  <c r="H143" i="33" s="1"/>
  <c r="G68" i="15"/>
  <c r="H68" i="15"/>
  <c r="D60" i="22"/>
  <c r="D52" i="22"/>
  <c r="C12" i="22"/>
  <c r="C20" i="15"/>
  <c r="C24" i="15"/>
  <c r="C16" i="15"/>
  <c r="G99" i="18"/>
  <c r="G114" i="18"/>
  <c r="G123" i="18" s="1"/>
  <c r="G91" i="18"/>
  <c r="H87" i="18"/>
  <c r="H91" i="18" s="1"/>
  <c r="D55" i="22"/>
  <c r="C23" i="15"/>
  <c r="D59" i="22"/>
  <c r="C15" i="15"/>
  <c r="D126" i="18"/>
  <c r="D129" i="18" s="1"/>
  <c r="D119" i="20"/>
  <c r="D51" i="22"/>
  <c r="C11" i="22"/>
  <c r="C60" i="20"/>
  <c r="C56" i="20"/>
  <c r="C52" i="20"/>
  <c r="C56" i="18"/>
  <c r="C52" i="18"/>
  <c r="E18" i="15"/>
  <c r="E22" i="15"/>
  <c r="E14" i="15"/>
  <c r="C45" i="20"/>
  <c r="C45" i="18"/>
  <c r="D48" i="18"/>
  <c r="E115" i="18"/>
  <c r="E124" i="18" s="1"/>
  <c r="E100" i="18"/>
  <c r="F88" i="18"/>
  <c r="E92" i="18"/>
  <c r="E96" i="18"/>
  <c r="D24" i="15"/>
  <c r="D16" i="15"/>
  <c r="C54" i="18"/>
  <c r="D20" i="15"/>
  <c r="E98" i="18"/>
  <c r="E94" i="18"/>
  <c r="F86" i="18"/>
  <c r="C45" i="22"/>
  <c r="E103" i="18"/>
  <c r="E83" i="18"/>
  <c r="E84" i="18" s="1"/>
  <c r="E104" i="18"/>
  <c r="E102" i="18"/>
  <c r="E120" i="18" s="1"/>
  <c r="E133" i="18" s="1"/>
  <c r="E39" i="15"/>
  <c r="E106" i="18"/>
  <c r="E105" i="18"/>
  <c r="E90" i="18"/>
  <c r="C60" i="22"/>
  <c r="C52" i="22"/>
  <c r="E90" i="19"/>
  <c r="E85" i="19"/>
  <c r="E98" i="19"/>
  <c r="E113" i="19"/>
  <c r="E94" i="19"/>
  <c r="C68" i="19"/>
  <c r="E83" i="22"/>
  <c r="E98" i="22"/>
  <c r="D119" i="22"/>
  <c r="D132" i="22" s="1"/>
  <c r="C50" i="19"/>
  <c r="F24" i="15"/>
  <c r="F16" i="15"/>
  <c r="H60" i="15"/>
  <c r="C58" i="19"/>
  <c r="D50" i="15"/>
  <c r="C68" i="20"/>
  <c r="C68" i="18"/>
  <c r="H52" i="15"/>
  <c r="H59" i="15"/>
  <c r="H55" i="15"/>
  <c r="D46" i="22"/>
  <c r="C54" i="19"/>
  <c r="D58" i="15"/>
  <c r="D54" i="15"/>
  <c r="D46" i="19"/>
  <c r="D118" i="20"/>
  <c r="D128" i="20" s="1"/>
  <c r="D118" i="18"/>
  <c r="D128" i="18" s="1"/>
  <c r="E85" i="22"/>
  <c r="E113" i="22"/>
  <c r="D82" i="19"/>
  <c r="E90" i="22"/>
  <c r="H75" i="15"/>
  <c r="H85" i="22"/>
  <c r="C54" i="22"/>
  <c r="C58" i="22"/>
  <c r="C50" i="22"/>
  <c r="D84" i="18"/>
  <c r="G55" i="15"/>
  <c r="H82" i="15"/>
  <c r="H130" i="15" s="1"/>
  <c r="I85" i="22"/>
  <c r="G75" i="15"/>
  <c r="G54" i="15"/>
  <c r="G51" i="15"/>
  <c r="G50" i="15"/>
  <c r="C58" i="18"/>
  <c r="E24" i="15"/>
  <c r="G58" i="15"/>
  <c r="D46" i="18"/>
  <c r="C50" i="18"/>
  <c r="E20" i="15"/>
  <c r="E85" i="18"/>
  <c r="G11" i="15"/>
  <c r="G59" i="15"/>
  <c r="G12" i="15"/>
  <c r="F11" i="15"/>
  <c r="F10" i="15"/>
  <c r="C10" i="15"/>
  <c r="C39" i="15" s="1"/>
  <c r="F82" i="15"/>
  <c r="F130" i="15" s="1"/>
  <c r="G82" i="15"/>
  <c r="G130" i="15" s="1"/>
  <c r="E82" i="15"/>
  <c r="E130" i="15" s="1"/>
  <c r="D75" i="15"/>
  <c r="J144" i="20"/>
  <c r="F100" i="20"/>
  <c r="F96" i="20"/>
  <c r="F115" i="20"/>
  <c r="F124" i="20" s="1"/>
  <c r="F92" i="20"/>
  <c r="E48" i="20"/>
  <c r="H20" i="15"/>
  <c r="D52" i="19"/>
  <c r="D59" i="18"/>
  <c r="D51" i="18"/>
  <c r="E47" i="18"/>
  <c r="D60" i="20"/>
  <c r="D52" i="20"/>
  <c r="D56" i="20"/>
  <c r="D51" i="19"/>
  <c r="D56" i="19"/>
  <c r="D55" i="19"/>
  <c r="D59" i="19"/>
  <c r="I99" i="22"/>
  <c r="E46" i="22"/>
  <c r="E45" i="22" s="1"/>
  <c r="D54" i="22"/>
  <c r="F48" i="22"/>
  <c r="D23" i="22"/>
  <c r="D19" i="22"/>
  <c r="F59" i="22"/>
  <c r="C20" i="22"/>
  <c r="D15" i="22"/>
  <c r="F51" i="22"/>
  <c r="E56" i="22"/>
  <c r="G47" i="22"/>
  <c r="C11" i="18"/>
  <c r="E11" i="22"/>
  <c r="F55" i="22"/>
  <c r="E52" i="22"/>
  <c r="D12" i="22"/>
  <c r="C11" i="19"/>
  <c r="F48" i="20"/>
  <c r="E55" i="19"/>
  <c r="D55" i="18"/>
  <c r="E60" i="22"/>
  <c r="C12" i="20"/>
  <c r="H50" i="15"/>
  <c r="F113" i="22"/>
  <c r="F98" i="22"/>
  <c r="F94" i="22"/>
  <c r="F90" i="22"/>
  <c r="F83" i="22"/>
  <c r="G100" i="22"/>
  <c r="G96" i="22"/>
  <c r="G92" i="22"/>
  <c r="G115" i="22"/>
  <c r="G124" i="22" s="1"/>
  <c r="H114" i="22"/>
  <c r="H123" i="22" s="1"/>
  <c r="H99" i="22"/>
  <c r="H95" i="22"/>
  <c r="H91" i="22"/>
  <c r="I82" i="15"/>
  <c r="I130" i="15" s="1"/>
  <c r="H24" i="15"/>
  <c r="H16" i="15"/>
  <c r="H10" i="15"/>
  <c r="G10" i="15"/>
  <c r="I58" i="15"/>
  <c r="I54" i="15"/>
  <c r="I50" i="15"/>
  <c r="G115" i="20"/>
  <c r="G124" i="20" s="1"/>
  <c r="G100" i="20"/>
  <c r="G92" i="20"/>
  <c r="G96" i="20"/>
  <c r="H54" i="15"/>
  <c r="H58" i="15"/>
  <c r="I66" i="15"/>
  <c r="F20" i="30" a="1"/>
  <c r="E52" i="20" a="1"/>
  <c r="F23" i="15" a="1"/>
  <c r="F23" i="36" a="1"/>
  <c r="H14" i="33" a="1"/>
  <c r="D50" i="28" a="1"/>
  <c r="E24" i="37" a="1"/>
  <c r="H71" i="28" a="1"/>
  <c r="H19" i="37" a="1"/>
  <c r="F47" i="18" a="1"/>
  <c r="G54" i="30" a="1"/>
  <c r="C24" i="37" a="1"/>
  <c r="C19" i="37" a="1"/>
  <c r="I63" i="37" a="1"/>
  <c r="H52" i="28" a="1"/>
  <c r="H71" i="15" a="1"/>
  <c r="E51" i="18" a="1"/>
  <c r="E32" i="15" a="1"/>
  <c r="C22" i="36" a="1"/>
  <c r="D16" i="22" a="1"/>
  <c r="I58" i="30" a="1"/>
  <c r="H30" i="33" a="1"/>
  <c r="G54" i="28" a="1"/>
  <c r="F60" i="20" a="1"/>
  <c r="H56" i="28" a="1"/>
  <c r="E32" i="29" a="1"/>
  <c r="K11" i="30" a="1"/>
  <c r="G20" i="33" a="1"/>
  <c r="H59" i="28" a="1"/>
  <c r="G70" i="28" a="1"/>
  <c r="L51" i="37" a="1"/>
  <c r="G34" i="15" a="1"/>
  <c r="C15" i="18" a="1"/>
  <c r="F22" i="33" a="1"/>
  <c r="E70" i="37" a="1"/>
  <c r="G59" i="37" a="1"/>
  <c r="G59" i="28" a="1"/>
  <c r="F18" i="15" a="1"/>
  <c r="G59" i="22" a="1"/>
  <c r="I65" i="37" a="1"/>
  <c r="D24" i="22" a="1"/>
  <c r="G10" i="28" a="1"/>
  <c r="F10" i="28" a="1"/>
  <c r="C24" i="22" a="1"/>
  <c r="C10" i="19" a="1"/>
  <c r="E18" i="37" a="1"/>
  <c r="E12" i="22" a="1"/>
  <c r="I62" i="37" a="1"/>
  <c r="H54" i="37" a="1"/>
  <c r="C20" i="19" a="1"/>
  <c r="D60" i="19" a="1"/>
  <c r="C10" i="18" a="1"/>
  <c r="F15" i="15" a="1"/>
  <c r="H34" i="15" a="1"/>
  <c r="H56" i="30" a="1"/>
  <c r="D58" i="18" a="1"/>
  <c r="F19" i="15" a="1"/>
  <c r="H52" i="37" a="1"/>
  <c r="C23" i="37" a="1"/>
  <c r="D19" i="19" a="1"/>
  <c r="H24" i="30" a="1"/>
  <c r="G18" i="36" a="1"/>
  <c r="E60" i="20" a="1"/>
  <c r="C10" i="30" a="1"/>
  <c r="H14" i="36" a="1"/>
  <c r="H16" i="28" a="1"/>
  <c r="G24" i="15" a="1"/>
  <c r="E14" i="28" a="1"/>
  <c r="E48" i="18" a="1"/>
  <c r="E12" i="20" a="1"/>
  <c r="L59" i="30" a="1"/>
  <c r="I54" i="30" a="1"/>
  <c r="C15" i="19" a="1"/>
  <c r="H60" i="37" a="1"/>
  <c r="G70" i="30" a="1"/>
  <c r="C12" i="19" a="1"/>
  <c r="C14" i="36" a="1"/>
  <c r="G22" i="33" a="1"/>
  <c r="G66" i="37" a="1"/>
  <c r="D58" i="33" a="1"/>
  <c r="F11" i="22" a="1"/>
  <c r="N15" i="28" a="1"/>
  <c r="F30" i="36" a="1"/>
  <c r="D64" i="18" a="1"/>
  <c r="H16" i="30" a="1"/>
  <c r="C18" i="36" a="1"/>
  <c r="F10" i="30" a="1"/>
  <c r="F22" i="36" a="1"/>
  <c r="H26" i="28" a="1"/>
  <c r="C19" i="22" a="1"/>
  <c r="C18" i="22" a="1"/>
  <c r="C19" i="30" a="1"/>
  <c r="D16" i="30" a="1"/>
  <c r="C14" i="15" a="1"/>
  <c r="H26" i="30" a="1"/>
  <c r="C10" i="33" a="1"/>
  <c r="D58" i="28" a="1"/>
  <c r="H58" i="28" a="1"/>
  <c r="F10" i="37" a="1"/>
  <c r="G71" i="15" a="1"/>
  <c r="H54" i="30" a="1"/>
  <c r="F14" i="33" a="1"/>
  <c r="G58" i="28" a="1"/>
  <c r="D16" i="37" a="1"/>
  <c r="G51" i="37" a="1"/>
  <c r="H66" i="15" a="1"/>
  <c r="G58" i="30" a="1"/>
  <c r="D64" i="19" a="1"/>
  <c r="K11" i="28" a="1"/>
  <c r="L55" i="37" a="1"/>
  <c r="C15" i="22" a="1"/>
  <c r="F14" i="36" a="1"/>
  <c r="D56" i="18" a="1"/>
  <c r="I50" i="30" a="1"/>
  <c r="G12" i="30" a="1"/>
  <c r="E16" i="28" a="1"/>
  <c r="E22" i="37" a="1"/>
  <c r="D64" i="22" a="1"/>
  <c r="G10" i="37" a="1"/>
  <c r="F66" i="37" a="1"/>
  <c r="E66" i="37" a="1"/>
  <c r="D65" i="22" a="1"/>
  <c r="D24" i="28" a="1"/>
  <c r="D54" i="30" a="1"/>
  <c r="D50" i="19" a="1"/>
  <c r="E16" i="30" a="1"/>
  <c r="D50" i="37" a="1"/>
  <c r="C20" i="30" a="1"/>
  <c r="I64" i="37" a="1"/>
  <c r="G11" i="30" a="1"/>
  <c r="D20" i="37" a="1"/>
  <c r="K23" i="15" a="1"/>
  <c r="D50" i="30" a="1"/>
  <c r="C14" i="33" a="1"/>
  <c r="H26" i="33" a="1"/>
  <c r="I66" i="28" a="1"/>
  <c r="D16" i="33" a="1"/>
  <c r="E56" i="20" a="1"/>
  <c r="C16" i="30" a="1"/>
  <c r="H59" i="30" a="1"/>
  <c r="C19" i="19" a="1"/>
  <c r="G20" i="36" a="1"/>
  <c r="G18" i="15" a="1"/>
  <c r="D63" i="22" a="1"/>
  <c r="F56" i="20" a="1"/>
  <c r="D65" i="19" a="1"/>
  <c r="K15" i="36" a="1"/>
  <c r="D52" i="18" a="1"/>
  <c r="D65" i="18" a="1"/>
  <c r="G19" i="33" a="1"/>
  <c r="E20" i="37" a="1"/>
  <c r="C24" i="30" a="1"/>
  <c r="G23" i="15" a="1"/>
  <c r="N15" i="30" a="1"/>
  <c r="C18" i="15" a="1"/>
  <c r="C22" i="15" a="1"/>
  <c r="C23" i="19" a="1"/>
  <c r="F18" i="36" a="1"/>
  <c r="F16" i="30" a="1"/>
  <c r="H50" i="28" a="1"/>
  <c r="H15" i="37" a="1"/>
  <c r="F32" i="29" a="1"/>
  <c r="E59" i="19" a="1"/>
  <c r="G10" i="30" a="1"/>
  <c r="E22" i="28" a="1"/>
  <c r="D24" i="30" a="1"/>
  <c r="F46" i="22" a="1"/>
  <c r="F60" i="22" a="1"/>
  <c r="F52" i="20" a="1"/>
  <c r="D58" i="19" a="1"/>
  <c r="H71" i="30" a="1"/>
  <c r="D11" i="18" a="1"/>
  <c r="C23" i="18" a="1"/>
  <c r="D66" i="18" a="1"/>
  <c r="D20" i="28" a="1"/>
  <c r="H51" i="30" a="1"/>
  <c r="K15" i="15" a="1"/>
  <c r="F32" i="15" a="1"/>
  <c r="D62" i="19" a="1"/>
  <c r="E24" i="28" a="1"/>
  <c r="N19" i="37" a="1"/>
  <c r="C23" i="22" a="1"/>
  <c r="G55" i="22" a="1"/>
  <c r="G71" i="36" a="1"/>
  <c r="H60" i="28" a="1"/>
  <c r="E20" i="28" a="1"/>
  <c r="D11" i="19" a="1"/>
  <c r="I58" i="37" a="1"/>
  <c r="C15" i="30" a="1"/>
  <c r="C20" i="20" a="1"/>
  <c r="F20" i="28" a="1"/>
  <c r="E18" i="30" a="1"/>
  <c r="L51" i="30" a="1"/>
  <c r="G24" i="36" a="1"/>
  <c r="K23" i="36" a="1"/>
  <c r="I58" i="28" a="1"/>
  <c r="D24" i="33" a="1"/>
  <c r="L59" i="37" a="1"/>
  <c r="F52" i="22" a="1"/>
  <c r="F11" i="28" a="1"/>
  <c r="D50" i="22" a="1"/>
  <c r="D58" i="22" a="1"/>
  <c r="F20" i="37" a="1"/>
  <c r="G15" i="33" a="1"/>
  <c r="D16" i="28" a="1"/>
  <c r="L55" i="30" a="1"/>
  <c r="E19" i="22" a="1"/>
  <c r="H50" i="37" a="1"/>
  <c r="C16" i="19" a="1"/>
  <c r="N19" i="30" a="1"/>
  <c r="F16" i="37" a="1"/>
  <c r="C23" i="30" a="1"/>
  <c r="H22" i="15" a="1"/>
  <c r="H18" i="28" a="1"/>
  <c r="I66" i="30" a="1"/>
  <c r="E24" i="30" a="1"/>
  <c r="E71" i="37" a="1"/>
  <c r="G24" i="33" a="1"/>
  <c r="G16" i="15" a="1"/>
  <c r="F56" i="22" a="1"/>
  <c r="H22" i="36" a="1"/>
  <c r="F18" i="33" a="1"/>
  <c r="G14" i="15" a="1"/>
  <c r="K19" i="36" a="1"/>
  <c r="G50" i="28" a="1"/>
  <c r="D54" i="18" a="1"/>
  <c r="F24" i="37" a="1"/>
  <c r="H58" i="37" a="1"/>
  <c r="H58" i="30" a="1"/>
  <c r="G58" i="37" a="1"/>
  <c r="H20" i="30" a="1"/>
  <c r="G59" i="30" a="1"/>
  <c r="G71" i="28" a="1"/>
  <c r="H27" i="28" a="1"/>
  <c r="F34" i="33" a="1"/>
  <c r="I50" i="37" a="1"/>
  <c r="E50" i="22" a="1"/>
  <c r="G51" i="30" a="1"/>
  <c r="E46" i="19" a="1"/>
  <c r="I71" i="36" a="1"/>
  <c r="F34" i="15" a="1"/>
  <c r="E68" i="37" a="1"/>
  <c r="D66" i="19" a="1"/>
  <c r="H27" i="36" a="1"/>
  <c r="G12" i="37" a="1"/>
  <c r="H55" i="30" a="1"/>
  <c r="H27" i="30" a="1"/>
  <c r="C10" i="37" a="1"/>
  <c r="E55" i="18" a="1"/>
  <c r="F19" i="36" a="1"/>
  <c r="G11" i="28" a="1"/>
  <c r="H10" i="30" a="1"/>
  <c r="G19" i="15" a="1"/>
  <c r="D10" i="22" a="1"/>
  <c r="F11" i="30" a="1"/>
  <c r="E48" i="19" a="1"/>
  <c r="G18" i="28" a="1"/>
  <c r="N23" i="28" a="1"/>
  <c r="I71" i="15" a="1"/>
  <c r="N23" i="30" a="1"/>
  <c r="G54" i="37" a="1"/>
  <c r="E15" i="22" a="1"/>
  <c r="F22" i="15" a="1"/>
  <c r="C20" i="37" a="1"/>
  <c r="E20" i="30" a="1"/>
  <c r="G22" i="15" a="1"/>
  <c r="E46" i="18" a="1"/>
  <c r="G15" i="15" a="1"/>
  <c r="D58" i="37" a="1"/>
  <c r="D12" i="20" a="1"/>
  <c r="C16" i="37" a="1"/>
  <c r="F15" i="28" a="1"/>
  <c r="E54" i="22" a="1"/>
  <c r="C10" i="22" a="1"/>
  <c r="E14" i="37" a="1"/>
  <c r="H71" i="36" a="1"/>
  <c r="F14" i="15" a="1"/>
  <c r="L51" i="28" a="1"/>
  <c r="G20" i="15" a="1"/>
  <c r="D63" i="18" a="1"/>
  <c r="D20" i="30" a="1"/>
  <c r="D20" i="33" a="1"/>
  <c r="D54" i="28" a="1"/>
  <c r="H10" i="28" a="1"/>
  <c r="D62" i="18" a="1"/>
  <c r="G66" i="15" a="1"/>
  <c r="N15" i="37" a="1"/>
  <c r="G14" i="33" a="1"/>
  <c r="H20" i="28" a="1"/>
  <c r="E58" i="22" a="1"/>
  <c r="F35" i="33" a="1"/>
  <c r="L55" i="28" a="1"/>
  <c r="C19" i="18" a="1"/>
  <c r="H55" i="28" a="1"/>
  <c r="G71" i="30" a="1"/>
  <c r="F23" i="33" a="1"/>
  <c r="F16" i="28" a="1"/>
  <c r="C15" i="37" a="1"/>
  <c r="L59" i="28" a="1"/>
  <c r="F15" i="36" a="1"/>
  <c r="D54" i="37" a="1"/>
  <c r="D20" i="22" a="1"/>
  <c r="D62" i="22" a="1"/>
  <c r="D60" i="18" a="1"/>
  <c r="C16" i="22" a="1"/>
  <c r="I54" i="37" a="1"/>
  <c r="G55" i="30" a="1"/>
  <c r="F70" i="37" a="1"/>
  <c r="N19" i="28" a="1"/>
  <c r="G22" i="36" a="1"/>
  <c r="H18" i="36" a="1"/>
  <c r="G16" i="36" a="1"/>
  <c r="G51" i="22" a="1"/>
  <c r="G14" i="36" a="1"/>
  <c r="H18" i="15" a="1"/>
  <c r="K19" i="15" a="1"/>
  <c r="D58" i="30" a="1"/>
  <c r="H66" i="33" a="1"/>
  <c r="G18" i="33" a="1"/>
  <c r="C12" i="18" a="1"/>
  <c r="G55" i="37" a="1"/>
  <c r="H59" i="22" a="1"/>
  <c r="D54" i="19" a="1"/>
  <c r="D54" i="33" a="1"/>
  <c r="G66" i="33" a="1"/>
  <c r="H70" i="30" a="1"/>
  <c r="E16" i="37" a="1"/>
  <c r="H14" i="15" a="1"/>
  <c r="G16" i="33" a="1"/>
  <c r="H23" i="37" a="1"/>
  <c r="F71" i="37" a="1"/>
  <c r="H47" i="22" a="1"/>
  <c r="H18" i="33" a="1"/>
  <c r="F24" i="30" a="1"/>
  <c r="H30" i="15" a="1"/>
  <c r="G55" i="28" a="1"/>
  <c r="F59" i="18" a="1"/>
  <c r="G35" i="33" a="1"/>
  <c r="G48" i="22" a="1"/>
  <c r="G12" i="28" a="1"/>
  <c r="G34" i="33" a="1"/>
  <c r="H70" i="28" a="1"/>
  <c r="H10" i="37" a="1"/>
  <c r="D50" i="18" a="1"/>
  <c r="F11" i="37" a="1"/>
  <c r="G50" i="30" a="1"/>
  <c r="G48" i="20" a="1"/>
  <c r="H50" i="30" a="1"/>
  <c r="E59" i="18" a="1"/>
  <c r="F68" i="37" a="1"/>
  <c r="H60" i="30" a="1"/>
  <c r="E51" i="19" a="1"/>
  <c r="H22" i="33" a="1"/>
  <c r="F19" i="33" a="1"/>
  <c r="G50" i="37" a="1"/>
  <c r="F15" i="33" a="1"/>
  <c r="H52" i="30" a="1"/>
  <c r="D63" i="19" a="1"/>
  <c r="C24" i="20" a="1"/>
  <c r="E23" i="22" a="1"/>
  <c r="H51" i="28" a="1"/>
  <c r="K11" i="37" a="1"/>
  <c r="D24" i="37" a="1"/>
  <c r="G23" i="33" a="1"/>
  <c r="F47" i="19" a="1"/>
  <c r="H56" i="37" a="1"/>
  <c r="N23" i="37" a="1"/>
  <c r="E14" i="30" a="1"/>
  <c r="C16" i="20" a="1"/>
  <c r="G30" i="36" a="1"/>
  <c r="E22" i="30" a="1"/>
  <c r="I50" i="28" a="1"/>
  <c r="F106" i="20" l="1"/>
  <c r="F104" i="20"/>
  <c r="H86" i="20"/>
  <c r="I86" i="20" s="1"/>
  <c r="J86" i="20" s="1"/>
  <c r="J104" i="20" s="1"/>
  <c r="F102" i="20"/>
  <c r="H26" i="30"/>
  <c r="F104" i="19"/>
  <c r="F103" i="19"/>
  <c r="D58" i="33"/>
  <c r="F106" i="19"/>
  <c r="F113" i="19"/>
  <c r="F122" i="19" s="1"/>
  <c r="F105" i="19"/>
  <c r="F102" i="19"/>
  <c r="F120" i="19" s="1"/>
  <c r="F133" i="19" s="1"/>
  <c r="F105" i="20"/>
  <c r="G105" i="20"/>
  <c r="E82" i="33"/>
  <c r="E135" i="33" s="1"/>
  <c r="F103" i="20"/>
  <c r="E124" i="33"/>
  <c r="E137" i="33" s="1"/>
  <c r="F82" i="33"/>
  <c r="F135" i="33" s="1"/>
  <c r="J101" i="22"/>
  <c r="G102" i="20"/>
  <c r="G104" i="20"/>
  <c r="F119" i="37"/>
  <c r="F132" i="37" s="1"/>
  <c r="G106" i="20"/>
  <c r="G119" i="37"/>
  <c r="G132" i="37" s="1"/>
  <c r="G39" i="36"/>
  <c r="L51" i="37"/>
  <c r="G55" i="37"/>
  <c r="D54" i="37"/>
  <c r="I50" i="37"/>
  <c r="E68" i="37"/>
  <c r="F22" i="36"/>
  <c r="F24" i="37"/>
  <c r="K15" i="36"/>
  <c r="E20" i="37"/>
  <c r="H19" i="37"/>
  <c r="C19" i="37"/>
  <c r="I64" i="37"/>
  <c r="G59" i="37"/>
  <c r="E70" i="37"/>
  <c r="C14" i="36"/>
  <c r="H18" i="36"/>
  <c r="G24" i="36"/>
  <c r="F20" i="37"/>
  <c r="F10" i="37"/>
  <c r="F15" i="36"/>
  <c r="I62" i="37"/>
  <c r="L55" i="37"/>
  <c r="G66" i="37"/>
  <c r="G54" i="37"/>
  <c r="I58" i="37"/>
  <c r="H58" i="37"/>
  <c r="C16" i="37"/>
  <c r="K11" i="37"/>
  <c r="N23" i="37"/>
  <c r="F16" i="37"/>
  <c r="C10" i="37"/>
  <c r="C9" i="37" s="1"/>
  <c r="E16" i="37"/>
  <c r="D24" i="37"/>
  <c r="G30" i="36"/>
  <c r="I63" i="37"/>
  <c r="L59" i="37"/>
  <c r="F71" i="37"/>
  <c r="H56" i="37"/>
  <c r="H50" i="37"/>
  <c r="K19" i="36"/>
  <c r="G22" i="36"/>
  <c r="C10" i="33"/>
  <c r="C39" i="33" s="1"/>
  <c r="H14" i="36"/>
  <c r="H22" i="36"/>
  <c r="C22" i="36"/>
  <c r="F14" i="36"/>
  <c r="H23" i="37"/>
  <c r="H60" i="37"/>
  <c r="D54" i="33"/>
  <c r="C15" i="37"/>
  <c r="N15" i="37"/>
  <c r="F18" i="36"/>
  <c r="G14" i="36"/>
  <c r="E22" i="37"/>
  <c r="C20" i="37"/>
  <c r="H26" i="33"/>
  <c r="C24" i="37"/>
  <c r="F70" i="37"/>
  <c r="G58" i="37"/>
  <c r="E71" i="37"/>
  <c r="I71" i="36"/>
  <c r="H71" i="36"/>
  <c r="E24" i="37"/>
  <c r="G12" i="37"/>
  <c r="G16" i="36"/>
  <c r="H10" i="37"/>
  <c r="H9" i="37" s="1"/>
  <c r="C18" i="36"/>
  <c r="G18" i="36"/>
  <c r="I65" i="37"/>
  <c r="F66" i="37"/>
  <c r="H52" i="37"/>
  <c r="D58" i="28"/>
  <c r="D50" i="37"/>
  <c r="H54" i="37"/>
  <c r="F19" i="36"/>
  <c r="F11" i="37"/>
  <c r="D20" i="37"/>
  <c r="K23" i="36"/>
  <c r="E14" i="37"/>
  <c r="G20" i="36"/>
  <c r="F68" i="37"/>
  <c r="G51" i="37"/>
  <c r="D58" i="37"/>
  <c r="G50" i="37"/>
  <c r="I54" i="37"/>
  <c r="E66" i="37"/>
  <c r="G71" i="36"/>
  <c r="H27" i="36"/>
  <c r="E18" i="37"/>
  <c r="N19" i="37"/>
  <c r="H15" i="37"/>
  <c r="F30" i="36"/>
  <c r="D16" i="37"/>
  <c r="C23" i="37"/>
  <c r="G10" i="37"/>
  <c r="F23" i="36"/>
  <c r="J129" i="36"/>
  <c r="J137" i="36"/>
  <c r="H122" i="37"/>
  <c r="H126" i="37" s="1"/>
  <c r="H129" i="37" s="1"/>
  <c r="H117" i="37"/>
  <c r="F118" i="37"/>
  <c r="F128" i="37" s="1"/>
  <c r="I137" i="36"/>
  <c r="I129" i="36"/>
  <c r="E122" i="37"/>
  <c r="E126" i="37" s="1"/>
  <c r="E129" i="37" s="1"/>
  <c r="E117" i="37"/>
  <c r="J122" i="37"/>
  <c r="I122" i="37"/>
  <c r="I126" i="37" s="1"/>
  <c r="I129" i="37" s="1"/>
  <c r="I117" i="37"/>
  <c r="G45" i="37"/>
  <c r="F39" i="36"/>
  <c r="J120" i="37"/>
  <c r="J133" i="37" s="1"/>
  <c r="J116" i="37"/>
  <c r="J117" i="37" s="1"/>
  <c r="H104" i="20"/>
  <c r="H103" i="20"/>
  <c r="D45" i="37"/>
  <c r="H82" i="33"/>
  <c r="H135" i="33" s="1"/>
  <c r="J101" i="37"/>
  <c r="E9" i="37"/>
  <c r="I82" i="33"/>
  <c r="I135" i="33" s="1"/>
  <c r="J84" i="37"/>
  <c r="J110" i="37"/>
  <c r="J108" i="37"/>
  <c r="J106" i="37"/>
  <c r="E82" i="37"/>
  <c r="F82" i="37" s="1"/>
  <c r="G82" i="37" s="1"/>
  <c r="H82" i="37" s="1"/>
  <c r="I82" i="37" s="1"/>
  <c r="J82" i="37" s="1"/>
  <c r="E111" i="37"/>
  <c r="E106" i="37"/>
  <c r="E108" i="37"/>
  <c r="E110" i="37"/>
  <c r="E84" i="37"/>
  <c r="E130" i="37" s="1"/>
  <c r="H129" i="36"/>
  <c r="H137" i="36"/>
  <c r="E137" i="36"/>
  <c r="E129" i="36"/>
  <c r="H106" i="20"/>
  <c r="I103" i="20"/>
  <c r="J111" i="37"/>
  <c r="I86" i="19"/>
  <c r="J86" i="19" s="1"/>
  <c r="H105" i="19"/>
  <c r="H103" i="19"/>
  <c r="H104" i="19"/>
  <c r="H102" i="19"/>
  <c r="I111" i="37"/>
  <c r="I45" i="37"/>
  <c r="H84" i="37"/>
  <c r="H110" i="37"/>
  <c r="H108" i="37"/>
  <c r="J119" i="36"/>
  <c r="J132" i="36" s="1"/>
  <c r="G118" i="37"/>
  <c r="G128" i="37" s="1"/>
  <c r="F131" i="18"/>
  <c r="I110" i="37"/>
  <c r="I84" i="37"/>
  <c r="I108" i="37"/>
  <c r="I106" i="37"/>
  <c r="G105" i="19"/>
  <c r="G106" i="19"/>
  <c r="G102" i="19"/>
  <c r="G103" i="19"/>
  <c r="G104" i="19"/>
  <c r="G131" i="19"/>
  <c r="H131" i="19" s="1"/>
  <c r="H111" i="37"/>
  <c r="H45" i="37"/>
  <c r="E82" i="22"/>
  <c r="F82" i="22" s="1"/>
  <c r="E110" i="22"/>
  <c r="E106" i="22"/>
  <c r="E84" i="22"/>
  <c r="E111" i="22"/>
  <c r="E108" i="22"/>
  <c r="E118" i="22" s="1"/>
  <c r="E128" i="22" s="1"/>
  <c r="F110" i="22"/>
  <c r="F106" i="22"/>
  <c r="F84" i="22"/>
  <c r="F111" i="22"/>
  <c r="F108" i="22"/>
  <c r="E84" i="19"/>
  <c r="E130" i="19" s="1"/>
  <c r="E110" i="19"/>
  <c r="E111" i="19"/>
  <c r="E108" i="19"/>
  <c r="D24" i="33"/>
  <c r="F142" i="30"/>
  <c r="G135" i="33"/>
  <c r="G142" i="30"/>
  <c r="D16" i="33"/>
  <c r="D20" i="33"/>
  <c r="F35" i="33"/>
  <c r="G35" i="33"/>
  <c r="E134" i="33"/>
  <c r="I114" i="33"/>
  <c r="G134" i="33"/>
  <c r="G66" i="33"/>
  <c r="H18" i="33"/>
  <c r="H30" i="33"/>
  <c r="F22" i="33"/>
  <c r="F14" i="33"/>
  <c r="G22" i="33"/>
  <c r="H22" i="33"/>
  <c r="F19" i="33"/>
  <c r="G18" i="33"/>
  <c r="G16" i="33"/>
  <c r="G24" i="33"/>
  <c r="G23" i="33"/>
  <c r="G20" i="33"/>
  <c r="F34" i="33"/>
  <c r="F18" i="33"/>
  <c r="G15" i="33"/>
  <c r="F23" i="33"/>
  <c r="H66" i="33"/>
  <c r="G34" i="33"/>
  <c r="G14" i="33"/>
  <c r="C14" i="33"/>
  <c r="G19" i="33"/>
  <c r="F15" i="33"/>
  <c r="H14" i="33"/>
  <c r="I127" i="30"/>
  <c r="I131" i="30" s="1"/>
  <c r="I134" i="30" s="1"/>
  <c r="I131" i="33"/>
  <c r="H127" i="30"/>
  <c r="H131" i="30" s="1"/>
  <c r="H134" i="30" s="1"/>
  <c r="H131" i="33"/>
  <c r="D134" i="33"/>
  <c r="D142" i="33"/>
  <c r="F134" i="33"/>
  <c r="F142" i="33"/>
  <c r="J127" i="30"/>
  <c r="H124" i="33"/>
  <c r="H137" i="33" s="1"/>
  <c r="G39" i="33"/>
  <c r="F39" i="33"/>
  <c r="E116" i="19"/>
  <c r="E125" i="19" s="1"/>
  <c r="H82" i="28"/>
  <c r="H135" i="28" s="1"/>
  <c r="F82" i="28"/>
  <c r="F135" i="28" s="1"/>
  <c r="G91" i="19"/>
  <c r="D142" i="28"/>
  <c r="D143" i="28" s="1"/>
  <c r="H131" i="28"/>
  <c r="H142" i="28" s="1"/>
  <c r="H122" i="28"/>
  <c r="H132" i="28" s="1"/>
  <c r="H143" i="28" s="1"/>
  <c r="G99" i="19"/>
  <c r="G95" i="19"/>
  <c r="G59" i="28"/>
  <c r="I122" i="28"/>
  <c r="I132" i="28" s="1"/>
  <c r="I143" i="28" s="1"/>
  <c r="G82" i="28"/>
  <c r="G135" i="28" s="1"/>
  <c r="I82" i="28"/>
  <c r="I135" i="28" s="1"/>
  <c r="E124" i="28"/>
  <c r="E137" i="28" s="1"/>
  <c r="F47" i="19"/>
  <c r="E51" i="19"/>
  <c r="E59" i="19"/>
  <c r="D11" i="19"/>
  <c r="F83" i="19"/>
  <c r="D54" i="28"/>
  <c r="L55" i="28"/>
  <c r="D50" i="28"/>
  <c r="L51" i="28"/>
  <c r="L59" i="28"/>
  <c r="H75" i="28"/>
  <c r="G58" i="28"/>
  <c r="D60" i="19"/>
  <c r="D62" i="19"/>
  <c r="E120" i="19"/>
  <c r="E133" i="19" s="1"/>
  <c r="H58" i="28"/>
  <c r="G54" i="28"/>
  <c r="E16" i="28"/>
  <c r="E24" i="28"/>
  <c r="E20" i="28"/>
  <c r="G50" i="28"/>
  <c r="I131" i="28"/>
  <c r="I142" i="28" s="1"/>
  <c r="G134" i="28"/>
  <c r="H50" i="28"/>
  <c r="H20" i="28"/>
  <c r="D45" i="19"/>
  <c r="H52" i="28"/>
  <c r="F16" i="28"/>
  <c r="C12" i="19"/>
  <c r="N19" i="28"/>
  <c r="F20" i="28"/>
  <c r="N23" i="28"/>
  <c r="H16" i="28"/>
  <c r="E48" i="19"/>
  <c r="N15" i="28"/>
  <c r="H122" i="30"/>
  <c r="H132" i="30" s="1"/>
  <c r="E39" i="28"/>
  <c r="F115" i="19"/>
  <c r="F124" i="19" s="1"/>
  <c r="F100" i="19"/>
  <c r="F92" i="19"/>
  <c r="F96" i="19"/>
  <c r="D20" i="28"/>
  <c r="G55" i="28"/>
  <c r="E14" i="28"/>
  <c r="D24" i="28"/>
  <c r="E22" i="28"/>
  <c r="H60" i="28"/>
  <c r="H56" i="28"/>
  <c r="E127" i="28"/>
  <c r="E131" i="28" s="1"/>
  <c r="E142" i="28" s="1"/>
  <c r="E39" i="30"/>
  <c r="H55" i="28"/>
  <c r="H54" i="30"/>
  <c r="G70" i="30"/>
  <c r="N19" i="30"/>
  <c r="F16" i="30"/>
  <c r="D24" i="30"/>
  <c r="K11" i="28"/>
  <c r="L51" i="30"/>
  <c r="H71" i="30"/>
  <c r="D16" i="28"/>
  <c r="N23" i="30"/>
  <c r="E22" i="30"/>
  <c r="C16" i="30"/>
  <c r="E16" i="30"/>
  <c r="G55" i="30"/>
  <c r="G71" i="28"/>
  <c r="G50" i="30"/>
  <c r="H59" i="28"/>
  <c r="L59" i="30"/>
  <c r="I66" i="30"/>
  <c r="H10" i="30"/>
  <c r="F10" i="30"/>
  <c r="G20" i="15"/>
  <c r="F11" i="28"/>
  <c r="F32" i="29"/>
  <c r="I54" i="30"/>
  <c r="G71" i="30"/>
  <c r="I50" i="28"/>
  <c r="I58" i="28"/>
  <c r="C10" i="30"/>
  <c r="H20" i="30"/>
  <c r="D20" i="30"/>
  <c r="D16" i="30"/>
  <c r="H27" i="30"/>
  <c r="I50" i="30"/>
  <c r="D50" i="30"/>
  <c r="G54" i="30"/>
  <c r="H52" i="30"/>
  <c r="K19" i="15"/>
  <c r="E20" i="30"/>
  <c r="G10" i="28"/>
  <c r="G12" i="28"/>
  <c r="F24" i="30"/>
  <c r="G11" i="28"/>
  <c r="H71" i="28"/>
  <c r="E18" i="30"/>
  <c r="G59" i="30"/>
  <c r="I58" i="30"/>
  <c r="H55" i="30"/>
  <c r="H58" i="30"/>
  <c r="H56" i="30"/>
  <c r="E32" i="29"/>
  <c r="H10" i="28"/>
  <c r="F20" i="30"/>
  <c r="E24" i="30"/>
  <c r="G10" i="30"/>
  <c r="C24" i="30"/>
  <c r="G15" i="15"/>
  <c r="H51" i="30"/>
  <c r="L55" i="30"/>
  <c r="D58" i="30"/>
  <c r="H70" i="28"/>
  <c r="G58" i="30"/>
  <c r="H51" i="28"/>
  <c r="H50" i="30"/>
  <c r="H60" i="30"/>
  <c r="G11" i="30"/>
  <c r="F10" i="28"/>
  <c r="K11" i="30"/>
  <c r="C15" i="30"/>
  <c r="F11" i="30"/>
  <c r="N15" i="30"/>
  <c r="D54" i="30"/>
  <c r="H59" i="30"/>
  <c r="H70" i="30"/>
  <c r="G51" i="30"/>
  <c r="G70" i="28"/>
  <c r="C23" i="30"/>
  <c r="C19" i="30"/>
  <c r="H16" i="30"/>
  <c r="C20" i="30"/>
  <c r="E14" i="30"/>
  <c r="G12" i="30"/>
  <c r="H24" i="30"/>
  <c r="H123" i="30"/>
  <c r="H133" i="30" s="1"/>
  <c r="I106" i="28"/>
  <c r="I106" i="30"/>
  <c r="M102" i="28"/>
  <c r="L125" i="28"/>
  <c r="L138" i="28" s="1"/>
  <c r="E137" i="15"/>
  <c r="E142" i="30"/>
  <c r="G75" i="30"/>
  <c r="H106" i="28"/>
  <c r="H106" i="30"/>
  <c r="D75" i="30"/>
  <c r="I126" i="15"/>
  <c r="H126" i="15"/>
  <c r="H129" i="15" s="1"/>
  <c r="J114" i="28"/>
  <c r="J114" i="30"/>
  <c r="F82" i="30"/>
  <c r="F135" i="30" s="1"/>
  <c r="E82" i="30"/>
  <c r="E135" i="30" s="1"/>
  <c r="G82" i="30"/>
  <c r="G135" i="30" s="1"/>
  <c r="E124" i="30"/>
  <c r="E137" i="30" s="1"/>
  <c r="H82" i="30"/>
  <c r="H135" i="30" s="1"/>
  <c r="I82" i="30"/>
  <c r="I135" i="30" s="1"/>
  <c r="H75" i="30"/>
  <c r="H119" i="15"/>
  <c r="H132" i="15" s="1"/>
  <c r="H114" i="28"/>
  <c r="H124" i="28" s="1"/>
  <c r="H137" i="28" s="1"/>
  <c r="H114" i="30"/>
  <c r="H124" i="30" s="1"/>
  <c r="H137" i="30" s="1"/>
  <c r="G75" i="28"/>
  <c r="I114" i="28"/>
  <c r="I124" i="28" s="1"/>
  <c r="I137" i="28" s="1"/>
  <c r="I114" i="30"/>
  <c r="I124" i="30" s="1"/>
  <c r="I137" i="30" s="1"/>
  <c r="I123" i="30"/>
  <c r="I133" i="30" s="1"/>
  <c r="I122" i="30"/>
  <c r="I132" i="30" s="1"/>
  <c r="E127" i="15"/>
  <c r="E138" i="15" s="1"/>
  <c r="E143" i="33" s="1"/>
  <c r="F122" i="22"/>
  <c r="E122" i="22"/>
  <c r="D119" i="18"/>
  <c r="D132" i="18" s="1"/>
  <c r="D120" i="18"/>
  <c r="E122" i="19"/>
  <c r="I143" i="30"/>
  <c r="H143" i="30"/>
  <c r="H26" i="28"/>
  <c r="I66" i="28"/>
  <c r="H27" i="28"/>
  <c r="G34" i="15"/>
  <c r="F15" i="28"/>
  <c r="F34" i="15"/>
  <c r="G18" i="28"/>
  <c r="H18" i="28"/>
  <c r="H34" i="15"/>
  <c r="K23" i="15"/>
  <c r="K15" i="15"/>
  <c r="E129" i="15"/>
  <c r="H71" i="15"/>
  <c r="F32" i="15"/>
  <c r="G66" i="15"/>
  <c r="G71" i="15"/>
  <c r="H66" i="15"/>
  <c r="I71" i="15"/>
  <c r="E32" i="15"/>
  <c r="I119" i="15"/>
  <c r="I132" i="15" s="1"/>
  <c r="C24" i="22"/>
  <c r="C16" i="22"/>
  <c r="H95" i="18"/>
  <c r="H114" i="18"/>
  <c r="H123" i="18" s="1"/>
  <c r="H99" i="18"/>
  <c r="I87" i="18"/>
  <c r="C19" i="22"/>
  <c r="C23" i="22"/>
  <c r="C15" i="22"/>
  <c r="E108" i="18"/>
  <c r="E118" i="18" s="1"/>
  <c r="E128" i="18" s="1"/>
  <c r="E82" i="18"/>
  <c r="E111" i="18"/>
  <c r="F103" i="18"/>
  <c r="D45" i="18"/>
  <c r="D52" i="18"/>
  <c r="E48" i="18"/>
  <c r="D60" i="18"/>
  <c r="C12" i="18"/>
  <c r="D56" i="18"/>
  <c r="G88" i="18"/>
  <c r="F96" i="18"/>
  <c r="F92" i="18"/>
  <c r="F115" i="18"/>
  <c r="F124" i="18" s="1"/>
  <c r="F100" i="18"/>
  <c r="E110" i="18"/>
  <c r="F104" i="18"/>
  <c r="F105" i="18"/>
  <c r="G86" i="18"/>
  <c r="H86" i="18" s="1"/>
  <c r="F90" i="18"/>
  <c r="F98" i="18"/>
  <c r="F83" i="18"/>
  <c r="F84" i="18" s="1"/>
  <c r="F130" i="18" s="1"/>
  <c r="F113" i="18"/>
  <c r="F106" i="18"/>
  <c r="F102" i="18"/>
  <c r="F120" i="18" s="1"/>
  <c r="F133" i="18" s="1"/>
  <c r="F94" i="18"/>
  <c r="D63" i="19"/>
  <c r="E101" i="18"/>
  <c r="D58" i="18"/>
  <c r="D62" i="18"/>
  <c r="D64" i="18"/>
  <c r="D63" i="18"/>
  <c r="D50" i="18"/>
  <c r="D65" i="18"/>
  <c r="E46" i="18"/>
  <c r="D54" i="18"/>
  <c r="E116" i="18"/>
  <c r="E125" i="18" s="1"/>
  <c r="E126" i="18" s="1"/>
  <c r="E129" i="18" s="1"/>
  <c r="F85" i="18"/>
  <c r="D50" i="19"/>
  <c r="F90" i="19"/>
  <c r="F94" i="19"/>
  <c r="F85" i="19"/>
  <c r="E82" i="19"/>
  <c r="F98" i="19"/>
  <c r="E46" i="19"/>
  <c r="D54" i="19"/>
  <c r="D64" i="19"/>
  <c r="D65" i="19"/>
  <c r="D58" i="19"/>
  <c r="D58" i="22"/>
  <c r="C10" i="19"/>
  <c r="G23" i="15"/>
  <c r="D50" i="22"/>
  <c r="G16" i="15"/>
  <c r="C22" i="15"/>
  <c r="C18" i="15"/>
  <c r="C14" i="15"/>
  <c r="C10" i="22"/>
  <c r="C9" i="22" s="1"/>
  <c r="G19" i="15"/>
  <c r="G24" i="15"/>
  <c r="D45" i="22"/>
  <c r="E130" i="18"/>
  <c r="F39" i="15"/>
  <c r="F19" i="15"/>
  <c r="G39" i="15"/>
  <c r="C10" i="18"/>
  <c r="F22" i="15"/>
  <c r="F14" i="15"/>
  <c r="F15" i="15"/>
  <c r="F18" i="15"/>
  <c r="F23" i="15"/>
  <c r="E60" i="20"/>
  <c r="E52" i="20"/>
  <c r="E56" i="20"/>
  <c r="D12" i="20"/>
  <c r="C16" i="19"/>
  <c r="E55" i="18"/>
  <c r="E59" i="18"/>
  <c r="E51" i="18"/>
  <c r="F47" i="18"/>
  <c r="C23" i="18"/>
  <c r="D66" i="18"/>
  <c r="D11" i="18"/>
  <c r="C15" i="18"/>
  <c r="C24" i="20"/>
  <c r="C20" i="20"/>
  <c r="C16" i="20"/>
  <c r="C20" i="19"/>
  <c r="C15" i="19"/>
  <c r="C23" i="19"/>
  <c r="C19" i="19"/>
  <c r="I91" i="22"/>
  <c r="I114" i="22"/>
  <c r="I123" i="22" s="1"/>
  <c r="I95" i="22"/>
  <c r="H47" i="22"/>
  <c r="D65" i="22"/>
  <c r="D62" i="22"/>
  <c r="D63" i="22"/>
  <c r="D64" i="22"/>
  <c r="E116" i="22"/>
  <c r="F60" i="20"/>
  <c r="H59" i="22"/>
  <c r="D24" i="22"/>
  <c r="D16" i="22"/>
  <c r="E12" i="22"/>
  <c r="F52" i="22"/>
  <c r="C18" i="22"/>
  <c r="F46" i="22"/>
  <c r="F45" i="22" s="1"/>
  <c r="F56" i="22"/>
  <c r="E19" i="22"/>
  <c r="D20" i="22"/>
  <c r="D10" i="22"/>
  <c r="D9" i="22" s="1"/>
  <c r="G48" i="20"/>
  <c r="F59" i="18"/>
  <c r="F60" i="22"/>
  <c r="E50" i="22"/>
  <c r="E54" i="22"/>
  <c r="G14" i="15"/>
  <c r="C19" i="18"/>
  <c r="E15" i="22"/>
  <c r="E23" i="22"/>
  <c r="G51" i="22"/>
  <c r="G48" i="22"/>
  <c r="E58" i="22"/>
  <c r="D66" i="19"/>
  <c r="G55" i="22"/>
  <c r="F56" i="20"/>
  <c r="F52" i="20"/>
  <c r="G59" i="22"/>
  <c r="F11" i="22"/>
  <c r="G113" i="22"/>
  <c r="G98" i="22"/>
  <c r="G94" i="22"/>
  <c r="G90" i="22"/>
  <c r="G83" i="22"/>
  <c r="H100" i="22"/>
  <c r="H96" i="22"/>
  <c r="H92" i="22"/>
  <c r="H115" i="22"/>
  <c r="H124" i="22" s="1"/>
  <c r="D19" i="19"/>
  <c r="E12" i="20"/>
  <c r="H30" i="15"/>
  <c r="G22" i="15"/>
  <c r="H22" i="15"/>
  <c r="G18" i="15"/>
  <c r="H18" i="15"/>
  <c r="H14" i="15"/>
  <c r="H96" i="20"/>
  <c r="H92" i="20"/>
  <c r="H115" i="20"/>
  <c r="H124" i="20" s="1"/>
  <c r="H100" i="20"/>
  <c r="G20" i="37" a="1"/>
  <c r="D15" i="19" a="1"/>
  <c r="C18" i="18" a="1"/>
  <c r="G35" i="15" a="1"/>
  <c r="D34" i="37" a="1"/>
  <c r="C22" i="22" a="1"/>
  <c r="H22" i="28" a="1"/>
  <c r="G14" i="28" a="1"/>
  <c r="C14" i="19" a="1"/>
  <c r="C27" i="19" a="1"/>
  <c r="C29" i="19" a="1"/>
  <c r="G48" i="19" a="1"/>
  <c r="F35" i="30" a="1"/>
  <c r="D10" i="19" a="1"/>
  <c r="E34" i="37" a="1"/>
  <c r="D23" i="18" a="1"/>
  <c r="I71" i="37" a="1"/>
  <c r="E24" i="20" a="1"/>
  <c r="F23" i="28" a="1"/>
  <c r="E16" i="22" a="1"/>
  <c r="E58" i="19" a="1"/>
  <c r="G30" i="33" a="1"/>
  <c r="F23" i="22" a="1"/>
  <c r="E65" i="22" a="1"/>
  <c r="C26" i="22" a="1"/>
  <c r="C22" i="30" a="1"/>
  <c r="D68" i="18" a="1"/>
  <c r="G52" i="22" a="1"/>
  <c r="E71" i="22" a="1"/>
  <c r="D18" i="22" a="1"/>
  <c r="D24" i="20" a="1"/>
  <c r="F58" i="22" a="1"/>
  <c r="E52" i="19" a="1"/>
  <c r="H47" i="19" a="1"/>
  <c r="G35" i="30" a="1"/>
  <c r="H66" i="28" a="1"/>
  <c r="D70" i="18" a="1"/>
  <c r="F30" i="37" a="1"/>
  <c r="C18" i="19" a="1"/>
  <c r="F22" i="28" a="1"/>
  <c r="C28" i="22" a="1"/>
  <c r="C14" i="22" a="1"/>
  <c r="C28" i="19" a="1"/>
  <c r="H18" i="30" a="1"/>
  <c r="E58" i="18" a="1"/>
  <c r="E62" i="19" a="1"/>
  <c r="C30" i="19" a="1"/>
  <c r="F19" i="37" a="1"/>
  <c r="G23" i="28" a="1"/>
  <c r="F30" i="15" a="1"/>
  <c r="D22" i="22" a="1"/>
  <c r="K15" i="37" a="1"/>
  <c r="G24" i="37" a="1"/>
  <c r="H14" i="30" a="1"/>
  <c r="G14" i="30" a="1"/>
  <c r="C22" i="19" a="1"/>
  <c r="K19" i="30" a="1"/>
  <c r="G68" i="37" a="1"/>
  <c r="G23" i="30" a="1"/>
  <c r="E65" i="18" a="1"/>
  <c r="G35" i="36" a="1"/>
  <c r="F14" i="28" a="1"/>
  <c r="F18" i="28" a="1"/>
  <c r="F59" i="19" a="1"/>
  <c r="H22" i="30" a="1"/>
  <c r="G60" i="20" a="1"/>
  <c r="G11" i="22" a="1"/>
  <c r="C14" i="18" a="1"/>
  <c r="G20" i="28" a="1"/>
  <c r="H71" i="37" a="1"/>
  <c r="E24" i="22" a="1"/>
  <c r="H22" i="37" a="1"/>
  <c r="G16" i="28" a="1"/>
  <c r="G46" i="18" a="1"/>
  <c r="K23" i="30" a="1"/>
  <c r="C28" i="18" a="1"/>
  <c r="C18" i="37" a="1"/>
  <c r="E64" i="22" a="1"/>
  <c r="D70" i="37" a="1"/>
  <c r="G66" i="30" a="1"/>
  <c r="G34" i="30" a="1"/>
  <c r="C22" i="18" a="1"/>
  <c r="E63" i="18" a="1"/>
  <c r="K23" i="28" a="1"/>
  <c r="H68" i="37" a="1"/>
  <c r="C18" i="33" a="1"/>
  <c r="H26" i="37" a="1"/>
  <c r="C22" i="33" a="1"/>
  <c r="F15" i="22" a="1"/>
  <c r="F55" i="18" a="1"/>
  <c r="F46" i="19" a="1"/>
  <c r="E16" i="20" a="1"/>
  <c r="H14" i="37" a="1"/>
  <c r="G15" i="28" a="1"/>
  <c r="D15" i="18" a="1"/>
  <c r="E10" i="22" a="1"/>
  <c r="G15" i="30" a="1"/>
  <c r="H51" i="22" a="1"/>
  <c r="G35" i="28" a="1"/>
  <c r="E66" i="19" a="1"/>
  <c r="H70" i="37" a="1"/>
  <c r="G34" i="28" a="1"/>
  <c r="F54" i="22" a="1"/>
  <c r="G19" i="28" a="1"/>
  <c r="C14" i="37" a="1"/>
  <c r="G70" i="37" a="1"/>
  <c r="D66" i="37" a="1"/>
  <c r="H66" i="30" a="1"/>
  <c r="F22" i="37" a="1"/>
  <c r="D66" i="22" a="1"/>
  <c r="C26" i="19" a="1"/>
  <c r="D32" i="37" a="1"/>
  <c r="E50" i="19" a="1"/>
  <c r="G19" i="30" a="1"/>
  <c r="F18" i="37" a="1"/>
  <c r="E63" i="19" a="1"/>
  <c r="C27" i="22" a="1"/>
  <c r="H35" i="36" a="1"/>
  <c r="C18" i="30" a="1"/>
  <c r="G20" i="30" a="1"/>
  <c r="E50" i="18" a="1"/>
  <c r="F23" i="37" a="1"/>
  <c r="F35" i="36" a="1"/>
  <c r="E11" i="18" a="1"/>
  <c r="F34" i="30" a="1"/>
  <c r="E54" i="18" a="1"/>
  <c r="G71" i="37" a="1"/>
  <c r="G16" i="30" a="1"/>
  <c r="C22" i="37" a="1"/>
  <c r="E66" i="18" a="1"/>
  <c r="D12" i="19" a="1"/>
  <c r="H29" i="37" a="1"/>
  <c r="E60" i="19" a="1"/>
  <c r="I66" i="37" a="1"/>
  <c r="F23" i="30" a="1"/>
  <c r="H18" i="37" a="1"/>
  <c r="D71" i="22" a="1"/>
  <c r="D14" i="22" a="1"/>
  <c r="E64" i="18" a="1"/>
  <c r="K19" i="28" a="1"/>
  <c r="K15" i="30" a="1"/>
  <c r="G56" i="20" a="1"/>
  <c r="D68" i="22" a="1"/>
  <c r="D68" i="37" a="1"/>
  <c r="H30" i="30" a="1"/>
  <c r="C32" i="37" a="1"/>
  <c r="G22" i="37" a="1"/>
  <c r="G47" i="19" a="1"/>
  <c r="E20" i="22" a="1"/>
  <c r="E23" i="18" a="1"/>
  <c r="D20" i="20" a="1"/>
  <c r="F34" i="28" a="1"/>
  <c r="G52" i="20" a="1"/>
  <c r="G18" i="30" a="1"/>
  <c r="C24" i="19" a="1"/>
  <c r="G14" i="37" a="1"/>
  <c r="C14" i="30" a="1"/>
  <c r="D71" i="19" a="1"/>
  <c r="D68" i="19" a="1"/>
  <c r="C29" i="22" a="1"/>
  <c r="G24" i="28" a="1"/>
  <c r="F18" i="30" a="1"/>
  <c r="G60" i="22" a="1"/>
  <c r="G24" i="30" a="1"/>
  <c r="F15" i="37" a="1"/>
  <c r="F46" i="18" a="1"/>
  <c r="H48" i="22" a="1"/>
  <c r="D19" i="18" a="1"/>
  <c r="H27" i="37" a="1"/>
  <c r="D10" i="18" a="1"/>
  <c r="H66" i="37" a="1"/>
  <c r="F35" i="28" a="1"/>
  <c r="G22" i="30" a="1"/>
  <c r="E70" i="22" a="1"/>
  <c r="F19" i="28" a="1"/>
  <c r="E35" i="37" a="1"/>
  <c r="E63" i="22" a="1"/>
  <c r="I68" i="37" a="1"/>
  <c r="E62" i="22" a="1"/>
  <c r="C24" i="18" a="1"/>
  <c r="E68" i="22" a="1"/>
  <c r="G46" i="22" a="1"/>
  <c r="H35" i="15" a="1"/>
  <c r="C27" i="18" a="1"/>
  <c r="F19" i="22" a="1"/>
  <c r="D70" i="22" a="1"/>
  <c r="G66" i="28" a="1"/>
  <c r="E30" i="37" a="1"/>
  <c r="H48" i="20" a="1"/>
  <c r="F50" i="22" a="1"/>
  <c r="G22" i="28" a="1"/>
  <c r="F48" i="19" a="1"/>
  <c r="F35" i="15" a="1"/>
  <c r="C30" i="18" a="1"/>
  <c r="H28" i="37" a="1"/>
  <c r="H30" i="28" a="1"/>
  <c r="E54" i="19" a="1"/>
  <c r="E56" i="19" a="1"/>
  <c r="D71" i="18" a="1"/>
  <c r="D16" i="20" a="1"/>
  <c r="G51" i="18" a="1"/>
  <c r="D70" i="19" a="1"/>
  <c r="G16" i="37" a="1"/>
  <c r="D30" i="37" a="1"/>
  <c r="F48" i="18" a="1"/>
  <c r="F12" i="22" a="1"/>
  <c r="E11" i="19" a="1"/>
  <c r="F14" i="37" a="1"/>
  <c r="F51" i="19" a="1"/>
  <c r="E20" i="20" a="1"/>
  <c r="H55" i="22" a="1"/>
  <c r="F15" i="30" a="1"/>
  <c r="E60" i="18" a="1"/>
  <c r="F55" i="19" a="1"/>
  <c r="D23" i="19" a="1"/>
  <c r="C20" i="18" a="1"/>
  <c r="F22" i="30" a="1"/>
  <c r="G47" i="18" a="1"/>
  <c r="K23" i="37" a="1"/>
  <c r="C26" i="18" a="1"/>
  <c r="I70" i="37" a="1"/>
  <c r="F30" i="33" a="1"/>
  <c r="F12" i="20" a="1"/>
  <c r="D71" i="37" a="1"/>
  <c r="K15" i="28" a="1"/>
  <c r="E65" i="19" a="1"/>
  <c r="C29" i="18" a="1"/>
  <c r="G56" i="22" a="1"/>
  <c r="G18" i="37" a="1"/>
  <c r="H14" i="28" a="1"/>
  <c r="F14" i="30" a="1"/>
  <c r="G23" i="22" a="1"/>
  <c r="F19" i="30" a="1"/>
  <c r="G30" i="15" a="1"/>
  <c r="F51" i="18" a="1"/>
  <c r="E66" i="22" a="1"/>
  <c r="E52" i="18" a="1"/>
  <c r="D35" i="37" a="1"/>
  <c r="E56" i="18" a="1"/>
  <c r="E62" i="18" a="1"/>
  <c r="G46" i="19" a="1"/>
  <c r="C16" i="18" a="1"/>
  <c r="E64" i="19" a="1"/>
  <c r="D12" i="18" a="1"/>
  <c r="K19" i="37" a="1"/>
  <c r="J102" i="20" l="1"/>
  <c r="I102" i="20"/>
  <c r="J106" i="20"/>
  <c r="J105" i="20"/>
  <c r="I105" i="20"/>
  <c r="H105" i="20"/>
  <c r="I104" i="20"/>
  <c r="H102" i="20"/>
  <c r="J103" i="20"/>
  <c r="I106" i="20"/>
  <c r="C22" i="33"/>
  <c r="I119" i="37"/>
  <c r="I132" i="37" s="1"/>
  <c r="H119" i="37"/>
  <c r="H132" i="37" s="1"/>
  <c r="G9" i="37"/>
  <c r="F9" i="37"/>
  <c r="D68" i="37"/>
  <c r="I70" i="37"/>
  <c r="G24" i="37"/>
  <c r="F18" i="37"/>
  <c r="D66" i="37"/>
  <c r="F35" i="36"/>
  <c r="G16" i="37"/>
  <c r="G14" i="37"/>
  <c r="F30" i="37"/>
  <c r="H66" i="37"/>
  <c r="I71" i="37"/>
  <c r="D71" i="37"/>
  <c r="D30" i="37"/>
  <c r="E30" i="37"/>
  <c r="G35" i="36"/>
  <c r="G20" i="37"/>
  <c r="K19" i="37"/>
  <c r="D34" i="37"/>
  <c r="H68" i="37"/>
  <c r="H18" i="37"/>
  <c r="H29" i="37"/>
  <c r="H35" i="36"/>
  <c r="E35" i="37"/>
  <c r="H26" i="37"/>
  <c r="F23" i="37"/>
  <c r="C32" i="37"/>
  <c r="H71" i="37"/>
  <c r="F14" i="37"/>
  <c r="D35" i="37"/>
  <c r="K23" i="37"/>
  <c r="H28" i="37"/>
  <c r="H14" i="37"/>
  <c r="H70" i="37"/>
  <c r="G68" i="37"/>
  <c r="C22" i="37"/>
  <c r="F22" i="37"/>
  <c r="H27" i="37"/>
  <c r="C18" i="37"/>
  <c r="G71" i="37"/>
  <c r="G70" i="37"/>
  <c r="I66" i="37"/>
  <c r="F15" i="37"/>
  <c r="G18" i="37"/>
  <c r="E34" i="37"/>
  <c r="G22" i="37"/>
  <c r="F19" i="37"/>
  <c r="D70" i="37"/>
  <c r="I68" i="37"/>
  <c r="D32" i="37"/>
  <c r="C14" i="37"/>
  <c r="C18" i="33"/>
  <c r="H22" i="37"/>
  <c r="K15" i="37"/>
  <c r="J103" i="19"/>
  <c r="J106" i="19"/>
  <c r="J102" i="19"/>
  <c r="J104" i="19"/>
  <c r="J105" i="19"/>
  <c r="E118" i="37"/>
  <c r="E128" i="37" s="1"/>
  <c r="I104" i="19"/>
  <c r="I105" i="19"/>
  <c r="I102" i="19"/>
  <c r="I103" i="19"/>
  <c r="I106" i="19"/>
  <c r="J119" i="37"/>
  <c r="J132" i="37" s="1"/>
  <c r="J130" i="37"/>
  <c r="I131" i="19"/>
  <c r="J131" i="19" s="1"/>
  <c r="I118" i="37"/>
  <c r="I128" i="37" s="1"/>
  <c r="E119" i="37"/>
  <c r="E132" i="37" s="1"/>
  <c r="I124" i="33"/>
  <c r="I137" i="33" s="1"/>
  <c r="I151" i="33"/>
  <c r="I130" i="37"/>
  <c r="F130" i="37"/>
  <c r="H118" i="37"/>
  <c r="H128" i="37" s="1"/>
  <c r="G130" i="37"/>
  <c r="J127" i="37"/>
  <c r="J125" i="37"/>
  <c r="J126" i="37" s="1"/>
  <c r="J129" i="37" s="1"/>
  <c r="G131" i="18"/>
  <c r="H130" i="37"/>
  <c r="J118" i="37"/>
  <c r="J128" i="37" s="1"/>
  <c r="G106" i="22"/>
  <c r="G84" i="22"/>
  <c r="G111" i="22"/>
  <c r="G108" i="22"/>
  <c r="G110" i="22"/>
  <c r="F84" i="19"/>
  <c r="F130" i="19" s="1"/>
  <c r="F110" i="19"/>
  <c r="F111" i="19"/>
  <c r="F108" i="19"/>
  <c r="G30" i="33"/>
  <c r="F30" i="33"/>
  <c r="H142" i="33"/>
  <c r="H134" i="33"/>
  <c r="I134" i="33"/>
  <c r="I142" i="33"/>
  <c r="E130" i="22"/>
  <c r="E126" i="19"/>
  <c r="E129" i="19" s="1"/>
  <c r="E117" i="19"/>
  <c r="E127" i="19" s="1"/>
  <c r="F51" i="19"/>
  <c r="H134" i="28"/>
  <c r="H83" i="19"/>
  <c r="F55" i="19"/>
  <c r="F59" i="19"/>
  <c r="I99" i="19"/>
  <c r="I114" i="19"/>
  <c r="I123" i="19" s="1"/>
  <c r="I95" i="19"/>
  <c r="I129" i="15"/>
  <c r="I137" i="15"/>
  <c r="F23" i="28"/>
  <c r="G47" i="19"/>
  <c r="H47" i="19"/>
  <c r="D23" i="19"/>
  <c r="D15" i="19"/>
  <c r="E11" i="19"/>
  <c r="H95" i="19"/>
  <c r="H91" i="19"/>
  <c r="H99" i="19"/>
  <c r="H114" i="19"/>
  <c r="H123" i="19" s="1"/>
  <c r="I91" i="19"/>
  <c r="G83" i="19"/>
  <c r="I94" i="19"/>
  <c r="K15" i="28"/>
  <c r="K23" i="28"/>
  <c r="K19" i="28"/>
  <c r="I134" i="28"/>
  <c r="C26" i="19"/>
  <c r="C24" i="19"/>
  <c r="F22" i="28"/>
  <c r="G22" i="28"/>
  <c r="E134" i="28"/>
  <c r="F18" i="28"/>
  <c r="F14" i="28"/>
  <c r="G14" i="28"/>
  <c r="E45" i="19"/>
  <c r="C9" i="19"/>
  <c r="G16" i="28"/>
  <c r="H85" i="19"/>
  <c r="E52" i="19"/>
  <c r="E60" i="19"/>
  <c r="D12" i="19"/>
  <c r="F48" i="19"/>
  <c r="E56" i="19"/>
  <c r="H115" i="19"/>
  <c r="H124" i="19" s="1"/>
  <c r="H100" i="19"/>
  <c r="H96" i="19"/>
  <c r="H92" i="19"/>
  <c r="G100" i="19"/>
  <c r="G96" i="19"/>
  <c r="G92" i="19"/>
  <c r="G115" i="19"/>
  <c r="G124" i="19" s="1"/>
  <c r="E143" i="30"/>
  <c r="F19" i="28"/>
  <c r="F39" i="28"/>
  <c r="G20" i="28"/>
  <c r="G24" i="28"/>
  <c r="G39" i="28"/>
  <c r="G66" i="30"/>
  <c r="G34" i="30"/>
  <c r="F23" i="30"/>
  <c r="H14" i="30"/>
  <c r="F19" i="30"/>
  <c r="G66" i="28"/>
  <c r="G23" i="30"/>
  <c r="K19" i="30"/>
  <c r="F35" i="30"/>
  <c r="C18" i="30"/>
  <c r="G24" i="30"/>
  <c r="G15" i="30"/>
  <c r="H18" i="30"/>
  <c r="H30" i="30"/>
  <c r="G14" i="30"/>
  <c r="G20" i="30"/>
  <c r="G35" i="28"/>
  <c r="K23" i="30"/>
  <c r="G15" i="28"/>
  <c r="G22" i="30"/>
  <c r="G16" i="30"/>
  <c r="G23" i="28"/>
  <c r="H66" i="30"/>
  <c r="F22" i="30"/>
  <c r="F18" i="30"/>
  <c r="F14" i="30"/>
  <c r="F34" i="30"/>
  <c r="H66" i="28"/>
  <c r="F34" i="28"/>
  <c r="G34" i="28"/>
  <c r="G19" i="30"/>
  <c r="H22" i="28"/>
  <c r="G35" i="30"/>
  <c r="G18" i="30"/>
  <c r="F15" i="30"/>
  <c r="C22" i="30"/>
  <c r="H22" i="30"/>
  <c r="C14" i="30"/>
  <c r="H14" i="28"/>
  <c r="F35" i="28"/>
  <c r="K15" i="30"/>
  <c r="G19" i="28"/>
  <c r="H142" i="30"/>
  <c r="H137" i="15"/>
  <c r="K114" i="28"/>
  <c r="L114" i="28" s="1"/>
  <c r="M114" i="28" s="1"/>
  <c r="N114" i="28" s="1"/>
  <c r="O114" i="28" s="1"/>
  <c r="P114" i="28" s="1"/>
  <c r="Q114" i="28" s="1"/>
  <c r="I142" i="30"/>
  <c r="N102" i="28"/>
  <c r="M125" i="28"/>
  <c r="M138" i="28" s="1"/>
  <c r="G39" i="30"/>
  <c r="C39" i="30"/>
  <c r="F39" i="30"/>
  <c r="E125" i="22"/>
  <c r="E126" i="22" s="1"/>
  <c r="E129" i="22" s="1"/>
  <c r="E127" i="22"/>
  <c r="G122" i="22"/>
  <c r="E117" i="22"/>
  <c r="E117" i="18"/>
  <c r="E127" i="18" s="1"/>
  <c r="F122" i="18"/>
  <c r="H30" i="28"/>
  <c r="H35" i="15"/>
  <c r="G30" i="15"/>
  <c r="F30" i="15"/>
  <c r="F35" i="15"/>
  <c r="G35" i="15"/>
  <c r="I95" i="18"/>
  <c r="I91" i="18"/>
  <c r="I114" i="18"/>
  <c r="I123" i="18" s="1"/>
  <c r="I99" i="18"/>
  <c r="E119" i="18"/>
  <c r="E132" i="18" s="1"/>
  <c r="D68" i="18"/>
  <c r="F116" i="18"/>
  <c r="F125" i="18" s="1"/>
  <c r="D71" i="18"/>
  <c r="E45" i="18"/>
  <c r="E63" i="18"/>
  <c r="G90" i="18"/>
  <c r="F101" i="18"/>
  <c r="C9" i="18"/>
  <c r="G106" i="18"/>
  <c r="G98" i="19"/>
  <c r="F48" i="18"/>
  <c r="D66" i="22"/>
  <c r="D70" i="22"/>
  <c r="C20" i="18"/>
  <c r="E60" i="18"/>
  <c r="C24" i="18"/>
  <c r="E52" i="18"/>
  <c r="D12" i="18"/>
  <c r="E56" i="18"/>
  <c r="C16" i="18"/>
  <c r="G83" i="18"/>
  <c r="G84" i="18" s="1"/>
  <c r="G130" i="18" s="1"/>
  <c r="G94" i="18"/>
  <c r="G115" i="18"/>
  <c r="G124" i="18" s="1"/>
  <c r="G100" i="18"/>
  <c r="G96" i="18"/>
  <c r="G92" i="18"/>
  <c r="G113" i="18"/>
  <c r="H88" i="18"/>
  <c r="H85" i="18" s="1"/>
  <c r="G98" i="18"/>
  <c r="G103" i="18"/>
  <c r="G105" i="18"/>
  <c r="G102" i="18"/>
  <c r="G120" i="18" s="1"/>
  <c r="G133" i="18" s="1"/>
  <c r="G104" i="18"/>
  <c r="D70" i="18"/>
  <c r="F110" i="18"/>
  <c r="E64" i="18"/>
  <c r="E58" i="18"/>
  <c r="E50" i="18"/>
  <c r="E54" i="18"/>
  <c r="F46" i="18"/>
  <c r="E62" i="18"/>
  <c r="E65" i="18"/>
  <c r="F82" i="18"/>
  <c r="F111" i="18"/>
  <c r="F108" i="18"/>
  <c r="G85" i="18"/>
  <c r="E119" i="22"/>
  <c r="C27" i="19"/>
  <c r="F116" i="19"/>
  <c r="C22" i="18"/>
  <c r="C18" i="18"/>
  <c r="D10" i="18"/>
  <c r="C29" i="18"/>
  <c r="C14" i="18"/>
  <c r="C27" i="18"/>
  <c r="C28" i="18"/>
  <c r="C26" i="18"/>
  <c r="F130" i="22"/>
  <c r="E119" i="19"/>
  <c r="E132" i="19" s="1"/>
  <c r="F82" i="19"/>
  <c r="C14" i="19"/>
  <c r="D68" i="19"/>
  <c r="D70" i="19"/>
  <c r="D71" i="19"/>
  <c r="G113" i="19"/>
  <c r="G90" i="19"/>
  <c r="G120" i="19"/>
  <c r="G133" i="19" s="1"/>
  <c r="E118" i="19"/>
  <c r="E128" i="19" s="1"/>
  <c r="G85" i="19"/>
  <c r="G94" i="19"/>
  <c r="E50" i="19"/>
  <c r="D61" i="19"/>
  <c r="E63" i="19"/>
  <c r="E64" i="19"/>
  <c r="E65" i="19"/>
  <c r="F46" i="19"/>
  <c r="E58" i="19"/>
  <c r="E54" i="19"/>
  <c r="E62" i="19"/>
  <c r="C22" i="19"/>
  <c r="C29" i="19"/>
  <c r="C28" i="19"/>
  <c r="C18" i="19"/>
  <c r="D68" i="22"/>
  <c r="D71" i="22"/>
  <c r="D10" i="19"/>
  <c r="C22" i="22"/>
  <c r="C14" i="22"/>
  <c r="D24" i="20"/>
  <c r="D20" i="20"/>
  <c r="D16" i="20"/>
  <c r="H90" i="18"/>
  <c r="H94" i="18"/>
  <c r="H98" i="18"/>
  <c r="H113" i="18"/>
  <c r="H90" i="19"/>
  <c r="H120" i="19"/>
  <c r="H133" i="19" s="1"/>
  <c r="I86" i="18"/>
  <c r="H113" i="19"/>
  <c r="H94" i="19"/>
  <c r="H98" i="19"/>
  <c r="G46" i="18"/>
  <c r="E66" i="18"/>
  <c r="F55" i="18"/>
  <c r="D19" i="18"/>
  <c r="F51" i="18"/>
  <c r="D15" i="18"/>
  <c r="G47" i="18"/>
  <c r="D23" i="18"/>
  <c r="E11" i="18"/>
  <c r="G48" i="19"/>
  <c r="C30" i="18"/>
  <c r="H55" i="22"/>
  <c r="H51" i="22"/>
  <c r="F116" i="22"/>
  <c r="F127" i="22" s="1"/>
  <c r="C28" i="22"/>
  <c r="C27" i="22"/>
  <c r="E65" i="22"/>
  <c r="C26" i="22"/>
  <c r="E64" i="22"/>
  <c r="C29" i="22"/>
  <c r="E63" i="22"/>
  <c r="G11" i="22"/>
  <c r="E62" i="22"/>
  <c r="G60" i="20"/>
  <c r="H48" i="20"/>
  <c r="G46" i="22"/>
  <c r="G45" i="22" s="1"/>
  <c r="G56" i="22"/>
  <c r="F15" i="22"/>
  <c r="D14" i="22"/>
  <c r="G60" i="22"/>
  <c r="E70" i="22"/>
  <c r="D18" i="22"/>
  <c r="E24" i="22"/>
  <c r="G52" i="20"/>
  <c r="E66" i="22"/>
  <c r="F23" i="22"/>
  <c r="E71" i="22"/>
  <c r="G56" i="20"/>
  <c r="G51" i="18"/>
  <c r="H48" i="22"/>
  <c r="E68" i="22"/>
  <c r="F50" i="22"/>
  <c r="D22" i="22"/>
  <c r="E10" i="22"/>
  <c r="E9" i="22" s="1"/>
  <c r="E16" i="22"/>
  <c r="F54" i="22"/>
  <c r="F12" i="22"/>
  <c r="E66" i="19"/>
  <c r="F58" i="22"/>
  <c r="F19" i="22"/>
  <c r="G23" i="22"/>
  <c r="G46" i="19"/>
  <c r="G52" i="22"/>
  <c r="E20" i="22"/>
  <c r="I115" i="20"/>
  <c r="I124" i="20" s="1"/>
  <c r="H90" i="22"/>
  <c r="H98" i="22"/>
  <c r="H113" i="22"/>
  <c r="H94" i="22"/>
  <c r="H83" i="22"/>
  <c r="G82" i="22"/>
  <c r="I100" i="22"/>
  <c r="I96" i="22"/>
  <c r="I92" i="22"/>
  <c r="I115" i="22"/>
  <c r="I124" i="22" s="1"/>
  <c r="F118" i="22"/>
  <c r="F128" i="22" s="1"/>
  <c r="F119" i="22"/>
  <c r="E23" i="18"/>
  <c r="C30" i="19"/>
  <c r="E20" i="20"/>
  <c r="F12" i="20"/>
  <c r="E24" i="20"/>
  <c r="E16" i="20"/>
  <c r="I92" i="20"/>
  <c r="I96" i="20"/>
  <c r="I100" i="20"/>
  <c r="D22" i="19" a="1"/>
  <c r="H60" i="20" a="1"/>
  <c r="F70" i="22" a="1"/>
  <c r="D20" i="18" a="1"/>
  <c r="G15" i="22" a="1"/>
  <c r="F24" i="20" a="1"/>
  <c r="F60" i="19" a="1"/>
  <c r="F30" i="28" a="1"/>
  <c r="E68" i="19" a="1"/>
  <c r="D16" i="18" a="1"/>
  <c r="F58" i="18" a="1"/>
  <c r="C34" i="22" a="1"/>
  <c r="E22" i="22" a="1"/>
  <c r="F16" i="20" a="1"/>
  <c r="H48" i="19" a="1"/>
  <c r="G50" i="18" a="1"/>
  <c r="C35" i="22" a="1"/>
  <c r="I48" i="22" a="1"/>
  <c r="F68" i="22" a="1"/>
  <c r="G58" i="18" a="1"/>
  <c r="E19" i="19" a="1"/>
  <c r="G12" i="22" a="1"/>
  <c r="G32" i="37" a="1"/>
  <c r="C35" i="19" a="1"/>
  <c r="C35" i="37" a="1"/>
  <c r="F58" i="19" a="1"/>
  <c r="F11" i="19" a="1"/>
  <c r="D28" i="22" a="1"/>
  <c r="F52" i="18" a="1"/>
  <c r="F30" i="30" a="1"/>
  <c r="G12" i="20" a="1"/>
  <c r="G48" i="18" a="1"/>
  <c r="D18" i="18" a="1"/>
  <c r="G65" i="19" a="1"/>
  <c r="G62" i="19" a="1"/>
  <c r="H60" i="22" a="1"/>
  <c r="D22" i="18" a="1"/>
  <c r="E15" i="18" a="1"/>
  <c r="F20" i="22" a="1"/>
  <c r="F66" i="18" a="1"/>
  <c r="E71" i="19" a="1"/>
  <c r="D14" i="19" a="1"/>
  <c r="C35" i="18" a="1"/>
  <c r="F10" i="22" a="1"/>
  <c r="D18" i="19" a="1"/>
  <c r="G30" i="30" a="1"/>
  <c r="G59" i="18" a="1"/>
  <c r="F12" i="19" a="1"/>
  <c r="E71" i="18" a="1"/>
  <c r="E15" i="19" a="1"/>
  <c r="E14" i="22" a="1"/>
  <c r="F60" i="18" a="1"/>
  <c r="F65" i="19" a="1"/>
  <c r="F10" i="19" a="1"/>
  <c r="G11" i="19" a="1"/>
  <c r="H52" i="22" a="1"/>
  <c r="D27" i="22" a="1"/>
  <c r="D30" i="22" a="1"/>
  <c r="F52" i="19" a="1"/>
  <c r="F64" i="18" a="1"/>
  <c r="H52" i="20" a="1"/>
  <c r="D30" i="19" a="1"/>
  <c r="F20" i="20" a="1"/>
  <c r="H35" i="37" a="1"/>
  <c r="F15" i="18" a="1"/>
  <c r="D27" i="18" a="1"/>
  <c r="G55" i="19" a="1"/>
  <c r="G54" i="18" a="1"/>
  <c r="F66" i="22" a="1"/>
  <c r="D14" i="18" a="1"/>
  <c r="F71" i="22" a="1"/>
  <c r="G34" i="37" a="1"/>
  <c r="F62" i="22" a="1"/>
  <c r="E10" i="19" a="1"/>
  <c r="F10" i="18" a="1"/>
  <c r="I46" i="22" a="1"/>
  <c r="H51" i="19" a="1"/>
  <c r="F65" i="18" a="1"/>
  <c r="D16" i="19" a="1"/>
  <c r="E23" i="19" a="1"/>
  <c r="G54" i="22" a="1"/>
  <c r="H30" i="37" a="1"/>
  <c r="F62" i="19" a="1"/>
  <c r="D24" i="18" a="1"/>
  <c r="G64" i="19" a="1"/>
  <c r="E68" i="18" a="1"/>
  <c r="G54" i="19" a="1"/>
  <c r="G55" i="18" a="1"/>
  <c r="E12" i="19" a="1"/>
  <c r="H59" i="19" a="1"/>
  <c r="H56" i="20" a="1"/>
  <c r="G59" i="19" a="1"/>
  <c r="F64" i="22" a="1"/>
  <c r="H46" i="22" a="1"/>
  <c r="G19" i="22" a="1"/>
  <c r="D28" i="19" a="1"/>
  <c r="F64" i="19" a="1"/>
  <c r="G35" i="37" a="1"/>
  <c r="F24" i="22" a="1"/>
  <c r="G60" i="19" a="1"/>
  <c r="G58" i="22" a="1"/>
  <c r="D26" i="19" a="1"/>
  <c r="F63" i="22" a="1"/>
  <c r="D26" i="18" a="1"/>
  <c r="C34" i="18" a="1"/>
  <c r="E32" i="37" a="1"/>
  <c r="F56" i="19" a="1"/>
  <c r="G52" i="19" a="1"/>
  <c r="D27" i="19" a="1"/>
  <c r="D29" i="18" a="1"/>
  <c r="D26" i="22" a="1"/>
  <c r="C34" i="37" a="1"/>
  <c r="I48" i="20" a="1"/>
  <c r="G30" i="28" a="1"/>
  <c r="G30" i="37" a="1"/>
  <c r="F63" i="19" a="1"/>
  <c r="E19" i="18" a="1"/>
  <c r="F16" i="22" a="1"/>
  <c r="H46" i="18" a="1"/>
  <c r="E70" i="18" a="1"/>
  <c r="F35" i="37" a="1"/>
  <c r="C30" i="37" a="1"/>
  <c r="E70" i="19" a="1"/>
  <c r="F63" i="18" a="1"/>
  <c r="G50" i="22" a="1"/>
  <c r="G51" i="19" a="1"/>
  <c r="D30" i="18" a="1"/>
  <c r="F54" i="19" a="1"/>
  <c r="E18" i="22" a="1"/>
  <c r="D34" i="22" a="1"/>
  <c r="F62" i="18" a="1"/>
  <c r="D35" i="22" a="1"/>
  <c r="C30" i="22" a="1"/>
  <c r="D20" i="19" a="1"/>
  <c r="F56" i="18" a="1"/>
  <c r="H46" i="19" a="1"/>
  <c r="C32" i="22" a="1"/>
  <c r="F54" i="18" a="1"/>
  <c r="F65" i="22" a="1"/>
  <c r="F32" i="37" a="1"/>
  <c r="H47" i="18" a="1"/>
  <c r="E12" i="18" a="1"/>
  <c r="D24" i="19" a="1"/>
  <c r="F50" i="18" a="1"/>
  <c r="F34" i="37" a="1"/>
  <c r="H34" i="37" a="1"/>
  <c r="G63" i="19" a="1"/>
  <c r="D29" i="22" a="1"/>
  <c r="D28" i="18" a="1"/>
  <c r="E10" i="18" a="1"/>
  <c r="F66" i="19" a="1"/>
  <c r="G56" i="19" a="1"/>
  <c r="G58" i="19" a="1"/>
  <c r="C34" i="19" a="1"/>
  <c r="F11" i="18" a="1"/>
  <c r="H55" i="19" a="1"/>
  <c r="F50" i="19" a="1"/>
  <c r="G50" i="19" a="1"/>
  <c r="D29" i="19" a="1"/>
  <c r="H56" i="22" a="1"/>
  <c r="G32" i="37" l="1"/>
  <c r="F34" i="37"/>
  <c r="C34" i="37"/>
  <c r="F35" i="37"/>
  <c r="C30" i="37"/>
  <c r="C35" i="37"/>
  <c r="G35" i="37"/>
  <c r="F32" i="37"/>
  <c r="H35" i="37"/>
  <c r="E32" i="37"/>
  <c r="G30" i="37"/>
  <c r="H34" i="37"/>
  <c r="H30" i="37"/>
  <c r="G34" i="37"/>
  <c r="H131" i="18"/>
  <c r="H106" i="22"/>
  <c r="H84" i="22"/>
  <c r="H111" i="22"/>
  <c r="H108" i="22"/>
  <c r="H110" i="22"/>
  <c r="H84" i="19"/>
  <c r="H111" i="19"/>
  <c r="H108" i="19"/>
  <c r="H118" i="19" s="1"/>
  <c r="H128" i="19" s="1"/>
  <c r="H110" i="19"/>
  <c r="G84" i="19"/>
  <c r="G130" i="19" s="1"/>
  <c r="G111" i="19"/>
  <c r="G110" i="19"/>
  <c r="G108" i="19"/>
  <c r="E15" i="19"/>
  <c r="F126" i="18"/>
  <c r="F129" i="18" s="1"/>
  <c r="E23" i="19"/>
  <c r="E19" i="19"/>
  <c r="H55" i="19"/>
  <c r="H59" i="19"/>
  <c r="G51" i="19"/>
  <c r="G59" i="19"/>
  <c r="G55" i="19"/>
  <c r="H51" i="19"/>
  <c r="G11" i="19"/>
  <c r="F11" i="19"/>
  <c r="I83" i="19"/>
  <c r="D9" i="19"/>
  <c r="F45" i="19"/>
  <c r="F52" i="19"/>
  <c r="D20" i="19"/>
  <c r="F56" i="19"/>
  <c r="E12" i="19"/>
  <c r="F60" i="19"/>
  <c r="D24" i="19"/>
  <c r="G56" i="19"/>
  <c r="D16" i="19"/>
  <c r="J92" i="19"/>
  <c r="J115" i="19"/>
  <c r="J124" i="19" s="1"/>
  <c r="J100" i="19"/>
  <c r="J96" i="19"/>
  <c r="I96" i="19"/>
  <c r="I100" i="19"/>
  <c r="I92" i="19"/>
  <c r="I115" i="19"/>
  <c r="I124" i="19" s="1"/>
  <c r="F30" i="28"/>
  <c r="G30" i="28"/>
  <c r="G30" i="30"/>
  <c r="F30" i="30"/>
  <c r="O102" i="28"/>
  <c r="N125" i="28"/>
  <c r="N138" i="28" s="1"/>
  <c r="F132" i="22"/>
  <c r="E132" i="22"/>
  <c r="H122" i="22"/>
  <c r="F125" i="22"/>
  <c r="F126" i="22" s="1"/>
  <c r="F129" i="22" s="1"/>
  <c r="F117" i="22"/>
  <c r="G122" i="18"/>
  <c r="H122" i="18"/>
  <c r="F117" i="18"/>
  <c r="F127" i="18" s="1"/>
  <c r="H122" i="19"/>
  <c r="F125" i="19"/>
  <c r="F126" i="19" s="1"/>
  <c r="F129" i="19" s="1"/>
  <c r="F117" i="19"/>
  <c r="F127" i="19" s="1"/>
  <c r="G122" i="19"/>
  <c r="C35" i="18"/>
  <c r="D27" i="18"/>
  <c r="F45" i="18"/>
  <c r="F50" i="18"/>
  <c r="D9" i="18"/>
  <c r="G101" i="18"/>
  <c r="H106" i="18"/>
  <c r="G116" i="18"/>
  <c r="G125" i="18" s="1"/>
  <c r="F58" i="19"/>
  <c r="F66" i="18"/>
  <c r="G108" i="18"/>
  <c r="H105" i="18"/>
  <c r="G111" i="18"/>
  <c r="G110" i="18"/>
  <c r="H104" i="18"/>
  <c r="G82" i="18"/>
  <c r="H102" i="18"/>
  <c r="H120" i="18" s="1"/>
  <c r="H133" i="18" s="1"/>
  <c r="H83" i="18"/>
  <c r="H84" i="18" s="1"/>
  <c r="H103" i="18"/>
  <c r="F65" i="18"/>
  <c r="F52" i="18"/>
  <c r="F63" i="18"/>
  <c r="F56" i="18"/>
  <c r="D16" i="18"/>
  <c r="F58" i="18"/>
  <c r="F60" i="18"/>
  <c r="D24" i="18"/>
  <c r="G48" i="18"/>
  <c r="G45" i="18" s="1"/>
  <c r="F54" i="18"/>
  <c r="C34" i="22"/>
  <c r="F64" i="18"/>
  <c r="C30" i="22"/>
  <c r="F62" i="18"/>
  <c r="D20" i="18"/>
  <c r="E12" i="18"/>
  <c r="G82" i="19"/>
  <c r="H82" i="19" s="1"/>
  <c r="H115" i="18"/>
  <c r="H124" i="18" s="1"/>
  <c r="H100" i="18"/>
  <c r="H96" i="18"/>
  <c r="H92" i="18"/>
  <c r="I88" i="18"/>
  <c r="I83" i="18" s="1"/>
  <c r="I84" i="18" s="1"/>
  <c r="E70" i="18"/>
  <c r="C34" i="18"/>
  <c r="D28" i="18"/>
  <c r="E71" i="18"/>
  <c r="D29" i="18"/>
  <c r="D26" i="18"/>
  <c r="E10" i="18"/>
  <c r="D18" i="18"/>
  <c r="D14" i="18"/>
  <c r="E68" i="18"/>
  <c r="D22" i="18"/>
  <c r="F119" i="18"/>
  <c r="F132" i="18" s="1"/>
  <c r="F119" i="19"/>
  <c r="F132" i="19" s="1"/>
  <c r="F118" i="18"/>
  <c r="F128" i="18" s="1"/>
  <c r="E71" i="19"/>
  <c r="E68" i="19"/>
  <c r="E70" i="19"/>
  <c r="F118" i="19"/>
  <c r="F128" i="19" s="1"/>
  <c r="E61" i="19"/>
  <c r="F62" i="19"/>
  <c r="F65" i="19"/>
  <c r="F54" i="19"/>
  <c r="F50" i="19"/>
  <c r="F63" i="19"/>
  <c r="F64" i="19"/>
  <c r="C35" i="19"/>
  <c r="C34" i="19"/>
  <c r="G116" i="19"/>
  <c r="G125" i="19" s="1"/>
  <c r="D14" i="19"/>
  <c r="D26" i="19"/>
  <c r="D18" i="19"/>
  <c r="D22" i="19"/>
  <c r="E10" i="19"/>
  <c r="D29" i="19"/>
  <c r="D28" i="19"/>
  <c r="D27" i="19"/>
  <c r="C35" i="22"/>
  <c r="G58" i="18"/>
  <c r="H116" i="19"/>
  <c r="H125" i="19" s="1"/>
  <c r="I90" i="18"/>
  <c r="J86" i="18"/>
  <c r="J90" i="18" s="1"/>
  <c r="I113" i="18"/>
  <c r="I94" i="18"/>
  <c r="I98" i="18"/>
  <c r="I113" i="19"/>
  <c r="I85" i="19"/>
  <c r="I98" i="19"/>
  <c r="I90" i="19"/>
  <c r="I120" i="19"/>
  <c r="I133" i="19" s="1"/>
  <c r="G45" i="19"/>
  <c r="G54" i="18"/>
  <c r="G50" i="18"/>
  <c r="H46" i="18"/>
  <c r="F10" i="18"/>
  <c r="G60" i="19"/>
  <c r="D30" i="18"/>
  <c r="E19" i="18"/>
  <c r="G55" i="18"/>
  <c r="G59" i="18"/>
  <c r="H47" i="18"/>
  <c r="H48" i="19"/>
  <c r="F11" i="18"/>
  <c r="E15" i="18"/>
  <c r="G52" i="19"/>
  <c r="F12" i="19"/>
  <c r="G15" i="22"/>
  <c r="G19" i="22"/>
  <c r="F65" i="22"/>
  <c r="D27" i="22"/>
  <c r="D28" i="22"/>
  <c r="D29" i="22"/>
  <c r="F63" i="22"/>
  <c r="D26" i="22"/>
  <c r="F64" i="22"/>
  <c r="F62" i="22"/>
  <c r="G116" i="22"/>
  <c r="G127" i="22" s="1"/>
  <c r="G50" i="19"/>
  <c r="G65" i="19"/>
  <c r="H52" i="22"/>
  <c r="F71" i="22"/>
  <c r="F16" i="22"/>
  <c r="G12" i="22"/>
  <c r="D34" i="22"/>
  <c r="G63" i="19"/>
  <c r="H56" i="22"/>
  <c r="F66" i="22"/>
  <c r="E18" i="22"/>
  <c r="F10" i="22"/>
  <c r="F9" i="22" s="1"/>
  <c r="I48" i="20"/>
  <c r="H60" i="22"/>
  <c r="G54" i="22"/>
  <c r="D35" i="22"/>
  <c r="F24" i="22"/>
  <c r="H60" i="20"/>
  <c r="G58" i="19"/>
  <c r="F66" i="19"/>
  <c r="H56" i="20"/>
  <c r="G58" i="22"/>
  <c r="H52" i="20"/>
  <c r="G50" i="22"/>
  <c r="E22" i="22"/>
  <c r="E14" i="22"/>
  <c r="H46" i="19"/>
  <c r="I46" i="22"/>
  <c r="H46" i="22"/>
  <c r="H45" i="22" s="1"/>
  <c r="I48" i="22"/>
  <c r="F68" i="22"/>
  <c r="C32" i="22"/>
  <c r="D30" i="22"/>
  <c r="G54" i="19"/>
  <c r="G62" i="19"/>
  <c r="G64" i="19"/>
  <c r="F70" i="22"/>
  <c r="F20" i="22"/>
  <c r="H82" i="22"/>
  <c r="G130" i="22"/>
  <c r="G119" i="22"/>
  <c r="J113" i="22"/>
  <c r="J98" i="22"/>
  <c r="J94" i="22"/>
  <c r="J90" i="22"/>
  <c r="I98" i="22"/>
  <c r="I94" i="22"/>
  <c r="I90" i="22"/>
  <c r="I113" i="22"/>
  <c r="I83" i="22"/>
  <c r="J115" i="22"/>
  <c r="J124" i="22" s="1"/>
  <c r="J100" i="22"/>
  <c r="J96" i="22"/>
  <c r="J92" i="22"/>
  <c r="G118" i="22"/>
  <c r="G128" i="22" s="1"/>
  <c r="F15" i="18"/>
  <c r="D30" i="19"/>
  <c r="F10" i="19"/>
  <c r="G12" i="20"/>
  <c r="F24" i="20"/>
  <c r="F16" i="20"/>
  <c r="F20" i="20"/>
  <c r="J96" i="20"/>
  <c r="J92" i="20"/>
  <c r="J100" i="20"/>
  <c r="J115" i="20"/>
  <c r="J124" i="20" s="1"/>
  <c r="E35" i="22" a="1"/>
  <c r="E14" i="18" a="1"/>
  <c r="H52" i="19" a="1"/>
  <c r="E27" i="19" a="1"/>
  <c r="E18" i="18" a="1"/>
  <c r="H59" i="18" a="1"/>
  <c r="F24" i="19" a="1"/>
  <c r="E16" i="19" a="1"/>
  <c r="H10" i="22" a="1"/>
  <c r="G63" i="18" a="1"/>
  <c r="H58" i="18" a="1"/>
  <c r="E28" i="19" a="1"/>
  <c r="H50" i="22" a="1"/>
  <c r="I54" i="22" a="1"/>
  <c r="F22" i="18" a="1"/>
  <c r="E27" i="18" a="1"/>
  <c r="D35" i="19" a="1"/>
  <c r="G71" i="22" a="1"/>
  <c r="G66" i="22" a="1"/>
  <c r="E29" i="19" a="1"/>
  <c r="E22" i="19" a="1"/>
  <c r="H58" i="19" a="1"/>
  <c r="I46" i="19" a="1"/>
  <c r="H62" i="19" a="1"/>
  <c r="H63" i="19" a="1"/>
  <c r="G19" i="19" a="1"/>
  <c r="G62" i="22" a="1"/>
  <c r="E30" i="18" a="1"/>
  <c r="F68" i="19" a="1"/>
  <c r="E30" i="19" a="1"/>
  <c r="F18" i="18" a="1"/>
  <c r="I46" i="18" a="1"/>
  <c r="E20" i="19" a="1"/>
  <c r="I56" i="22" a="1"/>
  <c r="D34" i="19" a="1"/>
  <c r="H58" i="22" a="1"/>
  <c r="H60" i="19" a="1"/>
  <c r="G20" i="20" a="1"/>
  <c r="F15" i="19" a="1"/>
  <c r="G16" i="20" a="1"/>
  <c r="F19" i="18" a="1"/>
  <c r="F71" i="18" a="1"/>
  <c r="E30" i="22" a="1"/>
  <c r="E26" i="22" a="1"/>
  <c r="F14" i="18" a="1"/>
  <c r="G10" i="19" a="1"/>
  <c r="F22" i="19" a="1"/>
  <c r="H65" i="19" a="1"/>
  <c r="G23" i="19" a="1"/>
  <c r="E14" i="19" a="1"/>
  <c r="E18" i="19" a="1"/>
  <c r="H50" i="19" a="1"/>
  <c r="F23" i="18" a="1"/>
  <c r="E26" i="18" a="1"/>
  <c r="F18" i="22" a="1"/>
  <c r="F27" i="19" a="1"/>
  <c r="G68" i="22" a="1"/>
  <c r="G68" i="19" a="1"/>
  <c r="G71" i="19" a="1"/>
  <c r="G16" i="22" a="1"/>
  <c r="E26" i="19" a="1"/>
  <c r="G12" i="19" a="1"/>
  <c r="F71" i="19" a="1"/>
  <c r="H56" i="19" a="1"/>
  <c r="E22" i="18" a="1"/>
  <c r="G10" i="18" a="1"/>
  <c r="I52" i="22" a="1"/>
  <c r="E28" i="22" a="1"/>
  <c r="D35" i="18" a="1"/>
  <c r="G56" i="18" a="1"/>
  <c r="G65" i="22" a="1"/>
  <c r="I52" i="20" a="1"/>
  <c r="G70" i="19" a="1"/>
  <c r="G20" i="22" a="1"/>
  <c r="F12" i="18" a="1"/>
  <c r="F22" i="22" a="1"/>
  <c r="H51" i="18" a="1"/>
  <c r="H54" i="22" a="1"/>
  <c r="F18" i="19" a="1"/>
  <c r="G66" i="18" a="1"/>
  <c r="F19" i="19" a="1"/>
  <c r="G63" i="22" a="1"/>
  <c r="F14" i="19" a="1"/>
  <c r="H54" i="18" a="1"/>
  <c r="H48" i="18" a="1"/>
  <c r="H12" i="20" a="1"/>
  <c r="E29" i="22" a="1"/>
  <c r="G24" i="22" a="1"/>
  <c r="D32" i="22" a="1"/>
  <c r="I56" i="20" a="1"/>
  <c r="G65" i="18" a="1"/>
  <c r="H50" i="18" a="1"/>
  <c r="G60" i="18" a="1"/>
  <c r="E29" i="18" a="1"/>
  <c r="I48" i="19" a="1"/>
  <c r="F16" i="19" a="1"/>
  <c r="E28" i="18" a="1"/>
  <c r="G15" i="19" a="1"/>
  <c r="H54" i="19" a="1"/>
  <c r="H64" i="19" a="1"/>
  <c r="E27" i="22" a="1"/>
  <c r="G52" i="18" a="1"/>
  <c r="I60" i="20" a="1"/>
  <c r="I50" i="22" a="1"/>
  <c r="G64" i="22" a="1"/>
  <c r="F70" i="19" a="1"/>
  <c r="E24" i="18" a="1"/>
  <c r="G24" i="20" a="1"/>
  <c r="G11" i="18" a="1"/>
  <c r="E20" i="18" a="1"/>
  <c r="E24" i="19" a="1"/>
  <c r="I56" i="19" a="1"/>
  <c r="H12" i="22" a="1"/>
  <c r="G62" i="18" a="1"/>
  <c r="F23" i="19" a="1"/>
  <c r="G66" i="19" a="1"/>
  <c r="G70" i="22" a="1"/>
  <c r="E16" i="18" a="1"/>
  <c r="F26" i="19" a="1"/>
  <c r="I60" i="22" a="1"/>
  <c r="E34" i="22" a="1"/>
  <c r="I50" i="18" a="1"/>
  <c r="H55" i="18" a="1"/>
  <c r="F20" i="19" a="1"/>
  <c r="F28" i="19" a="1"/>
  <c r="C32" i="18" a="1"/>
  <c r="G10" i="22" a="1"/>
  <c r="F70" i="18" a="1"/>
  <c r="C32" i="19" a="1"/>
  <c r="G64" i="18" a="1"/>
  <c r="F29" i="19" a="1"/>
  <c r="F14" i="22" a="1"/>
  <c r="F68" i="18" a="1"/>
  <c r="D34" i="18" a="1"/>
  <c r="I58" i="22" a="1"/>
  <c r="H130" i="19" l="1"/>
  <c r="I131" i="18"/>
  <c r="I111" i="22"/>
  <c r="I108" i="22"/>
  <c r="I106" i="22"/>
  <c r="I84" i="22"/>
  <c r="I110" i="22"/>
  <c r="I84" i="19"/>
  <c r="I130" i="19" s="1"/>
  <c r="I111" i="19"/>
  <c r="I108" i="19"/>
  <c r="I118" i="19" s="1"/>
  <c r="I128" i="19" s="1"/>
  <c r="I110" i="19"/>
  <c r="H130" i="18"/>
  <c r="H126" i="19"/>
  <c r="H129" i="19" s="1"/>
  <c r="G126" i="19"/>
  <c r="G129" i="19" s="1"/>
  <c r="G23" i="19"/>
  <c r="G19" i="19"/>
  <c r="G15" i="19"/>
  <c r="F19" i="19"/>
  <c r="F23" i="19"/>
  <c r="F15" i="19"/>
  <c r="E9" i="19"/>
  <c r="F20" i="19"/>
  <c r="H56" i="19"/>
  <c r="E24" i="19"/>
  <c r="E20" i="19"/>
  <c r="E16" i="19"/>
  <c r="P102" i="28"/>
  <c r="O125" i="28"/>
  <c r="O138" i="28" s="1"/>
  <c r="G132" i="22"/>
  <c r="G125" i="22"/>
  <c r="G126" i="22" s="1"/>
  <c r="G129" i="22" s="1"/>
  <c r="G117" i="22"/>
  <c r="J122" i="22"/>
  <c r="I122" i="22"/>
  <c r="G126" i="18"/>
  <c r="G129" i="18" s="1"/>
  <c r="I122" i="18"/>
  <c r="G117" i="18"/>
  <c r="G127" i="18" s="1"/>
  <c r="G117" i="19"/>
  <c r="G127" i="19" s="1"/>
  <c r="I122" i="19"/>
  <c r="H117" i="19"/>
  <c r="H127" i="19" s="1"/>
  <c r="I103" i="18"/>
  <c r="F68" i="19"/>
  <c r="G118" i="19"/>
  <c r="G128" i="19" s="1"/>
  <c r="I106" i="18"/>
  <c r="H116" i="18"/>
  <c r="H125" i="18" s="1"/>
  <c r="H126" i="18" s="1"/>
  <c r="H129" i="18" s="1"/>
  <c r="G119" i="19"/>
  <c r="G132" i="19" s="1"/>
  <c r="F71" i="19"/>
  <c r="E14" i="18"/>
  <c r="H111" i="18"/>
  <c r="H108" i="18"/>
  <c r="H118" i="18" s="1"/>
  <c r="H128" i="18" s="1"/>
  <c r="H110" i="18"/>
  <c r="H82" i="18"/>
  <c r="I82" i="18" s="1"/>
  <c r="G119" i="18"/>
  <c r="G132" i="18" s="1"/>
  <c r="E9" i="18"/>
  <c r="H101" i="18"/>
  <c r="F70" i="18"/>
  <c r="G64" i="18"/>
  <c r="F71" i="18"/>
  <c r="G65" i="18"/>
  <c r="G63" i="18"/>
  <c r="F68" i="18"/>
  <c r="E30" i="18"/>
  <c r="G62" i="18"/>
  <c r="E22" i="19"/>
  <c r="I102" i="18"/>
  <c r="I120" i="18" s="1"/>
  <c r="I133" i="18" s="1"/>
  <c r="I105" i="18"/>
  <c r="I104" i="18"/>
  <c r="G118" i="18"/>
  <c r="G128" i="18" s="1"/>
  <c r="H48" i="18"/>
  <c r="H45" i="18" s="1"/>
  <c r="E24" i="18"/>
  <c r="G52" i="18"/>
  <c r="E26" i="18"/>
  <c r="E22" i="18"/>
  <c r="G56" i="18"/>
  <c r="G60" i="18"/>
  <c r="E28" i="18"/>
  <c r="E20" i="18"/>
  <c r="E27" i="18"/>
  <c r="E18" i="18"/>
  <c r="E16" i="18"/>
  <c r="F12" i="18"/>
  <c r="F9" i="18" s="1"/>
  <c r="E29" i="18"/>
  <c r="J88" i="18"/>
  <c r="I115" i="18"/>
  <c r="I124" i="18" s="1"/>
  <c r="I96" i="18"/>
  <c r="I100" i="18"/>
  <c r="I92" i="18"/>
  <c r="I85" i="18"/>
  <c r="D34" i="18"/>
  <c r="F70" i="19"/>
  <c r="C32" i="18"/>
  <c r="D35" i="18"/>
  <c r="D35" i="19"/>
  <c r="D34" i="19"/>
  <c r="C32" i="19"/>
  <c r="E27" i="19"/>
  <c r="E14" i="19"/>
  <c r="E18" i="19"/>
  <c r="E28" i="19"/>
  <c r="E29" i="19"/>
  <c r="E26" i="19"/>
  <c r="F61" i="19"/>
  <c r="H119" i="19"/>
  <c r="H132" i="19" s="1"/>
  <c r="J98" i="18"/>
  <c r="J113" i="18"/>
  <c r="F22" i="18"/>
  <c r="J94" i="18"/>
  <c r="F9" i="19"/>
  <c r="I46" i="18"/>
  <c r="I116" i="19"/>
  <c r="I125" i="19" s="1"/>
  <c r="J94" i="19"/>
  <c r="J90" i="19"/>
  <c r="G61" i="19"/>
  <c r="J113" i="19"/>
  <c r="J98" i="19"/>
  <c r="H45" i="19"/>
  <c r="I111" i="18"/>
  <c r="I130" i="18"/>
  <c r="I108" i="18"/>
  <c r="I118" i="18" s="1"/>
  <c r="I128" i="18" s="1"/>
  <c r="I110" i="18"/>
  <c r="H58" i="18"/>
  <c r="H50" i="18"/>
  <c r="H54" i="18"/>
  <c r="G10" i="18"/>
  <c r="F14" i="18"/>
  <c r="F18" i="18"/>
  <c r="G66" i="18"/>
  <c r="F24" i="19"/>
  <c r="H51" i="18"/>
  <c r="H52" i="19"/>
  <c r="H59" i="18"/>
  <c r="I48" i="19"/>
  <c r="H60" i="19"/>
  <c r="H55" i="18"/>
  <c r="F19" i="18"/>
  <c r="G11" i="18"/>
  <c r="F23" i="18"/>
  <c r="G12" i="19"/>
  <c r="F16" i="19"/>
  <c r="G65" i="22"/>
  <c r="G62" i="22"/>
  <c r="E28" i="22"/>
  <c r="G64" i="22"/>
  <c r="E26" i="22"/>
  <c r="G63" i="22"/>
  <c r="E27" i="22"/>
  <c r="E29" i="22"/>
  <c r="H116" i="22"/>
  <c r="H127" i="22" s="1"/>
  <c r="H63" i="19"/>
  <c r="G70" i="22"/>
  <c r="G71" i="19"/>
  <c r="I56" i="19"/>
  <c r="H62" i="19"/>
  <c r="H50" i="22"/>
  <c r="E34" i="22"/>
  <c r="G70" i="19"/>
  <c r="I50" i="18"/>
  <c r="H54" i="22"/>
  <c r="I50" i="22"/>
  <c r="G71" i="22"/>
  <c r="D32" i="22"/>
  <c r="H54" i="19"/>
  <c r="H58" i="22"/>
  <c r="I54" i="22"/>
  <c r="G68" i="22"/>
  <c r="H12" i="22"/>
  <c r="F14" i="22"/>
  <c r="F18" i="22"/>
  <c r="E30" i="22"/>
  <c r="E35" i="22"/>
  <c r="I46" i="19"/>
  <c r="H50" i="19"/>
  <c r="I58" i="22"/>
  <c r="G66" i="22"/>
  <c r="G10" i="22"/>
  <c r="G9" i="22" s="1"/>
  <c r="G20" i="22"/>
  <c r="G16" i="22"/>
  <c r="G66" i="19"/>
  <c r="H58" i="19"/>
  <c r="I60" i="20"/>
  <c r="I52" i="22"/>
  <c r="G68" i="19"/>
  <c r="H64" i="19"/>
  <c r="I52" i="20"/>
  <c r="I56" i="22"/>
  <c r="H10" i="22"/>
  <c r="F22" i="22"/>
  <c r="G24" i="22"/>
  <c r="H65" i="19"/>
  <c r="I56" i="20"/>
  <c r="I60" i="22"/>
  <c r="H119" i="22"/>
  <c r="H130" i="22"/>
  <c r="H118" i="22"/>
  <c r="H128" i="22" s="1"/>
  <c r="I82" i="22"/>
  <c r="I130" i="22"/>
  <c r="E30" i="19"/>
  <c r="F22" i="19"/>
  <c r="F28" i="19"/>
  <c r="F29" i="19"/>
  <c r="G10" i="19"/>
  <c r="F27" i="19"/>
  <c r="F14" i="19"/>
  <c r="F18" i="19"/>
  <c r="F26" i="19"/>
  <c r="G20" i="20"/>
  <c r="G24" i="20"/>
  <c r="H12" i="20"/>
  <c r="G16" i="20"/>
  <c r="I82" i="19"/>
  <c r="H68" i="22" a="1"/>
  <c r="H62" i="22" a="1"/>
  <c r="F28" i="22" a="1"/>
  <c r="H56" i="18" a="1"/>
  <c r="F26" i="22" a="1"/>
  <c r="H71" i="22" a="1"/>
  <c r="H52" i="18" a="1"/>
  <c r="I50" i="19" a="1"/>
  <c r="F35" i="19" a="1"/>
  <c r="H10" i="19" a="1"/>
  <c r="H64" i="22" a="1"/>
  <c r="I58" i="18" a="1"/>
  <c r="E35" i="18" a="1"/>
  <c r="G24" i="19" a="1"/>
  <c r="E34" i="19" a="1"/>
  <c r="H24" i="20" a="1"/>
  <c r="H14" i="22" a="1"/>
  <c r="H14" i="18" a="1"/>
  <c r="H71" i="19" a="1"/>
  <c r="D32" i="18" a="1"/>
  <c r="G18" i="19" a="1"/>
  <c r="G22" i="18" a="1"/>
  <c r="G19" i="18" a="1"/>
  <c r="G70" i="18" a="1"/>
  <c r="G68" i="18" a="1"/>
  <c r="I48" i="18" a="1"/>
  <c r="D32" i="19" a="1"/>
  <c r="F29" i="18" a="1"/>
  <c r="H22" i="22" a="1"/>
  <c r="H66" i="19" a="1"/>
  <c r="G26" i="19" a="1"/>
  <c r="H10" i="18" a="1"/>
  <c r="H20" i="20" a="1"/>
  <c r="G20" i="19" a="1"/>
  <c r="H20" i="19" a="1"/>
  <c r="H12" i="19" a="1"/>
  <c r="G15" i="18" a="1"/>
  <c r="H16" i="20" a="1"/>
  <c r="F27" i="18" a="1"/>
  <c r="F30" i="19" a="1"/>
  <c r="E32" i="22" a="1"/>
  <c r="F27" i="22" a="1"/>
  <c r="I54" i="18" a="1"/>
  <c r="I58" i="19" a="1"/>
  <c r="F28" i="18" a="1"/>
  <c r="G71" i="18" a="1"/>
  <c r="G22" i="19" a="1"/>
  <c r="G18" i="18" a="1"/>
  <c r="H68" i="19" a="1"/>
  <c r="F34" i="19" a="1"/>
  <c r="H63" i="18" a="1"/>
  <c r="F24" i="18" a="1"/>
  <c r="G23" i="18" a="1"/>
  <c r="F35" i="22" a="1"/>
  <c r="H64" i="18" a="1"/>
  <c r="F29" i="22" a="1"/>
  <c r="H71" i="18" a="1"/>
  <c r="I60" i="19" a="1"/>
  <c r="G28" i="19" a="1"/>
  <c r="G27" i="19" a="1"/>
  <c r="F26" i="18" a="1"/>
  <c r="E32" i="19" a="1"/>
  <c r="I54" i="19" a="1"/>
  <c r="H65" i="18" a="1"/>
  <c r="H70" i="22" a="1"/>
  <c r="G14" i="18" a="1"/>
  <c r="H68" i="18" a="1"/>
  <c r="G29" i="19" a="1"/>
  <c r="H70" i="19" a="1"/>
  <c r="E34" i="18" a="1"/>
  <c r="H16" i="22" a="1"/>
  <c r="E35" i="19" a="1"/>
  <c r="H70" i="18" a="1"/>
  <c r="F30" i="18" a="1"/>
  <c r="H63" i="22" a="1"/>
  <c r="H60" i="18" a="1"/>
  <c r="I52" i="19" a="1"/>
  <c r="H24" i="22" a="1"/>
  <c r="F30" i="22" a="1"/>
  <c r="G14" i="19" a="1"/>
  <c r="G16" i="19" a="1"/>
  <c r="H62" i="18" a="1"/>
  <c r="F16" i="18" a="1"/>
  <c r="H18" i="22" a="1"/>
  <c r="H66" i="18" a="1"/>
  <c r="G18" i="22" a="1"/>
  <c r="F34" i="22" a="1"/>
  <c r="G12" i="18" a="1"/>
  <c r="F20" i="18" a="1"/>
  <c r="G22" i="22" a="1"/>
  <c r="H65" i="22" a="1"/>
  <c r="G14" i="22" a="1"/>
  <c r="H66" i="22" a="1"/>
  <c r="H20" i="22" a="1"/>
  <c r="G20" i="19" l="1"/>
  <c r="Q102" i="28"/>
  <c r="Q125" i="28" s="1"/>
  <c r="Q138" i="28" s="1"/>
  <c r="P125" i="28"/>
  <c r="P138" i="28" s="1"/>
  <c r="H117" i="18"/>
  <c r="H127" i="18" s="1"/>
  <c r="H132" i="22"/>
  <c r="H125" i="22"/>
  <c r="H126" i="22" s="1"/>
  <c r="H129" i="22" s="1"/>
  <c r="H117" i="22"/>
  <c r="J122" i="18"/>
  <c r="I126" i="19"/>
  <c r="I129" i="19" s="1"/>
  <c r="I117" i="19"/>
  <c r="I127" i="19" s="1"/>
  <c r="J122" i="19"/>
  <c r="H63" i="18"/>
  <c r="D32" i="19"/>
  <c r="H119" i="18"/>
  <c r="H132" i="18" s="1"/>
  <c r="E35" i="19"/>
  <c r="G70" i="18"/>
  <c r="G68" i="18"/>
  <c r="G71" i="18"/>
  <c r="I101" i="18"/>
  <c r="I116" i="18"/>
  <c r="I125" i="18" s="1"/>
  <c r="I126" i="18" s="1"/>
  <c r="I129" i="18" s="1"/>
  <c r="F26" i="18"/>
  <c r="H64" i="18"/>
  <c r="D32" i="18"/>
  <c r="F27" i="18"/>
  <c r="H65" i="18"/>
  <c r="F29" i="18"/>
  <c r="H62" i="18"/>
  <c r="E35" i="18"/>
  <c r="F28" i="18"/>
  <c r="E34" i="18"/>
  <c r="I48" i="18"/>
  <c r="F24" i="18"/>
  <c r="F20" i="18"/>
  <c r="H52" i="18"/>
  <c r="F16" i="18"/>
  <c r="H60" i="18"/>
  <c r="H56" i="18"/>
  <c r="G12" i="18"/>
  <c r="G9" i="18" s="1"/>
  <c r="J92" i="18"/>
  <c r="J115" i="18"/>
  <c r="J124" i="18" s="1"/>
  <c r="J100" i="18"/>
  <c r="J96" i="18"/>
  <c r="E34" i="19"/>
  <c r="I58" i="18"/>
  <c r="I54" i="18"/>
  <c r="H10" i="18"/>
  <c r="H61" i="19"/>
  <c r="G9" i="19"/>
  <c r="I119" i="18"/>
  <c r="I132" i="18" s="1"/>
  <c r="I119" i="19"/>
  <c r="I132" i="19" s="1"/>
  <c r="G22" i="18"/>
  <c r="G14" i="18"/>
  <c r="G18" i="18"/>
  <c r="F30" i="18"/>
  <c r="I60" i="19"/>
  <c r="I52" i="19"/>
  <c r="H70" i="18"/>
  <c r="H66" i="18"/>
  <c r="G15" i="18"/>
  <c r="G24" i="19"/>
  <c r="H12" i="19"/>
  <c r="H71" i="18"/>
  <c r="G19" i="18"/>
  <c r="H68" i="18"/>
  <c r="G23" i="18"/>
  <c r="G16" i="19"/>
  <c r="I116" i="22"/>
  <c r="I127" i="22" s="1"/>
  <c r="H64" i="22"/>
  <c r="F28" i="22"/>
  <c r="H65" i="22"/>
  <c r="H62" i="22"/>
  <c r="H63" i="22"/>
  <c r="F26" i="22"/>
  <c r="F29" i="22"/>
  <c r="F27" i="22"/>
  <c r="H71" i="22"/>
  <c r="E32" i="22"/>
  <c r="F35" i="22"/>
  <c r="H66" i="22"/>
  <c r="H22" i="22"/>
  <c r="G14" i="22"/>
  <c r="H71" i="19"/>
  <c r="I54" i="19"/>
  <c r="H68" i="22"/>
  <c r="H16" i="22"/>
  <c r="H14" i="22"/>
  <c r="F34" i="22"/>
  <c r="H20" i="22"/>
  <c r="H18" i="22"/>
  <c r="G18" i="22"/>
  <c r="H70" i="22"/>
  <c r="H24" i="22"/>
  <c r="G22" i="22"/>
  <c r="H66" i="19"/>
  <c r="I58" i="19"/>
  <c r="F30" i="22"/>
  <c r="H68" i="19"/>
  <c r="I50" i="19"/>
  <c r="H70" i="19"/>
  <c r="I118" i="22"/>
  <c r="I128" i="22" s="1"/>
  <c r="I119" i="22"/>
  <c r="H14" i="18"/>
  <c r="F35" i="19"/>
  <c r="G14" i="19"/>
  <c r="G26" i="19"/>
  <c r="E32" i="19"/>
  <c r="F30" i="19"/>
  <c r="G27" i="19"/>
  <c r="H10" i="19"/>
  <c r="G18" i="19"/>
  <c r="G28" i="19"/>
  <c r="G29" i="19"/>
  <c r="G22" i="19"/>
  <c r="H20" i="19"/>
  <c r="F34" i="19"/>
  <c r="H16" i="20"/>
  <c r="H24" i="20"/>
  <c r="H20" i="20"/>
  <c r="G35" i="19" a="1"/>
  <c r="G30" i="18" a="1"/>
  <c r="I63" i="22" a="1"/>
  <c r="G27" i="22" a="1"/>
  <c r="F32" i="19" a="1"/>
  <c r="H18" i="19" a="1"/>
  <c r="G26" i="22" a="1"/>
  <c r="G35" i="18" a="1"/>
  <c r="G34" i="19" a="1"/>
  <c r="F32" i="18" a="1"/>
  <c r="I52" i="18" a="1"/>
  <c r="H12" i="18" a="1"/>
  <c r="F32" i="22" a="1"/>
  <c r="H22" i="19" a="1"/>
  <c r="G24" i="18" a="1"/>
  <c r="G27" i="18" a="1"/>
  <c r="G16" i="18" a="1"/>
  <c r="G35" i="22" a="1"/>
  <c r="G28" i="18" a="1"/>
  <c r="I60" i="18" a="1"/>
  <c r="H22" i="18" a="1"/>
  <c r="E32" i="18" a="1"/>
  <c r="I62" i="22" a="1"/>
  <c r="G20" i="18" a="1"/>
  <c r="H18" i="18" a="1"/>
  <c r="H24" i="19" a="1"/>
  <c r="H14" i="19" a="1"/>
  <c r="G30" i="19" a="1"/>
  <c r="G29" i="22" a="1"/>
  <c r="H16" i="19" a="1"/>
  <c r="G30" i="22" a="1"/>
  <c r="I65" i="22" a="1"/>
  <c r="G26" i="18" a="1"/>
  <c r="I56" i="18" a="1"/>
  <c r="G29" i="18" a="1"/>
  <c r="F34" i="18" a="1"/>
  <c r="G34" i="18" a="1"/>
  <c r="I64" i="22" a="1"/>
  <c r="F35" i="18" a="1"/>
  <c r="G34" i="22" a="1"/>
  <c r="G28" i="22" a="1"/>
  <c r="I132" i="22" l="1"/>
  <c r="I125" i="22"/>
  <c r="I126" i="22" s="1"/>
  <c r="I129" i="22" s="1"/>
  <c r="I117" i="22"/>
  <c r="I117" i="18"/>
  <c r="I127" i="18" s="1"/>
  <c r="G27" i="18"/>
  <c r="F35" i="18"/>
  <c r="E32" i="18"/>
  <c r="F34" i="18"/>
  <c r="G29" i="18"/>
  <c r="G26" i="18"/>
  <c r="G28" i="18"/>
  <c r="G20" i="18"/>
  <c r="G24" i="18"/>
  <c r="I56" i="18"/>
  <c r="G16" i="18"/>
  <c r="I60" i="18"/>
  <c r="I52" i="18"/>
  <c r="H12" i="18"/>
  <c r="H22" i="18"/>
  <c r="H18" i="18"/>
  <c r="H24" i="19"/>
  <c r="H16" i="19"/>
  <c r="G34" i="18"/>
  <c r="G30" i="18"/>
  <c r="F32" i="18"/>
  <c r="G35" i="18"/>
  <c r="I63" i="22"/>
  <c r="G26" i="22"/>
  <c r="G29" i="22"/>
  <c r="I64" i="22"/>
  <c r="I65" i="22"/>
  <c r="G28" i="22"/>
  <c r="I62" i="22"/>
  <c r="G27" i="22"/>
  <c r="J116" i="22"/>
  <c r="J127" i="22" s="1"/>
  <c r="G34" i="22"/>
  <c r="F32" i="22"/>
  <c r="G30" i="22"/>
  <c r="G35" i="22"/>
  <c r="G35" i="19"/>
  <c r="H22" i="19"/>
  <c r="H18" i="19"/>
  <c r="G30" i="19"/>
  <c r="H14" i="19"/>
  <c r="G34" i="19"/>
  <c r="F32" i="19"/>
  <c r="H24" i="18" a="1"/>
  <c r="H28" i="22" a="1"/>
  <c r="H29" i="22" a="1"/>
  <c r="H26" i="22" a="1"/>
  <c r="H16" i="18" a="1"/>
  <c r="H27" i="22" a="1"/>
  <c r="H20" i="18" a="1"/>
  <c r="J125" i="22" l="1"/>
  <c r="H24" i="18"/>
  <c r="H20" i="18"/>
  <c r="H16" i="18"/>
  <c r="H26" i="22"/>
  <c r="H29" i="22"/>
  <c r="H28" i="22"/>
  <c r="H27" i="22"/>
  <c r="D94" i="20" l="1"/>
  <c r="C54" i="20" a="1"/>
  <c r="C54" i="20" l="1"/>
  <c r="D98" i="20"/>
  <c r="C58" i="20" a="1"/>
  <c r="C58" i="20" l="1"/>
  <c r="D90" i="20"/>
  <c r="C50" i="20" a="1"/>
  <c r="C50" i="20" l="1"/>
  <c r="D113" i="20" l="1"/>
  <c r="D122" i="20" s="1"/>
  <c r="D132" i="20" l="1"/>
  <c r="D82" i="20" l="1"/>
  <c r="D95" i="20"/>
  <c r="C55" i="20" a="1"/>
  <c r="C55" i="20" l="1"/>
  <c r="D91" i="20"/>
  <c r="C51" i="20" a="1"/>
  <c r="C51" i="20" l="1"/>
  <c r="D99" i="20"/>
  <c r="C59" i="20" a="1"/>
  <c r="C59" i="20" l="1"/>
  <c r="D114" i="20" l="1"/>
  <c r="D123" i="20" s="1"/>
  <c r="D126" i="20" s="1"/>
  <c r="D129" i="20" s="1"/>
  <c r="P104" i="36" l="1"/>
  <c r="P110" i="36"/>
  <c r="N104" i="15"/>
  <c r="M104" i="36"/>
  <c r="K87" i="36"/>
  <c r="M105" i="36"/>
  <c r="M102" i="36"/>
  <c r="P88" i="36"/>
  <c r="M110" i="36"/>
  <c r="M88" i="36"/>
  <c r="L48" i="36" a="1"/>
  <c r="L62" i="36" a="1"/>
  <c r="M64" i="28" a="1"/>
  <c r="L65" i="36" a="1"/>
  <c r="L70" i="36" a="1"/>
  <c r="O64" i="36" a="1"/>
  <c r="O70" i="36" a="1"/>
  <c r="O48" i="36" a="1"/>
  <c r="L64" i="36" a="1"/>
  <c r="M64" i="15" a="1"/>
  <c r="J47" i="36" a="1"/>
  <c r="L65" i="36" l="1"/>
  <c r="L48" i="36"/>
  <c r="L64" i="36"/>
  <c r="L70" i="36"/>
  <c r="O64" i="36"/>
  <c r="L62" i="36"/>
  <c r="O48" i="36"/>
  <c r="J47" i="36"/>
  <c r="O70" i="36"/>
  <c r="L88" i="36"/>
  <c r="M88" i="22"/>
  <c r="M96" i="36"/>
  <c r="M92" i="36"/>
  <c r="M100" i="36"/>
  <c r="M115" i="36"/>
  <c r="M124" i="36" s="1"/>
  <c r="M88" i="37"/>
  <c r="P86" i="36"/>
  <c r="N86" i="36"/>
  <c r="M86" i="36"/>
  <c r="M142" i="36" s="1"/>
  <c r="K88" i="36"/>
  <c r="M103" i="36"/>
  <c r="M116" i="36"/>
  <c r="M125" i="36" s="1"/>
  <c r="M120" i="36"/>
  <c r="M133" i="36" s="1"/>
  <c r="P88" i="37"/>
  <c r="P100" i="36"/>
  <c r="P115" i="36"/>
  <c r="P124" i="36" s="1"/>
  <c r="P96" i="36"/>
  <c r="P92" i="36"/>
  <c r="P88" i="22"/>
  <c r="K114" i="36"/>
  <c r="K123" i="36" s="1"/>
  <c r="K95" i="36"/>
  <c r="K91" i="36"/>
  <c r="K87" i="22"/>
  <c r="K99" i="36"/>
  <c r="K87" i="37"/>
  <c r="K87" i="19"/>
  <c r="K87" i="20"/>
  <c r="L86" i="36"/>
  <c r="N87" i="36"/>
  <c r="N104" i="30"/>
  <c r="N87" i="15"/>
  <c r="N87" i="33" s="1"/>
  <c r="Q87" i="36"/>
  <c r="P105" i="36"/>
  <c r="P104" i="15"/>
  <c r="M104" i="15"/>
  <c r="M64" i="28"/>
  <c r="O110" i="15"/>
  <c r="P110" i="15"/>
  <c r="P113" i="33" s="1"/>
  <c r="M105" i="15"/>
  <c r="Q102" i="15"/>
  <c r="P86" i="15"/>
  <c r="P86" i="33" s="1"/>
  <c r="L88" i="15"/>
  <c r="M110" i="15"/>
  <c r="M113" i="33" s="1"/>
  <c r="N86" i="15"/>
  <c r="N86" i="33" s="1"/>
  <c r="M86" i="15"/>
  <c r="Q110" i="15"/>
  <c r="P88" i="15"/>
  <c r="K88" i="15"/>
  <c r="K88" i="33" s="1"/>
  <c r="M102" i="15"/>
  <c r="O104" i="15"/>
  <c r="O104" i="33" s="1"/>
  <c r="L86" i="15"/>
  <c r="L86" i="33" s="1"/>
  <c r="L104" i="36"/>
  <c r="K102" i="36"/>
  <c r="O105" i="15"/>
  <c r="O105" i="33" s="1"/>
  <c r="K108" i="36"/>
  <c r="Q105" i="15"/>
  <c r="P102" i="36"/>
  <c r="L110" i="36"/>
  <c r="L87" i="36"/>
  <c r="M64" i="15"/>
  <c r="P64" i="28" a="1"/>
  <c r="N64" i="15" a="1"/>
  <c r="K47" i="36" a="1"/>
  <c r="L65" i="28" a="1"/>
  <c r="J47" i="37" a="1"/>
  <c r="K26" i="36" a="1"/>
  <c r="M46" i="33" a="1"/>
  <c r="J48" i="15" a="1"/>
  <c r="L64" i="28" a="1"/>
  <c r="J48" i="36" a="1"/>
  <c r="J59" i="36" a="1"/>
  <c r="L46" i="36" a="1"/>
  <c r="J55" i="36" a="1"/>
  <c r="P65" i="28" a="1"/>
  <c r="P47" i="36" a="1"/>
  <c r="K46" i="33" a="1"/>
  <c r="J48" i="33" a="1"/>
  <c r="N65" i="28" a="1"/>
  <c r="K28" i="36" a="1"/>
  <c r="O52" i="36" a="1"/>
  <c r="L62" i="28" a="1"/>
  <c r="K48" i="36" a="1"/>
  <c r="M47" i="36" a="1"/>
  <c r="O48" i="15" a="1"/>
  <c r="K46" i="36" a="1"/>
  <c r="O65" i="36" a="1"/>
  <c r="K70" i="36" a="1"/>
  <c r="P62" i="28" a="1"/>
  <c r="L64" i="15" a="1"/>
  <c r="N28" i="36" a="1"/>
  <c r="L63" i="36" a="1"/>
  <c r="M64" i="30" a="1"/>
  <c r="N64" i="28" a="1"/>
  <c r="J68" i="36" a="1"/>
  <c r="L28" i="15" a="1"/>
  <c r="I11" i="36" a="1"/>
  <c r="L48" i="37" a="1"/>
  <c r="M47" i="15" a="1"/>
  <c r="J62" i="36" a="1"/>
  <c r="L52" i="36" a="1"/>
  <c r="O46" i="33" a="1"/>
  <c r="J51" i="36" a="1"/>
  <c r="O46" i="36" a="1"/>
  <c r="O64" i="28" a="1"/>
  <c r="K34" i="36" a="1"/>
  <c r="K48" i="15" a="1"/>
  <c r="M47" i="33" a="1"/>
  <c r="L62" i="15" a="1"/>
  <c r="O62" i="36" a="1"/>
  <c r="P65" i="15" a="1"/>
  <c r="K29" i="36" a="1"/>
  <c r="P62" i="15" a="1"/>
  <c r="N12" i="36" a="1"/>
  <c r="L56" i="36" a="1"/>
  <c r="O60" i="36" a="1"/>
  <c r="K64" i="36" a="1"/>
  <c r="O46" i="15" a="1"/>
  <c r="N65" i="15" a="1"/>
  <c r="O48" i="37" a="1"/>
  <c r="M46" i="15" a="1"/>
  <c r="L60" i="36" a="1"/>
  <c r="O56" i="36" a="1"/>
  <c r="K65" i="28" a="1"/>
  <c r="K12" i="36" a="1"/>
  <c r="K46" i="15" a="1"/>
  <c r="L46" i="15" a="1"/>
  <c r="O64" i="15" a="1"/>
  <c r="L28" i="28" a="1"/>
  <c r="N34" i="36" a="1"/>
  <c r="L65" i="15" a="1"/>
  <c r="M46" i="36" a="1"/>
  <c r="L87" i="20" l="1"/>
  <c r="M87" i="20" s="1"/>
  <c r="N87" i="20" s="1"/>
  <c r="P47" i="36"/>
  <c r="J47" i="37"/>
  <c r="O56" i="36"/>
  <c r="J48" i="36"/>
  <c r="J59" i="36"/>
  <c r="L46" i="36"/>
  <c r="L75" i="36" s="1"/>
  <c r="K26" i="36"/>
  <c r="O60" i="36"/>
  <c r="L48" i="37"/>
  <c r="K48" i="36"/>
  <c r="N28" i="36"/>
  <c r="J51" i="36"/>
  <c r="O48" i="37"/>
  <c r="K34" i="36"/>
  <c r="J55" i="36"/>
  <c r="M46" i="36"/>
  <c r="L60" i="36"/>
  <c r="K28" i="36"/>
  <c r="K70" i="36"/>
  <c r="J62" i="36"/>
  <c r="M47" i="36"/>
  <c r="L52" i="36"/>
  <c r="N34" i="36"/>
  <c r="J68" i="36"/>
  <c r="K47" i="36"/>
  <c r="O62" i="36"/>
  <c r="O65" i="36"/>
  <c r="L63" i="36"/>
  <c r="O46" i="36"/>
  <c r="L56" i="36"/>
  <c r="I11" i="36"/>
  <c r="K12" i="36"/>
  <c r="K64" i="36"/>
  <c r="K46" i="36"/>
  <c r="O52" i="36"/>
  <c r="N12" i="36"/>
  <c r="K29" i="36"/>
  <c r="Q91" i="36"/>
  <c r="Q87" i="37"/>
  <c r="Q99" i="36"/>
  <c r="Q95" i="36"/>
  <c r="Q114" i="36"/>
  <c r="Q123" i="36" s="1"/>
  <c r="Q87" i="22"/>
  <c r="K99" i="37"/>
  <c r="K114" i="37"/>
  <c r="K123" i="37" s="1"/>
  <c r="K91" i="37"/>
  <c r="K95" i="37"/>
  <c r="K96" i="36"/>
  <c r="K92" i="36"/>
  <c r="K88" i="37"/>
  <c r="K100" i="36"/>
  <c r="K115" i="36"/>
  <c r="K124" i="36" s="1"/>
  <c r="K88" i="22"/>
  <c r="K88" i="19"/>
  <c r="L88" i="19" s="1"/>
  <c r="M88" i="19" s="1"/>
  <c r="K88" i="20"/>
  <c r="L88" i="20" s="1"/>
  <c r="M90" i="36"/>
  <c r="M86" i="22"/>
  <c r="M86" i="37"/>
  <c r="M98" i="36"/>
  <c r="M113" i="36"/>
  <c r="M94" i="36"/>
  <c r="M83" i="36"/>
  <c r="M85" i="36"/>
  <c r="R87" i="36"/>
  <c r="M115" i="37"/>
  <c r="M124" i="37" s="1"/>
  <c r="M92" i="37"/>
  <c r="M100" i="37"/>
  <c r="M96" i="37"/>
  <c r="L96" i="36"/>
  <c r="L92" i="36"/>
  <c r="L100" i="36"/>
  <c r="L115" i="36"/>
  <c r="L124" i="36" s="1"/>
  <c r="L88" i="37"/>
  <c r="L88" i="22"/>
  <c r="L87" i="19"/>
  <c r="M87" i="19" s="1"/>
  <c r="N87" i="19" s="1"/>
  <c r="O87" i="19" s="1"/>
  <c r="P87" i="19" s="1"/>
  <c r="Q87" i="19" s="1"/>
  <c r="P115" i="37"/>
  <c r="P124" i="37" s="1"/>
  <c r="P96" i="37"/>
  <c r="P92" i="37"/>
  <c r="P100" i="37"/>
  <c r="K86" i="36"/>
  <c r="Q104" i="15"/>
  <c r="N94" i="36"/>
  <c r="N90" i="36"/>
  <c r="N98" i="36"/>
  <c r="N86" i="22"/>
  <c r="N86" i="37"/>
  <c r="N113" i="36"/>
  <c r="K103" i="36"/>
  <c r="K120" i="36"/>
  <c r="K133" i="36" s="1"/>
  <c r="K116" i="36"/>
  <c r="K125" i="36" s="1"/>
  <c r="N114" i="36"/>
  <c r="N123" i="36" s="1"/>
  <c r="N99" i="36"/>
  <c r="N87" i="22"/>
  <c r="N91" i="36"/>
  <c r="N95" i="36"/>
  <c r="N87" i="37"/>
  <c r="K118" i="36"/>
  <c r="K128" i="36" s="1"/>
  <c r="L99" i="36"/>
  <c r="L95" i="36"/>
  <c r="L87" i="37"/>
  <c r="L91" i="36"/>
  <c r="L87" i="22"/>
  <c r="L114" i="36"/>
  <c r="L123" i="36" s="1"/>
  <c r="Q86" i="36"/>
  <c r="P116" i="36"/>
  <c r="P125" i="36" s="1"/>
  <c r="P120" i="36"/>
  <c r="P133" i="36" s="1"/>
  <c r="P103" i="36"/>
  <c r="Q88" i="15"/>
  <c r="Q100" i="15" s="1"/>
  <c r="M104" i="22"/>
  <c r="M105" i="22"/>
  <c r="M105" i="37"/>
  <c r="M101" i="36"/>
  <c r="M102" i="22"/>
  <c r="M103" i="37"/>
  <c r="M102" i="37"/>
  <c r="M103" i="22"/>
  <c r="M104" i="37"/>
  <c r="P98" i="36"/>
  <c r="P90" i="36"/>
  <c r="P86" i="22"/>
  <c r="P83" i="36"/>
  <c r="P113" i="36"/>
  <c r="P94" i="36"/>
  <c r="P86" i="37"/>
  <c r="P142" i="36"/>
  <c r="P85" i="36"/>
  <c r="O86" i="36"/>
  <c r="L105" i="15"/>
  <c r="L105" i="30" s="1"/>
  <c r="L105" i="36"/>
  <c r="L113" i="36"/>
  <c r="L98" i="36"/>
  <c r="L86" i="22"/>
  <c r="L90" i="22" s="1"/>
  <c r="L86" i="37"/>
  <c r="L90" i="36"/>
  <c r="L94" i="36"/>
  <c r="L83" i="36"/>
  <c r="L85" i="36"/>
  <c r="L142" i="36"/>
  <c r="M46" i="33"/>
  <c r="J48" i="33"/>
  <c r="M47" i="33"/>
  <c r="O46" i="33"/>
  <c r="K46" i="33"/>
  <c r="M64" i="30"/>
  <c r="N118" i="33"/>
  <c r="N90" i="33"/>
  <c r="N98" i="33"/>
  <c r="N94" i="33"/>
  <c r="P113" i="30"/>
  <c r="M113" i="30"/>
  <c r="O113" i="30"/>
  <c r="K100" i="33"/>
  <c r="K120" i="33"/>
  <c r="K96" i="33"/>
  <c r="K92" i="33"/>
  <c r="M104" i="30"/>
  <c r="Q113" i="30"/>
  <c r="P104" i="30"/>
  <c r="N99" i="33"/>
  <c r="N119" i="33"/>
  <c r="N91" i="33"/>
  <c r="N95" i="33"/>
  <c r="O105" i="30"/>
  <c r="P94" i="33"/>
  <c r="P98" i="33"/>
  <c r="P90" i="33"/>
  <c r="P118" i="33"/>
  <c r="L98" i="33"/>
  <c r="L118" i="33"/>
  <c r="L90" i="33"/>
  <c r="L94" i="33"/>
  <c r="Q104" i="30"/>
  <c r="Q105" i="30"/>
  <c r="O104" i="30"/>
  <c r="M105" i="30"/>
  <c r="P111" i="36"/>
  <c r="M120" i="15"/>
  <c r="M133" i="15" s="1"/>
  <c r="M102" i="30"/>
  <c r="K88" i="28"/>
  <c r="K120" i="28" s="1"/>
  <c r="K129" i="28" s="1"/>
  <c r="K88" i="30"/>
  <c r="Q120" i="15"/>
  <c r="Q133" i="15" s="1"/>
  <c r="Q102" i="30"/>
  <c r="N113" i="15"/>
  <c r="N122" i="15" s="1"/>
  <c r="N127" i="33" s="1"/>
  <c r="N86" i="28"/>
  <c r="N98" i="28" s="1"/>
  <c r="N86" i="30"/>
  <c r="P96" i="15"/>
  <c r="P88" i="30"/>
  <c r="L88" i="28"/>
  <c r="L92" i="28" s="1"/>
  <c r="L88" i="30"/>
  <c r="L86" i="28"/>
  <c r="L90" i="28" s="1"/>
  <c r="L86" i="30"/>
  <c r="M90" i="22"/>
  <c r="M86" i="28"/>
  <c r="M90" i="28" s="1"/>
  <c r="M86" i="30"/>
  <c r="P98" i="15"/>
  <c r="P86" i="28"/>
  <c r="P98" i="28" s="1"/>
  <c r="P86" i="30"/>
  <c r="N87" i="28"/>
  <c r="N95" i="28" s="1"/>
  <c r="N87" i="30"/>
  <c r="L111" i="36"/>
  <c r="M47" i="15"/>
  <c r="Q116" i="15"/>
  <c r="Q125" i="15" s="1"/>
  <c r="N114" i="15"/>
  <c r="N123" i="15" s="1"/>
  <c r="N128" i="33" s="1"/>
  <c r="N91" i="15"/>
  <c r="N99" i="15"/>
  <c r="N95" i="15"/>
  <c r="Q87" i="15"/>
  <c r="O64" i="28"/>
  <c r="O64" i="15"/>
  <c r="M116" i="15"/>
  <c r="M125" i="15" s="1"/>
  <c r="M130" i="33" s="1"/>
  <c r="P105" i="15"/>
  <c r="L64" i="15"/>
  <c r="L98" i="15"/>
  <c r="P65" i="28"/>
  <c r="L62" i="28"/>
  <c r="L62" i="15"/>
  <c r="L65" i="28"/>
  <c r="K46" i="15"/>
  <c r="N65" i="28"/>
  <c r="N64" i="28"/>
  <c r="K65" i="28"/>
  <c r="P62" i="28"/>
  <c r="P62" i="15"/>
  <c r="P64" i="28"/>
  <c r="L64" i="28"/>
  <c r="L28" i="28"/>
  <c r="K102" i="15"/>
  <c r="K102" i="33" s="1"/>
  <c r="L110" i="15"/>
  <c r="L113" i="33" s="1"/>
  <c r="O88" i="15"/>
  <c r="M121" i="28"/>
  <c r="M130" i="28" s="1"/>
  <c r="P102" i="15"/>
  <c r="M103" i="15"/>
  <c r="O102" i="15"/>
  <c r="O102" i="33" s="1"/>
  <c r="Q86" i="15"/>
  <c r="Q86" i="33" s="1"/>
  <c r="L94" i="15"/>
  <c r="Q121" i="28"/>
  <c r="Q130" i="28" s="1"/>
  <c r="O86" i="15"/>
  <c r="O86" i="33" s="1"/>
  <c r="N105" i="15"/>
  <c r="L104" i="15"/>
  <c r="L104" i="33" s="1"/>
  <c r="Q103" i="15"/>
  <c r="K86" i="15"/>
  <c r="K86" i="33" s="1"/>
  <c r="L90" i="15"/>
  <c r="L113" i="15"/>
  <c r="L122" i="15" s="1"/>
  <c r="L127" i="33" s="1"/>
  <c r="P65" i="15"/>
  <c r="N65" i="15"/>
  <c r="K110" i="36"/>
  <c r="K104" i="36"/>
  <c r="P106" i="36"/>
  <c r="K106" i="36"/>
  <c r="K111" i="36"/>
  <c r="K48" i="15"/>
  <c r="L100" i="15"/>
  <c r="L92" i="15"/>
  <c r="L96" i="15"/>
  <c r="L115" i="15"/>
  <c r="L124" i="15" s="1"/>
  <c r="L129" i="33" s="1"/>
  <c r="J48" i="15"/>
  <c r="K92" i="15"/>
  <c r="K100" i="15"/>
  <c r="K115" i="15"/>
  <c r="K124" i="15" s="1"/>
  <c r="K129" i="33" s="1"/>
  <c r="K96" i="15"/>
  <c r="K88" i="18"/>
  <c r="L65" i="15"/>
  <c r="L28" i="15"/>
  <c r="N64" i="15"/>
  <c r="P92" i="15"/>
  <c r="P100" i="15"/>
  <c r="P115" i="15"/>
  <c r="P124" i="15" s="1"/>
  <c r="P129" i="33" s="1"/>
  <c r="P113" i="15"/>
  <c r="P90" i="15"/>
  <c r="P94" i="15"/>
  <c r="P83" i="15"/>
  <c r="P142" i="15"/>
  <c r="N90" i="22"/>
  <c r="N94" i="15"/>
  <c r="N90" i="15"/>
  <c r="N98" i="15"/>
  <c r="M113" i="15"/>
  <c r="P85" i="15"/>
  <c r="M90" i="15"/>
  <c r="M94" i="15"/>
  <c r="M98" i="15"/>
  <c r="O48" i="15"/>
  <c r="L46" i="15"/>
  <c r="M46" i="15"/>
  <c r="O46" i="15"/>
  <c r="M106" i="36"/>
  <c r="M111" i="36"/>
  <c r="L108" i="36"/>
  <c r="L106" i="36"/>
  <c r="O108" i="29"/>
  <c r="M108" i="36"/>
  <c r="K64" i="28" a="1"/>
  <c r="O58" i="15" a="1"/>
  <c r="L28" i="30" a="1"/>
  <c r="L50" i="15" a="1"/>
  <c r="J62" i="15" a="1"/>
  <c r="O54" i="36" a="1"/>
  <c r="K48" i="28" a="1"/>
  <c r="N48" i="15" a="1"/>
  <c r="J48" i="37" a="1"/>
  <c r="J56" i="15" a="1"/>
  <c r="M54" i="33" a="1"/>
  <c r="O71" i="36" a="1"/>
  <c r="J48" i="19" a="1"/>
  <c r="L65" i="30" a="1"/>
  <c r="M58" i="28" a="1"/>
  <c r="O58" i="28" a="1"/>
  <c r="M50" i="15" a="1"/>
  <c r="L11" i="33" a="1"/>
  <c r="K58" i="33" a="1"/>
  <c r="K48" i="30" a="1"/>
  <c r="M29" i="15" a="1"/>
  <c r="O56" i="37" a="1"/>
  <c r="N65" i="30" a="1"/>
  <c r="K29" i="15" a="1"/>
  <c r="J51" i="37" a="1"/>
  <c r="K26" i="28" a="1"/>
  <c r="O58" i="33" a="1"/>
  <c r="P47" i="15" a="1"/>
  <c r="O63" i="36" a="1"/>
  <c r="O62" i="28" a="1"/>
  <c r="N62" i="15" a="1"/>
  <c r="K65" i="30" a="1"/>
  <c r="K10" i="15" a="1"/>
  <c r="P46" i="36" a="1"/>
  <c r="J71" i="36" a="1"/>
  <c r="L71" i="36" a="1"/>
  <c r="K68" i="36" a="1"/>
  <c r="N68" i="29" a="1"/>
  <c r="N10" i="33" a="1"/>
  <c r="J46" i="33" a="1"/>
  <c r="J60" i="33" a="1"/>
  <c r="I23" i="36" a="1"/>
  <c r="L54" i="15" a="1"/>
  <c r="M47" i="37" a="1"/>
  <c r="M55" i="33" a="1"/>
  <c r="K46" i="30" a="1"/>
  <c r="K27" i="36" a="1"/>
  <c r="O52" i="37" a="1"/>
  <c r="L10" i="15" a="1"/>
  <c r="K16" i="36" a="1"/>
  <c r="M46" i="22" a="1"/>
  <c r="M28" i="15" a="1"/>
  <c r="P59" i="36" a="1"/>
  <c r="O50" i="36" a="1"/>
  <c r="J28" i="36" a="1"/>
  <c r="K50" i="28" a="1"/>
  <c r="O52" i="15" a="1"/>
  <c r="M46" i="28" a="1"/>
  <c r="J46" i="36" a="1"/>
  <c r="J52" i="33" a="1"/>
  <c r="P62" i="30" a="1"/>
  <c r="O26" i="28" a="1"/>
  <c r="K28" i="15" a="1"/>
  <c r="M46" i="37" a="1"/>
  <c r="L58" i="36" a="1"/>
  <c r="J34" i="36" a="1"/>
  <c r="O46" i="37" a="1"/>
  <c r="L46" i="28" a="1"/>
  <c r="P55" i="36" a="1"/>
  <c r="I12" i="15" a="1"/>
  <c r="N29" i="36" a="1"/>
  <c r="N26" i="36" a="1"/>
  <c r="O64" i="30" a="1"/>
  <c r="L10" i="36" a="1"/>
  <c r="M59" i="36" a="1"/>
  <c r="M65" i="28" a="1"/>
  <c r="J46" i="15" a="1"/>
  <c r="M58" i="15" a="1"/>
  <c r="L56" i="37" a="1"/>
  <c r="O65" i="15" a="1"/>
  <c r="O54" i="33" a="1"/>
  <c r="K65" i="36" a="1"/>
  <c r="L50" i="22" a="1"/>
  <c r="K54" i="33" a="1"/>
  <c r="I12" i="36" a="1"/>
  <c r="K46" i="28" a="1"/>
  <c r="K24" i="36" a="1"/>
  <c r="P63" i="28" a="1"/>
  <c r="M55" i="28" a="1"/>
  <c r="K71" i="36" a="1"/>
  <c r="K56" i="36" a="1"/>
  <c r="L47" i="22" a="1"/>
  <c r="K60" i="36" a="1"/>
  <c r="J48" i="18" a="1"/>
  <c r="M51" i="36" a="1"/>
  <c r="N65" i="33" a="1"/>
  <c r="K66" i="36" a="1"/>
  <c r="K48" i="19" a="1"/>
  <c r="K52" i="36" a="1"/>
  <c r="K50" i="22" a="1"/>
  <c r="O58" i="36" a="1"/>
  <c r="J62" i="28" a="1"/>
  <c r="J59" i="37" a="1"/>
  <c r="N28" i="28" a="1"/>
  <c r="J52" i="15" a="1"/>
  <c r="J48" i="28" a="1"/>
  <c r="L46" i="37" a="1"/>
  <c r="K50" i="15" a="1"/>
  <c r="J10" i="15" a="1"/>
  <c r="J63" i="36" a="1"/>
  <c r="O48" i="30" a="1"/>
  <c r="J10" i="33" a="1"/>
  <c r="O28" i="28" a="1"/>
  <c r="K59" i="36" a="1"/>
  <c r="O54" i="15" a="1"/>
  <c r="M28" i="28" a="1"/>
  <c r="K52" i="15" a="1"/>
  <c r="J12" i="36" a="1"/>
  <c r="J55" i="37" a="1"/>
  <c r="M47" i="30" a="1"/>
  <c r="M58" i="33" a="1"/>
  <c r="P46" i="33" a="1"/>
  <c r="M51" i="33" a="1"/>
  <c r="K50" i="36" a="1"/>
  <c r="J48" i="22" a="1"/>
  <c r="L10" i="33" a="1"/>
  <c r="J48" i="20" a="1"/>
  <c r="O62" i="15" a="1"/>
  <c r="L64" i="37" a="1"/>
  <c r="K26" i="15" a="1"/>
  <c r="N46" i="36" a="1"/>
  <c r="N46" i="15" a="1"/>
  <c r="O65" i="28" a="1"/>
  <c r="K46" i="22" a="1"/>
  <c r="K54" i="36" a="1"/>
  <c r="O11" i="36" a="1"/>
  <c r="O56" i="15" a="1"/>
  <c r="I15" i="36" a="1"/>
  <c r="P64" i="15" a="1"/>
  <c r="I12" i="33" a="1"/>
  <c r="M29" i="28" a="1"/>
  <c r="L11" i="15" a="1"/>
  <c r="K46" i="37" a="1"/>
  <c r="K47" i="37" a="1"/>
  <c r="P48" i="15" a="1"/>
  <c r="K48" i="37" a="1"/>
  <c r="K52" i="28" a="1"/>
  <c r="O48" i="22" a="1"/>
  <c r="N64" i="33" a="1"/>
  <c r="N24" i="36" a="1"/>
  <c r="K50" i="33" a="1"/>
  <c r="J64" i="36" a="1"/>
  <c r="N12" i="37" a="1"/>
  <c r="N46" i="33" a="1"/>
  <c r="M50" i="33" a="1"/>
  <c r="M59" i="15" a="1"/>
  <c r="L50" i="36" a="1"/>
  <c r="O46" i="28" a="1"/>
  <c r="I19" i="36" a="1"/>
  <c r="K54" i="15" a="1"/>
  <c r="M59" i="33" a="1"/>
  <c r="M46" i="30" a="1"/>
  <c r="O29" i="28" a="1"/>
  <c r="L54" i="36" a="1"/>
  <c r="K55" i="36" a="1"/>
  <c r="P63" i="15" a="1"/>
  <c r="L63" i="37" a="1"/>
  <c r="L66" i="36" a="1"/>
  <c r="M50" i="36" a="1"/>
  <c r="K12" i="37" a="1"/>
  <c r="M51" i="15" a="1"/>
  <c r="O60" i="37" a="1"/>
  <c r="M58" i="36" a="1"/>
  <c r="L63" i="28" a="1"/>
  <c r="O66" i="36" a="1"/>
  <c r="J56" i="33" a="1"/>
  <c r="L63" i="15" a="1"/>
  <c r="L46" i="30" a="1"/>
  <c r="N10" i="36" a="1"/>
  <c r="K10" i="36" a="1"/>
  <c r="K62" i="28" a="1"/>
  <c r="K20" i="36" a="1"/>
  <c r="K60" i="15" a="1"/>
  <c r="L50" i="28" a="1"/>
  <c r="K58" i="15" a="1"/>
  <c r="P65" i="30" a="1"/>
  <c r="J52" i="36" a="1"/>
  <c r="K48" i="22" a="1"/>
  <c r="M54" i="36" a="1"/>
  <c r="N16" i="36" a="1"/>
  <c r="P51" i="36" a="1"/>
  <c r="P47" i="37" a="1"/>
  <c r="O60" i="15" a="1"/>
  <c r="K58" i="36" a="1"/>
  <c r="K29" i="28" a="1"/>
  <c r="J10" i="36" a="1"/>
  <c r="J60" i="15" a="1"/>
  <c r="J66" i="36" a="1"/>
  <c r="L58" i="15" a="1"/>
  <c r="K65" i="15" a="1"/>
  <c r="J56" i="36" a="1"/>
  <c r="J12" i="15" a="1"/>
  <c r="L46" i="22" a="1"/>
  <c r="M55" i="36" a="1"/>
  <c r="M47" i="28" a="1"/>
  <c r="M50" i="22" a="1"/>
  <c r="J11" i="36" a="1"/>
  <c r="N12" i="15" a="1"/>
  <c r="O50" i="33" a="1"/>
  <c r="O29" i="15" a="1"/>
  <c r="L62" i="37" a="1"/>
  <c r="J48" i="30" a="1"/>
  <c r="L11" i="36" a="1"/>
  <c r="N28" i="15" a="1"/>
  <c r="K28" i="28" a="1"/>
  <c r="N64" i="30" a="1"/>
  <c r="O46" i="30" a="1"/>
  <c r="M54" i="15" a="1"/>
  <c r="I11" i="37" a="1"/>
  <c r="N20" i="36" a="1"/>
  <c r="L68" i="36" a="1"/>
  <c r="L65" i="37" a="1"/>
  <c r="M65" i="15" a="1"/>
  <c r="K51" i="36" a="1"/>
  <c r="N10" i="15" a="1"/>
  <c r="O26" i="15" a="1"/>
  <c r="J70" i="36" a="1"/>
  <c r="J29" i="28" a="1"/>
  <c r="P60" i="15" a="1"/>
  <c r="P64" i="30" a="1"/>
  <c r="I26" i="36" a="1"/>
  <c r="O50" i="15" a="1"/>
  <c r="N62" i="28" a="1"/>
  <c r="L64" i="30" a="1"/>
  <c r="L62" i="30" a="1"/>
  <c r="P46" i="15" a="1"/>
  <c r="L60" i="37" a="1"/>
  <c r="K56" i="15" a="1"/>
  <c r="H32" i="36" a="1"/>
  <c r="L52" i="37" a="1"/>
  <c r="J60" i="36" a="1"/>
  <c r="K64" i="15" a="1"/>
  <c r="M55" i="15" a="1"/>
  <c r="Q96" i="15" l="1"/>
  <c r="Q115" i="15"/>
  <c r="Q124" i="15" s="1"/>
  <c r="Q129" i="30" s="1"/>
  <c r="Q92" i="15"/>
  <c r="Q88" i="30"/>
  <c r="Q120" i="30" s="1"/>
  <c r="R87" i="37"/>
  <c r="R91" i="36"/>
  <c r="R95" i="36"/>
  <c r="R99" i="36"/>
  <c r="R47" i="36"/>
  <c r="O71" i="36"/>
  <c r="L64" i="37"/>
  <c r="J52" i="36"/>
  <c r="K65" i="15"/>
  <c r="O46" i="37"/>
  <c r="P64" i="15"/>
  <c r="K52" i="36"/>
  <c r="J56" i="36"/>
  <c r="P55" i="36"/>
  <c r="N16" i="36"/>
  <c r="K27" i="36"/>
  <c r="L11" i="36"/>
  <c r="K10" i="36"/>
  <c r="K39" i="36" s="1"/>
  <c r="J71" i="36"/>
  <c r="K66" i="36"/>
  <c r="K54" i="36"/>
  <c r="O54" i="36"/>
  <c r="L62" i="37"/>
  <c r="P46" i="36"/>
  <c r="M58" i="36"/>
  <c r="K56" i="36"/>
  <c r="L50" i="36"/>
  <c r="P59" i="36"/>
  <c r="J10" i="36"/>
  <c r="N29" i="36"/>
  <c r="I26" i="36"/>
  <c r="N12" i="37"/>
  <c r="I23" i="36"/>
  <c r="L71" i="36"/>
  <c r="K60" i="36"/>
  <c r="I19" i="36"/>
  <c r="K50" i="36"/>
  <c r="N46" i="36"/>
  <c r="L63" i="37"/>
  <c r="P48" i="15"/>
  <c r="M47" i="37"/>
  <c r="J63" i="36"/>
  <c r="M50" i="36"/>
  <c r="L56" i="37"/>
  <c r="J55" i="37"/>
  <c r="P47" i="37"/>
  <c r="N26" i="36"/>
  <c r="J34" i="36"/>
  <c r="I15" i="36"/>
  <c r="K65" i="36"/>
  <c r="M46" i="37"/>
  <c r="O66" i="36"/>
  <c r="K71" i="36"/>
  <c r="K46" i="37"/>
  <c r="M55" i="36"/>
  <c r="L60" i="37"/>
  <c r="J51" i="37"/>
  <c r="P51" i="36"/>
  <c r="J28" i="36"/>
  <c r="J11" i="36"/>
  <c r="I12" i="36"/>
  <c r="O56" i="37"/>
  <c r="L46" i="37"/>
  <c r="L45" i="37" s="1"/>
  <c r="K16" i="36"/>
  <c r="K51" i="36"/>
  <c r="M51" i="36"/>
  <c r="M54" i="36"/>
  <c r="J46" i="36"/>
  <c r="L52" i="37"/>
  <c r="L54" i="36"/>
  <c r="H32" i="36"/>
  <c r="J12" i="36"/>
  <c r="N20" i="36"/>
  <c r="K68" i="36"/>
  <c r="J64" i="36"/>
  <c r="K58" i="36"/>
  <c r="O50" i="36"/>
  <c r="L65" i="37"/>
  <c r="O63" i="36"/>
  <c r="K47" i="37"/>
  <c r="O60" i="37"/>
  <c r="K48" i="37"/>
  <c r="J60" i="36"/>
  <c r="J59" i="37"/>
  <c r="K24" i="36"/>
  <c r="K12" i="37"/>
  <c r="I11" i="37"/>
  <c r="K59" i="36"/>
  <c r="N10" i="36"/>
  <c r="N39" i="36" s="1"/>
  <c r="J66" i="36"/>
  <c r="L66" i="36"/>
  <c r="L68" i="36"/>
  <c r="J70" i="36"/>
  <c r="O58" i="36"/>
  <c r="K55" i="36"/>
  <c r="M59" i="36"/>
  <c r="O52" i="37"/>
  <c r="L58" i="36"/>
  <c r="J48" i="37"/>
  <c r="K20" i="36"/>
  <c r="L10" i="36"/>
  <c r="N24" i="36"/>
  <c r="O11" i="36"/>
  <c r="L119" i="36"/>
  <c r="L132" i="36" s="1"/>
  <c r="L105" i="33"/>
  <c r="P83" i="37"/>
  <c r="P111" i="37" s="1"/>
  <c r="P113" i="37"/>
  <c r="P90" i="37"/>
  <c r="P94" i="37"/>
  <c r="P85" i="37"/>
  <c r="P98" i="37"/>
  <c r="O87" i="20"/>
  <c r="P87" i="20" s="1"/>
  <c r="Q87" i="20" s="1"/>
  <c r="P118" i="28"/>
  <c r="P127" i="28" s="1"/>
  <c r="L102" i="15"/>
  <c r="L102" i="30" s="1"/>
  <c r="L125" i="30" s="1"/>
  <c r="L138" i="30" s="1"/>
  <c r="L102" i="36"/>
  <c r="M116" i="37"/>
  <c r="M120" i="37"/>
  <c r="M133" i="37" s="1"/>
  <c r="Q86" i="37"/>
  <c r="Q86" i="22"/>
  <c r="Q98" i="36"/>
  <c r="Q90" i="36"/>
  <c r="Q94" i="36"/>
  <c r="Q113" i="36"/>
  <c r="P108" i="29"/>
  <c r="P116" i="29" s="1"/>
  <c r="P108" i="36"/>
  <c r="R86" i="36"/>
  <c r="O90" i="36"/>
  <c r="O98" i="36"/>
  <c r="O86" i="37"/>
  <c r="O94" i="36"/>
  <c r="O113" i="36"/>
  <c r="O122" i="36" s="1"/>
  <c r="O86" i="22"/>
  <c r="O113" i="22" s="1"/>
  <c r="P122" i="36"/>
  <c r="P126" i="36" s="1"/>
  <c r="P117" i="36"/>
  <c r="P127" i="36" s="1"/>
  <c r="P138" i="36" s="1"/>
  <c r="M101" i="37"/>
  <c r="N99" i="37"/>
  <c r="N91" i="37"/>
  <c r="N114" i="37"/>
  <c r="N123" i="37" s="1"/>
  <c r="N95" i="37"/>
  <c r="K104" i="37"/>
  <c r="K102" i="37"/>
  <c r="K105" i="37"/>
  <c r="K102" i="22"/>
  <c r="K103" i="37"/>
  <c r="K101" i="36"/>
  <c r="K103" i="22"/>
  <c r="K104" i="22"/>
  <c r="K105" i="22"/>
  <c r="M88" i="20"/>
  <c r="Q99" i="37"/>
  <c r="Q95" i="37"/>
  <c r="Q114" i="37"/>
  <c r="Q123" i="37" s="1"/>
  <c r="Q91" i="37"/>
  <c r="N90" i="37"/>
  <c r="N113" i="37"/>
  <c r="N98" i="37"/>
  <c r="N94" i="37"/>
  <c r="L98" i="37"/>
  <c r="L113" i="37"/>
  <c r="L94" i="37"/>
  <c r="L90" i="37"/>
  <c r="L83" i="37"/>
  <c r="P119" i="36"/>
  <c r="P132" i="36" s="1"/>
  <c r="M119" i="36"/>
  <c r="M132" i="36" s="1"/>
  <c r="M98" i="37"/>
  <c r="M113" i="37"/>
  <c r="M90" i="37"/>
  <c r="M94" i="37"/>
  <c r="M83" i="37"/>
  <c r="M106" i="37" s="1"/>
  <c r="K98" i="36"/>
  <c r="K94" i="36"/>
  <c r="K90" i="36"/>
  <c r="K113" i="36"/>
  <c r="K85" i="36"/>
  <c r="K142" i="36"/>
  <c r="K83" i="36"/>
  <c r="K86" i="22"/>
  <c r="K86" i="37"/>
  <c r="K86" i="19"/>
  <c r="K105" i="19" s="1"/>
  <c r="K86" i="20"/>
  <c r="L86" i="20" s="1"/>
  <c r="L104" i="20" s="1"/>
  <c r="K131" i="36"/>
  <c r="L131" i="36" s="1"/>
  <c r="M131" i="36" s="1"/>
  <c r="K75" i="36"/>
  <c r="Q108" i="29"/>
  <c r="Q111" i="30" s="1"/>
  <c r="L118" i="36"/>
  <c r="L128" i="36" s="1"/>
  <c r="P103" i="37"/>
  <c r="P105" i="22"/>
  <c r="P102" i="37"/>
  <c r="P104" i="37"/>
  <c r="P104" i="22"/>
  <c r="P103" i="22"/>
  <c r="P105" i="37"/>
  <c r="P101" i="36"/>
  <c r="P102" i="22"/>
  <c r="L99" i="37"/>
  <c r="L95" i="37"/>
  <c r="L114" i="37"/>
  <c r="L123" i="37" s="1"/>
  <c r="L91" i="37"/>
  <c r="L85" i="37"/>
  <c r="L96" i="37"/>
  <c r="L92" i="37"/>
  <c r="L100" i="37"/>
  <c r="L115" i="37"/>
  <c r="L124" i="37" s="1"/>
  <c r="M122" i="36"/>
  <c r="M126" i="36" s="1"/>
  <c r="M117" i="36"/>
  <c r="M127" i="36" s="1"/>
  <c r="M138" i="36" s="1"/>
  <c r="O75" i="36"/>
  <c r="M118" i="36"/>
  <c r="M128" i="36" s="1"/>
  <c r="L122" i="36"/>
  <c r="N122" i="36"/>
  <c r="M85" i="37"/>
  <c r="K115" i="37"/>
  <c r="K124" i="37" s="1"/>
  <c r="K92" i="37"/>
  <c r="K96" i="37"/>
  <c r="K100" i="37"/>
  <c r="J46" i="33"/>
  <c r="J60" i="33"/>
  <c r="P64" i="30"/>
  <c r="K58" i="33"/>
  <c r="O50" i="33"/>
  <c r="M59" i="33"/>
  <c r="N10" i="33"/>
  <c r="O58" i="33"/>
  <c r="L11" i="33"/>
  <c r="P46" i="33"/>
  <c r="L65" i="30"/>
  <c r="O54" i="33"/>
  <c r="O64" i="30"/>
  <c r="L28" i="30"/>
  <c r="N64" i="33"/>
  <c r="K54" i="33"/>
  <c r="N65" i="33"/>
  <c r="I12" i="33"/>
  <c r="N46" i="33"/>
  <c r="N64" i="30"/>
  <c r="K65" i="30"/>
  <c r="K50" i="33"/>
  <c r="N65" i="30"/>
  <c r="J52" i="33"/>
  <c r="M54" i="33"/>
  <c r="M55" i="33"/>
  <c r="J56" i="33"/>
  <c r="M58" i="33"/>
  <c r="P65" i="30"/>
  <c r="M51" i="33"/>
  <c r="L64" i="30"/>
  <c r="M50" i="33"/>
  <c r="J10" i="33"/>
  <c r="L10" i="33"/>
  <c r="K98" i="33"/>
  <c r="K94" i="33"/>
  <c r="K90" i="33"/>
  <c r="K118" i="33"/>
  <c r="L104" i="30"/>
  <c r="O102" i="30"/>
  <c r="O121" i="30" s="1"/>
  <c r="M130" i="30"/>
  <c r="Q118" i="33"/>
  <c r="Q98" i="33"/>
  <c r="Q94" i="33"/>
  <c r="Q90" i="33"/>
  <c r="N127" i="30"/>
  <c r="N105" i="30"/>
  <c r="K102" i="30"/>
  <c r="K121" i="30" s="1"/>
  <c r="K129" i="30"/>
  <c r="P102" i="30"/>
  <c r="N128" i="30"/>
  <c r="P105" i="30"/>
  <c r="L127" i="30"/>
  <c r="O98" i="33"/>
  <c r="O118" i="33"/>
  <c r="O94" i="33"/>
  <c r="O90" i="33"/>
  <c r="Q130" i="30"/>
  <c r="L129" i="30"/>
  <c r="P129" i="30"/>
  <c r="L113" i="30"/>
  <c r="L98" i="22"/>
  <c r="L100" i="28"/>
  <c r="M113" i="22"/>
  <c r="M122" i="22" s="1"/>
  <c r="K100" i="28"/>
  <c r="K96" i="28"/>
  <c r="K92" i="28"/>
  <c r="L113" i="22"/>
  <c r="L122" i="22" s="1"/>
  <c r="M94" i="22"/>
  <c r="M98" i="22"/>
  <c r="M98" i="28"/>
  <c r="P90" i="28"/>
  <c r="P94" i="28"/>
  <c r="L96" i="28"/>
  <c r="L120" i="28"/>
  <c r="L129" i="28" s="1"/>
  <c r="L94" i="22"/>
  <c r="M94" i="28"/>
  <c r="M118" i="28"/>
  <c r="M127" i="28" s="1"/>
  <c r="K46" i="28"/>
  <c r="J48" i="30"/>
  <c r="O46" i="30"/>
  <c r="K46" i="22"/>
  <c r="J48" i="28"/>
  <c r="M47" i="28"/>
  <c r="M46" i="28"/>
  <c r="N68" i="29"/>
  <c r="O46" i="28"/>
  <c r="K48" i="30"/>
  <c r="P62" i="30"/>
  <c r="O58" i="15"/>
  <c r="K48" i="28"/>
  <c r="L62" i="30"/>
  <c r="L46" i="30"/>
  <c r="L46" i="28"/>
  <c r="O48" i="30"/>
  <c r="P60" i="15"/>
  <c r="L46" i="22"/>
  <c r="O56" i="15"/>
  <c r="M47" i="30"/>
  <c r="K46" i="30"/>
  <c r="M46" i="30"/>
  <c r="K96" i="30"/>
  <c r="K100" i="30"/>
  <c r="K120" i="30"/>
  <c r="K92" i="30"/>
  <c r="Q103" i="30"/>
  <c r="O90" i="15"/>
  <c r="O86" i="28"/>
  <c r="O94" i="28" s="1"/>
  <c r="O86" i="30"/>
  <c r="L94" i="28"/>
  <c r="P118" i="30"/>
  <c r="P83" i="30"/>
  <c r="P85" i="30"/>
  <c r="P98" i="30"/>
  <c r="P90" i="30"/>
  <c r="P94" i="30"/>
  <c r="O116" i="29"/>
  <c r="O111" i="30"/>
  <c r="L118" i="28"/>
  <c r="L127" i="28" s="1"/>
  <c r="O96" i="15"/>
  <c r="O88" i="30"/>
  <c r="L100" i="30"/>
  <c r="L120" i="30"/>
  <c r="L96" i="30"/>
  <c r="L92" i="30"/>
  <c r="Q125" i="30"/>
  <c r="Q138" i="30" s="1"/>
  <c r="Q121" i="30"/>
  <c r="L98" i="28"/>
  <c r="Q87" i="28"/>
  <c r="Q95" i="28" s="1"/>
  <c r="Q87" i="30"/>
  <c r="M125" i="30"/>
  <c r="M138" i="30" s="1"/>
  <c r="M121" i="30"/>
  <c r="M98" i="30"/>
  <c r="M90" i="30"/>
  <c r="M94" i="30"/>
  <c r="M118" i="30"/>
  <c r="Q96" i="30"/>
  <c r="Q98" i="15"/>
  <c r="Q86" i="28"/>
  <c r="Q98" i="28" s="1"/>
  <c r="Q86" i="30"/>
  <c r="N118" i="28"/>
  <c r="N127" i="28" s="1"/>
  <c r="N99" i="28"/>
  <c r="P96" i="30"/>
  <c r="P100" i="30"/>
  <c r="P92" i="30"/>
  <c r="P120" i="30"/>
  <c r="N90" i="28"/>
  <c r="N119" i="28"/>
  <c r="N128" i="28" s="1"/>
  <c r="K86" i="28"/>
  <c r="K90" i="28" s="1"/>
  <c r="K86" i="30"/>
  <c r="M103" i="30"/>
  <c r="N94" i="28"/>
  <c r="N91" i="28"/>
  <c r="N119" i="30"/>
  <c r="N95" i="30"/>
  <c r="N91" i="30"/>
  <c r="N99" i="30"/>
  <c r="L118" i="30"/>
  <c r="L90" i="30"/>
  <c r="L98" i="30"/>
  <c r="L94" i="30"/>
  <c r="N90" i="30"/>
  <c r="N98" i="30"/>
  <c r="N118" i="30"/>
  <c r="N94" i="30"/>
  <c r="R105" i="15"/>
  <c r="P103" i="15"/>
  <c r="P120" i="15"/>
  <c r="P133" i="15" s="1"/>
  <c r="O116" i="15"/>
  <c r="O125" i="15" s="1"/>
  <c r="O120" i="15"/>
  <c r="O133" i="15" s="1"/>
  <c r="K103" i="15"/>
  <c r="K103" i="33" s="1"/>
  <c r="K120" i="15"/>
  <c r="K133" i="15" s="1"/>
  <c r="M55" i="15"/>
  <c r="M59" i="15"/>
  <c r="M51" i="15"/>
  <c r="M55" i="28"/>
  <c r="L11" i="15"/>
  <c r="P47" i="15"/>
  <c r="Q114" i="15"/>
  <c r="Q123" i="15" s="1"/>
  <c r="Q128" i="33" s="1"/>
  <c r="Q91" i="15"/>
  <c r="Q95" i="15"/>
  <c r="Q99" i="15"/>
  <c r="O65" i="15"/>
  <c r="N28" i="15"/>
  <c r="N28" i="28"/>
  <c r="O65" i="28"/>
  <c r="O92" i="15"/>
  <c r="O100" i="15"/>
  <c r="M101" i="15"/>
  <c r="K116" i="15"/>
  <c r="K125" i="15" s="1"/>
  <c r="K130" i="33" s="1"/>
  <c r="K28" i="15"/>
  <c r="K58" i="15"/>
  <c r="M120" i="22"/>
  <c r="M133" i="22" s="1"/>
  <c r="Q101" i="15"/>
  <c r="K52" i="28"/>
  <c r="P63" i="15"/>
  <c r="K64" i="15"/>
  <c r="P63" i="28"/>
  <c r="L63" i="15"/>
  <c r="O26" i="28"/>
  <c r="K50" i="15"/>
  <c r="M65" i="28"/>
  <c r="O62" i="28"/>
  <c r="M58" i="28"/>
  <c r="J29" i="28"/>
  <c r="K54" i="15"/>
  <c r="N62" i="28"/>
  <c r="K50" i="28"/>
  <c r="L63" i="28"/>
  <c r="K28" i="28"/>
  <c r="M28" i="28"/>
  <c r="K26" i="28"/>
  <c r="N62" i="15"/>
  <c r="K62" i="28"/>
  <c r="M29" i="28"/>
  <c r="O29" i="28"/>
  <c r="J62" i="28"/>
  <c r="O28" i="28"/>
  <c r="J10" i="15"/>
  <c r="L50" i="28"/>
  <c r="K64" i="28"/>
  <c r="N48" i="15"/>
  <c r="O26" i="15"/>
  <c r="K29" i="28"/>
  <c r="O58" i="28"/>
  <c r="J62" i="15"/>
  <c r="K26" i="15"/>
  <c r="Q108" i="15"/>
  <c r="L106" i="15"/>
  <c r="L106" i="33" s="1"/>
  <c r="K106" i="15"/>
  <c r="K106" i="33" s="1"/>
  <c r="Q101" i="28"/>
  <c r="M111" i="15"/>
  <c r="M114" i="33" s="1"/>
  <c r="R105" i="28"/>
  <c r="P121" i="28"/>
  <c r="P130" i="28" s="1"/>
  <c r="O121" i="28"/>
  <c r="O130" i="28" s="1"/>
  <c r="M101" i="28"/>
  <c r="K111" i="15"/>
  <c r="K114" i="33" s="1"/>
  <c r="L111" i="15"/>
  <c r="L114" i="33" s="1"/>
  <c r="P108" i="15"/>
  <c r="P110" i="33" s="1"/>
  <c r="O111" i="15"/>
  <c r="P111" i="15"/>
  <c r="P114" i="33" s="1"/>
  <c r="O103" i="15"/>
  <c r="O103" i="33" s="1"/>
  <c r="L121" i="28"/>
  <c r="L130" i="28" s="1"/>
  <c r="Q111" i="15"/>
  <c r="Q106" i="15"/>
  <c r="K121" i="28"/>
  <c r="K130" i="28" s="1"/>
  <c r="O108" i="15"/>
  <c r="P106" i="15"/>
  <c r="O115" i="15"/>
  <c r="O124" i="15" s="1"/>
  <c r="M106" i="15"/>
  <c r="K50" i="22"/>
  <c r="O29" i="15"/>
  <c r="M29" i="15"/>
  <c r="K104" i="15"/>
  <c r="K104" i="33" s="1"/>
  <c r="K110" i="15"/>
  <c r="K113" i="33" s="1"/>
  <c r="O62" i="15"/>
  <c r="P116" i="15"/>
  <c r="P125" i="15" s="1"/>
  <c r="P130" i="33" s="1"/>
  <c r="M122" i="15"/>
  <c r="M127" i="33" s="1"/>
  <c r="P122" i="15"/>
  <c r="P127" i="33" s="1"/>
  <c r="K56" i="15"/>
  <c r="K48" i="22"/>
  <c r="K52" i="15"/>
  <c r="K60" i="15"/>
  <c r="J12" i="15"/>
  <c r="L115" i="22"/>
  <c r="L124" i="22" s="1"/>
  <c r="L100" i="22"/>
  <c r="L92" i="22"/>
  <c r="L96" i="22"/>
  <c r="L96" i="20"/>
  <c r="K48" i="19"/>
  <c r="J48" i="19"/>
  <c r="J56" i="15"/>
  <c r="J48" i="18"/>
  <c r="J60" i="15"/>
  <c r="J52" i="15"/>
  <c r="J46" i="15"/>
  <c r="J48" i="22"/>
  <c r="I12" i="15"/>
  <c r="J48" i="20"/>
  <c r="L96" i="19"/>
  <c r="L92" i="19"/>
  <c r="L115" i="19"/>
  <c r="L124" i="19" s="1"/>
  <c r="L100" i="19"/>
  <c r="K115" i="19"/>
  <c r="K124" i="19" s="1"/>
  <c r="K100" i="19"/>
  <c r="K96" i="19"/>
  <c r="K92" i="19"/>
  <c r="L88" i="18"/>
  <c r="K100" i="18"/>
  <c r="K115" i="18"/>
  <c r="K124" i="18" s="1"/>
  <c r="K96" i="18"/>
  <c r="K92" i="18"/>
  <c r="K98" i="15"/>
  <c r="K90" i="15"/>
  <c r="K113" i="15"/>
  <c r="K94" i="15"/>
  <c r="K86" i="18"/>
  <c r="K115" i="22"/>
  <c r="K124" i="22" s="1"/>
  <c r="K100" i="22"/>
  <c r="K96" i="22"/>
  <c r="K92" i="22"/>
  <c r="K96" i="20"/>
  <c r="K92" i="20"/>
  <c r="K115" i="20"/>
  <c r="K124" i="20" s="1"/>
  <c r="K100" i="20"/>
  <c r="M65" i="15"/>
  <c r="K29" i="15"/>
  <c r="M28" i="15"/>
  <c r="O75" i="15"/>
  <c r="N94" i="22"/>
  <c r="O60" i="15"/>
  <c r="O52" i="15"/>
  <c r="Q94" i="15"/>
  <c r="Q90" i="15"/>
  <c r="N98" i="22"/>
  <c r="Q83" i="15"/>
  <c r="N113" i="22"/>
  <c r="Q113" i="15"/>
  <c r="O50" i="15"/>
  <c r="Q85" i="15"/>
  <c r="O54" i="15"/>
  <c r="P85" i="22"/>
  <c r="M46" i="22"/>
  <c r="M50" i="15"/>
  <c r="M54" i="15"/>
  <c r="M58" i="15"/>
  <c r="L58" i="15"/>
  <c r="L50" i="15"/>
  <c r="L54" i="15"/>
  <c r="R86" i="15"/>
  <c r="O113" i="15"/>
  <c r="O85" i="15"/>
  <c r="O98" i="15"/>
  <c r="O94" i="15"/>
  <c r="O142" i="15"/>
  <c r="N46" i="15"/>
  <c r="L10" i="15"/>
  <c r="P46" i="15"/>
  <c r="N10" i="15"/>
  <c r="N12" i="15"/>
  <c r="K10" i="15"/>
  <c r="O83" i="15"/>
  <c r="Q142" i="15"/>
  <c r="M50" i="22"/>
  <c r="L50" i="22"/>
  <c r="O48" i="22"/>
  <c r="L47" i="22"/>
  <c r="P100" i="22"/>
  <c r="P96" i="22"/>
  <c r="P92" i="22"/>
  <c r="P115" i="22"/>
  <c r="P124" i="22" s="1"/>
  <c r="M114" i="22"/>
  <c r="M123" i="22" s="1"/>
  <c r="M99" i="22"/>
  <c r="M95" i="22"/>
  <c r="M91" i="22"/>
  <c r="N50" i="33" a="1"/>
  <c r="L66" i="37" a="1"/>
  <c r="P46" i="37" a="1"/>
  <c r="J32" i="36" a="1"/>
  <c r="N12" i="30" a="1"/>
  <c r="J54" i="15" a="1"/>
  <c r="O64" i="37" a="1"/>
  <c r="K56" i="20" a="1"/>
  <c r="I12" i="18" a="1"/>
  <c r="L22" i="36" a="1"/>
  <c r="M29" i="33" a="1"/>
  <c r="N27" i="36" a="1"/>
  <c r="J62" i="33" a="1"/>
  <c r="P46" i="28" a="1"/>
  <c r="N58" i="36" a="1"/>
  <c r="N54" i="15" a="1"/>
  <c r="O50" i="30" a="1"/>
  <c r="O54" i="28" a="1"/>
  <c r="K14" i="36" a="1"/>
  <c r="I24" i="15" a="1"/>
  <c r="I15" i="37" a="1"/>
  <c r="J16" i="36" a="1"/>
  <c r="N56" i="15" a="1"/>
  <c r="J63" i="28" a="1"/>
  <c r="P55" i="28" a="1"/>
  <c r="K54" i="22" a="1"/>
  <c r="L23" i="15" a="1"/>
  <c r="O54" i="30" a="1"/>
  <c r="N10" i="37" a="1"/>
  <c r="M59" i="28" a="1"/>
  <c r="L58" i="28" a="1"/>
  <c r="K60" i="19" a="1"/>
  <c r="J12" i="22" a="1"/>
  <c r="M50" i="37" a="1"/>
  <c r="N28" i="30" a="1"/>
  <c r="N54" i="36" a="1"/>
  <c r="N29" i="15" a="1"/>
  <c r="M50" i="28" a="1"/>
  <c r="J29" i="30" a="1"/>
  <c r="O10" i="33" a="1"/>
  <c r="L70" i="15" a="1"/>
  <c r="M51" i="37" a="1"/>
  <c r="L14" i="33" a="1"/>
  <c r="L22" i="15" a="1"/>
  <c r="J46" i="30" a="1"/>
  <c r="N52" i="15" a="1"/>
  <c r="L14" i="15" a="1"/>
  <c r="N22" i="36" a="1"/>
  <c r="L22" i="33" a="1"/>
  <c r="K52" i="30" a="1"/>
  <c r="I19" i="37" a="1"/>
  <c r="P56" i="30" a="1"/>
  <c r="N46" i="37" a="1"/>
  <c r="I20" i="15" a="1"/>
  <c r="O29" i="30" a="1"/>
  <c r="P58" i="33" a="1"/>
  <c r="K52" i="22" a="1"/>
  <c r="J65" i="37" a="1"/>
  <c r="N46" i="30" a="1"/>
  <c r="K29" i="30" a="1"/>
  <c r="J58" i="36" a="1"/>
  <c r="L15" i="36" a="1"/>
  <c r="M58" i="30" a="1"/>
  <c r="K50" i="37" a="1"/>
  <c r="L51" i="22" a="1"/>
  <c r="K66" i="28" a="1"/>
  <c r="J50" i="15" a="1"/>
  <c r="J46" i="22" a="1"/>
  <c r="P66" i="15" a="1"/>
  <c r="M54" i="37" a="1"/>
  <c r="L19" i="33" a="1"/>
  <c r="N12" i="22" a="1"/>
  <c r="L11" i="28" a="1"/>
  <c r="K50" i="30" a="1"/>
  <c r="K35" i="36" a="1"/>
  <c r="J62" i="30" a="1"/>
  <c r="O65" i="30" a="1"/>
  <c r="J23" i="36" a="1"/>
  <c r="N29" i="28" a="1"/>
  <c r="O58" i="37" a="1"/>
  <c r="J56" i="37" a="1"/>
  <c r="J58" i="33" a="1"/>
  <c r="O24" i="15" a="1"/>
  <c r="I12" i="28" a="1"/>
  <c r="L54" i="37" a="1"/>
  <c r="I23" i="37" a="1"/>
  <c r="L19" i="36" a="1"/>
  <c r="N22" i="28" a="1"/>
  <c r="P59" i="37" a="1"/>
  <c r="K62" i="30" a="1"/>
  <c r="J52" i="30" a="1"/>
  <c r="K58" i="28" a="1"/>
  <c r="P52" i="15" a="1"/>
  <c r="J60" i="37" a="1"/>
  <c r="N22" i="15" a="1"/>
  <c r="P68" i="15" a="1"/>
  <c r="K54" i="37" a="1"/>
  <c r="P54" i="33" a="1"/>
  <c r="N46" i="22" a="1"/>
  <c r="K11" i="22" a="1"/>
  <c r="J20" i="15" a="1"/>
  <c r="L19" i="28" a="1"/>
  <c r="J14" i="22" a="1"/>
  <c r="I34" i="36" a="1"/>
  <c r="I26" i="15" a="1"/>
  <c r="J50" i="36" a="1"/>
  <c r="O63" i="15" a="1"/>
  <c r="I26" i="28" a="1"/>
  <c r="K71" i="15" a="1"/>
  <c r="I20" i="36" a="1"/>
  <c r="J29" i="15" a="1"/>
  <c r="I27" i="36" a="1"/>
  <c r="K56" i="28" a="1"/>
  <c r="M59" i="30" a="1"/>
  <c r="N10" i="28" a="1"/>
  <c r="N20" i="37" a="1"/>
  <c r="N60" i="15" a="1"/>
  <c r="O27" i="28" a="1"/>
  <c r="J46" i="37" a="1"/>
  <c r="M51" i="30" a="1"/>
  <c r="P47" i="28" a="1"/>
  <c r="L50" i="37" a="1"/>
  <c r="J54" i="33" a="1"/>
  <c r="L10" i="37" a="1"/>
  <c r="J52" i="19" a="1"/>
  <c r="O50" i="28" a="1"/>
  <c r="K26" i="37" a="1"/>
  <c r="I10" i="15" a="1"/>
  <c r="O63" i="28" a="1"/>
  <c r="P46" i="30" a="1"/>
  <c r="N22" i="33" a="1"/>
  <c r="M28" i="33" a="1"/>
  <c r="I28" i="36" a="1"/>
  <c r="J20" i="36" a="1"/>
  <c r="K26" i="30" a="1"/>
  <c r="O58" i="30" a="1"/>
  <c r="K55" i="37" a="1"/>
  <c r="M54" i="28" a="1"/>
  <c r="L23" i="36" a="1"/>
  <c r="N71" i="30" a="1"/>
  <c r="P56" i="15" a="1"/>
  <c r="K52" i="19" a="1"/>
  <c r="L50" i="30" a="1"/>
  <c r="J52" i="37" a="1"/>
  <c r="J46" i="28" a="1"/>
  <c r="M26" i="15" a="1"/>
  <c r="J46" i="19" a="1"/>
  <c r="O52" i="22" a="1"/>
  <c r="L66" i="15" a="1"/>
  <c r="I12" i="37" a="1"/>
  <c r="M59" i="37" a="1"/>
  <c r="P59" i="15" a="1"/>
  <c r="O60" i="22" a="1"/>
  <c r="J14" i="33" a="1"/>
  <c r="K62" i="15" a="1"/>
  <c r="L23" i="33" a="1"/>
  <c r="O66" i="28" a="1"/>
  <c r="N70" i="15" a="1"/>
  <c r="J12" i="19" a="1"/>
  <c r="P50" i="15" a="1"/>
  <c r="J60" i="22" a="1"/>
  <c r="L63" i="30" a="1"/>
  <c r="J26" i="28" a="1"/>
  <c r="J50" i="33" a="1"/>
  <c r="N24" i="15" a="1"/>
  <c r="J70" i="15" a="1"/>
  <c r="K56" i="22" a="1"/>
  <c r="M54" i="30" a="1"/>
  <c r="N18" i="15" a="1"/>
  <c r="K18" i="36" a="1"/>
  <c r="P55" i="37" a="1"/>
  <c r="M10" i="36" a="1"/>
  <c r="P46" i="22" a="1"/>
  <c r="I30" i="36" a="1"/>
  <c r="J16" i="28" a="1"/>
  <c r="J56" i="20" a="1"/>
  <c r="O66" i="15" a="1"/>
  <c r="K58" i="30" a="1"/>
  <c r="O62" i="37" a="1"/>
  <c r="J63" i="15" a="1"/>
  <c r="J63" i="37" a="1"/>
  <c r="J30" i="36" a="1"/>
  <c r="O19" i="36" a="1"/>
  <c r="K64" i="33" a="1"/>
  <c r="K56" i="37" a="1"/>
  <c r="P50" i="36" a="1"/>
  <c r="O15" i="36" a="1"/>
  <c r="J58" i="15" a="1"/>
  <c r="L10" i="28" a="1"/>
  <c r="L59" i="22" a="1"/>
  <c r="K14" i="22" a="1"/>
  <c r="J16" i="15" a="1"/>
  <c r="O60" i="30" a="1"/>
  <c r="J56" i="28" a="1"/>
  <c r="J12" i="30" a="1"/>
  <c r="M26" i="28" a="1"/>
  <c r="O68" i="36" a="1"/>
  <c r="O46" i="22" a="1"/>
  <c r="I10" i="36" a="1"/>
  <c r="J60" i="18" a="1"/>
  <c r="N62" i="33" a="1"/>
  <c r="L14" i="36" a="1"/>
  <c r="I24" i="36" a="1"/>
  <c r="N48" i="30" a="1"/>
  <c r="M47" i="22" a="1"/>
  <c r="P58" i="28" a="1"/>
  <c r="I12" i="20" a="1"/>
  <c r="K54" i="30" a="1"/>
  <c r="K24" i="37" a="1"/>
  <c r="J56" i="22" a="1"/>
  <c r="O11" i="15" a="1"/>
  <c r="N58" i="33" a="1"/>
  <c r="M55" i="30" a="1"/>
  <c r="J71" i="15" a="1"/>
  <c r="N58" i="15" a="1"/>
  <c r="N54" i="28" a="1"/>
  <c r="O26" i="30" a="1"/>
  <c r="L18" i="15" a="1"/>
  <c r="M54" i="22" a="1"/>
  <c r="L66" i="28" a="1"/>
  <c r="L54" i="22" a="1"/>
  <c r="I24" i="33" a="1"/>
  <c r="J10" i="28" a="1"/>
  <c r="I16" i="15" a="1"/>
  <c r="L10" i="22" a="1"/>
  <c r="O28" i="15" a="1"/>
  <c r="M28" i="30" a="1"/>
  <c r="J66" i="28" a="1"/>
  <c r="L58" i="30" a="1"/>
  <c r="K29" i="37" a="1"/>
  <c r="N14" i="36" a="1"/>
  <c r="P55" i="15" a="1"/>
  <c r="P71" i="15" a="1"/>
  <c r="I12" i="22" a="1"/>
  <c r="K51" i="37" a="1"/>
  <c r="L29" i="28" a="1"/>
  <c r="K58" i="22" a="1"/>
  <c r="J19" i="36" a="1"/>
  <c r="L10" i="30" a="1"/>
  <c r="K28" i="30" a="1"/>
  <c r="N16" i="37" a="1"/>
  <c r="K20" i="37" a="1"/>
  <c r="J15" i="36" a="1"/>
  <c r="P54" i="36" a="1"/>
  <c r="J56" i="30" a="1"/>
  <c r="O23" i="36" a="1"/>
  <c r="J11" i="37" a="1"/>
  <c r="L55" i="22" a="1"/>
  <c r="I10" i="33" a="1"/>
  <c r="N63" i="33" a="1"/>
  <c r="M12" i="15" a="1"/>
  <c r="K18" i="15" a="1"/>
  <c r="O71" i="37" a="1"/>
  <c r="N54" i="33" a="1"/>
  <c r="J24" i="15" a="1"/>
  <c r="N71" i="15" a="1"/>
  <c r="P50" i="33" a="1"/>
  <c r="N68" i="15" a="1"/>
  <c r="J60" i="30" a="1"/>
  <c r="K28" i="37" a="1"/>
  <c r="L15" i="33" a="1"/>
  <c r="K27" i="37" a="1"/>
  <c r="K70" i="15" a="1"/>
  <c r="J35" i="36" a="1"/>
  <c r="O27" i="15" a="1"/>
  <c r="J18" i="36" a="1"/>
  <c r="P58" i="36" a="1"/>
  <c r="I35" i="36" a="1"/>
  <c r="J12" i="28" a="1"/>
  <c r="L71" i="15" a="1"/>
  <c r="P48" i="30" a="1"/>
  <c r="N26" i="28" a="1"/>
  <c r="M55" i="37" a="1"/>
  <c r="N50" i="36" a="1"/>
  <c r="O52" i="30" a="1"/>
  <c r="K48" i="20" a="1"/>
  <c r="K54" i="28" a="1"/>
  <c r="M10" i="33" a="1"/>
  <c r="P58" i="15" a="1"/>
  <c r="J52" i="28" a="1"/>
  <c r="O54" i="37" a="1"/>
  <c r="J29" i="36" a="1"/>
  <c r="N20" i="15" a="1"/>
  <c r="O68" i="29" a="1"/>
  <c r="J60" i="19" a="1"/>
  <c r="J54" i="36" a="1"/>
  <c r="M50" i="30" a="1"/>
  <c r="P51" i="15" a="1"/>
  <c r="O10" i="36" a="1"/>
  <c r="L22" i="28" a="1"/>
  <c r="J14" i="28" a="1"/>
  <c r="L32" i="29" a="1"/>
  <c r="J18" i="15" a="1"/>
  <c r="J46" i="18" a="1"/>
  <c r="K10" i="28" a="1"/>
  <c r="K30" i="36" a="1"/>
  <c r="L11" i="37" a="1"/>
  <c r="J22" i="33" a="1"/>
  <c r="M58" i="37" a="1"/>
  <c r="K48" i="18" a="1"/>
  <c r="K16" i="37" a="1"/>
  <c r="K56" i="19" a="1"/>
  <c r="K10" i="37" a="1"/>
  <c r="J10" i="37" a="1"/>
  <c r="O56" i="30" a="1"/>
  <c r="J64" i="28" a="1"/>
  <c r="M10" i="15" a="1"/>
  <c r="J64" i="15" a="1"/>
  <c r="M51" i="28" a="1"/>
  <c r="O28" i="30" a="1"/>
  <c r="J52" i="20" a="1"/>
  <c r="P47" i="30" a="1"/>
  <c r="I16" i="33" a="1"/>
  <c r="J24" i="36" a="1"/>
  <c r="N46" i="28" a="1"/>
  <c r="K56" i="30" a="1"/>
  <c r="O70" i="33" a="1"/>
  <c r="P71" i="30" a="1"/>
  <c r="L18" i="33" a="1"/>
  <c r="N35" i="36" a="1"/>
  <c r="M58" i="22" a="1"/>
  <c r="L58" i="37" a="1"/>
  <c r="O10" i="15" a="1"/>
  <c r="K14" i="15" a="1"/>
  <c r="N50" i="15" a="1"/>
  <c r="N63" i="28" a="1"/>
  <c r="M65" i="30" a="1"/>
  <c r="K52" i="37" a="1"/>
  <c r="N18" i="33" a="1"/>
  <c r="L18" i="36" a="1"/>
  <c r="O56" i="22" a="1"/>
  <c r="K60" i="37" a="1"/>
  <c r="I32" i="36" a="1"/>
  <c r="J64" i="37" a="1"/>
  <c r="K10" i="22" a="1"/>
  <c r="K27" i="15" a="1"/>
  <c r="K59" i="37" a="1"/>
  <c r="N63" i="15" a="1"/>
  <c r="I12" i="19" a="1"/>
  <c r="J60" i="28" a="1"/>
  <c r="K60" i="30" a="1"/>
  <c r="N16" i="15" a="1"/>
  <c r="K60" i="28" a="1"/>
  <c r="L58" i="22" a="1"/>
  <c r="O62" i="30" a="1"/>
  <c r="J22" i="15" a="1"/>
  <c r="P51" i="37" a="1"/>
  <c r="N18" i="36" a="1"/>
  <c r="P70" i="15" a="1"/>
  <c r="I20" i="33" a="1"/>
  <c r="O11" i="37" a="1"/>
  <c r="O70" i="15" a="1"/>
  <c r="J56" i="18" a="1"/>
  <c r="K14" i="28" a="1"/>
  <c r="I12" i="30" a="1"/>
  <c r="M29" i="30" a="1"/>
  <c r="O68" i="15" a="1"/>
  <c r="J22" i="36" a="1"/>
  <c r="O12" i="15" a="1"/>
  <c r="L54" i="28" a="1"/>
  <c r="J52" i="18" a="1"/>
  <c r="N14" i="15" a="1"/>
  <c r="K10" i="30" a="1"/>
  <c r="J50" i="28" a="1"/>
  <c r="L29" i="15" a="1"/>
  <c r="N14" i="33" a="1"/>
  <c r="P66" i="28" a="1"/>
  <c r="N62" i="30" a="1"/>
  <c r="K22" i="36" a="1"/>
  <c r="J14" i="36" a="1"/>
  <c r="K62" i="36" a="1"/>
  <c r="N30" i="36" a="1"/>
  <c r="I16" i="36" a="1"/>
  <c r="O50" i="37" a="1"/>
  <c r="K58" i="37" a="1"/>
  <c r="J60" i="20" a="1"/>
  <c r="K64" i="30" a="1"/>
  <c r="N26" i="15" a="1"/>
  <c r="L54" i="30" a="1"/>
  <c r="P63" i="30" a="1"/>
  <c r="L11" i="30" a="1"/>
  <c r="P68" i="29" a="1"/>
  <c r="K63" i="28" a="1"/>
  <c r="O65" i="37" a="1"/>
  <c r="L14" i="22" a="1"/>
  <c r="L19" i="15" a="1"/>
  <c r="J12" i="37" a="1"/>
  <c r="K22" i="15" a="1"/>
  <c r="J56" i="19" a="1"/>
  <c r="N10" i="30" a="1"/>
  <c r="J28" i="15" a="1"/>
  <c r="K66" i="15" a="1"/>
  <c r="K27" i="28" a="1"/>
  <c r="J28" i="28" a="1"/>
  <c r="J10" i="22" a="1"/>
  <c r="J14" i="15" a="1"/>
  <c r="J62" i="37" a="1"/>
  <c r="N24" i="37" a="1"/>
  <c r="J18" i="33" a="1"/>
  <c r="K65" i="33" a="1"/>
  <c r="P54" i="15" a="1"/>
  <c r="J66" i="15" a="1"/>
  <c r="L15" i="15" a="1"/>
  <c r="O63" i="37" a="1"/>
  <c r="O71" i="15" a="1"/>
  <c r="K60" i="22" a="1"/>
  <c r="J52" i="22" a="1"/>
  <c r="J10" i="30" a="1"/>
  <c r="P52" i="15" l="1"/>
  <c r="P56" i="15"/>
  <c r="Q116" i="29"/>
  <c r="L116" i="15"/>
  <c r="L125" i="15" s="1"/>
  <c r="L130" i="33" s="1"/>
  <c r="L120" i="15"/>
  <c r="L133" i="15" s="1"/>
  <c r="L103" i="15"/>
  <c r="L86" i="19"/>
  <c r="L104" i="19" s="1"/>
  <c r="Q100" i="30"/>
  <c r="Q92" i="30"/>
  <c r="P48" i="30"/>
  <c r="P111" i="30"/>
  <c r="K105" i="20"/>
  <c r="K103" i="20"/>
  <c r="M108" i="37"/>
  <c r="M118" i="37" s="1"/>
  <c r="M128" i="37" s="1"/>
  <c r="M86" i="20"/>
  <c r="M103" i="20" s="1"/>
  <c r="K104" i="20"/>
  <c r="P106" i="37"/>
  <c r="R99" i="37"/>
  <c r="K104" i="19"/>
  <c r="K103" i="19"/>
  <c r="R11" i="36"/>
  <c r="R51" i="36"/>
  <c r="R59" i="36"/>
  <c r="R47" i="37"/>
  <c r="R55" i="36"/>
  <c r="J39" i="36"/>
  <c r="O71" i="37"/>
  <c r="J56" i="37"/>
  <c r="L22" i="36"/>
  <c r="J54" i="36"/>
  <c r="J60" i="37"/>
  <c r="O64" i="37"/>
  <c r="P68" i="29"/>
  <c r="J46" i="37"/>
  <c r="J58" i="36"/>
  <c r="L58" i="37"/>
  <c r="M50" i="37"/>
  <c r="J64" i="37"/>
  <c r="P54" i="36"/>
  <c r="K65" i="33"/>
  <c r="J19" i="36"/>
  <c r="N27" i="36"/>
  <c r="K10" i="37"/>
  <c r="K9" i="37" s="1"/>
  <c r="L19" i="36"/>
  <c r="L11" i="37"/>
  <c r="K35" i="36"/>
  <c r="J20" i="36"/>
  <c r="I35" i="36"/>
  <c r="O28" i="15"/>
  <c r="J52" i="37"/>
  <c r="K59" i="37"/>
  <c r="J29" i="15"/>
  <c r="K60" i="37"/>
  <c r="O63" i="37"/>
  <c r="M54" i="37"/>
  <c r="M51" i="37"/>
  <c r="N46" i="37"/>
  <c r="O68" i="29"/>
  <c r="K62" i="15"/>
  <c r="J32" i="36"/>
  <c r="I23" i="37"/>
  <c r="J22" i="36"/>
  <c r="I10" i="36"/>
  <c r="I39" i="36" s="1"/>
  <c r="N30" i="36"/>
  <c r="O11" i="37"/>
  <c r="M10" i="36"/>
  <c r="O62" i="37"/>
  <c r="M55" i="37"/>
  <c r="K52" i="37"/>
  <c r="K50" i="37"/>
  <c r="M58" i="37"/>
  <c r="P55" i="37"/>
  <c r="J63" i="37"/>
  <c r="M59" i="37"/>
  <c r="N58" i="36"/>
  <c r="P50" i="36"/>
  <c r="O54" i="37"/>
  <c r="I12" i="37"/>
  <c r="K30" i="36"/>
  <c r="I24" i="36"/>
  <c r="I28" i="36"/>
  <c r="L18" i="36"/>
  <c r="I19" i="37"/>
  <c r="J14" i="36"/>
  <c r="K26" i="37"/>
  <c r="I16" i="36"/>
  <c r="K29" i="37"/>
  <c r="N20" i="37"/>
  <c r="N10" i="37"/>
  <c r="N9" i="37" s="1"/>
  <c r="P51" i="37"/>
  <c r="O68" i="36"/>
  <c r="O58" i="37"/>
  <c r="K56" i="37"/>
  <c r="O65" i="37"/>
  <c r="L54" i="37"/>
  <c r="K54" i="37"/>
  <c r="P59" i="37"/>
  <c r="N50" i="36"/>
  <c r="P58" i="36"/>
  <c r="O50" i="37"/>
  <c r="K22" i="36"/>
  <c r="I30" i="36"/>
  <c r="J12" i="37"/>
  <c r="I32" i="36"/>
  <c r="L15" i="36"/>
  <c r="O15" i="36"/>
  <c r="L10" i="37"/>
  <c r="K20" i="37"/>
  <c r="N18" i="36"/>
  <c r="O19" i="36"/>
  <c r="L66" i="37"/>
  <c r="K55" i="37"/>
  <c r="O12" i="15"/>
  <c r="N54" i="36"/>
  <c r="K62" i="36"/>
  <c r="I34" i="36"/>
  <c r="N14" i="36"/>
  <c r="K16" i="37"/>
  <c r="J35" i="36"/>
  <c r="K27" i="37"/>
  <c r="O10" i="36"/>
  <c r="J50" i="36"/>
  <c r="L50" i="37"/>
  <c r="J65" i="37"/>
  <c r="N16" i="37"/>
  <c r="N24" i="37"/>
  <c r="J15" i="36"/>
  <c r="I15" i="37"/>
  <c r="J29" i="36"/>
  <c r="L14" i="36"/>
  <c r="O23" i="36"/>
  <c r="J18" i="36"/>
  <c r="I20" i="36"/>
  <c r="K28" i="37"/>
  <c r="N22" i="36"/>
  <c r="K18" i="36"/>
  <c r="J10" i="37"/>
  <c r="K51" i="37"/>
  <c r="K58" i="37"/>
  <c r="J62" i="37"/>
  <c r="P46" i="37"/>
  <c r="L23" i="36"/>
  <c r="J23" i="36"/>
  <c r="J11" i="37"/>
  <c r="K24" i="37"/>
  <c r="I27" i="36"/>
  <c r="J24" i="36"/>
  <c r="K14" i="36"/>
  <c r="J30" i="36"/>
  <c r="J16" i="36"/>
  <c r="N35" i="36"/>
  <c r="K131" i="19"/>
  <c r="K102" i="20"/>
  <c r="K98" i="37"/>
  <c r="K85" i="37"/>
  <c r="K83" i="37"/>
  <c r="K90" i="37"/>
  <c r="K94" i="37"/>
  <c r="K113" i="37"/>
  <c r="K131" i="37"/>
  <c r="L131" i="37" s="1"/>
  <c r="M131" i="37" s="1"/>
  <c r="L106" i="20"/>
  <c r="P101" i="37"/>
  <c r="L111" i="37"/>
  <c r="L84" i="37"/>
  <c r="L110" i="37"/>
  <c r="R86" i="37"/>
  <c r="O90" i="37"/>
  <c r="O94" i="37"/>
  <c r="O98" i="37"/>
  <c r="O113" i="37"/>
  <c r="O122" i="37" s="1"/>
  <c r="L102" i="33"/>
  <c r="L121" i="33" s="1"/>
  <c r="J75" i="36"/>
  <c r="R46" i="36"/>
  <c r="P120" i="37"/>
  <c r="P133" i="37" s="1"/>
  <c r="P116" i="37"/>
  <c r="M110" i="37"/>
  <c r="M84" i="37"/>
  <c r="K101" i="37"/>
  <c r="R98" i="36"/>
  <c r="O45" i="37"/>
  <c r="R91" i="37"/>
  <c r="P118" i="36"/>
  <c r="P128" i="36" s="1"/>
  <c r="P108" i="37"/>
  <c r="L108" i="37"/>
  <c r="K106" i="19"/>
  <c r="K122" i="36"/>
  <c r="K126" i="36" s="1"/>
  <c r="K117" i="36"/>
  <c r="K127" i="36" s="1"/>
  <c r="K138" i="36" s="1"/>
  <c r="M111" i="37"/>
  <c r="K45" i="37"/>
  <c r="K131" i="22"/>
  <c r="L131" i="22" s="1"/>
  <c r="M131" i="22" s="1"/>
  <c r="K119" i="36"/>
  <c r="K132" i="36" s="1"/>
  <c r="K82" i="36"/>
  <c r="K130" i="36" s="1"/>
  <c r="L82" i="36"/>
  <c r="L130" i="36" s="1"/>
  <c r="M82" i="36"/>
  <c r="M130" i="36" s="1"/>
  <c r="R94" i="36"/>
  <c r="L103" i="36"/>
  <c r="L120" i="36"/>
  <c r="L133" i="36" s="1"/>
  <c r="L116" i="36"/>
  <c r="L102" i="20"/>
  <c r="K106" i="20"/>
  <c r="K102" i="19"/>
  <c r="R90" i="36"/>
  <c r="L122" i="37"/>
  <c r="N122" i="37"/>
  <c r="R95" i="37"/>
  <c r="L106" i="37"/>
  <c r="P122" i="37"/>
  <c r="M137" i="36"/>
  <c r="M129" i="36"/>
  <c r="M122" i="37"/>
  <c r="M117" i="37"/>
  <c r="K120" i="37"/>
  <c r="K133" i="37" s="1"/>
  <c r="K116" i="37"/>
  <c r="P137" i="36"/>
  <c r="P129" i="36"/>
  <c r="Q122" i="36"/>
  <c r="Q90" i="37"/>
  <c r="Q98" i="37"/>
  <c r="Q113" i="37"/>
  <c r="Q94" i="37"/>
  <c r="M127" i="37"/>
  <c r="M125" i="37"/>
  <c r="P110" i="37"/>
  <c r="P84" i="37"/>
  <c r="L105" i="20"/>
  <c r="P121" i="30"/>
  <c r="P122" i="30" s="1"/>
  <c r="P132" i="30" s="1"/>
  <c r="R105" i="30"/>
  <c r="O125" i="30"/>
  <c r="O138" i="30" s="1"/>
  <c r="P125" i="30"/>
  <c r="P138" i="30" s="1"/>
  <c r="L121" i="30"/>
  <c r="K125" i="30"/>
  <c r="K138" i="30" s="1"/>
  <c r="N62" i="30"/>
  <c r="J58" i="33"/>
  <c r="J14" i="33"/>
  <c r="J18" i="33"/>
  <c r="K29" i="30"/>
  <c r="N63" i="33"/>
  <c r="N50" i="33"/>
  <c r="K64" i="33"/>
  <c r="J29" i="30"/>
  <c r="N54" i="33"/>
  <c r="M65" i="30"/>
  <c r="K64" i="30"/>
  <c r="M28" i="30"/>
  <c r="M28" i="33"/>
  <c r="O10" i="33"/>
  <c r="O62" i="30"/>
  <c r="L14" i="33"/>
  <c r="L22" i="33"/>
  <c r="M10" i="33"/>
  <c r="O70" i="33"/>
  <c r="O65" i="30"/>
  <c r="J50" i="33"/>
  <c r="I20" i="33"/>
  <c r="L18" i="33"/>
  <c r="L23" i="33"/>
  <c r="I24" i="33"/>
  <c r="P50" i="33"/>
  <c r="J54" i="33"/>
  <c r="K28" i="30"/>
  <c r="I16" i="33"/>
  <c r="N28" i="30"/>
  <c r="N14" i="33"/>
  <c r="N58" i="33"/>
  <c r="J62" i="33"/>
  <c r="P54" i="33"/>
  <c r="K62" i="30"/>
  <c r="L15" i="33"/>
  <c r="L19" i="33"/>
  <c r="M29" i="30"/>
  <c r="M29" i="33"/>
  <c r="N18" i="33"/>
  <c r="J22" i="33"/>
  <c r="J62" i="30"/>
  <c r="P58" i="33"/>
  <c r="N62" i="33"/>
  <c r="O29" i="30"/>
  <c r="N22" i="33"/>
  <c r="O28" i="30"/>
  <c r="I10" i="33"/>
  <c r="Q128" i="30"/>
  <c r="O130" i="30"/>
  <c r="M106" i="30"/>
  <c r="O101" i="33"/>
  <c r="K130" i="30"/>
  <c r="O129" i="30"/>
  <c r="K104" i="30"/>
  <c r="R104" i="30" s="1"/>
  <c r="P106" i="30"/>
  <c r="O114" i="30"/>
  <c r="P123" i="33"/>
  <c r="P133" i="33" s="1"/>
  <c r="M127" i="30"/>
  <c r="L114" i="30"/>
  <c r="L130" i="30"/>
  <c r="Q106" i="30"/>
  <c r="K114" i="30"/>
  <c r="K106" i="30"/>
  <c r="K103" i="30"/>
  <c r="K121" i="33"/>
  <c r="K125" i="33"/>
  <c r="K138" i="33" s="1"/>
  <c r="P130" i="30"/>
  <c r="P131" i="33"/>
  <c r="Q114" i="30"/>
  <c r="L106" i="30"/>
  <c r="O125" i="33"/>
  <c r="O138" i="33" s="1"/>
  <c r="O121" i="33"/>
  <c r="K58" i="22"/>
  <c r="K60" i="28"/>
  <c r="P127" i="30"/>
  <c r="J52" i="28"/>
  <c r="J56" i="28"/>
  <c r="J60" i="28"/>
  <c r="Q118" i="28"/>
  <c r="Q127" i="28" s="1"/>
  <c r="K118" i="28"/>
  <c r="K127" i="28" s="1"/>
  <c r="Q91" i="28"/>
  <c r="Q119" i="28"/>
  <c r="Q128" i="28" s="1"/>
  <c r="Q99" i="28"/>
  <c r="K98" i="28"/>
  <c r="L58" i="22"/>
  <c r="L54" i="22"/>
  <c r="O54" i="28"/>
  <c r="O50" i="28"/>
  <c r="L58" i="28"/>
  <c r="L54" i="28"/>
  <c r="K54" i="22"/>
  <c r="K56" i="28"/>
  <c r="Q90" i="28"/>
  <c r="Q94" i="28"/>
  <c r="R86" i="28"/>
  <c r="O56" i="30"/>
  <c r="L58" i="30"/>
  <c r="J46" i="30"/>
  <c r="N56" i="15"/>
  <c r="O54" i="30"/>
  <c r="J10" i="30"/>
  <c r="J12" i="30"/>
  <c r="M50" i="30"/>
  <c r="M51" i="30"/>
  <c r="P56" i="30"/>
  <c r="O50" i="30"/>
  <c r="N50" i="15"/>
  <c r="J56" i="30"/>
  <c r="L11" i="30"/>
  <c r="K10" i="22"/>
  <c r="K10" i="28"/>
  <c r="K26" i="30"/>
  <c r="N10" i="28"/>
  <c r="I12" i="28"/>
  <c r="K54" i="30"/>
  <c r="M55" i="30"/>
  <c r="P46" i="30"/>
  <c r="N71" i="30"/>
  <c r="O58" i="30"/>
  <c r="P63" i="30"/>
  <c r="L32" i="29"/>
  <c r="J10" i="22"/>
  <c r="N46" i="30"/>
  <c r="M58" i="30"/>
  <c r="M59" i="28"/>
  <c r="K58" i="28"/>
  <c r="J60" i="30"/>
  <c r="J46" i="28"/>
  <c r="K58" i="30"/>
  <c r="P46" i="28"/>
  <c r="K52" i="30"/>
  <c r="J12" i="28"/>
  <c r="N10" i="30"/>
  <c r="M59" i="30"/>
  <c r="N46" i="28"/>
  <c r="N12" i="30"/>
  <c r="M51" i="28"/>
  <c r="K10" i="30"/>
  <c r="N22" i="15"/>
  <c r="L10" i="28"/>
  <c r="L10" i="30"/>
  <c r="O24" i="15"/>
  <c r="N20" i="15"/>
  <c r="P58" i="15"/>
  <c r="K56" i="30"/>
  <c r="M54" i="30"/>
  <c r="M54" i="28"/>
  <c r="O52" i="30"/>
  <c r="L54" i="30"/>
  <c r="P47" i="30"/>
  <c r="L11" i="28"/>
  <c r="I12" i="30"/>
  <c r="N48" i="30"/>
  <c r="O26" i="30"/>
  <c r="K50" i="30"/>
  <c r="L63" i="30"/>
  <c r="M50" i="28"/>
  <c r="O60" i="30"/>
  <c r="L50" i="30"/>
  <c r="P71" i="30"/>
  <c r="P47" i="28"/>
  <c r="K60" i="30"/>
  <c r="K54" i="28"/>
  <c r="J52" i="30"/>
  <c r="J10" i="28"/>
  <c r="M114" i="30"/>
  <c r="K118" i="30"/>
  <c r="K98" i="30"/>
  <c r="K94" i="30"/>
  <c r="K90" i="30"/>
  <c r="R86" i="30"/>
  <c r="O101" i="15"/>
  <c r="O103" i="30"/>
  <c r="Q94" i="30"/>
  <c r="Q83" i="30"/>
  <c r="Q118" i="30"/>
  <c r="Q98" i="30"/>
  <c r="Q90" i="30"/>
  <c r="Q85" i="30"/>
  <c r="Q101" i="30"/>
  <c r="O118" i="30"/>
  <c r="O90" i="30"/>
  <c r="O98" i="30"/>
  <c r="O85" i="30"/>
  <c r="O83" i="30"/>
  <c r="O94" i="30"/>
  <c r="P119" i="15"/>
  <c r="P132" i="15" s="1"/>
  <c r="P114" i="30"/>
  <c r="P124" i="30" s="1"/>
  <c r="P137" i="30" s="1"/>
  <c r="P118" i="15"/>
  <c r="P128" i="15" s="1"/>
  <c r="P110" i="30"/>
  <c r="K94" i="28"/>
  <c r="O75" i="30"/>
  <c r="O118" i="15"/>
  <c r="O128" i="15" s="1"/>
  <c r="O110" i="30"/>
  <c r="Q118" i="15"/>
  <c r="Q128" i="15" s="1"/>
  <c r="Q110" i="30"/>
  <c r="L101" i="15"/>
  <c r="L103" i="30"/>
  <c r="O118" i="28"/>
  <c r="O127" i="28" s="1"/>
  <c r="O90" i="28"/>
  <c r="P120" i="22"/>
  <c r="P133" i="22" s="1"/>
  <c r="P103" i="30"/>
  <c r="Q91" i="30"/>
  <c r="Q95" i="30"/>
  <c r="Q99" i="30"/>
  <c r="Q119" i="30"/>
  <c r="O100" i="30"/>
  <c r="O120" i="30"/>
  <c r="O96" i="30"/>
  <c r="O92" i="30"/>
  <c r="O98" i="28"/>
  <c r="M101" i="30"/>
  <c r="N122" i="22"/>
  <c r="O122" i="22"/>
  <c r="J70" i="15"/>
  <c r="K120" i="22"/>
  <c r="K133" i="22" s="1"/>
  <c r="J63" i="15"/>
  <c r="L19" i="28"/>
  <c r="L15" i="15"/>
  <c r="L23" i="15"/>
  <c r="L19" i="15"/>
  <c r="P59" i="15"/>
  <c r="P55" i="15"/>
  <c r="P51" i="15"/>
  <c r="P55" i="28"/>
  <c r="O11" i="15"/>
  <c r="R65" i="15"/>
  <c r="R65" i="28"/>
  <c r="N29" i="28"/>
  <c r="N29" i="15"/>
  <c r="M101" i="22"/>
  <c r="N60" i="15"/>
  <c r="N52" i="15"/>
  <c r="J22" i="15"/>
  <c r="K70" i="15"/>
  <c r="P58" i="28"/>
  <c r="I26" i="15"/>
  <c r="M26" i="28"/>
  <c r="N26" i="28"/>
  <c r="N22" i="28"/>
  <c r="J18" i="15"/>
  <c r="J64" i="28"/>
  <c r="M12" i="15"/>
  <c r="M26" i="15"/>
  <c r="L29" i="28"/>
  <c r="K27" i="15"/>
  <c r="L70" i="15"/>
  <c r="O66" i="28"/>
  <c r="N70" i="15"/>
  <c r="N63" i="15"/>
  <c r="N63" i="28"/>
  <c r="P70" i="15"/>
  <c r="J14" i="15"/>
  <c r="O27" i="28"/>
  <c r="P66" i="28"/>
  <c r="J66" i="28"/>
  <c r="J28" i="15"/>
  <c r="N54" i="28"/>
  <c r="K63" i="28"/>
  <c r="J28" i="28"/>
  <c r="I26" i="28"/>
  <c r="O27" i="15"/>
  <c r="L66" i="28"/>
  <c r="J63" i="28"/>
  <c r="O63" i="28"/>
  <c r="K66" i="28"/>
  <c r="K27" i="28"/>
  <c r="O70" i="15"/>
  <c r="J50" i="28"/>
  <c r="K14" i="28"/>
  <c r="J26" i="28"/>
  <c r="J14" i="28"/>
  <c r="L22" i="28"/>
  <c r="J16" i="28"/>
  <c r="R104" i="28"/>
  <c r="O101" i="28"/>
  <c r="L101" i="28"/>
  <c r="O106" i="15"/>
  <c r="O106" i="33" s="1"/>
  <c r="K101" i="28"/>
  <c r="P101" i="28"/>
  <c r="K101" i="15"/>
  <c r="J14" i="22"/>
  <c r="J64" i="15"/>
  <c r="R104" i="15"/>
  <c r="P126" i="15"/>
  <c r="P117" i="15"/>
  <c r="P127" i="15" s="1"/>
  <c r="P138" i="15" s="1"/>
  <c r="P143" i="33" s="1"/>
  <c r="O63" i="15"/>
  <c r="N26" i="15"/>
  <c r="P101" i="15"/>
  <c r="Q122" i="15"/>
  <c r="Q127" i="33" s="1"/>
  <c r="Q117" i="15"/>
  <c r="Q127" i="15" s="1"/>
  <c r="Q138" i="15" s="1"/>
  <c r="K122" i="15"/>
  <c r="K127" i="33" s="1"/>
  <c r="O122" i="15"/>
  <c r="O127" i="33" s="1"/>
  <c r="O117" i="15"/>
  <c r="O127" i="15" s="1"/>
  <c r="O138" i="15" s="1"/>
  <c r="J71" i="15"/>
  <c r="J66" i="15"/>
  <c r="K56" i="22"/>
  <c r="J24" i="15"/>
  <c r="K52" i="22"/>
  <c r="K60" i="22"/>
  <c r="J16" i="15"/>
  <c r="J12" i="22"/>
  <c r="J20" i="15"/>
  <c r="L100" i="20"/>
  <c r="L92" i="20"/>
  <c r="L115" i="20"/>
  <c r="L124" i="20" s="1"/>
  <c r="R90" i="15"/>
  <c r="K48" i="20"/>
  <c r="R98" i="15"/>
  <c r="J46" i="22"/>
  <c r="I12" i="22"/>
  <c r="J52" i="20"/>
  <c r="J60" i="18"/>
  <c r="K60" i="19"/>
  <c r="I12" i="18"/>
  <c r="J56" i="20"/>
  <c r="K56" i="20"/>
  <c r="K48" i="18"/>
  <c r="I10" i="15"/>
  <c r="J52" i="22"/>
  <c r="J52" i="19"/>
  <c r="K52" i="19"/>
  <c r="I16" i="15"/>
  <c r="I20" i="15"/>
  <c r="J56" i="22"/>
  <c r="J54" i="15"/>
  <c r="J56" i="19"/>
  <c r="K56" i="19"/>
  <c r="J60" i="22"/>
  <c r="J60" i="19"/>
  <c r="I12" i="19"/>
  <c r="J46" i="19"/>
  <c r="J50" i="15"/>
  <c r="J52" i="18"/>
  <c r="I12" i="20"/>
  <c r="I24" i="15"/>
  <c r="J60" i="20"/>
  <c r="J46" i="18"/>
  <c r="J58" i="15"/>
  <c r="J56" i="18"/>
  <c r="J12" i="19"/>
  <c r="K98" i="22"/>
  <c r="K94" i="22"/>
  <c r="K113" i="22"/>
  <c r="K90" i="22"/>
  <c r="L115" i="18"/>
  <c r="L124" i="18" s="1"/>
  <c r="L100" i="18"/>
  <c r="L96" i="18"/>
  <c r="L92" i="18"/>
  <c r="K98" i="19"/>
  <c r="K113" i="19"/>
  <c r="K94" i="19"/>
  <c r="K90" i="19"/>
  <c r="L86" i="18"/>
  <c r="K98" i="18"/>
  <c r="K94" i="18"/>
  <c r="K113" i="18"/>
  <c r="K90" i="18"/>
  <c r="L29" i="15"/>
  <c r="Q119" i="15"/>
  <c r="Q132" i="15" s="1"/>
  <c r="L71" i="15"/>
  <c r="N68" i="15"/>
  <c r="L66" i="15"/>
  <c r="P71" i="15"/>
  <c r="O68" i="15"/>
  <c r="P66" i="15"/>
  <c r="O71" i="15"/>
  <c r="P68" i="15"/>
  <c r="K71" i="15"/>
  <c r="O66" i="15"/>
  <c r="N71" i="15"/>
  <c r="K66" i="15"/>
  <c r="R94" i="15"/>
  <c r="M54" i="22"/>
  <c r="N16" i="15"/>
  <c r="N24" i="15"/>
  <c r="M58" i="22"/>
  <c r="P50" i="15"/>
  <c r="P54" i="15"/>
  <c r="N14" i="15"/>
  <c r="N39" i="15"/>
  <c r="N18" i="15"/>
  <c r="O90" i="22"/>
  <c r="L10" i="22"/>
  <c r="L18" i="15"/>
  <c r="L14" i="15"/>
  <c r="L22" i="15"/>
  <c r="O119" i="15"/>
  <c r="O132" i="15" s="1"/>
  <c r="K14" i="15"/>
  <c r="K22" i="15"/>
  <c r="K18" i="15"/>
  <c r="R46" i="15"/>
  <c r="O94" i="22"/>
  <c r="O98" i="22"/>
  <c r="N46" i="22"/>
  <c r="N54" i="15"/>
  <c r="N58" i="15"/>
  <c r="O10" i="15"/>
  <c r="M10" i="15"/>
  <c r="P75" i="15"/>
  <c r="N75" i="15"/>
  <c r="P46" i="22"/>
  <c r="K14" i="22"/>
  <c r="L14" i="22"/>
  <c r="O46" i="22"/>
  <c r="Q94" i="22"/>
  <c r="Q90" i="22"/>
  <c r="Q113" i="22"/>
  <c r="Q98" i="22"/>
  <c r="R86" i="22"/>
  <c r="P98" i="22"/>
  <c r="P113" i="22"/>
  <c r="P94" i="22"/>
  <c r="P90" i="22"/>
  <c r="L51" i="22"/>
  <c r="L55" i="22"/>
  <c r="M47" i="22"/>
  <c r="L59" i="22"/>
  <c r="K11" i="22"/>
  <c r="O52" i="22"/>
  <c r="O56" i="22"/>
  <c r="O60" i="22"/>
  <c r="N12" i="22"/>
  <c r="N114" i="22"/>
  <c r="N123" i="22" s="1"/>
  <c r="N99" i="22"/>
  <c r="N91" i="22"/>
  <c r="N95" i="22"/>
  <c r="L23" i="28" a="1"/>
  <c r="K66" i="37" a="1"/>
  <c r="N26" i="37" a="1"/>
  <c r="N30" i="15" a="1"/>
  <c r="J58" i="22" a="1"/>
  <c r="J22" i="28" a="1"/>
  <c r="J26" i="15" a="1"/>
  <c r="P66" i="30" a="1"/>
  <c r="I22" i="33" a="1"/>
  <c r="O70" i="37" a="1"/>
  <c r="J18" i="37" a="1"/>
  <c r="I28" i="15" a="1"/>
  <c r="O63" i="30" a="1"/>
  <c r="M27" i="33" a="1"/>
  <c r="I20" i="30" a="1"/>
  <c r="I24" i="18" a="1"/>
  <c r="N66" i="15" a="1"/>
  <c r="I24" i="20" a="1"/>
  <c r="L15" i="30" a="1"/>
  <c r="L18" i="30" a="1"/>
  <c r="N18" i="28" a="1"/>
  <c r="J16" i="30" a="1"/>
  <c r="J29" i="33" a="1"/>
  <c r="N58" i="37" a="1"/>
  <c r="K27" i="30" a="1"/>
  <c r="P58" i="22" a="1"/>
  <c r="O22" i="33" a="1"/>
  <c r="L15" i="28" a="1"/>
  <c r="L18" i="37" a="1"/>
  <c r="J50" i="18" a="1"/>
  <c r="I10" i="22" a="1"/>
  <c r="I20" i="19" a="1"/>
  <c r="J50" i="37" a="1"/>
  <c r="I20" i="28" a="1"/>
  <c r="O30" i="15" a="1"/>
  <c r="N32" i="15" a="1"/>
  <c r="N22" i="37" a="1"/>
  <c r="K60" i="18" a="1"/>
  <c r="J34" i="15" a="1"/>
  <c r="M26" i="33" a="1"/>
  <c r="J54" i="19" a="1"/>
  <c r="O68" i="37" a="1"/>
  <c r="O27" i="30" a="1"/>
  <c r="P51" i="28" a="1"/>
  <c r="K63" i="30" a="1"/>
  <c r="K68" i="37" a="1"/>
  <c r="N22" i="30" a="1"/>
  <c r="O58" i="22" a="1"/>
  <c r="O54" i="22" a="1"/>
  <c r="N50" i="30" a="1"/>
  <c r="O10" i="30" a="1"/>
  <c r="J26" i="30" a="1"/>
  <c r="N54" i="22" a="1"/>
  <c r="J18" i="22" a="1"/>
  <c r="K30" i="15" a="1"/>
  <c r="N29" i="37" a="1"/>
  <c r="J58" i="28" a="1"/>
  <c r="J63" i="22" a="1"/>
  <c r="O23" i="15" a="1"/>
  <c r="N52" i="30" a="1"/>
  <c r="P50" i="28" a="1"/>
  <c r="O22" i="28" a="1"/>
  <c r="L19" i="30" a="1"/>
  <c r="N32" i="29" a="1"/>
  <c r="N35" i="37" a="1"/>
  <c r="I28" i="37" a="1"/>
  <c r="I27" i="28" a="1"/>
  <c r="P55" i="30" a="1"/>
  <c r="J18" i="28" a="1"/>
  <c r="N20" i="30" a="1"/>
  <c r="J64" i="22" a="1"/>
  <c r="J58" i="30" a="1"/>
  <c r="N34" i="15" a="1"/>
  <c r="O19" i="28" a="1"/>
  <c r="O35" i="30" a="1"/>
  <c r="N27" i="28" a="1"/>
  <c r="O66" i="37" a="1"/>
  <c r="L70" i="37" a="1"/>
  <c r="O15" i="15" a="1"/>
  <c r="I18" i="15" a="1"/>
  <c r="M32" i="29" a="1"/>
  <c r="J63" i="30" a="1"/>
  <c r="O14" i="33" a="1"/>
  <c r="L11" i="22" a="1"/>
  <c r="J16" i="19" a="1"/>
  <c r="I30" i="15" a="1"/>
  <c r="M35" i="15" a="1"/>
  <c r="N47" i="22" a="1"/>
  <c r="M32" i="36" a="1"/>
  <c r="I14" i="33" a="1"/>
  <c r="K62" i="33" a="1"/>
  <c r="N27" i="37" a="1"/>
  <c r="L15" i="37" a="1"/>
  <c r="M18" i="33" a="1"/>
  <c r="O35" i="15" a="1"/>
  <c r="O34" i="15" a="1"/>
  <c r="P50" i="37" a="1"/>
  <c r="N14" i="28" a="1"/>
  <c r="L29" i="30" a="1"/>
  <c r="M27" i="28" a="1"/>
  <c r="O22" i="15" a="1"/>
  <c r="J54" i="37" a="1"/>
  <c r="N18" i="37" a="1"/>
  <c r="K46" i="18" a="1"/>
  <c r="I16" i="28" a="1"/>
  <c r="K70" i="37" a="1"/>
  <c r="J50" i="19" a="1"/>
  <c r="O10" i="22" a="1"/>
  <c r="I24" i="22" a="1"/>
  <c r="J58" i="19" a="1"/>
  <c r="N14" i="30" a="1"/>
  <c r="L19" i="37" a="1"/>
  <c r="J22" i="37" a="1"/>
  <c r="O14" i="15" a="1"/>
  <c r="O71" i="30" a="1"/>
  <c r="K22" i="30" a="1"/>
  <c r="K56" i="18" a="1"/>
  <c r="M12" i="30" a="1"/>
  <c r="K46" i="19" a="1"/>
  <c r="P58" i="37" a="1"/>
  <c r="J54" i="28" a="1"/>
  <c r="K22" i="28" a="1"/>
  <c r="I10" i="18" a="1"/>
  <c r="J12" i="18" a="1"/>
  <c r="I18" i="36" a="1"/>
  <c r="O66" i="30" a="1"/>
  <c r="K14" i="30" a="1"/>
  <c r="M22" i="36" a="1"/>
  <c r="M35" i="30" a="1"/>
  <c r="N50" i="28" a="1"/>
  <c r="I20" i="18" a="1"/>
  <c r="J15" i="37" a="1"/>
  <c r="O50" i="22" a="1"/>
  <c r="P54" i="28" a="1"/>
  <c r="O18" i="33" a="1"/>
  <c r="I10" i="28" a="1"/>
  <c r="K18" i="22" a="1"/>
  <c r="J22" i="22" a="1"/>
  <c r="O16" i="15" a="1"/>
  <c r="N54" i="30" a="1"/>
  <c r="J50" i="22" a="1"/>
  <c r="J20" i="19" a="1"/>
  <c r="N34" i="33" a="1"/>
  <c r="J20" i="30" a="1"/>
  <c r="N24" i="30" a="1"/>
  <c r="N35" i="15" a="1"/>
  <c r="M20" i="15" a="1"/>
  <c r="I26" i="33" a="1"/>
  <c r="N20" i="22" a="1"/>
  <c r="J62" i="22" a="1"/>
  <c r="M10" i="30" a="1"/>
  <c r="J24" i="30" a="1"/>
  <c r="N54" i="37" a="1"/>
  <c r="K19" i="22" a="1"/>
  <c r="L71" i="37" a="1"/>
  <c r="K63" i="15" a="1"/>
  <c r="J64" i="30" a="1"/>
  <c r="O70" i="30" a="1"/>
  <c r="K18" i="30" a="1"/>
  <c r="P54" i="22" a="1"/>
  <c r="M14" i="36" a="1"/>
  <c r="O19" i="37" a="1"/>
  <c r="L18" i="22" a="1"/>
  <c r="J18" i="30" a="1"/>
  <c r="K52" i="18" a="1"/>
  <c r="P50" i="22" a="1"/>
  <c r="K63" i="36" a="1"/>
  <c r="I30" i="28" a="1"/>
  <c r="L62" i="22" a="1"/>
  <c r="M32" i="15" a="1"/>
  <c r="J26" i="36" a="1"/>
  <c r="N16" i="30" a="1"/>
  <c r="K23" i="22" a="1"/>
  <c r="J19" i="37" a="1"/>
  <c r="I20" i="20" a="1"/>
  <c r="K71" i="37" a="1"/>
  <c r="I29" i="37" a="1"/>
  <c r="K18" i="28" a="1"/>
  <c r="N24" i="22" a="1"/>
  <c r="N63" i="30" a="1"/>
  <c r="N30" i="28" a="1"/>
  <c r="K30" i="28" a="1"/>
  <c r="J27" i="28" a="1"/>
  <c r="I20" i="37" a="1"/>
  <c r="I34" i="15" a="1"/>
  <c r="I27" i="37" a="1"/>
  <c r="I24" i="28" a="1"/>
  <c r="I26" i="30" a="1"/>
  <c r="K22" i="37" a="1"/>
  <c r="J54" i="30" a="1"/>
  <c r="J16" i="37" a="1"/>
  <c r="I10" i="30" a="1"/>
  <c r="K52" i="20" a="1"/>
  <c r="M59" i="22" a="1"/>
  <c r="M26" i="30" a="1"/>
  <c r="J14" i="37" a="1"/>
  <c r="J28" i="33" a="1"/>
  <c r="K66" i="33" a="1"/>
  <c r="K15" i="22" a="1"/>
  <c r="M51" i="22" a="1"/>
  <c r="O10" i="37" a="1"/>
  <c r="O15" i="37" a="1"/>
  <c r="J16" i="22" a="1"/>
  <c r="J24" i="37" a="1"/>
  <c r="I24" i="19" a="1"/>
  <c r="O11" i="30" a="1"/>
  <c r="O12" i="30" a="1"/>
  <c r="L22" i="37" a="1"/>
  <c r="P58" i="30" a="1"/>
  <c r="J58" i="37" a="1"/>
  <c r="P54" i="37" a="1"/>
  <c r="I14" i="36" a="1"/>
  <c r="P50" i="30" a="1"/>
  <c r="L22" i="22" a="1"/>
  <c r="J24" i="19" a="1"/>
  <c r="K30" i="37" a="1"/>
  <c r="N16" i="22" a="1"/>
  <c r="K60" i="20" a="1"/>
  <c r="I16" i="20" a="1"/>
  <c r="J66" i="33" a="1"/>
  <c r="I16" i="18" a="1"/>
  <c r="O18" i="15" a="1"/>
  <c r="O23" i="37" a="1"/>
  <c r="I14" i="15" a="1"/>
  <c r="N60" i="30" a="1"/>
  <c r="I26" i="37" a="1"/>
  <c r="L18" i="28" a="1"/>
  <c r="J65" i="22" a="1"/>
  <c r="N10" i="22" a="1"/>
  <c r="L64" i="22" a="1"/>
  <c r="N28" i="37" a="1"/>
  <c r="P70" i="30" a="1"/>
  <c r="L14" i="28" a="1"/>
  <c r="M10" i="28" a="1"/>
  <c r="I10" i="19" a="1"/>
  <c r="P52" i="30" a="1"/>
  <c r="K18" i="37" a="1"/>
  <c r="P54" i="30" a="1"/>
  <c r="I14" i="28" a="1"/>
  <c r="I16" i="37" a="1"/>
  <c r="L14" i="37" a="1"/>
  <c r="N66" i="28" a="1"/>
  <c r="N18" i="30" a="1"/>
  <c r="N50" i="37" a="1"/>
  <c r="O10" i="28" a="1"/>
  <c r="J28" i="30" a="1"/>
  <c r="M22" i="15" a="1"/>
  <c r="J30" i="28" a="1"/>
  <c r="L32" i="15" a="1"/>
  <c r="O20" i="15" a="1"/>
  <c r="I22" i="15" a="1"/>
  <c r="O30" i="28" a="1"/>
  <c r="L23" i="37" a="1"/>
  <c r="I16" i="30" a="1"/>
  <c r="J24" i="22" a="1"/>
  <c r="M18" i="36" a="1"/>
  <c r="I24" i="37" a="1"/>
  <c r="J30" i="15" a="1"/>
  <c r="J54" i="22" a="1"/>
  <c r="L63" i="22" a="1"/>
  <c r="N14" i="37" a="1"/>
  <c r="J23" i="37" a="1"/>
  <c r="I24" i="30" a="1"/>
  <c r="N58" i="22" a="1"/>
  <c r="J24" i="28" a="1"/>
  <c r="N58" i="30" a="1"/>
  <c r="I18" i="33" a="1"/>
  <c r="K14" i="37" a="1"/>
  <c r="N58" i="28" a="1"/>
  <c r="I10" i="37" a="1"/>
  <c r="J50" i="30" a="1"/>
  <c r="M22" i="33" a="1"/>
  <c r="J12" i="20" a="1"/>
  <c r="J20" i="20" a="1"/>
  <c r="O11" i="28" a="1"/>
  <c r="J66" i="30" a="1"/>
  <c r="J20" i="37" a="1"/>
  <c r="P59" i="28" a="1"/>
  <c r="M18" i="15" a="1"/>
  <c r="M24" i="15" a="1"/>
  <c r="J64" i="33" a="1"/>
  <c r="I16" i="22" a="1"/>
  <c r="P51" i="30" a="1"/>
  <c r="M34" i="15" a="1"/>
  <c r="L65" i="22" a="1"/>
  <c r="N27" i="15" a="1"/>
  <c r="P60" i="30" a="1"/>
  <c r="L66" i="30" a="1"/>
  <c r="M55" i="22" a="1"/>
  <c r="L22" i="30" a="1"/>
  <c r="K66" i="30" a="1"/>
  <c r="I35" i="15" a="1"/>
  <c r="M14" i="33" a="1"/>
  <c r="J58" i="18" a="1"/>
  <c r="I22" i="36" a="1"/>
  <c r="N50" i="22" a="1"/>
  <c r="K34" i="15" a="1"/>
  <c r="J20" i="28" a="1"/>
  <c r="O18" i="36" a="1"/>
  <c r="I27" i="15" a="1"/>
  <c r="L23" i="30" a="1"/>
  <c r="I20" i="22" a="1"/>
  <c r="I28" i="28" a="1"/>
  <c r="O19" i="15" a="1"/>
  <c r="J63" i="33" a="1"/>
  <c r="O20" i="30" a="1"/>
  <c r="N56" i="30" a="1"/>
  <c r="J22" i="30" a="1"/>
  <c r="L14" i="30" a="1"/>
  <c r="M16" i="15" a="1"/>
  <c r="N26" i="30" a="1"/>
  <c r="J54" i="18" a="1"/>
  <c r="I16" i="19" a="1"/>
  <c r="L68" i="37" a="1"/>
  <c r="M14" i="15" a="1"/>
  <c r="J35" i="15" a="1"/>
  <c r="K22" i="22" a="1"/>
  <c r="J14" i="30" a="1"/>
  <c r="N29" i="30" a="1"/>
  <c r="P59" i="30" a="1"/>
  <c r="O22" i="36" a="1"/>
  <c r="N70" i="30" a="1"/>
  <c r="M10" i="37" a="1"/>
  <c r="M10" i="22" a="1"/>
  <c r="O14" i="36" a="1"/>
  <c r="M18" i="28" a="1"/>
  <c r="J20" i="22" a="1"/>
  <c r="K35" i="15" a="1"/>
  <c r="M27" i="15" a="1"/>
  <c r="O20" i="15" l="1"/>
  <c r="O16" i="15"/>
  <c r="K63" i="15"/>
  <c r="P119" i="37"/>
  <c r="P132" i="37" s="1"/>
  <c r="L103" i="33"/>
  <c r="M86" i="19"/>
  <c r="M105" i="19" s="1"/>
  <c r="L106" i="19"/>
  <c r="L131" i="19"/>
  <c r="M126" i="37"/>
  <c r="M129" i="37" s="1"/>
  <c r="M106" i="20"/>
  <c r="L125" i="33"/>
  <c r="L138" i="33" s="1"/>
  <c r="L102" i="19"/>
  <c r="M105" i="20"/>
  <c r="L105" i="19"/>
  <c r="P60" i="30"/>
  <c r="P52" i="30"/>
  <c r="O71" i="30"/>
  <c r="O12" i="30"/>
  <c r="L68" i="37"/>
  <c r="N86" i="20"/>
  <c r="O86" i="20" s="1"/>
  <c r="M104" i="20"/>
  <c r="M102" i="20"/>
  <c r="O66" i="37"/>
  <c r="L119" i="37"/>
  <c r="L132" i="37" s="1"/>
  <c r="R11" i="37"/>
  <c r="R15" i="36"/>
  <c r="R51" i="37"/>
  <c r="R23" i="36"/>
  <c r="R55" i="37"/>
  <c r="R19" i="36"/>
  <c r="J9" i="37"/>
  <c r="L23" i="37"/>
  <c r="N26" i="37"/>
  <c r="N28" i="37"/>
  <c r="P54" i="37"/>
  <c r="K66" i="37"/>
  <c r="K62" i="33"/>
  <c r="J50" i="37"/>
  <c r="I26" i="37"/>
  <c r="O23" i="37"/>
  <c r="M22" i="36"/>
  <c r="L19" i="37"/>
  <c r="N27" i="37"/>
  <c r="N32" i="29"/>
  <c r="N54" i="37"/>
  <c r="J58" i="37"/>
  <c r="J15" i="37"/>
  <c r="I14" i="36"/>
  <c r="M18" i="36"/>
  <c r="N29" i="37"/>
  <c r="O19" i="37"/>
  <c r="J26" i="15"/>
  <c r="I28" i="37"/>
  <c r="I18" i="36"/>
  <c r="K63" i="36"/>
  <c r="K71" i="37"/>
  <c r="K14" i="37"/>
  <c r="J26" i="36"/>
  <c r="K18" i="37"/>
  <c r="I27" i="37"/>
  <c r="I24" i="37"/>
  <c r="P58" i="37"/>
  <c r="L70" i="37"/>
  <c r="N50" i="37"/>
  <c r="N14" i="37"/>
  <c r="J20" i="37"/>
  <c r="L22" i="37"/>
  <c r="M32" i="29"/>
  <c r="J23" i="37"/>
  <c r="L14" i="37"/>
  <c r="J22" i="37"/>
  <c r="I29" i="37"/>
  <c r="J18" i="37"/>
  <c r="J29" i="33"/>
  <c r="N58" i="37"/>
  <c r="O70" i="37"/>
  <c r="P50" i="37"/>
  <c r="K68" i="37"/>
  <c r="N22" i="37"/>
  <c r="N18" i="37"/>
  <c r="J14" i="37"/>
  <c r="M10" i="37"/>
  <c r="I16" i="37"/>
  <c r="K22" i="37"/>
  <c r="J24" i="37"/>
  <c r="O18" i="36"/>
  <c r="O68" i="37"/>
  <c r="K70" i="37"/>
  <c r="O10" i="37"/>
  <c r="J19" i="37"/>
  <c r="O22" i="36"/>
  <c r="M32" i="36"/>
  <c r="J16" i="37"/>
  <c r="L15" i="37"/>
  <c r="I22" i="36"/>
  <c r="I20" i="37"/>
  <c r="L71" i="37"/>
  <c r="J54" i="37"/>
  <c r="K30" i="37"/>
  <c r="M14" i="36"/>
  <c r="O15" i="37"/>
  <c r="O14" i="36"/>
  <c r="L18" i="37"/>
  <c r="I10" i="37"/>
  <c r="I9" i="37" s="1"/>
  <c r="N35" i="37"/>
  <c r="K137" i="36"/>
  <c r="K129" i="36"/>
  <c r="R58" i="36"/>
  <c r="R94" i="37"/>
  <c r="R98" i="37"/>
  <c r="R54" i="36"/>
  <c r="L104" i="37"/>
  <c r="L105" i="37"/>
  <c r="L102" i="22"/>
  <c r="L102" i="37"/>
  <c r="L103" i="37"/>
  <c r="L101" i="36"/>
  <c r="L103" i="22"/>
  <c r="L104" i="22"/>
  <c r="L105" i="22"/>
  <c r="L103" i="20"/>
  <c r="L103" i="19"/>
  <c r="R90" i="37"/>
  <c r="R10" i="36"/>
  <c r="K84" i="37"/>
  <c r="K130" i="37" s="1"/>
  <c r="K82" i="37"/>
  <c r="L82" i="37" s="1"/>
  <c r="M82" i="37" s="1"/>
  <c r="K108" i="37"/>
  <c r="K110" i="37"/>
  <c r="K106" i="37"/>
  <c r="K111" i="37"/>
  <c r="Q122" i="37"/>
  <c r="P127" i="37"/>
  <c r="P125" i="37"/>
  <c r="P126" i="37" s="1"/>
  <c r="P129" i="37" s="1"/>
  <c r="L118" i="37"/>
  <c r="L128" i="37" s="1"/>
  <c r="R46" i="37"/>
  <c r="K125" i="37"/>
  <c r="K127" i="37"/>
  <c r="M119" i="37"/>
  <c r="M132" i="37" s="1"/>
  <c r="P117" i="37"/>
  <c r="P118" i="37"/>
  <c r="P128" i="37" s="1"/>
  <c r="K122" i="37"/>
  <c r="K117" i="37"/>
  <c r="L125" i="36"/>
  <c r="L126" i="36" s="1"/>
  <c r="L117" i="36"/>
  <c r="L127" i="36" s="1"/>
  <c r="L138" i="36" s="1"/>
  <c r="R59" i="37"/>
  <c r="R50" i="36"/>
  <c r="J45" i="37"/>
  <c r="Q124" i="30"/>
  <c r="Q137" i="30" s="1"/>
  <c r="K101" i="30"/>
  <c r="R65" i="30"/>
  <c r="P131" i="30"/>
  <c r="P134" i="30" s="1"/>
  <c r="K66" i="33"/>
  <c r="J26" i="30"/>
  <c r="K66" i="30"/>
  <c r="P66" i="30"/>
  <c r="O18" i="33"/>
  <c r="N26" i="30"/>
  <c r="M18" i="33"/>
  <c r="J63" i="33"/>
  <c r="I26" i="33"/>
  <c r="N34" i="33"/>
  <c r="J28" i="33"/>
  <c r="J63" i="30"/>
  <c r="M22" i="33"/>
  <c r="M14" i="33"/>
  <c r="J66" i="33"/>
  <c r="O66" i="30"/>
  <c r="M26" i="33"/>
  <c r="I18" i="33"/>
  <c r="J66" i="30"/>
  <c r="J64" i="33"/>
  <c r="L66" i="30"/>
  <c r="O22" i="33"/>
  <c r="J64" i="30"/>
  <c r="R64" i="30" s="1"/>
  <c r="I26" i="30"/>
  <c r="O14" i="33"/>
  <c r="I14" i="33"/>
  <c r="J28" i="30"/>
  <c r="M27" i="33"/>
  <c r="I22" i="33"/>
  <c r="N29" i="30"/>
  <c r="L29" i="30"/>
  <c r="M26" i="30"/>
  <c r="P134" i="33"/>
  <c r="P142" i="33"/>
  <c r="O127" i="30"/>
  <c r="O131" i="30" s="1"/>
  <c r="O134" i="30" s="1"/>
  <c r="K101" i="33"/>
  <c r="O106" i="30"/>
  <c r="K127" i="30"/>
  <c r="Q127" i="30"/>
  <c r="Q131" i="30" s="1"/>
  <c r="Q134" i="30" s="1"/>
  <c r="O124" i="30"/>
  <c r="O137" i="30" s="1"/>
  <c r="J22" i="22"/>
  <c r="J24" i="28"/>
  <c r="R94" i="28"/>
  <c r="L113" i="19"/>
  <c r="L122" i="19" s="1"/>
  <c r="R98" i="28"/>
  <c r="I24" i="28"/>
  <c r="I20" i="28"/>
  <c r="I16" i="28"/>
  <c r="P59" i="28"/>
  <c r="P51" i="28"/>
  <c r="K116" i="22"/>
  <c r="J58" i="28"/>
  <c r="K18" i="22"/>
  <c r="K22" i="22"/>
  <c r="K22" i="28"/>
  <c r="N14" i="28"/>
  <c r="N18" i="28"/>
  <c r="P54" i="28"/>
  <c r="P50" i="28"/>
  <c r="J20" i="28"/>
  <c r="J18" i="22"/>
  <c r="K18" i="28"/>
  <c r="N39" i="30"/>
  <c r="J58" i="30"/>
  <c r="J14" i="30"/>
  <c r="L18" i="30"/>
  <c r="J16" i="30"/>
  <c r="N56" i="30"/>
  <c r="J20" i="30"/>
  <c r="K63" i="30"/>
  <c r="N70" i="30"/>
  <c r="J54" i="28"/>
  <c r="N50" i="30"/>
  <c r="P58" i="30"/>
  <c r="I16" i="30"/>
  <c r="K27" i="30"/>
  <c r="L18" i="28"/>
  <c r="M10" i="28"/>
  <c r="M10" i="30"/>
  <c r="M35" i="30"/>
  <c r="N14" i="30"/>
  <c r="P59" i="30"/>
  <c r="P55" i="30"/>
  <c r="P54" i="30"/>
  <c r="O11" i="28"/>
  <c r="O22" i="15"/>
  <c r="J22" i="28"/>
  <c r="I10" i="30"/>
  <c r="N50" i="28"/>
  <c r="O20" i="30"/>
  <c r="J24" i="30"/>
  <c r="L23" i="30"/>
  <c r="O10" i="28"/>
  <c r="M20" i="15"/>
  <c r="N60" i="30"/>
  <c r="P51" i="30"/>
  <c r="N54" i="30"/>
  <c r="O35" i="30"/>
  <c r="M12" i="30"/>
  <c r="O11" i="30"/>
  <c r="L23" i="28"/>
  <c r="L19" i="30"/>
  <c r="L15" i="30"/>
  <c r="O10" i="30"/>
  <c r="J50" i="30"/>
  <c r="K14" i="30"/>
  <c r="K18" i="30"/>
  <c r="J22" i="30"/>
  <c r="J18" i="30"/>
  <c r="L14" i="30"/>
  <c r="K22" i="30"/>
  <c r="J18" i="28"/>
  <c r="N18" i="30"/>
  <c r="O63" i="30"/>
  <c r="P70" i="30"/>
  <c r="J54" i="30"/>
  <c r="N24" i="30"/>
  <c r="N16" i="30"/>
  <c r="L15" i="28"/>
  <c r="L22" i="30"/>
  <c r="O27" i="30"/>
  <c r="I20" i="30"/>
  <c r="N20" i="30"/>
  <c r="N52" i="30"/>
  <c r="O70" i="30"/>
  <c r="I24" i="30"/>
  <c r="N58" i="28"/>
  <c r="N58" i="30"/>
  <c r="P50" i="30"/>
  <c r="N63" i="30"/>
  <c r="L14" i="28"/>
  <c r="I10" i="28"/>
  <c r="N22" i="30"/>
  <c r="M14" i="15"/>
  <c r="R98" i="30"/>
  <c r="L101" i="30"/>
  <c r="O123" i="30"/>
  <c r="O133" i="30" s="1"/>
  <c r="N75" i="30"/>
  <c r="Q126" i="15"/>
  <c r="O122" i="30"/>
  <c r="O132" i="30" s="1"/>
  <c r="R46" i="30"/>
  <c r="R90" i="28"/>
  <c r="Q122" i="30"/>
  <c r="Q132" i="30" s="1"/>
  <c r="P75" i="30"/>
  <c r="R90" i="30"/>
  <c r="O126" i="15"/>
  <c r="O129" i="15" s="1"/>
  <c r="R46" i="28"/>
  <c r="P101" i="30"/>
  <c r="Q123" i="30"/>
  <c r="Q133" i="30" s="1"/>
  <c r="R94" i="30"/>
  <c r="P123" i="30"/>
  <c r="P133" i="30" s="1"/>
  <c r="P129" i="15"/>
  <c r="P137" i="15"/>
  <c r="O101" i="30"/>
  <c r="P122" i="22"/>
  <c r="Q122" i="22"/>
  <c r="K122" i="22"/>
  <c r="K122" i="18"/>
  <c r="K122" i="19"/>
  <c r="I34" i="15"/>
  <c r="Q143" i="30"/>
  <c r="O143" i="30"/>
  <c r="P143" i="30"/>
  <c r="J62" i="22"/>
  <c r="I27" i="15"/>
  <c r="O39" i="15"/>
  <c r="O19" i="28"/>
  <c r="O15" i="15"/>
  <c r="O19" i="15"/>
  <c r="O23" i="15"/>
  <c r="R29" i="28"/>
  <c r="R29" i="15"/>
  <c r="M16" i="15"/>
  <c r="M24" i="15"/>
  <c r="M39" i="15"/>
  <c r="N27" i="28"/>
  <c r="M34" i="15"/>
  <c r="N30" i="28"/>
  <c r="K34" i="15"/>
  <c r="I28" i="28"/>
  <c r="R28" i="28" s="1"/>
  <c r="I14" i="28"/>
  <c r="N34" i="15"/>
  <c r="I27" i="28"/>
  <c r="J27" i="28"/>
  <c r="I30" i="28"/>
  <c r="O22" i="28"/>
  <c r="K30" i="28"/>
  <c r="M18" i="28"/>
  <c r="O30" i="28"/>
  <c r="O34" i="15"/>
  <c r="N66" i="28"/>
  <c r="M27" i="28"/>
  <c r="J34" i="15"/>
  <c r="J30" i="28"/>
  <c r="M27" i="15"/>
  <c r="R64" i="28"/>
  <c r="K101" i="22"/>
  <c r="J65" i="22"/>
  <c r="J64" i="22"/>
  <c r="J63" i="22"/>
  <c r="I28" i="15"/>
  <c r="R28" i="15" s="1"/>
  <c r="R64" i="15"/>
  <c r="P101" i="22"/>
  <c r="N27" i="15"/>
  <c r="I30" i="15"/>
  <c r="I35" i="15"/>
  <c r="J24" i="22"/>
  <c r="J16" i="22"/>
  <c r="J20" i="22"/>
  <c r="N66" i="15"/>
  <c r="K60" i="20"/>
  <c r="R50" i="15"/>
  <c r="L94" i="19"/>
  <c r="K52" i="20"/>
  <c r="R58" i="15"/>
  <c r="L90" i="19"/>
  <c r="L98" i="19"/>
  <c r="K46" i="19"/>
  <c r="J12" i="20"/>
  <c r="K46" i="18"/>
  <c r="J54" i="22"/>
  <c r="J20" i="19"/>
  <c r="I16" i="20"/>
  <c r="J58" i="19"/>
  <c r="J58" i="22"/>
  <c r="I16" i="18"/>
  <c r="I24" i="19"/>
  <c r="I20" i="19"/>
  <c r="J16" i="19"/>
  <c r="I22" i="15"/>
  <c r="I16" i="19"/>
  <c r="J12" i="18"/>
  <c r="J24" i="19"/>
  <c r="I10" i="18"/>
  <c r="I18" i="15"/>
  <c r="J20" i="20"/>
  <c r="I24" i="18"/>
  <c r="J50" i="18"/>
  <c r="I14" i="15"/>
  <c r="I10" i="22"/>
  <c r="J50" i="19"/>
  <c r="K52" i="18"/>
  <c r="I24" i="20"/>
  <c r="I10" i="19"/>
  <c r="I24" i="22"/>
  <c r="J54" i="18"/>
  <c r="K56" i="18"/>
  <c r="J50" i="22"/>
  <c r="I20" i="22"/>
  <c r="J58" i="18"/>
  <c r="J54" i="19"/>
  <c r="K60" i="18"/>
  <c r="I20" i="18"/>
  <c r="I16" i="22"/>
  <c r="I20" i="20"/>
  <c r="L90" i="18"/>
  <c r="L113" i="18"/>
  <c r="L98" i="18"/>
  <c r="L94" i="18"/>
  <c r="M86" i="18"/>
  <c r="N86" i="18" s="1"/>
  <c r="N30" i="15"/>
  <c r="N32" i="15"/>
  <c r="O30" i="15"/>
  <c r="N35" i="15"/>
  <c r="M32" i="15"/>
  <c r="O35" i="15"/>
  <c r="K30" i="15"/>
  <c r="L32" i="15"/>
  <c r="J30" i="15"/>
  <c r="K35" i="15"/>
  <c r="M35" i="15"/>
  <c r="J35" i="15"/>
  <c r="R54" i="15"/>
  <c r="L18" i="22"/>
  <c r="O18" i="15"/>
  <c r="O14" i="15"/>
  <c r="L22" i="22"/>
  <c r="N50" i="22"/>
  <c r="N58" i="22"/>
  <c r="N54" i="22"/>
  <c r="R10" i="15"/>
  <c r="M22" i="15"/>
  <c r="M18" i="15"/>
  <c r="M10" i="22"/>
  <c r="R98" i="22"/>
  <c r="O54" i="22"/>
  <c r="O58" i="22"/>
  <c r="P58" i="22"/>
  <c r="P50" i="22"/>
  <c r="O10" i="22"/>
  <c r="P54" i="22"/>
  <c r="O50" i="22"/>
  <c r="N10" i="22"/>
  <c r="R94" i="22"/>
  <c r="R90" i="22"/>
  <c r="R46" i="22"/>
  <c r="L65" i="22"/>
  <c r="L64" i="22"/>
  <c r="L63" i="22"/>
  <c r="L62" i="22"/>
  <c r="M116" i="22"/>
  <c r="M127" i="22" s="1"/>
  <c r="M55" i="22"/>
  <c r="N24" i="22"/>
  <c r="K15" i="22"/>
  <c r="M51" i="22"/>
  <c r="N47" i="22"/>
  <c r="M59" i="22"/>
  <c r="N20" i="22"/>
  <c r="K23" i="22"/>
  <c r="K19" i="22"/>
  <c r="N16" i="22"/>
  <c r="L11" i="22"/>
  <c r="O114" i="22"/>
  <c r="O99" i="22"/>
  <c r="O95" i="22"/>
  <c r="O91" i="22"/>
  <c r="I14" i="22" a="1"/>
  <c r="J16" i="18" a="1"/>
  <c r="L46" i="19" a="1"/>
  <c r="I18" i="22" a="1"/>
  <c r="I28" i="33" a="1"/>
  <c r="I30" i="33" a="1"/>
  <c r="I28" i="30" a="1"/>
  <c r="O14" i="37" a="1"/>
  <c r="I18" i="19" a="1"/>
  <c r="J35" i="37" a="1"/>
  <c r="I18" i="37" a="1"/>
  <c r="N18" i="22" a="1"/>
  <c r="N66" i="30" a="1"/>
  <c r="J30" i="30" a="1"/>
  <c r="K28" i="22" a="1"/>
  <c r="J26" i="33" a="1"/>
  <c r="M32" i="37" a="1"/>
  <c r="O14" i="30" a="1"/>
  <c r="I18" i="30" a="1"/>
  <c r="J10" i="18" a="1"/>
  <c r="M20" i="30" a="1"/>
  <c r="M14" i="22" a="1"/>
  <c r="M30" i="28" a="1"/>
  <c r="K63" i="37" a="1"/>
  <c r="O18" i="28" a="1"/>
  <c r="I18" i="28" a="1"/>
  <c r="I27" i="30" a="1"/>
  <c r="N34" i="30" a="1"/>
  <c r="K65" i="37" a="1"/>
  <c r="M18" i="22" a="1"/>
  <c r="I22" i="28" a="1"/>
  <c r="M34" i="30" a="1"/>
  <c r="I14" i="30" a="1"/>
  <c r="I14" i="18" a="1"/>
  <c r="I28" i="22" a="1"/>
  <c r="I30" i="30" a="1"/>
  <c r="K64" i="22" a="1"/>
  <c r="N30" i="37" a="1"/>
  <c r="K29" i="22" a="1"/>
  <c r="O30" i="30" a="1"/>
  <c r="I29" i="22" a="1"/>
  <c r="M16" i="30" a="1"/>
  <c r="I27" i="22" a="1"/>
  <c r="L46" i="18" a="1"/>
  <c r="K50" i="19" a="1"/>
  <c r="I18" i="18" a="1"/>
  <c r="J16" i="20" a="1"/>
  <c r="M22" i="30" a="1"/>
  <c r="K63" i="22" a="1"/>
  <c r="K27" i="22" a="1"/>
  <c r="I22" i="30" a="1"/>
  <c r="K62" i="37" a="1"/>
  <c r="N66" i="33" a="1"/>
  <c r="I26" i="22" a="1"/>
  <c r="I27" i="33" a="1"/>
  <c r="J32" i="37" a="1"/>
  <c r="K64" i="37" a="1"/>
  <c r="J24" i="18" a="1"/>
  <c r="J30" i="37" a="1"/>
  <c r="N51" i="22" a="1"/>
  <c r="I32" i="37" a="1"/>
  <c r="O24" i="30" a="1"/>
  <c r="N59" i="22" a="1"/>
  <c r="M14" i="30" a="1"/>
  <c r="I22" i="19" a="1"/>
  <c r="I14" i="19" a="1"/>
  <c r="O16" i="30" a="1"/>
  <c r="O14" i="22" a="1"/>
  <c r="J27" i="15" a="1"/>
  <c r="O18" i="37" a="1"/>
  <c r="M18" i="37" a="1"/>
  <c r="J66" i="37" a="1"/>
  <c r="J24" i="20" a="1"/>
  <c r="J27" i="30" a="1"/>
  <c r="N35" i="30" a="1"/>
  <c r="M11" i="22" a="1"/>
  <c r="O22" i="30" a="1"/>
  <c r="O14" i="28" a="1"/>
  <c r="K58" i="18" a="1"/>
  <c r="L19" i="22" a="1"/>
  <c r="M24" i="30" a="1"/>
  <c r="M30" i="15" a="1"/>
  <c r="K35" i="37" a="1"/>
  <c r="O47" i="22" a="1"/>
  <c r="O22" i="37" a="1"/>
  <c r="M46" i="18" a="1"/>
  <c r="O22" i="22" a="1"/>
  <c r="I22" i="37" a="1"/>
  <c r="L15" i="22" a="1"/>
  <c r="K34" i="37" a="1"/>
  <c r="O19" i="30" a="1"/>
  <c r="I22" i="18" a="1"/>
  <c r="O15" i="28" a="1"/>
  <c r="K54" i="18" a="1"/>
  <c r="J10" i="19" a="1"/>
  <c r="J68" i="37" a="1"/>
  <c r="K58" i="19" a="1"/>
  <c r="O34" i="30" a="1"/>
  <c r="K63" i="33" a="1"/>
  <c r="O18" i="30" a="1"/>
  <c r="O15" i="30" a="1"/>
  <c r="N27" i="30" a="1"/>
  <c r="J34" i="37" a="1"/>
  <c r="N30" i="30" a="1"/>
  <c r="L23" i="22" a="1"/>
  <c r="N55" i="22" a="1"/>
  <c r="J70" i="37" a="1"/>
  <c r="K30" i="30" a="1"/>
  <c r="J71" i="37" a="1"/>
  <c r="M27" i="30" a="1"/>
  <c r="O18" i="22" a="1"/>
  <c r="K54" i="19" a="1"/>
  <c r="M22" i="37" a="1"/>
  <c r="J20" i="18" a="1"/>
  <c r="M22" i="28" a="1"/>
  <c r="K26" i="22" a="1"/>
  <c r="O23" i="30" a="1"/>
  <c r="N14" i="22" a="1"/>
  <c r="I14" i="37" a="1"/>
  <c r="K50" i="18" a="1"/>
  <c r="M22" i="22" a="1"/>
  <c r="N34" i="37" a="1"/>
  <c r="J30" i="33" a="1"/>
  <c r="I22" i="22" a="1"/>
  <c r="M14" i="37" a="1"/>
  <c r="M14" i="28" a="1"/>
  <c r="M18" i="30" a="1"/>
  <c r="N22" i="22" a="1"/>
  <c r="K62" i="22" a="1"/>
  <c r="O23" i="28" a="1"/>
  <c r="K65" i="22" a="1"/>
  <c r="J27" i="36" a="1"/>
  <c r="M102" i="19" l="1"/>
  <c r="M106" i="19"/>
  <c r="N86" i="19"/>
  <c r="M104" i="19"/>
  <c r="M103" i="19"/>
  <c r="M131" i="19"/>
  <c r="J27" i="15"/>
  <c r="K63" i="33"/>
  <c r="L101" i="33"/>
  <c r="O24" i="30"/>
  <c r="O16" i="30"/>
  <c r="L116" i="22"/>
  <c r="L127" i="22" s="1"/>
  <c r="N35" i="30"/>
  <c r="L130" i="37"/>
  <c r="J32" i="37"/>
  <c r="P86" i="20"/>
  <c r="Q86" i="20" s="1"/>
  <c r="N30" i="37"/>
  <c r="L101" i="22"/>
  <c r="R23" i="37"/>
  <c r="R18" i="36"/>
  <c r="R15" i="37"/>
  <c r="R19" i="37"/>
  <c r="R22" i="36"/>
  <c r="O14" i="37"/>
  <c r="J35" i="37"/>
  <c r="J71" i="37"/>
  <c r="K63" i="37"/>
  <c r="I22" i="37"/>
  <c r="J66" i="37"/>
  <c r="K62" i="37"/>
  <c r="M32" i="37"/>
  <c r="M18" i="37"/>
  <c r="I14" i="37"/>
  <c r="J70" i="37"/>
  <c r="K62" i="22"/>
  <c r="I18" i="37"/>
  <c r="J26" i="33"/>
  <c r="J68" i="37"/>
  <c r="K65" i="37"/>
  <c r="J30" i="37"/>
  <c r="K65" i="22"/>
  <c r="K64" i="37"/>
  <c r="K35" i="37"/>
  <c r="I32" i="37"/>
  <c r="M14" i="37"/>
  <c r="O18" i="37"/>
  <c r="K34" i="37"/>
  <c r="K63" i="22"/>
  <c r="N34" i="37"/>
  <c r="O22" i="37"/>
  <c r="J27" i="36"/>
  <c r="K64" i="22"/>
  <c r="J34" i="37"/>
  <c r="M22" i="37"/>
  <c r="L137" i="36"/>
  <c r="L129" i="36"/>
  <c r="L101" i="37"/>
  <c r="L120" i="37"/>
  <c r="L133" i="37" s="1"/>
  <c r="L116" i="37"/>
  <c r="O86" i="19"/>
  <c r="P86" i="19" s="1"/>
  <c r="Q86" i="19" s="1"/>
  <c r="R54" i="37"/>
  <c r="R50" i="37"/>
  <c r="L120" i="22"/>
  <c r="L133" i="22" s="1"/>
  <c r="M130" i="37"/>
  <c r="K118" i="37"/>
  <c r="K128" i="37" s="1"/>
  <c r="K126" i="37"/>
  <c r="K129" i="37" s="1"/>
  <c r="K119" i="37"/>
  <c r="K132" i="37" s="1"/>
  <c r="R10" i="37"/>
  <c r="R14" i="36"/>
  <c r="R58" i="37"/>
  <c r="R29" i="30"/>
  <c r="P142" i="30"/>
  <c r="N30" i="30"/>
  <c r="I27" i="30"/>
  <c r="K30" i="30"/>
  <c r="I30" i="33"/>
  <c r="N66" i="33"/>
  <c r="I30" i="30"/>
  <c r="I28" i="33"/>
  <c r="O30" i="30"/>
  <c r="N66" i="30"/>
  <c r="J30" i="30"/>
  <c r="I28" i="30"/>
  <c r="R28" i="30" s="1"/>
  <c r="I27" i="33"/>
  <c r="J30" i="33"/>
  <c r="K127" i="22"/>
  <c r="O15" i="28"/>
  <c r="O23" i="28"/>
  <c r="K125" i="22"/>
  <c r="I22" i="28"/>
  <c r="R50" i="28"/>
  <c r="R54" i="28"/>
  <c r="O14" i="28"/>
  <c r="O18" i="28"/>
  <c r="R10" i="28"/>
  <c r="O39" i="30"/>
  <c r="M27" i="30"/>
  <c r="J27" i="30"/>
  <c r="I18" i="30"/>
  <c r="O14" i="30"/>
  <c r="I14" i="30"/>
  <c r="M22" i="28"/>
  <c r="O34" i="30"/>
  <c r="M20" i="30"/>
  <c r="N27" i="30"/>
  <c r="M18" i="30"/>
  <c r="O22" i="30"/>
  <c r="M22" i="30"/>
  <c r="O23" i="30"/>
  <c r="N34" i="30"/>
  <c r="O15" i="30"/>
  <c r="M14" i="28"/>
  <c r="O18" i="30"/>
  <c r="M14" i="30"/>
  <c r="M16" i="30"/>
  <c r="M24" i="30"/>
  <c r="I18" i="28"/>
  <c r="O19" i="30"/>
  <c r="M34" i="30"/>
  <c r="I22" i="30"/>
  <c r="R54" i="30"/>
  <c r="R50" i="30"/>
  <c r="R58" i="28"/>
  <c r="Q142" i="30"/>
  <c r="Q137" i="15"/>
  <c r="Q129" i="15"/>
  <c r="R10" i="30"/>
  <c r="M39" i="30"/>
  <c r="O142" i="30"/>
  <c r="O137" i="15"/>
  <c r="R58" i="30"/>
  <c r="L125" i="22"/>
  <c r="O123" i="22"/>
  <c r="M125" i="22"/>
  <c r="L122" i="18"/>
  <c r="I26" i="22"/>
  <c r="M30" i="28"/>
  <c r="I29" i="22"/>
  <c r="I28" i="22"/>
  <c r="I27" i="22"/>
  <c r="M30" i="15"/>
  <c r="J24" i="20"/>
  <c r="K54" i="19"/>
  <c r="J16" i="20"/>
  <c r="M90" i="19"/>
  <c r="M94" i="19"/>
  <c r="M113" i="19"/>
  <c r="M98" i="19"/>
  <c r="R14" i="15"/>
  <c r="L46" i="19"/>
  <c r="K58" i="19"/>
  <c r="K50" i="19"/>
  <c r="R22" i="15"/>
  <c r="J10" i="19"/>
  <c r="M46" i="18"/>
  <c r="I18" i="19"/>
  <c r="I22" i="22"/>
  <c r="K54" i="18"/>
  <c r="I22" i="18"/>
  <c r="I14" i="22"/>
  <c r="I18" i="22"/>
  <c r="K58" i="18"/>
  <c r="J20" i="18"/>
  <c r="I14" i="18"/>
  <c r="L46" i="18"/>
  <c r="I18" i="18"/>
  <c r="I22" i="19"/>
  <c r="K50" i="18"/>
  <c r="J10" i="18"/>
  <c r="J16" i="18"/>
  <c r="J24" i="18"/>
  <c r="I14" i="19"/>
  <c r="O86" i="18"/>
  <c r="P86" i="18" s="1"/>
  <c r="N90" i="18"/>
  <c r="N94" i="18"/>
  <c r="N113" i="18"/>
  <c r="N98" i="18"/>
  <c r="M94" i="18"/>
  <c r="M113" i="18"/>
  <c r="M98" i="18"/>
  <c r="M90" i="18"/>
  <c r="N94" i="19"/>
  <c r="N90" i="19"/>
  <c r="N98" i="19"/>
  <c r="N113" i="19"/>
  <c r="R18" i="15"/>
  <c r="M14" i="22"/>
  <c r="M22" i="22"/>
  <c r="M18" i="22"/>
  <c r="O14" i="22"/>
  <c r="N22" i="22"/>
  <c r="O18" i="22"/>
  <c r="O22" i="22"/>
  <c r="N14" i="22"/>
  <c r="N18" i="22"/>
  <c r="R58" i="22"/>
  <c r="R50" i="22"/>
  <c r="R10" i="22"/>
  <c r="R54" i="22"/>
  <c r="K26" i="22"/>
  <c r="K27" i="22"/>
  <c r="K28" i="22"/>
  <c r="K29" i="22"/>
  <c r="O47" i="22"/>
  <c r="O45" i="22" s="1"/>
  <c r="N59" i="22"/>
  <c r="L19" i="22"/>
  <c r="L23" i="22"/>
  <c r="M11" i="22"/>
  <c r="N51" i="22"/>
  <c r="N55" i="22"/>
  <c r="L15" i="22"/>
  <c r="P91" i="22"/>
  <c r="P99" i="22"/>
  <c r="P114" i="22"/>
  <c r="P95" i="22"/>
  <c r="P83" i="22"/>
  <c r="L58" i="18" a="1"/>
  <c r="J18" i="18" a="1"/>
  <c r="J27" i="37" a="1"/>
  <c r="O46" i="18" a="1"/>
  <c r="I34" i="37" a="1"/>
  <c r="J27" i="22" a="1"/>
  <c r="H32" i="37" a="1"/>
  <c r="J22" i="19" a="1"/>
  <c r="K10" i="18" a="1"/>
  <c r="M30" i="33" a="1"/>
  <c r="J26" i="22" a="1"/>
  <c r="I30" i="37" a="1"/>
  <c r="J14" i="19" a="1"/>
  <c r="L10" i="18" a="1"/>
  <c r="J29" i="22" a="1"/>
  <c r="J22" i="18" a="1"/>
  <c r="L54" i="18" a="1"/>
  <c r="J29" i="37" a="1"/>
  <c r="J28" i="22" a="1"/>
  <c r="P47" i="22" a="1"/>
  <c r="M50" i="19" a="1"/>
  <c r="L50" i="18" a="1"/>
  <c r="M30" i="30" a="1"/>
  <c r="N11" i="22" a="1"/>
  <c r="J27" i="33" a="1"/>
  <c r="M50" i="18" a="1"/>
  <c r="J28" i="37" a="1"/>
  <c r="K10" i="19" a="1"/>
  <c r="M58" i="19" a="1"/>
  <c r="L58" i="19" a="1"/>
  <c r="M54" i="19" a="1"/>
  <c r="J26" i="37" a="1"/>
  <c r="M58" i="18" a="1"/>
  <c r="O51" i="22" a="1"/>
  <c r="L54" i="19" a="1"/>
  <c r="N46" i="18" a="1"/>
  <c r="N46" i="19" a="1"/>
  <c r="L50" i="19" a="1"/>
  <c r="J18" i="19" a="1"/>
  <c r="M23" i="22" a="1"/>
  <c r="M46" i="19" a="1"/>
  <c r="O55" i="22" a="1"/>
  <c r="M54" i="18" a="1"/>
  <c r="O59" i="22" a="1"/>
  <c r="I35" i="37" a="1"/>
  <c r="J14" i="18" a="1"/>
  <c r="M15" i="22" a="1"/>
  <c r="M19" i="22" a="1"/>
  <c r="M46" i="19" l="1"/>
  <c r="J27" i="33"/>
  <c r="R22" i="37"/>
  <c r="R14" i="37"/>
  <c r="J28" i="37"/>
  <c r="I30" i="37"/>
  <c r="J29" i="22"/>
  <c r="J26" i="22"/>
  <c r="J27" i="22"/>
  <c r="I34" i="37"/>
  <c r="J27" i="37"/>
  <c r="J28" i="22"/>
  <c r="J29" i="37"/>
  <c r="I35" i="37"/>
  <c r="H32" i="37"/>
  <c r="J26" i="37"/>
  <c r="L127" i="37"/>
  <c r="L125" i="37"/>
  <c r="L126" i="37" s="1"/>
  <c r="L129" i="37" s="1"/>
  <c r="L117" i="37"/>
  <c r="R18" i="37"/>
  <c r="P106" i="22"/>
  <c r="P84" i="22"/>
  <c r="P111" i="22"/>
  <c r="P108" i="22"/>
  <c r="P110" i="22"/>
  <c r="M30" i="33"/>
  <c r="M30" i="30"/>
  <c r="R22" i="28"/>
  <c r="R14" i="28"/>
  <c r="R18" i="28"/>
  <c r="R22" i="30"/>
  <c r="R14" i="30"/>
  <c r="R18" i="30"/>
  <c r="P123" i="22"/>
  <c r="M122" i="18"/>
  <c r="N122" i="18"/>
  <c r="M122" i="19"/>
  <c r="N122" i="19"/>
  <c r="J18" i="19"/>
  <c r="L54" i="19"/>
  <c r="L50" i="19"/>
  <c r="L58" i="19"/>
  <c r="J14" i="19"/>
  <c r="J22" i="19"/>
  <c r="K10" i="19"/>
  <c r="N46" i="19"/>
  <c r="O46" i="18"/>
  <c r="M50" i="19"/>
  <c r="L50" i="18"/>
  <c r="K10" i="18"/>
  <c r="J22" i="18"/>
  <c r="M54" i="19"/>
  <c r="L58" i="18"/>
  <c r="J14" i="18"/>
  <c r="M58" i="18"/>
  <c r="L54" i="18"/>
  <c r="M54" i="18"/>
  <c r="M50" i="18"/>
  <c r="J18" i="18"/>
  <c r="M58" i="19"/>
  <c r="N46" i="18"/>
  <c r="L10" i="18"/>
  <c r="O94" i="19"/>
  <c r="O113" i="19"/>
  <c r="O90" i="19"/>
  <c r="O98" i="19"/>
  <c r="P90" i="18"/>
  <c r="P98" i="18"/>
  <c r="P113" i="18"/>
  <c r="P94" i="18"/>
  <c r="Q86" i="18"/>
  <c r="O94" i="18"/>
  <c r="O98" i="18"/>
  <c r="O90" i="18"/>
  <c r="O113" i="18"/>
  <c r="R22" i="22"/>
  <c r="R18" i="22"/>
  <c r="R14" i="22"/>
  <c r="O51" i="22"/>
  <c r="M23" i="22"/>
  <c r="M15" i="22"/>
  <c r="N11" i="22"/>
  <c r="N9" i="22" s="1"/>
  <c r="O55" i="22"/>
  <c r="M19" i="22"/>
  <c r="P47" i="22"/>
  <c r="O59" i="22"/>
  <c r="Q114" i="22"/>
  <c r="Q99" i="22"/>
  <c r="Q95" i="22"/>
  <c r="Q91" i="22"/>
  <c r="L18" i="18" a="1"/>
  <c r="L18" i="19" a="1"/>
  <c r="P51" i="22" a="1"/>
  <c r="K22" i="19" a="1"/>
  <c r="N23" i="22" a="1"/>
  <c r="O64" i="22" a="1"/>
  <c r="N58" i="18" a="1"/>
  <c r="N50" i="19" a="1"/>
  <c r="P59" i="22" a="1"/>
  <c r="K18" i="19" a="1"/>
  <c r="M10" i="18" a="1"/>
  <c r="N54" i="19" a="1"/>
  <c r="L10" i="19" a="1"/>
  <c r="N50" i="18" a="1"/>
  <c r="P46" i="18" a="1"/>
  <c r="L14" i="19" a="1"/>
  <c r="P55" i="22" a="1"/>
  <c r="O54" i="18" a="1"/>
  <c r="N15" i="22" a="1"/>
  <c r="O71" i="22" a="1"/>
  <c r="K18" i="18" a="1"/>
  <c r="O63" i="22" a="1"/>
  <c r="O46" i="19" a="1"/>
  <c r="O11" i="22" a="1"/>
  <c r="L22" i="19" a="1"/>
  <c r="N58" i="19" a="1"/>
  <c r="K14" i="19" a="1"/>
  <c r="O65" i="22" a="1"/>
  <c r="K22" i="18" a="1"/>
  <c r="O70" i="22" a="1"/>
  <c r="O50" i="18" a="1"/>
  <c r="M10" i="19" a="1"/>
  <c r="K14" i="18" a="1"/>
  <c r="O68" i="22" a="1"/>
  <c r="L22" i="18" a="1"/>
  <c r="L14" i="18" a="1"/>
  <c r="N19" i="22" a="1"/>
  <c r="O58" i="18" a="1"/>
  <c r="O66" i="22" a="1"/>
  <c r="O62" i="22" a="1"/>
  <c r="N10" i="18" a="1"/>
  <c r="N54" i="18" a="1"/>
  <c r="L10" i="19" l="1"/>
  <c r="Q123" i="22"/>
  <c r="O122" i="18"/>
  <c r="P122" i="18"/>
  <c r="O122" i="19"/>
  <c r="K22" i="19"/>
  <c r="K18" i="19"/>
  <c r="K14" i="19"/>
  <c r="P46" i="18"/>
  <c r="O50" i="18"/>
  <c r="L14" i="19"/>
  <c r="N58" i="19"/>
  <c r="K22" i="18"/>
  <c r="N50" i="19"/>
  <c r="L22" i="18"/>
  <c r="L18" i="19"/>
  <c r="O46" i="19"/>
  <c r="L18" i="18"/>
  <c r="K18" i="18"/>
  <c r="M10" i="18"/>
  <c r="N50" i="18"/>
  <c r="O54" i="18"/>
  <c r="N54" i="19"/>
  <c r="L14" i="18"/>
  <c r="N58" i="18"/>
  <c r="N10" i="18"/>
  <c r="N54" i="18"/>
  <c r="O58" i="18"/>
  <c r="L22" i="19"/>
  <c r="K14" i="18"/>
  <c r="M10" i="19"/>
  <c r="Q98" i="18"/>
  <c r="R98" i="18" s="1"/>
  <c r="Q90" i="18"/>
  <c r="Q113" i="18"/>
  <c r="Q94" i="18"/>
  <c r="R86" i="18"/>
  <c r="P98" i="19"/>
  <c r="P94" i="19"/>
  <c r="P90" i="19"/>
  <c r="P113" i="19"/>
  <c r="P116" i="22"/>
  <c r="P127" i="22" s="1"/>
  <c r="O62" i="22"/>
  <c r="O63" i="22"/>
  <c r="O64" i="22"/>
  <c r="O65" i="22"/>
  <c r="O70" i="22"/>
  <c r="N15" i="22"/>
  <c r="N23" i="22"/>
  <c r="O11" i="22"/>
  <c r="P51" i="22"/>
  <c r="O68" i="22"/>
  <c r="P55" i="22"/>
  <c r="O71" i="22"/>
  <c r="N19" i="22"/>
  <c r="P59" i="22"/>
  <c r="O66" i="22"/>
  <c r="P119" i="22"/>
  <c r="P118" i="22"/>
  <c r="P128" i="22" s="1"/>
  <c r="O54" i="19" a="1"/>
  <c r="N34" i="22" a="1"/>
  <c r="N29" i="22" a="1"/>
  <c r="M14" i="19" a="1"/>
  <c r="M18" i="18" a="1"/>
  <c r="O23" i="22" a="1"/>
  <c r="P58" i="18" a="1"/>
  <c r="M14" i="18" a="1"/>
  <c r="O10" i="18" a="1"/>
  <c r="N35" i="22" a="1"/>
  <c r="O19" i="22" a="1"/>
  <c r="P50" i="18" a="1"/>
  <c r="M22" i="18" a="1"/>
  <c r="M32" i="22" a="1"/>
  <c r="O58" i="19" a="1"/>
  <c r="N18" i="18" a="1"/>
  <c r="N26" i="22" a="1"/>
  <c r="M22" i="19" a="1"/>
  <c r="P46" i="19" a="1"/>
  <c r="N10" i="19" a="1"/>
  <c r="N22" i="18" a="1"/>
  <c r="N30" i="22" a="1"/>
  <c r="N14" i="18" a="1"/>
  <c r="O50" i="19" a="1"/>
  <c r="O15" i="22" a="1"/>
  <c r="N27" i="22" a="1"/>
  <c r="P54" i="18" a="1"/>
  <c r="M18" i="19" a="1"/>
  <c r="N28" i="22" a="1"/>
  <c r="P132" i="22" l="1"/>
  <c r="P125" i="22"/>
  <c r="P126" i="22" s="1"/>
  <c r="P129" i="22" s="1"/>
  <c r="P117" i="22"/>
  <c r="Q122" i="18"/>
  <c r="P122" i="19"/>
  <c r="P46" i="19"/>
  <c r="P54" i="18"/>
  <c r="N22" i="18"/>
  <c r="O58" i="19"/>
  <c r="M18" i="18"/>
  <c r="M22" i="19"/>
  <c r="P50" i="18"/>
  <c r="P58" i="18"/>
  <c r="M18" i="19"/>
  <c r="N18" i="18"/>
  <c r="M14" i="18"/>
  <c r="M14" i="19"/>
  <c r="N14" i="18"/>
  <c r="O50" i="19"/>
  <c r="M22" i="18"/>
  <c r="O10" i="18"/>
  <c r="R10" i="18" s="1"/>
  <c r="O54" i="19"/>
  <c r="N10" i="19"/>
  <c r="R86" i="19"/>
  <c r="Q113" i="19"/>
  <c r="Q94" i="19"/>
  <c r="Q98" i="19"/>
  <c r="Q90" i="19"/>
  <c r="R94" i="18"/>
  <c r="R90" i="18"/>
  <c r="R46" i="18"/>
  <c r="N29" i="22"/>
  <c r="N28" i="22"/>
  <c r="N26" i="22"/>
  <c r="N27" i="22"/>
  <c r="M32" i="22"/>
  <c r="O15" i="22"/>
  <c r="N30" i="22"/>
  <c r="O23" i="22"/>
  <c r="N35" i="22"/>
  <c r="O19" i="22"/>
  <c r="N34" i="22"/>
  <c r="N22" i="19" a="1"/>
  <c r="O10" i="19" a="1"/>
  <c r="O22" i="18" a="1"/>
  <c r="N14" i="19" a="1"/>
  <c r="O14" i="18" a="1"/>
  <c r="O18" i="18" a="1"/>
  <c r="P58" i="19" a="1"/>
  <c r="N18" i="19" a="1"/>
  <c r="P50" i="19" a="1"/>
  <c r="P54" i="19" a="1"/>
  <c r="Q122" i="19" l="1"/>
  <c r="N18" i="19"/>
  <c r="O14" i="18"/>
  <c r="R14" i="18" s="1"/>
  <c r="P58" i="19"/>
  <c r="P54" i="19"/>
  <c r="P50" i="19"/>
  <c r="O18" i="18"/>
  <c r="R18" i="18" s="1"/>
  <c r="O22" i="18"/>
  <c r="R22" i="18" s="1"/>
  <c r="O10" i="19"/>
  <c r="R10" i="19" s="1"/>
  <c r="N14" i="19"/>
  <c r="N22" i="19"/>
  <c r="R50" i="18"/>
  <c r="R98" i="19"/>
  <c r="R94" i="19"/>
  <c r="R90" i="19"/>
  <c r="R54" i="18"/>
  <c r="R46" i="19"/>
  <c r="R58" i="18"/>
  <c r="O14" i="19" a="1"/>
  <c r="O18" i="19" a="1"/>
  <c r="O22" i="19" a="1"/>
  <c r="O14" i="19" l="1"/>
  <c r="R14" i="19" s="1"/>
  <c r="O22" i="19"/>
  <c r="R22" i="19" s="1"/>
  <c r="O18" i="19"/>
  <c r="R18" i="19" s="1"/>
  <c r="R58" i="19"/>
  <c r="R50" i="19"/>
  <c r="R54" i="19"/>
  <c r="D47" i="20" a="1"/>
  <c r="D47" i="20" l="1"/>
  <c r="E114" i="20"/>
  <c r="E123" i="20" s="1"/>
  <c r="E91" i="20"/>
  <c r="E95" i="20"/>
  <c r="E99" i="20"/>
  <c r="D51" i="20" a="1"/>
  <c r="C11" i="20" a="1"/>
  <c r="D59" i="20" a="1"/>
  <c r="D46" i="20" a="1"/>
  <c r="E47" i="20" a="1"/>
  <c r="F47" i="20" a="1"/>
  <c r="D55" i="20" a="1"/>
  <c r="F47" i="20" l="1"/>
  <c r="D51" i="20"/>
  <c r="E47" i="20"/>
  <c r="D46" i="20"/>
  <c r="D59" i="20"/>
  <c r="D55" i="20"/>
  <c r="C11" i="20"/>
  <c r="G114" i="20"/>
  <c r="G123" i="20" s="1"/>
  <c r="G99" i="20"/>
  <c r="G91" i="20"/>
  <c r="G95" i="20"/>
  <c r="F114" i="20"/>
  <c r="F123" i="20" s="1"/>
  <c r="F95" i="20"/>
  <c r="F91" i="20"/>
  <c r="F99" i="20"/>
  <c r="E113" i="20"/>
  <c r="E85" i="20"/>
  <c r="E120" i="20"/>
  <c r="E133" i="20" s="1"/>
  <c r="E94" i="20"/>
  <c r="E90" i="20"/>
  <c r="E98" i="20"/>
  <c r="E83" i="20"/>
  <c r="C15" i="20" a="1"/>
  <c r="D11" i="20" a="1"/>
  <c r="D54" i="20" a="1"/>
  <c r="C19" i="20" a="1"/>
  <c r="E51" i="20" a="1"/>
  <c r="E46" i="20" a="1"/>
  <c r="D65" i="20" a="1"/>
  <c r="F55" i="20" a="1"/>
  <c r="D62" i="20" a="1"/>
  <c r="C10" i="20" a="1"/>
  <c r="D64" i="20" a="1"/>
  <c r="F51" i="20" a="1"/>
  <c r="D66" i="20" a="1"/>
  <c r="F59" i="20" a="1"/>
  <c r="H47" i="20" a="1"/>
  <c r="D63" i="20" a="1"/>
  <c r="D58" i="20" a="1"/>
  <c r="E11" i="20" a="1"/>
  <c r="G47" i="20" a="1"/>
  <c r="D50" i="20" a="1"/>
  <c r="E59" i="20" a="1"/>
  <c r="C23" i="20" a="1"/>
  <c r="E55" i="20" a="1"/>
  <c r="E110" i="20" l="1"/>
  <c r="E108" i="20"/>
  <c r="E111" i="20"/>
  <c r="F131" i="20"/>
  <c r="G131" i="20" s="1"/>
  <c r="H131" i="20" s="1"/>
  <c r="E122" i="20"/>
  <c r="H47" i="20"/>
  <c r="G47" i="20"/>
  <c r="C19" i="20"/>
  <c r="C23" i="20"/>
  <c r="C10" i="20"/>
  <c r="D58" i="20"/>
  <c r="E46" i="20"/>
  <c r="D65" i="20"/>
  <c r="E59" i="20"/>
  <c r="F55" i="20"/>
  <c r="D11" i="20"/>
  <c r="D50" i="20"/>
  <c r="D54" i="20"/>
  <c r="D62" i="20"/>
  <c r="E51" i="20"/>
  <c r="F51" i="20"/>
  <c r="C15" i="20"/>
  <c r="D63" i="20"/>
  <c r="D66" i="20"/>
  <c r="D64" i="20"/>
  <c r="E55" i="20"/>
  <c r="F59" i="20"/>
  <c r="E11" i="20"/>
  <c r="I114" i="20"/>
  <c r="I123" i="20" s="1"/>
  <c r="I91" i="20"/>
  <c r="I95" i="20"/>
  <c r="I99" i="20"/>
  <c r="G113" i="20"/>
  <c r="G94" i="20"/>
  <c r="G120" i="20"/>
  <c r="G133" i="20" s="1"/>
  <c r="G98" i="20"/>
  <c r="G90" i="20"/>
  <c r="G85" i="20"/>
  <c r="G83" i="20"/>
  <c r="H114" i="20"/>
  <c r="H123" i="20" s="1"/>
  <c r="H91" i="20"/>
  <c r="H99" i="20"/>
  <c r="H95" i="20"/>
  <c r="D45" i="20"/>
  <c r="F113" i="20"/>
  <c r="F94" i="20"/>
  <c r="F98" i="20"/>
  <c r="F120" i="20"/>
  <c r="F133" i="20" s="1"/>
  <c r="F85" i="20"/>
  <c r="F90" i="20"/>
  <c r="F83" i="20"/>
  <c r="E116" i="20"/>
  <c r="E125" i="20" s="1"/>
  <c r="E84" i="20"/>
  <c r="E82" i="20"/>
  <c r="C27" i="20" a="1"/>
  <c r="F58" i="20" a="1"/>
  <c r="C14" i="20" a="1"/>
  <c r="F11" i="20" a="1"/>
  <c r="E58" i="20" a="1"/>
  <c r="D71" i="20" a="1"/>
  <c r="G55" i="20" a="1"/>
  <c r="D68" i="20" a="1"/>
  <c r="C28" i="20" a="1"/>
  <c r="F50" i="20" a="1"/>
  <c r="G51" i="20" a="1"/>
  <c r="F64" i="20" a="1"/>
  <c r="F66" i="20" a="1"/>
  <c r="G46" i="20" a="1"/>
  <c r="C26" i="20" a="1"/>
  <c r="C30" i="20" a="1"/>
  <c r="D23" i="20" a="1"/>
  <c r="E65" i="20" a="1"/>
  <c r="E54" i="20" a="1"/>
  <c r="G11" i="20" a="1"/>
  <c r="D15" i="20" a="1"/>
  <c r="D70" i="20" a="1"/>
  <c r="E15" i="20" a="1"/>
  <c r="E66" i="20" a="1"/>
  <c r="E62" i="20" a="1"/>
  <c r="F46" i="20" a="1"/>
  <c r="H59" i="20" a="1"/>
  <c r="E63" i="20" a="1"/>
  <c r="E19" i="20" a="1"/>
  <c r="F63" i="20" a="1"/>
  <c r="G59" i="20" a="1"/>
  <c r="E64" i="20" a="1"/>
  <c r="F54" i="20" a="1"/>
  <c r="C29" i="20" a="1"/>
  <c r="E23" i="20" a="1"/>
  <c r="D19" i="20" a="1"/>
  <c r="F62" i="20" a="1"/>
  <c r="C18" i="20" a="1"/>
  <c r="E50" i="20" a="1"/>
  <c r="D10" i="20" a="1"/>
  <c r="H51" i="20" a="1"/>
  <c r="F65" i="20" a="1"/>
  <c r="H55" i="20" a="1"/>
  <c r="C22" i="20" a="1"/>
  <c r="G111" i="20" l="1"/>
  <c r="G108" i="20"/>
  <c r="G110" i="20"/>
  <c r="F110" i="20"/>
  <c r="F111" i="20"/>
  <c r="F108" i="20"/>
  <c r="F46" i="20"/>
  <c r="F45" i="20" s="1"/>
  <c r="E130" i="20"/>
  <c r="H94" i="20"/>
  <c r="H83" i="20"/>
  <c r="E126" i="20"/>
  <c r="E129" i="20" s="1"/>
  <c r="G122" i="20"/>
  <c r="E117" i="20"/>
  <c r="E127" i="20" s="1"/>
  <c r="F122" i="20"/>
  <c r="H90" i="20"/>
  <c r="H98" i="20"/>
  <c r="H120" i="20"/>
  <c r="H133" i="20" s="1"/>
  <c r="H85" i="20"/>
  <c r="H113" i="20"/>
  <c r="E119" i="20"/>
  <c r="E132" i="20" s="1"/>
  <c r="G46" i="20"/>
  <c r="G45" i="20" s="1"/>
  <c r="G59" i="20"/>
  <c r="F66" i="20"/>
  <c r="E23" i="20"/>
  <c r="C26" i="20"/>
  <c r="C22" i="20"/>
  <c r="E62" i="20"/>
  <c r="G51" i="20"/>
  <c r="F62" i="20"/>
  <c r="D19" i="20"/>
  <c r="C18" i="20"/>
  <c r="E63" i="20"/>
  <c r="F54" i="20"/>
  <c r="C28" i="20"/>
  <c r="C14" i="20"/>
  <c r="E66" i="20"/>
  <c r="F64" i="20"/>
  <c r="H59" i="20"/>
  <c r="C30" i="20"/>
  <c r="D71" i="20"/>
  <c r="E64" i="20"/>
  <c r="F65" i="20"/>
  <c r="H55" i="20"/>
  <c r="C27" i="20"/>
  <c r="E19" i="20"/>
  <c r="F11" i="20"/>
  <c r="D68" i="20"/>
  <c r="E65" i="20"/>
  <c r="F50" i="20"/>
  <c r="H51" i="20"/>
  <c r="D23" i="20"/>
  <c r="D70" i="20"/>
  <c r="E58" i="20"/>
  <c r="F58" i="20"/>
  <c r="E15" i="20"/>
  <c r="C29" i="20"/>
  <c r="E50" i="20"/>
  <c r="E54" i="20"/>
  <c r="G55" i="20"/>
  <c r="F63" i="20"/>
  <c r="D15" i="20"/>
  <c r="D10" i="20"/>
  <c r="D9" i="20" s="1"/>
  <c r="G11" i="20"/>
  <c r="F116" i="20"/>
  <c r="F125" i="20" s="1"/>
  <c r="G116" i="20"/>
  <c r="G125" i="20" s="1"/>
  <c r="C9" i="20"/>
  <c r="G84" i="20"/>
  <c r="D61" i="20"/>
  <c r="E118" i="20"/>
  <c r="E128" i="20" s="1"/>
  <c r="F84" i="20"/>
  <c r="F130" i="20" s="1"/>
  <c r="F82" i="20"/>
  <c r="G82" i="20" s="1"/>
  <c r="E45" i="20"/>
  <c r="E10" i="20" a="1"/>
  <c r="C35" i="20" a="1"/>
  <c r="F23" i="20" a="1"/>
  <c r="D27" i="20" a="1"/>
  <c r="E71" i="20" a="1"/>
  <c r="G64" i="20" a="1"/>
  <c r="D26" i="20" a="1"/>
  <c r="D29" i="20" a="1"/>
  <c r="E18" i="20" a="1"/>
  <c r="E14" i="20" a="1"/>
  <c r="H63" i="20" a="1"/>
  <c r="G66" i="20" a="1"/>
  <c r="E30" i="20" a="1"/>
  <c r="G50" i="20" a="1"/>
  <c r="G62" i="20" a="1"/>
  <c r="E29" i="20" a="1"/>
  <c r="F68" i="20" a="1"/>
  <c r="F15" i="20" a="1"/>
  <c r="G23" i="20" a="1"/>
  <c r="F71" i="20" a="1"/>
  <c r="G63" i="20" a="1"/>
  <c r="E70" i="20" a="1"/>
  <c r="F70" i="20" a="1"/>
  <c r="C34" i="20" a="1"/>
  <c r="D22" i="20" a="1"/>
  <c r="F10" i="20" a="1"/>
  <c r="E22" i="20" a="1"/>
  <c r="E27" i="20" a="1"/>
  <c r="G15" i="20" a="1"/>
  <c r="D28" i="20" a="1"/>
  <c r="D14" i="20" a="1"/>
  <c r="H46" i="20" a="1"/>
  <c r="G58" i="20" a="1"/>
  <c r="E68" i="20" a="1"/>
  <c r="E28" i="20" a="1"/>
  <c r="F19" i="20" a="1"/>
  <c r="G65" i="20" a="1"/>
  <c r="G54" i="20" a="1"/>
  <c r="E26" i="20" a="1"/>
  <c r="D18" i="20" a="1"/>
  <c r="D30" i="20" a="1"/>
  <c r="G19" i="20" a="1"/>
  <c r="H111" i="20" l="1"/>
  <c r="H108" i="20"/>
  <c r="H118" i="20" s="1"/>
  <c r="H128" i="20" s="1"/>
  <c r="H110" i="20"/>
  <c r="E10" i="20"/>
  <c r="E9" i="20" s="1"/>
  <c r="I131" i="20"/>
  <c r="G54" i="20"/>
  <c r="F126" i="20"/>
  <c r="F129" i="20" s="1"/>
  <c r="G126" i="20"/>
  <c r="G129" i="20" s="1"/>
  <c r="G117" i="20"/>
  <c r="G127" i="20" s="1"/>
  <c r="H122" i="20"/>
  <c r="F117" i="20"/>
  <c r="F127" i="20" s="1"/>
  <c r="H116" i="20"/>
  <c r="H125" i="20" s="1"/>
  <c r="I113" i="20"/>
  <c r="I94" i="20"/>
  <c r="I120" i="20"/>
  <c r="I133" i="20" s="1"/>
  <c r="H82" i="20"/>
  <c r="I98" i="20"/>
  <c r="I90" i="20"/>
  <c r="H84" i="20"/>
  <c r="I83" i="20"/>
  <c r="I85" i="20"/>
  <c r="G66" i="20"/>
  <c r="G63" i="20"/>
  <c r="G50" i="20"/>
  <c r="G65" i="20"/>
  <c r="G62" i="20"/>
  <c r="G64" i="20"/>
  <c r="G58" i="20"/>
  <c r="H46" i="20"/>
  <c r="F10" i="20"/>
  <c r="F9" i="20" s="1"/>
  <c r="C34" i="20"/>
  <c r="D26" i="20"/>
  <c r="F70" i="20"/>
  <c r="G23" i="20"/>
  <c r="D27" i="20"/>
  <c r="H63" i="20"/>
  <c r="E68" i="20"/>
  <c r="F68" i="20"/>
  <c r="G15" i="20"/>
  <c r="G19" i="20"/>
  <c r="E28" i="20"/>
  <c r="F71" i="20"/>
  <c r="E27" i="20"/>
  <c r="D30" i="20"/>
  <c r="E71" i="20"/>
  <c r="E70" i="20"/>
  <c r="F19" i="20"/>
  <c r="E14" i="20"/>
  <c r="E29" i="20"/>
  <c r="E30" i="20"/>
  <c r="D18" i="20"/>
  <c r="E22" i="20"/>
  <c r="D29" i="20"/>
  <c r="D28" i="20"/>
  <c r="E26" i="20"/>
  <c r="F23" i="20"/>
  <c r="D14" i="20"/>
  <c r="D22" i="20"/>
  <c r="C35" i="20"/>
  <c r="E18" i="20"/>
  <c r="F15" i="20"/>
  <c r="E61" i="20"/>
  <c r="F118" i="20"/>
  <c r="F128" i="20" s="1"/>
  <c r="G118" i="20"/>
  <c r="G128" i="20" s="1"/>
  <c r="F61" i="20"/>
  <c r="G119" i="20"/>
  <c r="G132" i="20" s="1"/>
  <c r="G130" i="20"/>
  <c r="F119" i="20"/>
  <c r="F132" i="20" s="1"/>
  <c r="F22" i="20" a="1"/>
  <c r="I46" i="20" a="1"/>
  <c r="G70" i="20" a="1"/>
  <c r="F28" i="20" a="1"/>
  <c r="H64" i="20" a="1"/>
  <c r="D32" i="20" a="1"/>
  <c r="G27" i="20" a="1"/>
  <c r="F14" i="20" a="1"/>
  <c r="H58" i="20" a="1"/>
  <c r="D35" i="20" a="1"/>
  <c r="H54" i="20" a="1"/>
  <c r="G71" i="20" a="1"/>
  <c r="C32" i="20" a="1"/>
  <c r="F26" i="20" a="1"/>
  <c r="F29" i="20" a="1"/>
  <c r="F18" i="20" a="1"/>
  <c r="E34" i="20" a="1"/>
  <c r="G68" i="20" a="1"/>
  <c r="F27" i="20" a="1"/>
  <c r="H66" i="20" a="1"/>
  <c r="H62" i="20" a="1"/>
  <c r="F30" i="20" a="1"/>
  <c r="E35" i="20" a="1"/>
  <c r="H50" i="20" a="1"/>
  <c r="D34" i="20" a="1"/>
  <c r="G10" i="20" a="1"/>
  <c r="H65" i="20" a="1"/>
  <c r="G71" i="20" l="1"/>
  <c r="I111" i="20"/>
  <c r="I108" i="20"/>
  <c r="I118" i="20" s="1"/>
  <c r="I128" i="20" s="1"/>
  <c r="I110" i="20"/>
  <c r="J131" i="20"/>
  <c r="F18" i="20"/>
  <c r="H126" i="20"/>
  <c r="H129" i="20" s="1"/>
  <c r="I122" i="20"/>
  <c r="H117" i="20"/>
  <c r="H127" i="20" s="1"/>
  <c r="K113" i="20"/>
  <c r="J98" i="20"/>
  <c r="H119" i="20"/>
  <c r="H132" i="20" s="1"/>
  <c r="J113" i="20"/>
  <c r="J90" i="20"/>
  <c r="I84" i="20"/>
  <c r="H64" i="20"/>
  <c r="I82" i="20"/>
  <c r="H130" i="20"/>
  <c r="H50" i="20"/>
  <c r="H65" i="20"/>
  <c r="H66" i="20"/>
  <c r="H58" i="20"/>
  <c r="G68" i="20"/>
  <c r="G70" i="20"/>
  <c r="H62" i="20"/>
  <c r="I46" i="20"/>
  <c r="H54" i="20"/>
  <c r="I116" i="20"/>
  <c r="I125" i="20" s="1"/>
  <c r="J94" i="20"/>
  <c r="G61" i="20"/>
  <c r="G10" i="20"/>
  <c r="G9" i="20" s="1"/>
  <c r="F22" i="20"/>
  <c r="F30" i="20"/>
  <c r="F26" i="20"/>
  <c r="F29" i="20"/>
  <c r="F14" i="20"/>
  <c r="F28" i="20"/>
  <c r="F27" i="20"/>
  <c r="H45" i="20"/>
  <c r="C32" i="20"/>
  <c r="G27" i="20"/>
  <c r="E35" i="20"/>
  <c r="D32" i="20"/>
  <c r="D34" i="20"/>
  <c r="D35" i="20"/>
  <c r="E34" i="20"/>
  <c r="J46" i="20" a="1"/>
  <c r="G22" i="20" a="1"/>
  <c r="H68" i="20" a="1"/>
  <c r="I58" i="20" a="1"/>
  <c r="H70" i="20" a="1"/>
  <c r="I50" i="20" a="1"/>
  <c r="F34" i="20" a="1"/>
  <c r="G14" i="20" a="1"/>
  <c r="G30" i="20" a="1"/>
  <c r="G28" i="20" a="1"/>
  <c r="E32" i="20" a="1"/>
  <c r="H71" i="20" a="1"/>
  <c r="G18" i="20" a="1"/>
  <c r="G26" i="20" a="1"/>
  <c r="H10" i="20" a="1"/>
  <c r="I54" i="20" a="1"/>
  <c r="F35" i="20" a="1"/>
  <c r="G29" i="20" a="1"/>
  <c r="H70" i="20" l="1"/>
  <c r="F35" i="20"/>
  <c r="K131" i="20"/>
  <c r="I130" i="20"/>
  <c r="I126" i="20"/>
  <c r="I129" i="20" s="1"/>
  <c r="I117" i="20"/>
  <c r="I127" i="20" s="1"/>
  <c r="J122" i="20"/>
  <c r="K122" i="20"/>
  <c r="K94" i="20"/>
  <c r="K98" i="20"/>
  <c r="K90" i="20"/>
  <c r="I119" i="20"/>
  <c r="I132" i="20" s="1"/>
  <c r="H68" i="20"/>
  <c r="I58" i="20"/>
  <c r="J46" i="20"/>
  <c r="H61" i="20"/>
  <c r="I50" i="20"/>
  <c r="G28" i="20"/>
  <c r="H71" i="20"/>
  <c r="H10" i="20"/>
  <c r="G26" i="20"/>
  <c r="G29" i="20"/>
  <c r="F34" i="20"/>
  <c r="E32" i="20"/>
  <c r="I54" i="20"/>
  <c r="G22" i="20"/>
  <c r="G30" i="20"/>
  <c r="G18" i="20"/>
  <c r="G14" i="20"/>
  <c r="J50" i="20" a="1"/>
  <c r="G35" i="20" a="1"/>
  <c r="J54" i="20" a="1"/>
  <c r="I10" i="20" a="1"/>
  <c r="H22" i="20" a="1"/>
  <c r="K46" i="20" a="1"/>
  <c r="J58" i="20" a="1"/>
  <c r="G34" i="20" a="1"/>
  <c r="H14" i="20" a="1"/>
  <c r="F32" i="20" a="1"/>
  <c r="H18" i="20" a="1"/>
  <c r="G34" i="20" l="1"/>
  <c r="L131" i="20"/>
  <c r="L98" i="20"/>
  <c r="L113" i="20"/>
  <c r="L90" i="20"/>
  <c r="L94" i="20"/>
  <c r="K46" i="20"/>
  <c r="J54" i="20"/>
  <c r="J50" i="20"/>
  <c r="J58" i="20"/>
  <c r="F32" i="20"/>
  <c r="I10" i="20"/>
  <c r="H22" i="20"/>
  <c r="H14" i="20"/>
  <c r="G35" i="20"/>
  <c r="H18" i="20"/>
  <c r="I18" i="20" a="1"/>
  <c r="I22" i="20" a="1"/>
  <c r="J10" i="20" a="1"/>
  <c r="K58" i="20" a="1"/>
  <c r="I14" i="20" a="1"/>
  <c r="L46" i="20" a="1"/>
  <c r="K50" i="20" a="1"/>
  <c r="K54" i="20" a="1"/>
  <c r="M131" i="20" l="1"/>
  <c r="L122" i="20"/>
  <c r="K58" i="20"/>
  <c r="M94" i="20"/>
  <c r="M90" i="20"/>
  <c r="L46" i="20"/>
  <c r="K54" i="20"/>
  <c r="K50" i="20"/>
  <c r="M98" i="20"/>
  <c r="M113" i="20"/>
  <c r="J10" i="20"/>
  <c r="I18" i="20"/>
  <c r="I22" i="20"/>
  <c r="I14" i="20"/>
  <c r="L54" i="20" a="1"/>
  <c r="J22" i="20" a="1"/>
  <c r="L58" i="20" a="1"/>
  <c r="J18" i="20" a="1"/>
  <c r="J14" i="20" a="1"/>
  <c r="L50" i="20" a="1"/>
  <c r="M46" i="20" a="1"/>
  <c r="K10" i="20" a="1"/>
  <c r="M122" i="20" l="1"/>
  <c r="J22" i="20"/>
  <c r="O90" i="20"/>
  <c r="L54" i="20"/>
  <c r="N98" i="20"/>
  <c r="L50" i="20"/>
  <c r="J14" i="20"/>
  <c r="L58" i="20"/>
  <c r="M46" i="20"/>
  <c r="J18" i="20"/>
  <c r="K10" i="20"/>
  <c r="N90" i="20"/>
  <c r="N113" i="20"/>
  <c r="N94" i="20"/>
  <c r="M58" i="20" a="1"/>
  <c r="K22" i="20" a="1"/>
  <c r="M54" i="20" a="1"/>
  <c r="N46" i="20" a="1"/>
  <c r="K14" i="20" a="1"/>
  <c r="L10" i="20" a="1"/>
  <c r="M50" i="20" a="1"/>
  <c r="N50" i="20" a="1"/>
  <c r="K18" i="20" a="1"/>
  <c r="N122" i="20" l="1"/>
  <c r="O113" i="20"/>
  <c r="O98" i="20"/>
  <c r="P90" i="20"/>
  <c r="O94" i="20"/>
  <c r="N46" i="20"/>
  <c r="M58" i="20"/>
  <c r="K18" i="20"/>
  <c r="K14" i="20"/>
  <c r="M50" i="20"/>
  <c r="L10" i="20"/>
  <c r="M54" i="20"/>
  <c r="K22" i="20"/>
  <c r="N50" i="20"/>
  <c r="L22" i="20" a="1"/>
  <c r="N58" i="20" a="1"/>
  <c r="L14" i="20" a="1"/>
  <c r="M14" i="20" a="1"/>
  <c r="N54" i="20" a="1"/>
  <c r="O46" i="20" a="1"/>
  <c r="M10" i="20" a="1"/>
  <c r="L18" i="20" a="1"/>
  <c r="O50" i="20" a="1"/>
  <c r="O122" i="20" l="1"/>
  <c r="P113" i="20"/>
  <c r="Q90" i="20"/>
  <c r="P94" i="20"/>
  <c r="N54" i="20"/>
  <c r="O46" i="20"/>
  <c r="N58" i="20"/>
  <c r="P98" i="20"/>
  <c r="M10" i="20"/>
  <c r="L22" i="20"/>
  <c r="L18" i="20"/>
  <c r="L14" i="20"/>
  <c r="O50" i="20"/>
  <c r="M14" i="20"/>
  <c r="N10" i="20" a="1"/>
  <c r="M18" i="20" a="1"/>
  <c r="P46" i="20" a="1"/>
  <c r="N14" i="20" a="1"/>
  <c r="O54" i="20" a="1"/>
  <c r="O58" i="20" a="1"/>
  <c r="M22" i="20" a="1"/>
  <c r="P50" i="20" a="1"/>
  <c r="P122" i="20" l="1"/>
  <c r="Q98" i="20"/>
  <c r="R98" i="20" s="1"/>
  <c r="Q94" i="20"/>
  <c r="R94" i="20" s="1"/>
  <c r="R86" i="20"/>
  <c r="Q113" i="20"/>
  <c r="P46" i="20"/>
  <c r="O54" i="20"/>
  <c r="O58" i="20"/>
  <c r="M22" i="20"/>
  <c r="N10" i="20"/>
  <c r="M18" i="20"/>
  <c r="N14" i="20"/>
  <c r="P50" i="20"/>
  <c r="R90" i="20"/>
  <c r="N22" i="20" a="1"/>
  <c r="N18" i="20" a="1"/>
  <c r="P54" i="20" a="1"/>
  <c r="O14" i="20" a="1"/>
  <c r="O10" i="20" a="1"/>
  <c r="P58" i="20" a="1"/>
  <c r="Q122" i="20" l="1"/>
  <c r="P58" i="20"/>
  <c r="R58" i="20" s="1"/>
  <c r="P54" i="20"/>
  <c r="R54" i="20" s="1"/>
  <c r="R46" i="20"/>
  <c r="O10" i="20"/>
  <c r="N18" i="20"/>
  <c r="N22" i="20"/>
  <c r="O14" i="20"/>
  <c r="R14" i="20" s="1"/>
  <c r="R50" i="20"/>
  <c r="O18" i="20" a="1"/>
  <c r="O22" i="20" a="1"/>
  <c r="R10" i="20" l="1"/>
  <c r="O22" i="20"/>
  <c r="R22" i="20" s="1"/>
  <c r="O18" i="20"/>
  <c r="R18" i="20" s="1"/>
  <c r="R113" i="28" l="1"/>
  <c r="N110" i="15"/>
  <c r="N113" i="30" l="1"/>
  <c r="R113" i="30" s="1"/>
  <c r="R110" i="15"/>
  <c r="N102" i="15" l="1"/>
  <c r="M62" i="28" a="1"/>
  <c r="M62" i="15" a="1"/>
  <c r="N120" i="15" l="1"/>
  <c r="N133" i="15" s="1"/>
  <c r="N102" i="30"/>
  <c r="M62" i="15"/>
  <c r="M62" i="28"/>
  <c r="R102" i="15"/>
  <c r="N116" i="15"/>
  <c r="N125" i="15" s="1"/>
  <c r="N103" i="15"/>
  <c r="R102" i="28"/>
  <c r="N121" i="28"/>
  <c r="N130" i="28" s="1"/>
  <c r="L26" i="28" a="1"/>
  <c r="L26" i="15" a="1"/>
  <c r="M63" i="15" a="1"/>
  <c r="M63" i="28" a="1"/>
  <c r="M62" i="30" a="1"/>
  <c r="N103" i="30" l="1"/>
  <c r="R103" i="30" s="1"/>
  <c r="N130" i="30"/>
  <c r="M62" i="30"/>
  <c r="N125" i="30"/>
  <c r="N138" i="30" s="1"/>
  <c r="N121" i="30"/>
  <c r="R102" i="30"/>
  <c r="N101" i="30"/>
  <c r="R101" i="30" s="1"/>
  <c r="M63" i="15"/>
  <c r="L26" i="28"/>
  <c r="R26" i="28" s="1"/>
  <c r="M63" i="28"/>
  <c r="L26" i="15"/>
  <c r="R26" i="15" s="1"/>
  <c r="R103" i="15"/>
  <c r="N101" i="15"/>
  <c r="R101" i="15" s="1"/>
  <c r="R62" i="28"/>
  <c r="N101" i="28"/>
  <c r="R101" i="28" s="1"/>
  <c r="R103" i="28"/>
  <c r="R62" i="15"/>
  <c r="L26" i="30" a="1"/>
  <c r="M63" i="30" a="1"/>
  <c r="L27" i="28" a="1"/>
  <c r="L27" i="15" a="1"/>
  <c r="M63" i="30" l="1"/>
  <c r="L26" i="30"/>
  <c r="R26" i="30" s="1"/>
  <c r="R62" i="30"/>
  <c r="L27" i="28"/>
  <c r="R27" i="28" s="1"/>
  <c r="L27" i="15"/>
  <c r="R27" i="15" s="1"/>
  <c r="S103" i="28"/>
  <c r="S105" i="28"/>
  <c r="S104" i="28"/>
  <c r="L27" i="30" a="1"/>
  <c r="L27" i="30" l="1"/>
  <c r="R27" i="30" s="1"/>
  <c r="N88" i="15" l="1"/>
  <c r="M48" i="15" a="1"/>
  <c r="N88" i="30" l="1"/>
  <c r="N100" i="30" s="1"/>
  <c r="M48" i="15"/>
  <c r="N142" i="15"/>
  <c r="N85" i="15"/>
  <c r="N115" i="15"/>
  <c r="N96" i="15"/>
  <c r="N100" i="15"/>
  <c r="N92" i="15"/>
  <c r="N83" i="15"/>
  <c r="M60" i="30" a="1"/>
  <c r="M60" i="15" a="1"/>
  <c r="M52" i="15" a="1"/>
  <c r="M48" i="30" a="1"/>
  <c r="M56" i="15" a="1"/>
  <c r="L12" i="15" a="1"/>
  <c r="N108" i="29" l="1"/>
  <c r="N83" i="30"/>
  <c r="N85" i="30"/>
  <c r="N92" i="30"/>
  <c r="N96" i="30"/>
  <c r="N120" i="30"/>
  <c r="N122" i="30" s="1"/>
  <c r="N132" i="30" s="1"/>
  <c r="M48" i="30"/>
  <c r="M60" i="30"/>
  <c r="N116" i="29"/>
  <c r="N111" i="30"/>
  <c r="M52" i="15"/>
  <c r="M56" i="15"/>
  <c r="M60" i="15"/>
  <c r="L12" i="15"/>
  <c r="N108" i="15"/>
  <c r="N117" i="15"/>
  <c r="N127" i="15" s="1"/>
  <c r="N138" i="15" s="1"/>
  <c r="N124" i="15"/>
  <c r="R114" i="28"/>
  <c r="N111" i="15"/>
  <c r="M75" i="15"/>
  <c r="N106" i="15"/>
  <c r="M52" i="30" a="1"/>
  <c r="M71" i="15" a="1"/>
  <c r="L12" i="30" a="1"/>
  <c r="M70" i="15" a="1"/>
  <c r="L20" i="15" a="1"/>
  <c r="M56" i="30" a="1"/>
  <c r="L24" i="30" a="1"/>
  <c r="L24" i="15" a="1"/>
  <c r="M66" i="15" a="1"/>
  <c r="M68" i="15" a="1"/>
  <c r="M66" i="28" a="1"/>
  <c r="M71" i="30" a="1"/>
  <c r="L16" i="15" a="1"/>
  <c r="M68" i="29" a="1"/>
  <c r="M68" i="29" l="1"/>
  <c r="N111" i="33"/>
  <c r="N129" i="30"/>
  <c r="N131" i="30" s="1"/>
  <c r="N134" i="30" s="1"/>
  <c r="N106" i="30"/>
  <c r="R106" i="30" s="1"/>
  <c r="N110" i="30"/>
  <c r="N123" i="30" s="1"/>
  <c r="N133" i="30" s="1"/>
  <c r="N114" i="30"/>
  <c r="R114" i="30" s="1"/>
  <c r="M52" i="30"/>
  <c r="M56" i="30"/>
  <c r="M75" i="30"/>
  <c r="L12" i="30"/>
  <c r="L39" i="30" s="1"/>
  <c r="M71" i="30"/>
  <c r="L24" i="30"/>
  <c r="N126" i="15"/>
  <c r="N129" i="15" s="1"/>
  <c r="M71" i="15"/>
  <c r="M68" i="15"/>
  <c r="N143" i="30"/>
  <c r="L24" i="15"/>
  <c r="M70" i="15"/>
  <c r="M66" i="15"/>
  <c r="M66" i="28"/>
  <c r="L20" i="15"/>
  <c r="L16" i="15"/>
  <c r="L39" i="15"/>
  <c r="N118" i="15"/>
  <c r="N128" i="15" s="1"/>
  <c r="R106" i="15"/>
  <c r="R106" i="28"/>
  <c r="R111" i="15"/>
  <c r="N119" i="15"/>
  <c r="N132" i="15" s="1"/>
  <c r="L30" i="15" a="1"/>
  <c r="L34" i="15" a="1"/>
  <c r="L30" i="28" a="1"/>
  <c r="M66" i="30" a="1"/>
  <c r="K32" i="29" a="1"/>
  <c r="L16" i="30" a="1"/>
  <c r="K32" i="15" a="1"/>
  <c r="M71" i="33" a="1"/>
  <c r="L35" i="30" a="1"/>
  <c r="L20" i="30" a="1"/>
  <c r="M70" i="30" a="1"/>
  <c r="L35" i="15" a="1"/>
  <c r="M71" i="33" l="1"/>
  <c r="K32" i="29"/>
  <c r="M70" i="30"/>
  <c r="M66" i="30"/>
  <c r="R66" i="30" s="1"/>
  <c r="N124" i="30"/>
  <c r="N137" i="30" s="1"/>
  <c r="L16" i="30"/>
  <c r="L20" i="30"/>
  <c r="L35" i="30"/>
  <c r="N142" i="30"/>
  <c r="N137" i="15"/>
  <c r="K32" i="15"/>
  <c r="L35" i="15"/>
  <c r="R35" i="15" s="1"/>
  <c r="R71" i="15"/>
  <c r="L34" i="15"/>
  <c r="R34" i="15" s="1"/>
  <c r="L30" i="28"/>
  <c r="R30" i="28" s="1"/>
  <c r="L30" i="15"/>
  <c r="R30" i="15" s="1"/>
  <c r="R70" i="15"/>
  <c r="R66" i="28"/>
  <c r="R66" i="15"/>
  <c r="L30" i="30" a="1"/>
  <c r="L35" i="33" a="1"/>
  <c r="L34" i="30" a="1"/>
  <c r="L35" i="33" l="1"/>
  <c r="L30" i="30"/>
  <c r="R30" i="30" s="1"/>
  <c r="L34" i="30"/>
  <c r="M110" i="29" l="1"/>
  <c r="L110" i="29"/>
  <c r="K70" i="29" a="1"/>
  <c r="L70" i="29" a="1"/>
  <c r="K70" i="29" l="1"/>
  <c r="L70" i="29"/>
  <c r="L115" i="30"/>
  <c r="M115" i="30"/>
  <c r="K34" i="29" a="1"/>
  <c r="J34" i="29" a="1"/>
  <c r="K34" i="29" l="1"/>
  <c r="J34" i="29"/>
  <c r="K110" i="29" l="1"/>
  <c r="J70" i="29" a="1"/>
  <c r="J70" i="29" l="1"/>
  <c r="K115" i="30"/>
  <c r="K115" i="28"/>
  <c r="L115" i="28" s="1"/>
  <c r="M115" i="28" s="1"/>
  <c r="N115" i="28" s="1"/>
  <c r="O115" i="28" s="1"/>
  <c r="P115" i="28" s="1"/>
  <c r="Q115" i="28" s="1"/>
  <c r="J110" i="29"/>
  <c r="I34" i="29" a="1"/>
  <c r="I70" i="29" a="1"/>
  <c r="I70" i="29" l="1"/>
  <c r="I34" i="29"/>
  <c r="R110" i="29"/>
  <c r="J115" i="30"/>
  <c r="R115" i="30" s="1"/>
  <c r="J115" i="28"/>
  <c r="R115" i="28" s="1"/>
  <c r="H34" i="29" a="1"/>
  <c r="H34" i="29" l="1"/>
  <c r="R34" i="29" s="1"/>
  <c r="R70" i="29"/>
  <c r="K105" i="29" l="1"/>
  <c r="K130" i="29" s="1"/>
  <c r="K87" i="29"/>
  <c r="K87" i="15"/>
  <c r="J65" i="29" a="1"/>
  <c r="J47" i="29" a="1"/>
  <c r="J47" i="15" a="1"/>
  <c r="J47" i="15" l="1"/>
  <c r="J65" i="29"/>
  <c r="J47" i="29"/>
  <c r="K85" i="15"/>
  <c r="K142" i="15"/>
  <c r="K91" i="15"/>
  <c r="K95" i="15"/>
  <c r="K99" i="15"/>
  <c r="K114" i="15"/>
  <c r="K87" i="30"/>
  <c r="K83" i="15"/>
  <c r="K129" i="29"/>
  <c r="K113" i="29"/>
  <c r="K120" i="29" s="1"/>
  <c r="K114" i="29"/>
  <c r="K121" i="29" s="1"/>
  <c r="K107" i="30"/>
  <c r="K107" i="28"/>
  <c r="L107" i="28" s="1"/>
  <c r="M107" i="28" s="1"/>
  <c r="N107" i="28" s="1"/>
  <c r="O107" i="28" s="1"/>
  <c r="P107" i="28" s="1"/>
  <c r="Q107" i="28" s="1"/>
  <c r="K85" i="29"/>
  <c r="K132" i="29"/>
  <c r="K99" i="29"/>
  <c r="K83" i="29"/>
  <c r="K91" i="29"/>
  <c r="K95" i="29"/>
  <c r="J55" i="15" a="1"/>
  <c r="J59" i="29" a="1"/>
  <c r="I11" i="29" a="1"/>
  <c r="J59" i="15" a="1"/>
  <c r="J47" i="30" a="1"/>
  <c r="J51" i="29" a="1"/>
  <c r="J51" i="15" a="1"/>
  <c r="J55" i="29" a="1"/>
  <c r="I29" i="29" a="1"/>
  <c r="I11" i="15" a="1"/>
  <c r="J47" i="22" a="1"/>
  <c r="J59" i="29" l="1"/>
  <c r="J51" i="15"/>
  <c r="J47" i="22"/>
  <c r="J47" i="30"/>
  <c r="J59" i="15"/>
  <c r="J55" i="29"/>
  <c r="I11" i="29"/>
  <c r="I39" i="29" s="1"/>
  <c r="J51" i="29"/>
  <c r="I29" i="29"/>
  <c r="J55" i="15"/>
  <c r="I11" i="15"/>
  <c r="I39" i="15" s="1"/>
  <c r="K119" i="15"/>
  <c r="K132" i="15" s="1"/>
  <c r="K85" i="22"/>
  <c r="K114" i="22"/>
  <c r="K99" i="22"/>
  <c r="K91" i="22"/>
  <c r="K95" i="22"/>
  <c r="K83" i="22"/>
  <c r="K85" i="30"/>
  <c r="K119" i="30"/>
  <c r="K122" i="30" s="1"/>
  <c r="K132" i="30" s="1"/>
  <c r="K83" i="30"/>
  <c r="K124" i="30" s="1"/>
  <c r="K137" i="30" s="1"/>
  <c r="K99" i="30"/>
  <c r="K95" i="30"/>
  <c r="K91" i="30"/>
  <c r="K144" i="28"/>
  <c r="K144" i="30"/>
  <c r="K117" i="15"/>
  <c r="K127" i="15" s="1"/>
  <c r="K138" i="15" s="1"/>
  <c r="K143" i="33" s="1"/>
  <c r="K123" i="15"/>
  <c r="J75" i="29"/>
  <c r="J75" i="15"/>
  <c r="J59" i="30" a="1"/>
  <c r="I19" i="15" a="1"/>
  <c r="J51" i="22" a="1"/>
  <c r="I19" i="29" a="1"/>
  <c r="I11" i="30" a="1"/>
  <c r="I15" i="29" a="1"/>
  <c r="I11" i="22" a="1"/>
  <c r="I23" i="29" a="1"/>
  <c r="J55" i="30" a="1"/>
  <c r="J59" i="22" a="1"/>
  <c r="I23" i="15" a="1"/>
  <c r="I15" i="15" a="1"/>
  <c r="J55" i="22" a="1"/>
  <c r="J51" i="30" a="1"/>
  <c r="K108" i="22" l="1"/>
  <c r="K110" i="22"/>
  <c r="K106" i="22"/>
  <c r="K84" i="22"/>
  <c r="K111" i="22"/>
  <c r="K128" i="33"/>
  <c r="K131" i="33" s="1"/>
  <c r="K143" i="30"/>
  <c r="I19" i="29"/>
  <c r="I23" i="15"/>
  <c r="I19" i="15"/>
  <c r="I11" i="30"/>
  <c r="I39" i="30" s="1"/>
  <c r="J59" i="22"/>
  <c r="I11" i="22"/>
  <c r="I9" i="22" s="1"/>
  <c r="J55" i="30"/>
  <c r="J59" i="30"/>
  <c r="I15" i="29"/>
  <c r="I15" i="15"/>
  <c r="J55" i="22"/>
  <c r="J51" i="30"/>
  <c r="J51" i="22"/>
  <c r="I23" i="29"/>
  <c r="K128" i="30"/>
  <c r="K131" i="30" s="1"/>
  <c r="K126" i="15"/>
  <c r="J75" i="30"/>
  <c r="K123" i="22"/>
  <c r="K126" i="22" s="1"/>
  <c r="K129" i="22" s="1"/>
  <c r="K117" i="22"/>
  <c r="J45" i="22"/>
  <c r="I23" i="22" a="1"/>
  <c r="J71" i="22" a="1"/>
  <c r="I23" i="30" a="1"/>
  <c r="I19" i="30" a="1"/>
  <c r="I15" i="30" a="1"/>
  <c r="I19" i="22" a="1"/>
  <c r="J66" i="22" a="1"/>
  <c r="I15" i="22" a="1"/>
  <c r="J70" i="22" a="1"/>
  <c r="K142" i="33" l="1"/>
  <c r="K134" i="33"/>
  <c r="I19" i="22"/>
  <c r="J66" i="22"/>
  <c r="I23" i="30"/>
  <c r="I15" i="22"/>
  <c r="I19" i="30"/>
  <c r="J70" i="22"/>
  <c r="I23" i="22"/>
  <c r="I15" i="30"/>
  <c r="J71" i="22"/>
  <c r="K119" i="22"/>
  <c r="K132" i="22" s="1"/>
  <c r="K129" i="15"/>
  <c r="K137" i="15"/>
  <c r="K134" i="30"/>
  <c r="K142" i="30"/>
  <c r="I30" i="22" a="1"/>
  <c r="I34" i="22" a="1"/>
  <c r="I35" i="22" a="1"/>
  <c r="I30" i="22" l="1"/>
  <c r="I35" i="22"/>
  <c r="I34" i="22"/>
  <c r="L105" i="29" l="1"/>
  <c r="L129" i="29" s="1"/>
  <c r="K65" i="29" a="1"/>
  <c r="K65" i="29" l="1"/>
  <c r="L113" i="29"/>
  <c r="L120" i="29" s="1"/>
  <c r="L107" i="30"/>
  <c r="L114" i="29"/>
  <c r="L121" i="29" s="1"/>
  <c r="L130" i="29"/>
  <c r="L87" i="29"/>
  <c r="L87" i="15"/>
  <c r="J29" i="29" a="1"/>
  <c r="K47" i="29" a="1"/>
  <c r="K47" i="15" a="1"/>
  <c r="K47" i="29" l="1"/>
  <c r="K47" i="15"/>
  <c r="J29" i="29"/>
  <c r="L144" i="28"/>
  <c r="L144" i="30"/>
  <c r="L99" i="29"/>
  <c r="L85" i="29"/>
  <c r="L132" i="29"/>
  <c r="L83" i="29"/>
  <c r="L95" i="29"/>
  <c r="L91" i="29"/>
  <c r="L85" i="15"/>
  <c r="L142" i="15"/>
  <c r="L99" i="15"/>
  <c r="L91" i="15"/>
  <c r="L95" i="15"/>
  <c r="L87" i="30"/>
  <c r="L114" i="15"/>
  <c r="L83" i="15"/>
  <c r="K47" i="22" a="1"/>
  <c r="K47" i="30" a="1"/>
  <c r="J11" i="29" a="1"/>
  <c r="K51" i="29" a="1"/>
  <c r="K51" i="15" a="1"/>
  <c r="J11" i="15" a="1"/>
  <c r="K55" i="15" a="1"/>
  <c r="K59" i="29" a="1"/>
  <c r="K59" i="15" a="1"/>
  <c r="K55" i="29" a="1"/>
  <c r="K59" i="15" l="1"/>
  <c r="K59" i="29"/>
  <c r="K47" i="30"/>
  <c r="K47" i="22"/>
  <c r="K51" i="29"/>
  <c r="K55" i="29"/>
  <c r="K55" i="15"/>
  <c r="J11" i="15"/>
  <c r="J39" i="15" s="1"/>
  <c r="K51" i="15"/>
  <c r="J11" i="29"/>
  <c r="J39" i="29" s="1"/>
  <c r="L117" i="15"/>
  <c r="L127" i="15" s="1"/>
  <c r="L138" i="15" s="1"/>
  <c r="L143" i="33" s="1"/>
  <c r="L123" i="15"/>
  <c r="L83" i="30"/>
  <c r="L124" i="30" s="1"/>
  <c r="L137" i="30" s="1"/>
  <c r="L119" i="30"/>
  <c r="L122" i="30" s="1"/>
  <c r="L132" i="30" s="1"/>
  <c r="L85" i="30"/>
  <c r="L99" i="30"/>
  <c r="L91" i="30"/>
  <c r="L95" i="30"/>
  <c r="L85" i="22"/>
  <c r="L91" i="22"/>
  <c r="L95" i="22"/>
  <c r="L99" i="22"/>
  <c r="L114" i="22"/>
  <c r="L83" i="22"/>
  <c r="L106" i="29"/>
  <c r="L108" i="29"/>
  <c r="L108" i="15"/>
  <c r="L110" i="33" s="1"/>
  <c r="K75" i="15"/>
  <c r="L119" i="15"/>
  <c r="L132" i="15" s="1"/>
  <c r="K75" i="29"/>
  <c r="K68" i="15" a="1"/>
  <c r="K55" i="30" a="1"/>
  <c r="J19" i="15" a="1"/>
  <c r="K66" i="29" a="1"/>
  <c r="K70" i="33" a="1"/>
  <c r="K55" i="22" a="1"/>
  <c r="J15" i="15" a="1"/>
  <c r="J15" i="29" a="1"/>
  <c r="J11" i="30" a="1"/>
  <c r="K51" i="22" a="1"/>
  <c r="J23" i="29" a="1"/>
  <c r="K51" i="30" a="1"/>
  <c r="K68" i="29" a="1"/>
  <c r="K59" i="22" a="1"/>
  <c r="J11" i="22" a="1"/>
  <c r="J19" i="29" a="1"/>
  <c r="J23" i="15" a="1"/>
  <c r="K59" i="30" a="1"/>
  <c r="L110" i="22" l="1"/>
  <c r="L108" i="22"/>
  <c r="L106" i="22"/>
  <c r="L84" i="22"/>
  <c r="L111" i="22"/>
  <c r="L128" i="33"/>
  <c r="L131" i="33" s="1"/>
  <c r="K70" i="33"/>
  <c r="L143" i="30"/>
  <c r="L123" i="33"/>
  <c r="L133" i="33" s="1"/>
  <c r="K51" i="22"/>
  <c r="J15" i="29"/>
  <c r="K55" i="30"/>
  <c r="K68" i="15"/>
  <c r="K51" i="30"/>
  <c r="J15" i="15"/>
  <c r="K66" i="29"/>
  <c r="K68" i="29"/>
  <c r="K59" i="30"/>
  <c r="J11" i="22"/>
  <c r="J9" i="22" s="1"/>
  <c r="J11" i="30"/>
  <c r="J39" i="30" s="1"/>
  <c r="K59" i="22"/>
  <c r="J19" i="15"/>
  <c r="J23" i="29"/>
  <c r="K55" i="22"/>
  <c r="J19" i="29"/>
  <c r="J23" i="15"/>
  <c r="L128" i="30"/>
  <c r="L131" i="30" s="1"/>
  <c r="L126" i="15"/>
  <c r="L118" i="15"/>
  <c r="L128" i="15" s="1"/>
  <c r="L110" i="30"/>
  <c r="L108" i="30"/>
  <c r="L116" i="29"/>
  <c r="L111" i="30"/>
  <c r="K45" i="22"/>
  <c r="L117" i="22"/>
  <c r="L123" i="22"/>
  <c r="L126" i="22" s="1"/>
  <c r="L129" i="22" s="1"/>
  <c r="K75" i="30"/>
  <c r="L111" i="29"/>
  <c r="K71" i="22" a="1"/>
  <c r="K66" i="22" a="1"/>
  <c r="J19" i="30" a="1"/>
  <c r="K70" i="22" a="1"/>
  <c r="K70" i="30" a="1"/>
  <c r="K68" i="30" a="1"/>
  <c r="I32" i="15" a="1"/>
  <c r="J15" i="30" a="1"/>
  <c r="J23" i="30" a="1"/>
  <c r="J30" i="29" a="1"/>
  <c r="I32" i="29" a="1"/>
  <c r="K71" i="30" a="1"/>
  <c r="K68" i="22" a="1"/>
  <c r="J23" i="22" a="1"/>
  <c r="J19" i="22" a="1"/>
  <c r="J15" i="22" a="1"/>
  <c r="K71" i="29" a="1"/>
  <c r="J34" i="33" a="1"/>
  <c r="L142" i="33" l="1"/>
  <c r="L134" i="33"/>
  <c r="J34" i="33"/>
  <c r="J15" i="30"/>
  <c r="K68" i="30"/>
  <c r="I32" i="15"/>
  <c r="K68" i="22"/>
  <c r="J19" i="22"/>
  <c r="J23" i="30"/>
  <c r="K66" i="22"/>
  <c r="K70" i="30"/>
  <c r="I32" i="29"/>
  <c r="J19" i="30"/>
  <c r="K71" i="22"/>
  <c r="J23" i="22"/>
  <c r="J30" i="29"/>
  <c r="K71" i="29"/>
  <c r="K70" i="22"/>
  <c r="K71" i="30"/>
  <c r="J15" i="22"/>
  <c r="L118" i="22"/>
  <c r="L128" i="22" s="1"/>
  <c r="L119" i="22"/>
  <c r="L132" i="22" s="1"/>
  <c r="L123" i="30"/>
  <c r="L133" i="30" s="1"/>
  <c r="L116" i="30"/>
  <c r="L117" i="29"/>
  <c r="L125" i="29" s="1"/>
  <c r="L129" i="15"/>
  <c r="L137" i="15"/>
  <c r="L134" i="30"/>
  <c r="L142" i="30"/>
  <c r="I32" i="22" a="1"/>
  <c r="J30" i="22" a="1"/>
  <c r="J35" i="22" a="1"/>
  <c r="I32" i="30" a="1"/>
  <c r="J35" i="29" a="1"/>
  <c r="J35" i="30" a="1"/>
  <c r="J34" i="22" a="1"/>
  <c r="J34" i="30" a="1"/>
  <c r="J35" i="22" l="1"/>
  <c r="I32" i="22"/>
  <c r="J35" i="30"/>
  <c r="J34" i="30"/>
  <c r="J34" i="22"/>
  <c r="J30" i="22"/>
  <c r="I32" i="30"/>
  <c r="J35" i="29"/>
  <c r="M105" i="29"/>
  <c r="L65" i="29" a="1"/>
  <c r="M88" i="29" l="1"/>
  <c r="M88" i="15"/>
  <c r="M83" i="15" s="1"/>
  <c r="L65" i="29"/>
  <c r="M129" i="29"/>
  <c r="M107" i="30"/>
  <c r="M113" i="29"/>
  <c r="M120" i="29" s="1"/>
  <c r="M114" i="29"/>
  <c r="M121" i="29" s="1"/>
  <c r="M130" i="29"/>
  <c r="M132" i="29"/>
  <c r="R88" i="29"/>
  <c r="M83" i="29"/>
  <c r="M85" i="29"/>
  <c r="M100" i="29"/>
  <c r="M96" i="29"/>
  <c r="M92" i="29"/>
  <c r="K29" i="29" a="1"/>
  <c r="L48" i="29" a="1"/>
  <c r="L52" i="29" a="1"/>
  <c r="L56" i="29" a="1"/>
  <c r="L60" i="29" a="1"/>
  <c r="L48" i="15" a="1"/>
  <c r="L48" i="29" l="1"/>
  <c r="L75" i="29" s="1"/>
  <c r="M96" i="15"/>
  <c r="M115" i="15"/>
  <c r="M115" i="19"/>
  <c r="M124" i="19" s="1"/>
  <c r="M88" i="18"/>
  <c r="M115" i="18" s="1"/>
  <c r="M124" i="18" s="1"/>
  <c r="M115" i="20"/>
  <c r="M124" i="20" s="1"/>
  <c r="M88" i="30"/>
  <c r="M92" i="30" s="1"/>
  <c r="M100" i="15"/>
  <c r="R100" i="15" s="1"/>
  <c r="M85" i="15"/>
  <c r="M92" i="15"/>
  <c r="R92" i="15" s="1"/>
  <c r="M85" i="22"/>
  <c r="R88" i="15"/>
  <c r="M142" i="15"/>
  <c r="L48" i="15"/>
  <c r="R48" i="15" s="1"/>
  <c r="L52" i="29"/>
  <c r="L56" i="29"/>
  <c r="K29" i="29"/>
  <c r="L60" i="29"/>
  <c r="R92" i="29"/>
  <c r="M117" i="15"/>
  <c r="M127" i="15" s="1"/>
  <c r="M138" i="15" s="1"/>
  <c r="M143" i="33" s="1"/>
  <c r="M124" i="15"/>
  <c r="M106" i="29"/>
  <c r="R96" i="29"/>
  <c r="R96" i="15"/>
  <c r="M144" i="28"/>
  <c r="M144" i="30"/>
  <c r="M119" i="15"/>
  <c r="M132" i="15" s="1"/>
  <c r="R100" i="29"/>
  <c r="K12" i="29" a="1"/>
  <c r="K20" i="29" a="1"/>
  <c r="K16" i="29" a="1"/>
  <c r="L48" i="30" a="1"/>
  <c r="L66" i="29" a="1"/>
  <c r="L48" i="18" a="1"/>
  <c r="K24" i="29" a="1"/>
  <c r="L48" i="19" a="1"/>
  <c r="L52" i="15" a="1"/>
  <c r="L52" i="30" a="1"/>
  <c r="L48" i="20" a="1"/>
  <c r="L56" i="15" a="1"/>
  <c r="K12" i="15" a="1"/>
  <c r="L60" i="15" a="1"/>
  <c r="L48" i="22" a="1"/>
  <c r="R48" i="29" l="1"/>
  <c r="M96" i="30"/>
  <c r="M100" i="30"/>
  <c r="K12" i="29"/>
  <c r="R12" i="29" s="1"/>
  <c r="M83" i="30"/>
  <c r="M124" i="30" s="1"/>
  <c r="M137" i="30" s="1"/>
  <c r="M85" i="30"/>
  <c r="M120" i="30"/>
  <c r="M122" i="30" s="1"/>
  <c r="M132" i="30" s="1"/>
  <c r="R88" i="30"/>
  <c r="M129" i="33"/>
  <c r="M131" i="33" s="1"/>
  <c r="M143" i="30"/>
  <c r="M92" i="19"/>
  <c r="M115" i="22"/>
  <c r="M117" i="22" s="1"/>
  <c r="M100" i="20"/>
  <c r="M92" i="20"/>
  <c r="M96" i="20"/>
  <c r="M96" i="22"/>
  <c r="L48" i="20"/>
  <c r="L52" i="15"/>
  <c r="R52" i="15" s="1"/>
  <c r="L48" i="18"/>
  <c r="L48" i="22"/>
  <c r="L45" i="22" s="1"/>
  <c r="L60" i="15"/>
  <c r="R60" i="15" s="1"/>
  <c r="L56" i="15"/>
  <c r="R56" i="15" s="1"/>
  <c r="L48" i="19"/>
  <c r="L48" i="30"/>
  <c r="R48" i="30" s="1"/>
  <c r="M96" i="19"/>
  <c r="M100" i="22"/>
  <c r="M100" i="19"/>
  <c r="N88" i="18"/>
  <c r="N115" i="18" s="1"/>
  <c r="N124" i="18" s="1"/>
  <c r="M100" i="18"/>
  <c r="M83" i="22"/>
  <c r="M96" i="18"/>
  <c r="M92" i="22"/>
  <c r="M92" i="18"/>
  <c r="L75" i="15"/>
  <c r="K12" i="15"/>
  <c r="K39" i="15" s="1"/>
  <c r="L52" i="30"/>
  <c r="K16" i="29"/>
  <c r="R16" i="29" s="1"/>
  <c r="K24" i="29"/>
  <c r="R24" i="29" s="1"/>
  <c r="K20" i="29"/>
  <c r="R20" i="29" s="1"/>
  <c r="L66" i="29"/>
  <c r="R92" i="30"/>
  <c r="R52" i="29"/>
  <c r="R96" i="30"/>
  <c r="R60" i="29"/>
  <c r="R100" i="30"/>
  <c r="R56" i="29"/>
  <c r="M111" i="29"/>
  <c r="M108" i="30"/>
  <c r="M108" i="29"/>
  <c r="M108" i="15"/>
  <c r="M110" i="33" s="1"/>
  <c r="M129" i="30"/>
  <c r="M131" i="30" s="1"/>
  <c r="M126" i="15"/>
  <c r="K12" i="20" a="1"/>
  <c r="L56" i="22" a="1"/>
  <c r="L56" i="19" a="1"/>
  <c r="L52" i="22" a="1"/>
  <c r="L60" i="18" a="1"/>
  <c r="L56" i="20" a="1"/>
  <c r="L60" i="22" a="1"/>
  <c r="L68" i="29" a="1"/>
  <c r="L60" i="30" a="1"/>
  <c r="K16" i="15" a="1"/>
  <c r="L52" i="19" a="1"/>
  <c r="L60" i="19" a="1"/>
  <c r="L60" i="20" a="1"/>
  <c r="K30" i="29" a="1"/>
  <c r="K12" i="19" a="1"/>
  <c r="K12" i="18" a="1"/>
  <c r="L71" i="29" a="1"/>
  <c r="K16" i="30" a="1"/>
  <c r="K20" i="15" a="1"/>
  <c r="M48" i="18" a="1"/>
  <c r="K12" i="22" a="1"/>
  <c r="K24" i="15" a="1"/>
  <c r="K12" i="30" a="1"/>
  <c r="L56" i="30" a="1"/>
  <c r="L68" i="30" a="1"/>
  <c r="L68" i="15" a="1"/>
  <c r="L56" i="18" a="1"/>
  <c r="L52" i="20" a="1"/>
  <c r="L52" i="18" a="1"/>
  <c r="L70" i="33" a="1"/>
  <c r="K39" i="29" l="1"/>
  <c r="M110" i="22"/>
  <c r="M106" i="22"/>
  <c r="M84" i="22"/>
  <c r="M111" i="22"/>
  <c r="M119" i="22" s="1"/>
  <c r="M132" i="22" s="1"/>
  <c r="M108" i="22"/>
  <c r="L60" i="30"/>
  <c r="R60" i="30" s="1"/>
  <c r="L56" i="30"/>
  <c r="R56" i="30" s="1"/>
  <c r="M124" i="22"/>
  <c r="M126" i="22" s="1"/>
  <c r="M129" i="22" s="1"/>
  <c r="M142" i="33"/>
  <c r="M134" i="33"/>
  <c r="L70" i="33"/>
  <c r="O88" i="18"/>
  <c r="O92" i="18" s="1"/>
  <c r="N96" i="18"/>
  <c r="M123" i="33"/>
  <c r="M133" i="33" s="1"/>
  <c r="L75" i="30"/>
  <c r="L52" i="19"/>
  <c r="L60" i="20"/>
  <c r="N92" i="18"/>
  <c r="N100" i="18"/>
  <c r="L56" i="22"/>
  <c r="L56" i="20"/>
  <c r="L52" i="20"/>
  <c r="K24" i="15"/>
  <c r="R24" i="15" s="1"/>
  <c r="L60" i="22"/>
  <c r="L60" i="18"/>
  <c r="L56" i="19"/>
  <c r="K12" i="22"/>
  <c r="K9" i="22" s="1"/>
  <c r="L52" i="18"/>
  <c r="K12" i="18"/>
  <c r="L52" i="22"/>
  <c r="M48" i="18"/>
  <c r="K12" i="30"/>
  <c r="R12" i="30" s="1"/>
  <c r="K16" i="15"/>
  <c r="R16" i="15" s="1"/>
  <c r="K12" i="19"/>
  <c r="L56" i="18"/>
  <c r="L60" i="19"/>
  <c r="K20" i="15"/>
  <c r="R20" i="15" s="1"/>
  <c r="K12" i="20"/>
  <c r="R12" i="15"/>
  <c r="L68" i="30"/>
  <c r="L68" i="15"/>
  <c r="L68" i="29"/>
  <c r="K30" i="29"/>
  <c r="K16" i="30"/>
  <c r="R16" i="30" s="1"/>
  <c r="L71" i="29"/>
  <c r="M118" i="15"/>
  <c r="M128" i="15" s="1"/>
  <c r="M110" i="30"/>
  <c r="M116" i="29"/>
  <c r="M111" i="30"/>
  <c r="M129" i="15"/>
  <c r="M137" i="15"/>
  <c r="M142" i="30"/>
  <c r="M134" i="30"/>
  <c r="R52" i="30"/>
  <c r="M116" i="30"/>
  <c r="M117" i="29"/>
  <c r="M125" i="29" s="1"/>
  <c r="K20" i="20" a="1"/>
  <c r="K24" i="20" a="1"/>
  <c r="N48" i="18" a="1"/>
  <c r="K16" i="22" a="1"/>
  <c r="M52" i="18" a="1"/>
  <c r="L12" i="18" a="1"/>
  <c r="K24" i="22" a="1"/>
  <c r="K20" i="18" a="1"/>
  <c r="L70" i="30" a="1"/>
  <c r="K16" i="20" a="1"/>
  <c r="K34" i="33" a="1"/>
  <c r="K16" i="18" a="1"/>
  <c r="K16" i="19" a="1"/>
  <c r="J32" i="15" a="1"/>
  <c r="L70" i="22" a="1"/>
  <c r="L71" i="22" a="1"/>
  <c r="K24" i="18" a="1"/>
  <c r="M60" i="18" a="1"/>
  <c r="M56" i="18" a="1"/>
  <c r="L68" i="22" a="1"/>
  <c r="K35" i="29" a="1"/>
  <c r="K20" i="30" a="1"/>
  <c r="K24" i="19" a="1"/>
  <c r="L71" i="30" a="1"/>
  <c r="N52" i="18" a="1"/>
  <c r="L66" i="22" a="1"/>
  <c r="K20" i="22" a="1"/>
  <c r="K24" i="30" a="1"/>
  <c r="J32" i="30" a="1"/>
  <c r="K20" i="19" a="1"/>
  <c r="J32" i="29" a="1"/>
  <c r="L66" i="22" l="1"/>
  <c r="K20" i="30"/>
  <c r="R20" i="30" s="1"/>
  <c r="K24" i="30"/>
  <c r="R24" i="30" s="1"/>
  <c r="O100" i="18"/>
  <c r="O115" i="18"/>
  <c r="O124" i="18" s="1"/>
  <c r="P88" i="18"/>
  <c r="P92" i="18" s="1"/>
  <c r="O96" i="18"/>
  <c r="N48" i="18"/>
  <c r="K34" i="33"/>
  <c r="M56" i="18"/>
  <c r="K39" i="30"/>
  <c r="K16" i="19"/>
  <c r="L71" i="22"/>
  <c r="L70" i="22"/>
  <c r="M60" i="18"/>
  <c r="M52" i="18"/>
  <c r="K24" i="20"/>
  <c r="K16" i="20"/>
  <c r="K20" i="20"/>
  <c r="K20" i="22"/>
  <c r="K24" i="19"/>
  <c r="L12" i="18"/>
  <c r="K20" i="18"/>
  <c r="K20" i="19"/>
  <c r="K24" i="18"/>
  <c r="K16" i="22"/>
  <c r="K24" i="22"/>
  <c r="K16" i="18"/>
  <c r="L68" i="22"/>
  <c r="J32" i="15"/>
  <c r="N52" i="18"/>
  <c r="L70" i="30"/>
  <c r="J32" i="29"/>
  <c r="L71" i="30"/>
  <c r="K35" i="29"/>
  <c r="J32" i="30"/>
  <c r="M118" i="22"/>
  <c r="M128" i="22" s="1"/>
  <c r="M123" i="30"/>
  <c r="M133" i="30" s="1"/>
  <c r="K34" i="22" a="1"/>
  <c r="M16" i="18" a="1"/>
  <c r="L16" i="18" a="1"/>
  <c r="M12" i="18" a="1"/>
  <c r="N60" i="18" a="1"/>
  <c r="K30" i="22" a="1"/>
  <c r="J32" i="22" a="1"/>
  <c r="L24" i="18" a="1"/>
  <c r="K35" i="30" a="1"/>
  <c r="K34" i="30" a="1"/>
  <c r="K35" i="22" a="1"/>
  <c r="O48" i="18" a="1"/>
  <c r="O52" i="18" a="1"/>
  <c r="L20" i="18" a="1"/>
  <c r="N56" i="18" a="1"/>
  <c r="K30" i="22" l="1"/>
  <c r="P100" i="18"/>
  <c r="P96" i="18"/>
  <c r="P115" i="18"/>
  <c r="P124" i="18" s="1"/>
  <c r="N60" i="18"/>
  <c r="N56" i="18"/>
  <c r="O48" i="18"/>
  <c r="Q88" i="18"/>
  <c r="L20" i="18"/>
  <c r="M12" i="18"/>
  <c r="K35" i="22"/>
  <c r="K34" i="22"/>
  <c r="L16" i="18"/>
  <c r="L24" i="18"/>
  <c r="K35" i="30"/>
  <c r="K34" i="30"/>
  <c r="M16" i="18"/>
  <c r="O52" i="18"/>
  <c r="J32" i="22"/>
  <c r="M20" i="18" a="1"/>
  <c r="N12" i="18" a="1"/>
  <c r="O56" i="18" a="1"/>
  <c r="N16" i="18" a="1"/>
  <c r="O60" i="18" a="1"/>
  <c r="M24" i="18" a="1"/>
  <c r="P48" i="18" a="1"/>
  <c r="O60" i="18" l="1"/>
  <c r="O56" i="18"/>
  <c r="M24" i="18"/>
  <c r="P48" i="18"/>
  <c r="N12" i="18"/>
  <c r="M20" i="18"/>
  <c r="Q115" i="18"/>
  <c r="Q124" i="18" s="1"/>
  <c r="Q92" i="18"/>
  <c r="Q100" i="18"/>
  <c r="R88" i="18"/>
  <c r="Q96" i="18"/>
  <c r="N16" i="18"/>
  <c r="P56" i="18" a="1"/>
  <c r="N24" i="18" a="1"/>
  <c r="O12" i="18" a="1"/>
  <c r="P52" i="18" a="1"/>
  <c r="N20" i="18" a="1"/>
  <c r="P60" i="18" a="1"/>
  <c r="N24" i="18" l="1"/>
  <c r="N20" i="18"/>
  <c r="P56" i="18"/>
  <c r="P60" i="18"/>
  <c r="P52" i="18"/>
  <c r="O12" i="18"/>
  <c r="R12" i="18" s="1"/>
  <c r="R96" i="18"/>
  <c r="R100" i="18"/>
  <c r="R92" i="18"/>
  <c r="R48" i="18"/>
  <c r="O16" i="18" a="1"/>
  <c r="O24" i="18" a="1"/>
  <c r="O20" i="18" a="1"/>
  <c r="O16" i="18" l="1"/>
  <c r="R16" i="18" s="1"/>
  <c r="O24" i="18"/>
  <c r="R24" i="18" s="1"/>
  <c r="O20" i="18"/>
  <c r="R20" i="18" s="1"/>
  <c r="R52" i="18"/>
  <c r="R60" i="18"/>
  <c r="R56" i="18"/>
  <c r="K108" i="15" l="1"/>
  <c r="K110" i="33" s="1"/>
  <c r="K108" i="29"/>
  <c r="K106" i="29"/>
  <c r="J66" i="29" a="1"/>
  <c r="J70" i="33" a="1"/>
  <c r="J68" i="15" a="1"/>
  <c r="J68" i="29" a="1"/>
  <c r="J70" i="33" l="1"/>
  <c r="K123" i="33"/>
  <c r="K133" i="33" s="1"/>
  <c r="J68" i="29"/>
  <c r="J68" i="15"/>
  <c r="J66" i="29"/>
  <c r="K111" i="29"/>
  <c r="K116" i="29"/>
  <c r="K111" i="30"/>
  <c r="K111" i="28"/>
  <c r="K118" i="15"/>
  <c r="K128" i="15" s="1"/>
  <c r="K110" i="30"/>
  <c r="K108" i="30"/>
  <c r="K108" i="28"/>
  <c r="J68" i="28" a="1"/>
  <c r="I30" i="29" a="1"/>
  <c r="J71" i="29" a="1"/>
  <c r="J68" i="22" a="1"/>
  <c r="H32" i="15" a="1"/>
  <c r="J68" i="30" a="1"/>
  <c r="J71" i="30" a="1"/>
  <c r="H32" i="29" a="1"/>
  <c r="I34" i="33" a="1"/>
  <c r="J70" i="30" a="1"/>
  <c r="J71" i="28" a="1"/>
  <c r="I34" i="33" l="1"/>
  <c r="J68" i="22"/>
  <c r="J71" i="29"/>
  <c r="J68" i="28"/>
  <c r="I30" i="29"/>
  <c r="J68" i="30"/>
  <c r="J71" i="28"/>
  <c r="H32" i="15"/>
  <c r="J70" i="30"/>
  <c r="J71" i="30"/>
  <c r="H32" i="29"/>
  <c r="K118" i="22"/>
  <c r="K128" i="22" s="1"/>
  <c r="K116" i="30"/>
  <c r="K116" i="28"/>
  <c r="L116" i="28" s="1"/>
  <c r="M116" i="28" s="1"/>
  <c r="N116" i="28" s="1"/>
  <c r="O116" i="28" s="1"/>
  <c r="P116" i="28" s="1"/>
  <c r="Q116" i="28" s="1"/>
  <c r="K117" i="29"/>
  <c r="K125" i="29" s="1"/>
  <c r="L108" i="28"/>
  <c r="J87" i="29"/>
  <c r="J124" i="29" s="1"/>
  <c r="K124" i="29" s="1"/>
  <c r="L124" i="29" s="1"/>
  <c r="M124" i="29" s="1"/>
  <c r="N124" i="29" s="1"/>
  <c r="O124" i="29" s="1"/>
  <c r="P124" i="29" s="1"/>
  <c r="Q124" i="29" s="1"/>
  <c r="R124" i="29" s="1"/>
  <c r="J87" i="15"/>
  <c r="J131" i="15" s="1"/>
  <c r="K131" i="15" s="1"/>
  <c r="L131" i="15" s="1"/>
  <c r="M131" i="15" s="1"/>
  <c r="N131" i="15" s="1"/>
  <c r="O131" i="15" s="1"/>
  <c r="P131" i="15" s="1"/>
  <c r="Q131" i="15" s="1"/>
  <c r="R131" i="15" s="1"/>
  <c r="J105" i="29"/>
  <c r="L111" i="28"/>
  <c r="K123" i="30"/>
  <c r="K133" i="30" s="1"/>
  <c r="H32" i="28" a="1"/>
  <c r="I35" i="28" a="1"/>
  <c r="K68" i="28" a="1"/>
  <c r="I35" i="30" a="1"/>
  <c r="H32" i="30" a="1"/>
  <c r="I47" i="15" a="1"/>
  <c r="I34" i="30" a="1"/>
  <c r="I47" i="29" a="1"/>
  <c r="I35" i="29" a="1"/>
  <c r="K71" i="28" a="1"/>
  <c r="H32" i="22" a="1"/>
  <c r="I65" i="29" a="1"/>
  <c r="I35" i="28" l="1"/>
  <c r="I65" i="29"/>
  <c r="H32" i="30"/>
  <c r="K68" i="28"/>
  <c r="I47" i="15"/>
  <c r="H32" i="28"/>
  <c r="I47" i="29"/>
  <c r="I35" i="30"/>
  <c r="I35" i="29"/>
  <c r="K71" i="28"/>
  <c r="I34" i="30"/>
  <c r="H32" i="22"/>
  <c r="J129" i="29"/>
  <c r="J114" i="29"/>
  <c r="J121" i="29" s="1"/>
  <c r="J113" i="29"/>
  <c r="J120" i="29" s="1"/>
  <c r="R105" i="29"/>
  <c r="J130" i="29"/>
  <c r="J107" i="30"/>
  <c r="R107" i="30" s="1"/>
  <c r="J107" i="28"/>
  <c r="R107" i="28" s="1"/>
  <c r="M108" i="28"/>
  <c r="J142" i="15"/>
  <c r="R87" i="15"/>
  <c r="R142" i="15" s="1"/>
  <c r="J114" i="15"/>
  <c r="J87" i="28"/>
  <c r="J136" i="28" s="1"/>
  <c r="J85" i="15"/>
  <c r="R85" i="15" s="1"/>
  <c r="J95" i="15"/>
  <c r="J91" i="15"/>
  <c r="J99" i="15"/>
  <c r="J87" i="30"/>
  <c r="J136" i="30" s="1"/>
  <c r="K136" i="30" s="1"/>
  <c r="L136" i="30" s="1"/>
  <c r="M136" i="30" s="1"/>
  <c r="N136" i="30" s="1"/>
  <c r="O136" i="30" s="1"/>
  <c r="P136" i="30" s="1"/>
  <c r="Q136" i="30" s="1"/>
  <c r="R136" i="30" s="1"/>
  <c r="J87" i="18"/>
  <c r="J83" i="15"/>
  <c r="J132" i="29"/>
  <c r="R87" i="29"/>
  <c r="R132" i="29" s="1"/>
  <c r="J85" i="29"/>
  <c r="R85" i="29" s="1"/>
  <c r="J91" i="29"/>
  <c r="J95" i="29"/>
  <c r="J83" i="29"/>
  <c r="J99" i="29"/>
  <c r="M111" i="28"/>
  <c r="H11" i="15" a="1"/>
  <c r="I32" i="28" a="1"/>
  <c r="L68" i="28" a="1"/>
  <c r="I51" i="29" a="1"/>
  <c r="I62" i="20" a="1"/>
  <c r="I59" i="29" a="1"/>
  <c r="I51" i="15" a="1"/>
  <c r="I55" i="29" a="1"/>
  <c r="I47" i="22" a="1"/>
  <c r="I55" i="15" a="1"/>
  <c r="H29" i="29" a="1"/>
  <c r="I47" i="18" a="1"/>
  <c r="H11" i="29" a="1"/>
  <c r="I47" i="28" a="1"/>
  <c r="I47" i="20" a="1"/>
  <c r="I66" i="19" a="1"/>
  <c r="J35" i="28" a="1"/>
  <c r="I47" i="30" a="1"/>
  <c r="I59" i="15" a="1"/>
  <c r="L71" i="28" a="1"/>
  <c r="I47" i="19" a="1"/>
  <c r="J105" i="18" l="1"/>
  <c r="J131" i="18"/>
  <c r="J104" i="18"/>
  <c r="I47" i="20"/>
  <c r="I47" i="18"/>
  <c r="I55" i="15"/>
  <c r="H11" i="29"/>
  <c r="L71" i="28"/>
  <c r="I66" i="19"/>
  <c r="I47" i="28"/>
  <c r="H11" i="15"/>
  <c r="I62" i="20"/>
  <c r="L68" i="28"/>
  <c r="I32" i="28"/>
  <c r="I59" i="29"/>
  <c r="I47" i="19"/>
  <c r="I47" i="30"/>
  <c r="J35" i="28"/>
  <c r="H29" i="29"/>
  <c r="R29" i="29" s="1"/>
  <c r="I55" i="29"/>
  <c r="I59" i="15"/>
  <c r="I51" i="29"/>
  <c r="I47" i="22"/>
  <c r="I51" i="15"/>
  <c r="J83" i="20"/>
  <c r="J114" i="20"/>
  <c r="J85" i="20"/>
  <c r="J91" i="20"/>
  <c r="J99" i="20"/>
  <c r="J95" i="20"/>
  <c r="J114" i="18"/>
  <c r="J83" i="18"/>
  <c r="J111" i="18" s="1"/>
  <c r="J85" i="18"/>
  <c r="J91" i="18"/>
  <c r="J99" i="18"/>
  <c r="J95" i="18"/>
  <c r="R95" i="15"/>
  <c r="J117" i="15"/>
  <c r="J127" i="15" s="1"/>
  <c r="J138" i="15" s="1"/>
  <c r="J143" i="33" s="1"/>
  <c r="J123" i="15"/>
  <c r="R47" i="29"/>
  <c r="R75" i="29" s="1"/>
  <c r="I75" i="29"/>
  <c r="N111" i="28"/>
  <c r="J106" i="29"/>
  <c r="J102" i="18"/>
  <c r="J146" i="28"/>
  <c r="J119" i="28"/>
  <c r="J85" i="28"/>
  <c r="J95" i="28"/>
  <c r="J99" i="28"/>
  <c r="J91" i="28"/>
  <c r="J83" i="28"/>
  <c r="J144" i="30"/>
  <c r="J144" i="28"/>
  <c r="I75" i="15"/>
  <c r="R47" i="15"/>
  <c r="R75" i="15" s="1"/>
  <c r="J120" i="20"/>
  <c r="J133" i="20" s="1"/>
  <c r="J103" i="18"/>
  <c r="N108" i="28"/>
  <c r="R99" i="29"/>
  <c r="J83" i="19"/>
  <c r="J114" i="19"/>
  <c r="J85" i="19"/>
  <c r="J91" i="19"/>
  <c r="J99" i="19"/>
  <c r="J95" i="19"/>
  <c r="R87" i="30"/>
  <c r="J119" i="30"/>
  <c r="J122" i="30" s="1"/>
  <c r="J132" i="30" s="1"/>
  <c r="J85" i="30"/>
  <c r="R85" i="30" s="1"/>
  <c r="J91" i="30"/>
  <c r="J95" i="30"/>
  <c r="J99" i="30"/>
  <c r="J83" i="30"/>
  <c r="R65" i="29"/>
  <c r="K82" i="29"/>
  <c r="K123" i="29" s="1"/>
  <c r="M82" i="29"/>
  <c r="M123" i="29" s="1"/>
  <c r="L82" i="29"/>
  <c r="L123" i="29" s="1"/>
  <c r="R83" i="29"/>
  <c r="P82" i="29"/>
  <c r="P123" i="29" s="1"/>
  <c r="O82" i="29"/>
  <c r="O123" i="29" s="1"/>
  <c r="J82" i="29"/>
  <c r="J123" i="29" s="1"/>
  <c r="N82" i="29"/>
  <c r="N123" i="29" s="1"/>
  <c r="Q82" i="29"/>
  <c r="R95" i="29"/>
  <c r="J106" i="18"/>
  <c r="K87" i="18"/>
  <c r="R99" i="15"/>
  <c r="R83" i="15"/>
  <c r="K82" i="15"/>
  <c r="K130" i="15" s="1"/>
  <c r="P82" i="15"/>
  <c r="P130" i="15" s="1"/>
  <c r="L82" i="15"/>
  <c r="L130" i="15" s="1"/>
  <c r="J82" i="15"/>
  <c r="J130" i="15" s="1"/>
  <c r="M82" i="15"/>
  <c r="M130" i="15" s="1"/>
  <c r="J119" i="15"/>
  <c r="J132" i="15" s="1"/>
  <c r="N82" i="15"/>
  <c r="N130" i="15" s="1"/>
  <c r="O82" i="15"/>
  <c r="O130" i="15" s="1"/>
  <c r="Q82" i="15"/>
  <c r="R91" i="29"/>
  <c r="R87" i="22"/>
  <c r="J114" i="22"/>
  <c r="J85" i="22"/>
  <c r="J95" i="22"/>
  <c r="J91" i="22"/>
  <c r="J99" i="22"/>
  <c r="J83" i="22"/>
  <c r="R91" i="15"/>
  <c r="J108" i="15"/>
  <c r="J110" i="33" s="1"/>
  <c r="J108" i="29"/>
  <c r="I62" i="18" a="1"/>
  <c r="H11" i="19" a="1"/>
  <c r="L47" i="20" a="1"/>
  <c r="K35" i="28" a="1"/>
  <c r="I63" i="20" a="1"/>
  <c r="I59" i="28" a="1"/>
  <c r="I51" i="20" a="1"/>
  <c r="I51" i="19" a="1"/>
  <c r="H15" i="29" a="1"/>
  <c r="J47" i="19" a="1"/>
  <c r="J32" i="28" a="1"/>
  <c r="I51" i="18" a="1"/>
  <c r="I55" i="18" a="1"/>
  <c r="H11" i="28" a="1"/>
  <c r="I51" i="22" a="1"/>
  <c r="H19" i="29" a="1"/>
  <c r="I64" i="18" a="1"/>
  <c r="H15" i="15" a="1"/>
  <c r="I62" i="19" a="1"/>
  <c r="I71" i="18" a="1"/>
  <c r="I64" i="20" a="1"/>
  <c r="K47" i="20" a="1"/>
  <c r="I51" i="30" a="1"/>
  <c r="I59" i="30" a="1"/>
  <c r="I66" i="20" a="1"/>
  <c r="H11" i="30" a="1"/>
  <c r="H19" i="15" a="1"/>
  <c r="I65" i="20" a="1"/>
  <c r="H26" i="20" a="1"/>
  <c r="I64" i="19" a="1"/>
  <c r="I63" i="18" a="1"/>
  <c r="I59" i="18" a="1"/>
  <c r="I55" i="20" a="1"/>
  <c r="M68" i="28" a="1"/>
  <c r="I59" i="20" a="1"/>
  <c r="I68" i="15" a="1"/>
  <c r="I51" i="28" a="1"/>
  <c r="H11" i="18" a="1"/>
  <c r="H11" i="22" a="1"/>
  <c r="J47" i="20" a="1"/>
  <c r="I65" i="18" a="1"/>
  <c r="H23" i="29" a="1"/>
  <c r="I63" i="19" a="1"/>
  <c r="I55" i="30" a="1"/>
  <c r="H30" i="19" a="1"/>
  <c r="I65" i="19" a="1"/>
  <c r="I66" i="18" a="1"/>
  <c r="J47" i="18" a="1"/>
  <c r="H23" i="15" a="1"/>
  <c r="M71" i="28" a="1"/>
  <c r="I68" i="29" a="1"/>
  <c r="I55" i="19" a="1"/>
  <c r="H11" i="20" a="1"/>
  <c r="I55" i="22" a="1"/>
  <c r="I59" i="19" a="1"/>
  <c r="I59" i="22" a="1"/>
  <c r="I55" i="28" a="1"/>
  <c r="I66" i="29" a="1"/>
  <c r="I65" i="18" l="1"/>
  <c r="K131" i="18"/>
  <c r="J108" i="22"/>
  <c r="J110" i="22"/>
  <c r="J106" i="22"/>
  <c r="J84" i="22"/>
  <c r="J111" i="22"/>
  <c r="J108" i="19"/>
  <c r="J110" i="19"/>
  <c r="J111" i="19"/>
  <c r="J108" i="20"/>
  <c r="J110" i="20"/>
  <c r="J111" i="20"/>
  <c r="J110" i="18"/>
  <c r="J128" i="33"/>
  <c r="J131" i="33" s="1"/>
  <c r="J142" i="33" s="1"/>
  <c r="J143" i="30"/>
  <c r="J108" i="18"/>
  <c r="I64" i="18"/>
  <c r="L47" i="20"/>
  <c r="I68" i="29"/>
  <c r="I59" i="30"/>
  <c r="I55" i="19"/>
  <c r="I63" i="19"/>
  <c r="J47" i="19"/>
  <c r="J47" i="20"/>
  <c r="I51" i="18"/>
  <c r="H11" i="22"/>
  <c r="J32" i="28"/>
  <c r="H30" i="19"/>
  <c r="J47" i="18"/>
  <c r="I55" i="30"/>
  <c r="I59" i="19"/>
  <c r="M71" i="28"/>
  <c r="H15" i="29"/>
  <c r="R15" i="29" s="1"/>
  <c r="H11" i="30"/>
  <c r="I51" i="30"/>
  <c r="I51" i="19"/>
  <c r="I64" i="19"/>
  <c r="I62" i="19"/>
  <c r="H11" i="19"/>
  <c r="K35" i="28"/>
  <c r="I68" i="15"/>
  <c r="I59" i="22"/>
  <c r="I65" i="20"/>
  <c r="I71" i="18"/>
  <c r="M68" i="28"/>
  <c r="I63" i="18"/>
  <c r="I62" i="18"/>
  <c r="H23" i="15"/>
  <c r="R23" i="15" s="1"/>
  <c r="H26" i="20"/>
  <c r="I63" i="20"/>
  <c r="I66" i="20"/>
  <c r="H19" i="29"/>
  <c r="R19" i="29" s="1"/>
  <c r="H19" i="15"/>
  <c r="R19" i="15" s="1"/>
  <c r="I51" i="22"/>
  <c r="I55" i="22"/>
  <c r="I66" i="18"/>
  <c r="I51" i="28"/>
  <c r="I55" i="20"/>
  <c r="H11" i="28"/>
  <c r="I64" i="20"/>
  <c r="I59" i="28"/>
  <c r="I55" i="18"/>
  <c r="I59" i="20"/>
  <c r="H15" i="15"/>
  <c r="R15" i="15" s="1"/>
  <c r="H23" i="29"/>
  <c r="R23" i="29" s="1"/>
  <c r="H11" i="18"/>
  <c r="I65" i="19"/>
  <c r="K47" i="20"/>
  <c r="I55" i="28"/>
  <c r="I66" i="29"/>
  <c r="I59" i="18"/>
  <c r="I51" i="20"/>
  <c r="H11" i="20"/>
  <c r="M85" i="20"/>
  <c r="M83" i="20"/>
  <c r="M99" i="20"/>
  <c r="M91" i="20"/>
  <c r="M95" i="20"/>
  <c r="M114" i="20"/>
  <c r="J116" i="29"/>
  <c r="R108" i="29"/>
  <c r="J111" i="30"/>
  <c r="J111" i="28"/>
  <c r="R82" i="29"/>
  <c r="Q123" i="29"/>
  <c r="R123" i="29" s="1"/>
  <c r="R99" i="30"/>
  <c r="K85" i="19"/>
  <c r="K114" i="19"/>
  <c r="K99" i="19"/>
  <c r="K95" i="19"/>
  <c r="K91" i="19"/>
  <c r="K83" i="19"/>
  <c r="K85" i="20"/>
  <c r="K114" i="20"/>
  <c r="K95" i="20"/>
  <c r="K99" i="20"/>
  <c r="K91" i="20"/>
  <c r="K83" i="20"/>
  <c r="R47" i="22"/>
  <c r="I45" i="22"/>
  <c r="K85" i="18"/>
  <c r="K99" i="18"/>
  <c r="K95" i="18"/>
  <c r="K91" i="18"/>
  <c r="K83" i="18"/>
  <c r="K114" i="18"/>
  <c r="K102" i="18"/>
  <c r="K104" i="18"/>
  <c r="K105" i="18"/>
  <c r="K106" i="18"/>
  <c r="K103" i="18"/>
  <c r="R95" i="30"/>
  <c r="J122" i="28"/>
  <c r="J132" i="28" s="1"/>
  <c r="J143" i="28" s="1"/>
  <c r="J128" i="28"/>
  <c r="J131" i="28" s="1"/>
  <c r="O111" i="28"/>
  <c r="J123" i="20"/>
  <c r="R51" i="29"/>
  <c r="I75" i="30"/>
  <c r="R47" i="30"/>
  <c r="R75" i="30" s="1"/>
  <c r="R91" i="30"/>
  <c r="J120" i="19"/>
  <c r="J133" i="19" s="1"/>
  <c r="J116" i="19"/>
  <c r="J125" i="19" s="1"/>
  <c r="J82" i="18"/>
  <c r="J84" i="18"/>
  <c r="I45" i="19"/>
  <c r="J118" i="15"/>
  <c r="J128" i="15" s="1"/>
  <c r="R108" i="15"/>
  <c r="J110" i="28"/>
  <c r="J110" i="30"/>
  <c r="R99" i="22"/>
  <c r="O108" i="28"/>
  <c r="J101" i="18"/>
  <c r="J120" i="18"/>
  <c r="J133" i="18" s="1"/>
  <c r="J116" i="18"/>
  <c r="J125" i="18" s="1"/>
  <c r="L87" i="18"/>
  <c r="J123" i="18"/>
  <c r="J84" i="20"/>
  <c r="J82" i="20"/>
  <c r="R59" i="15"/>
  <c r="H39" i="29"/>
  <c r="R11" i="29"/>
  <c r="R39" i="29" s="1"/>
  <c r="J82" i="28"/>
  <c r="J135" i="28" s="1"/>
  <c r="J124" i="28"/>
  <c r="J137" i="28" s="1"/>
  <c r="K83" i="28"/>
  <c r="J128" i="30"/>
  <c r="J131" i="30" s="1"/>
  <c r="J126" i="15"/>
  <c r="J137" i="15" s="1"/>
  <c r="R55" i="29"/>
  <c r="H39" i="15"/>
  <c r="R11" i="15"/>
  <c r="R39" i="15" s="1"/>
  <c r="R55" i="15"/>
  <c r="J82" i="22"/>
  <c r="K82" i="22" s="1"/>
  <c r="L82" i="22" s="1"/>
  <c r="M82" i="22" s="1"/>
  <c r="R91" i="22"/>
  <c r="R95" i="22"/>
  <c r="J111" i="29"/>
  <c r="J123" i="19"/>
  <c r="I75" i="28"/>
  <c r="J82" i="19"/>
  <c r="J84" i="19"/>
  <c r="R51" i="15"/>
  <c r="R59" i="29"/>
  <c r="I45" i="18"/>
  <c r="J117" i="22"/>
  <c r="J123" i="22"/>
  <c r="J126" i="22" s="1"/>
  <c r="J129" i="22" s="1"/>
  <c r="R82" i="15"/>
  <c r="Q130" i="15"/>
  <c r="R130" i="15" s="1"/>
  <c r="P82" i="30"/>
  <c r="P135" i="30" s="1"/>
  <c r="K82" i="30"/>
  <c r="K135" i="30" s="1"/>
  <c r="N82" i="30"/>
  <c r="N135" i="30" s="1"/>
  <c r="R83" i="30"/>
  <c r="M82" i="30"/>
  <c r="M135" i="30" s="1"/>
  <c r="L82" i="30"/>
  <c r="L135" i="30" s="1"/>
  <c r="O82" i="30"/>
  <c r="O135" i="30" s="1"/>
  <c r="J82" i="30"/>
  <c r="J135" i="30" s="1"/>
  <c r="J124" i="30"/>
  <c r="J137" i="30" s="1"/>
  <c r="Q82" i="30"/>
  <c r="L85" i="20"/>
  <c r="L95" i="20"/>
  <c r="L99" i="20"/>
  <c r="L91" i="20"/>
  <c r="L114" i="20"/>
  <c r="L83" i="20"/>
  <c r="J116" i="20"/>
  <c r="J125" i="20" s="1"/>
  <c r="R106" i="29"/>
  <c r="J108" i="30"/>
  <c r="J108" i="28"/>
  <c r="I45" i="20"/>
  <c r="H15" i="19" a="1"/>
  <c r="J11" i="20" a="1"/>
  <c r="H28" i="20" a="1"/>
  <c r="J62" i="18" a="1"/>
  <c r="H15" i="28" a="1"/>
  <c r="J63" i="20" a="1"/>
  <c r="I68" i="18" a="1"/>
  <c r="I70" i="30" a="1"/>
  <c r="J64" i="20" a="1"/>
  <c r="K51" i="20" a="1"/>
  <c r="I68" i="30" a="1"/>
  <c r="L63" i="20" a="1"/>
  <c r="L35" i="28" a="1"/>
  <c r="I11" i="19" a="1"/>
  <c r="H15" i="18" a="1"/>
  <c r="J59" i="19" a="1"/>
  <c r="J66" i="20" a="1"/>
  <c r="K47" i="18" a="1"/>
  <c r="K62" i="20" a="1"/>
  <c r="I71" i="19" a="1"/>
  <c r="H19" i="28" a="1"/>
  <c r="H29" i="18" a="1"/>
  <c r="L62" i="20" a="1"/>
  <c r="H15" i="22" a="1"/>
  <c r="H23" i="19" a="1"/>
  <c r="I11" i="18" a="1"/>
  <c r="I70" i="19" a="1"/>
  <c r="I70" i="22" a="1"/>
  <c r="I68" i="19" a="1"/>
  <c r="L59" i="20" a="1"/>
  <c r="H23" i="28" a="1"/>
  <c r="H29" i="20" a="1"/>
  <c r="K63" i="20" a="1"/>
  <c r="L51" i="20" a="1"/>
  <c r="J65" i="19" a="1"/>
  <c r="J55" i="18" a="1"/>
  <c r="H19" i="20" a="1"/>
  <c r="J65" i="20" a="1"/>
  <c r="K47" i="19" a="1"/>
  <c r="J66" i="18" a="1"/>
  <c r="K64" i="20" a="1"/>
  <c r="N71" i="28" a="1"/>
  <c r="H19" i="30" a="1"/>
  <c r="I71" i="20" a="1"/>
  <c r="I68" i="28" a="1"/>
  <c r="H23" i="22" a="1"/>
  <c r="J64" i="18" a="1"/>
  <c r="M47" i="20" a="1"/>
  <c r="J62" i="19" a="1"/>
  <c r="K32" i="28" a="1"/>
  <c r="G32" i="29" a="1"/>
  <c r="J59" i="20" a="1"/>
  <c r="K55" i="20" a="1"/>
  <c r="I71" i="28" a="1"/>
  <c r="J66" i="19" a="1"/>
  <c r="I70" i="33" a="1"/>
  <c r="I70" i="28" a="1"/>
  <c r="L66" i="20" a="1"/>
  <c r="H19" i="19" a="1"/>
  <c r="I66" i="22" a="1"/>
  <c r="J51" i="18" a="1"/>
  <c r="H30" i="20" a="1"/>
  <c r="H19" i="18" a="1"/>
  <c r="J62" i="20" a="1"/>
  <c r="K66" i="20" a="1"/>
  <c r="L64" i="20" a="1"/>
  <c r="H27" i="19" a="1"/>
  <c r="N68" i="28" a="1"/>
  <c r="J55" i="20" a="1"/>
  <c r="I71" i="29" a="1"/>
  <c r="J51" i="20" a="1"/>
  <c r="N47" i="20" a="1"/>
  <c r="H27" i="18" a="1"/>
  <c r="L65" i="20" a="1"/>
  <c r="H29" i="19" a="1"/>
  <c r="J63" i="18" a="1"/>
  <c r="H30" i="18" a="1"/>
  <c r="H23" i="18" a="1"/>
  <c r="I68" i="22" a="1"/>
  <c r="K59" i="20" a="1"/>
  <c r="H15" i="30" a="1"/>
  <c r="I70" i="18" a="1"/>
  <c r="J51" i="19" a="1"/>
  <c r="H35" i="18" a="1"/>
  <c r="I71" i="22" a="1"/>
  <c r="I70" i="20" a="1"/>
  <c r="H30" i="29" a="1"/>
  <c r="J65" i="18" a="1"/>
  <c r="H23" i="30" a="1"/>
  <c r="H26" i="18" a="1"/>
  <c r="H28" i="19" a="1"/>
  <c r="K65" i="20" a="1"/>
  <c r="I11" i="20" a="1"/>
  <c r="J55" i="19" a="1"/>
  <c r="H15" i="20" a="1"/>
  <c r="I68" i="20" a="1"/>
  <c r="K11" i="20" a="1"/>
  <c r="H19" i="22" a="1"/>
  <c r="H26" i="19" a="1"/>
  <c r="H28" i="18" a="1"/>
  <c r="L55" i="20" a="1"/>
  <c r="J63" i="19" a="1"/>
  <c r="J64" i="19" a="1"/>
  <c r="I71" i="30" a="1"/>
  <c r="G32" i="15" a="1"/>
  <c r="J59" i="18" a="1"/>
  <c r="H23" i="20" a="1"/>
  <c r="H27" i="20" a="1"/>
  <c r="J117" i="19" l="1"/>
  <c r="J127" i="19" s="1"/>
  <c r="H29" i="18"/>
  <c r="L131" i="18"/>
  <c r="I71" i="19"/>
  <c r="K108" i="19"/>
  <c r="K110" i="19"/>
  <c r="K111" i="19"/>
  <c r="I71" i="20"/>
  <c r="M110" i="20"/>
  <c r="M108" i="20"/>
  <c r="M111" i="20"/>
  <c r="K108" i="20"/>
  <c r="K110" i="20"/>
  <c r="K111" i="20"/>
  <c r="L110" i="20"/>
  <c r="L111" i="20"/>
  <c r="L108" i="20"/>
  <c r="I70" i="18"/>
  <c r="I70" i="20"/>
  <c r="J126" i="19"/>
  <c r="J129" i="19" s="1"/>
  <c r="J134" i="33"/>
  <c r="I68" i="18"/>
  <c r="I70" i="33"/>
  <c r="J118" i="18"/>
  <c r="J128" i="18" s="1"/>
  <c r="J123" i="33"/>
  <c r="J133" i="33" s="1"/>
  <c r="J119" i="19"/>
  <c r="J132" i="19" s="1"/>
  <c r="J119" i="20"/>
  <c r="J132" i="20" s="1"/>
  <c r="I70" i="19"/>
  <c r="J119" i="22"/>
  <c r="J132" i="22" s="1"/>
  <c r="H28" i="18"/>
  <c r="I68" i="30"/>
  <c r="K66" i="20"/>
  <c r="I70" i="22"/>
  <c r="N71" i="28"/>
  <c r="J63" i="18"/>
  <c r="J55" i="18"/>
  <c r="J51" i="20"/>
  <c r="J64" i="19"/>
  <c r="I71" i="30"/>
  <c r="L64" i="20"/>
  <c r="H30" i="29"/>
  <c r="R30" i="29" s="1"/>
  <c r="H28" i="20"/>
  <c r="H15" i="28"/>
  <c r="K32" i="28"/>
  <c r="H15" i="30"/>
  <c r="R15" i="30" s="1"/>
  <c r="H19" i="19"/>
  <c r="I66" i="22"/>
  <c r="J66" i="18"/>
  <c r="J59" i="18"/>
  <c r="J59" i="20"/>
  <c r="J65" i="19"/>
  <c r="L65" i="20"/>
  <c r="H19" i="28"/>
  <c r="H27" i="20"/>
  <c r="H23" i="19"/>
  <c r="H23" i="30"/>
  <c r="R23" i="30" s="1"/>
  <c r="I71" i="29"/>
  <c r="K47" i="19"/>
  <c r="J65" i="18"/>
  <c r="J62" i="20"/>
  <c r="J55" i="20"/>
  <c r="J66" i="19"/>
  <c r="L63" i="20"/>
  <c r="J11" i="20"/>
  <c r="J9" i="20" s="1"/>
  <c r="H19" i="30"/>
  <c r="R19" i="30" s="1"/>
  <c r="H15" i="18"/>
  <c r="K51" i="20"/>
  <c r="N47" i="20"/>
  <c r="I70" i="30"/>
  <c r="J64" i="18"/>
  <c r="J64" i="20"/>
  <c r="H23" i="20"/>
  <c r="H30" i="20"/>
  <c r="I11" i="18"/>
  <c r="I9" i="18" s="1"/>
  <c r="K65" i="20"/>
  <c r="K59" i="20"/>
  <c r="I68" i="20"/>
  <c r="M47" i="20"/>
  <c r="I68" i="22"/>
  <c r="J62" i="18"/>
  <c r="J63" i="20"/>
  <c r="J51" i="19"/>
  <c r="L55" i="20"/>
  <c r="H29" i="19"/>
  <c r="H19" i="18"/>
  <c r="H30" i="18"/>
  <c r="H35" i="18"/>
  <c r="I11" i="20"/>
  <c r="I9" i="20" s="1"/>
  <c r="K63" i="20"/>
  <c r="K55" i="20"/>
  <c r="I68" i="19"/>
  <c r="N68" i="28"/>
  <c r="I70" i="28"/>
  <c r="J66" i="20"/>
  <c r="J55" i="19"/>
  <c r="L51" i="20"/>
  <c r="H15" i="20"/>
  <c r="H29" i="20"/>
  <c r="H26" i="19"/>
  <c r="I11" i="19"/>
  <c r="I9" i="19" s="1"/>
  <c r="G32" i="29"/>
  <c r="R32" i="29" s="1"/>
  <c r="K64" i="20"/>
  <c r="J65" i="20"/>
  <c r="J62" i="19"/>
  <c r="J59" i="19"/>
  <c r="L62" i="20"/>
  <c r="L59" i="20"/>
  <c r="H23" i="18"/>
  <c r="H23" i="28"/>
  <c r="H19" i="20"/>
  <c r="H19" i="22"/>
  <c r="R19" i="22" s="1"/>
  <c r="H26" i="18"/>
  <c r="H23" i="22"/>
  <c r="R23" i="22" s="1"/>
  <c r="H28" i="19"/>
  <c r="L35" i="28"/>
  <c r="H27" i="19"/>
  <c r="I68" i="28"/>
  <c r="K62" i="20"/>
  <c r="I71" i="22"/>
  <c r="K47" i="18"/>
  <c r="J51" i="18"/>
  <c r="J63" i="19"/>
  <c r="I71" i="28"/>
  <c r="L66" i="20"/>
  <c r="H15" i="22"/>
  <c r="R15" i="22" s="1"/>
  <c r="H27" i="18"/>
  <c r="G32" i="15"/>
  <c r="R32" i="15" s="1"/>
  <c r="H15" i="19"/>
  <c r="K11" i="20"/>
  <c r="K9" i="20" s="1"/>
  <c r="L84" i="20"/>
  <c r="R108" i="30"/>
  <c r="R82" i="30"/>
  <c r="Q135" i="30"/>
  <c r="R135" i="30" s="1"/>
  <c r="K124" i="28"/>
  <c r="K137" i="28" s="1"/>
  <c r="K87" i="28"/>
  <c r="K136" i="28" s="1"/>
  <c r="L83" i="28"/>
  <c r="P111" i="28"/>
  <c r="K101" i="18"/>
  <c r="R111" i="30"/>
  <c r="R66" i="29"/>
  <c r="R51" i="30"/>
  <c r="H9" i="20"/>
  <c r="I61" i="20"/>
  <c r="R11" i="22"/>
  <c r="H9" i="22"/>
  <c r="R59" i="30"/>
  <c r="L123" i="20"/>
  <c r="R111" i="29"/>
  <c r="J116" i="30"/>
  <c r="R116" i="30" s="1"/>
  <c r="J116" i="28"/>
  <c r="R116" i="28" s="1"/>
  <c r="J117" i="29"/>
  <c r="J125" i="29" s="1"/>
  <c r="L85" i="19"/>
  <c r="L83" i="19"/>
  <c r="L99" i="19"/>
  <c r="L91" i="19"/>
  <c r="L95" i="19"/>
  <c r="L114" i="19"/>
  <c r="J134" i="28"/>
  <c r="J142" i="28"/>
  <c r="K120" i="20"/>
  <c r="K133" i="20" s="1"/>
  <c r="K116" i="20"/>
  <c r="K125" i="20" s="1"/>
  <c r="K45" i="20"/>
  <c r="H9" i="19"/>
  <c r="R55" i="30"/>
  <c r="O95" i="20"/>
  <c r="O99" i="20"/>
  <c r="O91" i="20"/>
  <c r="O114" i="20"/>
  <c r="J130" i="22"/>
  <c r="K130" i="22"/>
  <c r="L130" i="22"/>
  <c r="M130" i="22"/>
  <c r="J123" i="30"/>
  <c r="J133" i="30" s="1"/>
  <c r="R110" i="30"/>
  <c r="K123" i="20"/>
  <c r="K82" i="19"/>
  <c r="K84" i="19"/>
  <c r="K130" i="19" s="1"/>
  <c r="M123" i="20"/>
  <c r="H39" i="28"/>
  <c r="H39" i="30"/>
  <c r="R11" i="30"/>
  <c r="R39" i="30" s="1"/>
  <c r="J45" i="18"/>
  <c r="J118" i="20"/>
  <c r="J128" i="20" s="1"/>
  <c r="N99" i="20"/>
  <c r="N95" i="20"/>
  <c r="N91" i="20"/>
  <c r="N114" i="20"/>
  <c r="J130" i="20"/>
  <c r="J118" i="22"/>
  <c r="J128" i="22" s="1"/>
  <c r="J130" i="18"/>
  <c r="K116" i="18"/>
  <c r="K125" i="18" s="1"/>
  <c r="K120" i="18"/>
  <c r="K133" i="18" s="1"/>
  <c r="J45" i="20"/>
  <c r="J118" i="19"/>
  <c r="J128" i="19" s="1"/>
  <c r="J129" i="15"/>
  <c r="K82" i="28"/>
  <c r="K135" i="28" s="1"/>
  <c r="J126" i="18"/>
  <c r="J129" i="18" s="1"/>
  <c r="P108" i="28"/>
  <c r="J123" i="28"/>
  <c r="J133" i="28" s="1"/>
  <c r="K110" i="28"/>
  <c r="J117" i="20"/>
  <c r="J127" i="20" s="1"/>
  <c r="K123" i="18"/>
  <c r="J45" i="19"/>
  <c r="R68" i="29"/>
  <c r="J142" i="30"/>
  <c r="J134" i="30"/>
  <c r="J117" i="18"/>
  <c r="J127" i="18" s="1"/>
  <c r="J126" i="20"/>
  <c r="J129" i="20" s="1"/>
  <c r="K82" i="18"/>
  <c r="K84" i="18"/>
  <c r="K130" i="18" s="1"/>
  <c r="K110" i="18"/>
  <c r="K111" i="18"/>
  <c r="K108" i="18"/>
  <c r="K120" i="19"/>
  <c r="K133" i="19" s="1"/>
  <c r="K116" i="19"/>
  <c r="K125" i="19" s="1"/>
  <c r="M120" i="20"/>
  <c r="M133" i="20" s="1"/>
  <c r="M116" i="20"/>
  <c r="M125" i="20" s="1"/>
  <c r="R55" i="22"/>
  <c r="R59" i="22"/>
  <c r="I61" i="19"/>
  <c r="L120" i="20"/>
  <c r="L133" i="20" s="1"/>
  <c r="L116" i="20"/>
  <c r="L125" i="20" s="1"/>
  <c r="J130" i="19"/>
  <c r="L85" i="18"/>
  <c r="L83" i="18"/>
  <c r="L95" i="18"/>
  <c r="L99" i="18"/>
  <c r="L91" i="18"/>
  <c r="L114" i="18"/>
  <c r="L105" i="18"/>
  <c r="L103" i="18"/>
  <c r="L102" i="18"/>
  <c r="L104" i="18"/>
  <c r="L106" i="18"/>
  <c r="M87" i="18"/>
  <c r="J119" i="18"/>
  <c r="J132" i="18" s="1"/>
  <c r="K82" i="20"/>
  <c r="L82" i="20" s="1"/>
  <c r="M82" i="20" s="1"/>
  <c r="K84" i="20"/>
  <c r="K130" i="20" s="1"/>
  <c r="K123" i="19"/>
  <c r="M84" i="20"/>
  <c r="H9" i="18"/>
  <c r="R51" i="22"/>
  <c r="R68" i="15"/>
  <c r="L45" i="20"/>
  <c r="I19" i="20" a="1"/>
  <c r="K68" i="20" a="1"/>
  <c r="K59" i="18" a="1"/>
  <c r="K63" i="18" a="1"/>
  <c r="I30" i="18" a="1"/>
  <c r="I26" i="19" a="1"/>
  <c r="H30" i="22" a="1"/>
  <c r="K55" i="18" a="1"/>
  <c r="K64" i="18" a="1"/>
  <c r="N51" i="20" a="1"/>
  <c r="J71" i="19" a="1"/>
  <c r="K51" i="19" a="1"/>
  <c r="J28" i="20" a="1"/>
  <c r="H35" i="29" a="1"/>
  <c r="J70" i="19" a="1"/>
  <c r="G32" i="28" a="1"/>
  <c r="I26" i="18" a="1"/>
  <c r="I15" i="20" a="1"/>
  <c r="L47" i="19" a="1"/>
  <c r="J68" i="20" a="1"/>
  <c r="I28" i="19" a="1"/>
  <c r="J70" i="18" a="1"/>
  <c r="H34" i="20" a="1"/>
  <c r="J71" i="18" a="1"/>
  <c r="J11" i="18" a="1"/>
  <c r="I29" i="18" a="1"/>
  <c r="J19" i="20" a="1"/>
  <c r="K26" i="20" a="1"/>
  <c r="J30" i="20" a="1"/>
  <c r="M59" i="20" a="1"/>
  <c r="J47" i="28" a="1"/>
  <c r="N59" i="20" a="1"/>
  <c r="N47" i="19" a="1"/>
  <c r="K23" i="20" a="1"/>
  <c r="J27" i="20" a="1"/>
  <c r="K66" i="19" a="1"/>
  <c r="K66" i="18" a="1"/>
  <c r="L70" i="20" a="1"/>
  <c r="I26" i="20" a="1"/>
  <c r="I15" i="18" a="1"/>
  <c r="I19" i="18" a="1"/>
  <c r="K19" i="20" a="1"/>
  <c r="K27" i="20" a="1"/>
  <c r="H34" i="19" a="1"/>
  <c r="J68" i="18" a="1"/>
  <c r="I19" i="19" a="1"/>
  <c r="I23" i="20" a="1"/>
  <c r="H34" i="22" a="1"/>
  <c r="J26" i="20" a="1"/>
  <c r="H35" i="30" a="1"/>
  <c r="I23" i="19" a="1"/>
  <c r="O47" i="20" a="1"/>
  <c r="G32" i="30" a="1"/>
  <c r="K64" i="19" a="1"/>
  <c r="J71" i="20" a="1"/>
  <c r="K55" i="19" a="1"/>
  <c r="K70" i="20" a="1"/>
  <c r="I29" i="19" a="1"/>
  <c r="J29" i="20" a="1"/>
  <c r="J68" i="19" a="1"/>
  <c r="H35" i="19" a="1"/>
  <c r="J70" i="28" a="1"/>
  <c r="L71" i="20" a="1"/>
  <c r="I29" i="20" a="1"/>
  <c r="I28" i="20" a="1"/>
  <c r="K71" i="20" a="1"/>
  <c r="K30" i="20" a="1"/>
  <c r="J15" i="20" a="1"/>
  <c r="I28" i="18" a="1"/>
  <c r="L47" i="18" a="1"/>
  <c r="H34" i="30" a="1"/>
  <c r="L32" i="28" a="1"/>
  <c r="K62" i="18" a="1"/>
  <c r="J70" i="20" a="1"/>
  <c r="G32" i="19" a="1"/>
  <c r="K15" i="20" a="1"/>
  <c r="G32" i="22" a="1"/>
  <c r="K28" i="20" a="1"/>
  <c r="K63" i="19" a="1"/>
  <c r="L11" i="20" a="1"/>
  <c r="H35" i="20" a="1"/>
  <c r="M55" i="20" a="1"/>
  <c r="I15" i="19" a="1"/>
  <c r="H34" i="28" a="1"/>
  <c r="H34" i="18" a="1"/>
  <c r="I27" i="19" a="1"/>
  <c r="M47" i="19" a="1"/>
  <c r="K62" i="19" a="1"/>
  <c r="K65" i="18" a="1"/>
  <c r="I23" i="18" a="1"/>
  <c r="H35" i="28" a="1"/>
  <c r="I27" i="18" a="1"/>
  <c r="M35" i="28" a="1"/>
  <c r="G32" i="18" a="1"/>
  <c r="K59" i="19" a="1"/>
  <c r="M51" i="20" a="1"/>
  <c r="J23" i="20" a="1"/>
  <c r="I30" i="20" a="1"/>
  <c r="L68" i="20" a="1"/>
  <c r="I30" i="19" a="1"/>
  <c r="M11" i="20" a="1"/>
  <c r="P47" i="20" a="1"/>
  <c r="K51" i="18" a="1"/>
  <c r="O71" i="28" a="1"/>
  <c r="H34" i="33" a="1"/>
  <c r="O68" i="28" a="1"/>
  <c r="I27" i="20" a="1"/>
  <c r="K65" i="19" a="1"/>
  <c r="K29" i="20" a="1"/>
  <c r="N55" i="20" a="1"/>
  <c r="G32" i="20" a="1"/>
  <c r="H35" i="22" a="1"/>
  <c r="J11" i="19" a="1"/>
  <c r="M131" i="18" l="1"/>
  <c r="H35" i="19"/>
  <c r="L110" i="19"/>
  <c r="L111" i="19"/>
  <c r="L108" i="19"/>
  <c r="H35" i="20"/>
  <c r="H34" i="18"/>
  <c r="H34" i="20"/>
  <c r="H34" i="33"/>
  <c r="G32" i="18"/>
  <c r="H34" i="19"/>
  <c r="L119" i="20"/>
  <c r="L132" i="20" s="1"/>
  <c r="K119" i="19"/>
  <c r="K132" i="19" s="1"/>
  <c r="K117" i="20"/>
  <c r="K127" i="20" s="1"/>
  <c r="K126" i="20"/>
  <c r="K129" i="20" s="1"/>
  <c r="M130" i="20"/>
  <c r="K119" i="20"/>
  <c r="K132" i="20" s="1"/>
  <c r="K126" i="19"/>
  <c r="K129" i="19" s="1"/>
  <c r="K117" i="19"/>
  <c r="K127" i="19" s="1"/>
  <c r="N47" i="19"/>
  <c r="N59" i="20"/>
  <c r="K65" i="19"/>
  <c r="O47" i="20"/>
  <c r="I27" i="19"/>
  <c r="J28" i="20"/>
  <c r="H34" i="28"/>
  <c r="I27" i="20"/>
  <c r="I28" i="18"/>
  <c r="H35" i="29"/>
  <c r="R35" i="29" s="1"/>
  <c r="K29" i="20"/>
  <c r="I28" i="19"/>
  <c r="J68" i="18"/>
  <c r="J70" i="28"/>
  <c r="M55" i="20"/>
  <c r="K64" i="19"/>
  <c r="I15" i="18"/>
  <c r="L32" i="28"/>
  <c r="I26" i="18"/>
  <c r="H34" i="30"/>
  <c r="R34" i="30" s="1"/>
  <c r="I29" i="19"/>
  <c r="I15" i="20"/>
  <c r="J71" i="18"/>
  <c r="N55" i="20"/>
  <c r="J11" i="18"/>
  <c r="K23" i="20"/>
  <c r="G32" i="19"/>
  <c r="G32" i="22"/>
  <c r="M11" i="20"/>
  <c r="K27" i="20"/>
  <c r="I23" i="20"/>
  <c r="I19" i="18"/>
  <c r="L68" i="20"/>
  <c r="K65" i="18"/>
  <c r="J70" i="18"/>
  <c r="M47" i="19"/>
  <c r="M59" i="20"/>
  <c r="N51" i="20"/>
  <c r="K55" i="19"/>
  <c r="H35" i="22"/>
  <c r="K26" i="20"/>
  <c r="J19" i="20"/>
  <c r="L11" i="20"/>
  <c r="J15" i="20"/>
  <c r="I30" i="19"/>
  <c r="I23" i="18"/>
  <c r="I27" i="18"/>
  <c r="L71" i="20"/>
  <c r="J68" i="20"/>
  <c r="O68" i="28"/>
  <c r="J68" i="19"/>
  <c r="L47" i="19"/>
  <c r="K51" i="19"/>
  <c r="J26" i="20"/>
  <c r="I23" i="19"/>
  <c r="J27" i="20"/>
  <c r="G32" i="20"/>
  <c r="I19" i="20"/>
  <c r="I30" i="18"/>
  <c r="M35" i="28"/>
  <c r="K64" i="18"/>
  <c r="K63" i="18"/>
  <c r="L70" i="20"/>
  <c r="J70" i="20"/>
  <c r="L47" i="18"/>
  <c r="K51" i="18"/>
  <c r="P47" i="20"/>
  <c r="J71" i="19"/>
  <c r="K66" i="19"/>
  <c r="K59" i="19"/>
  <c r="O71" i="28"/>
  <c r="K70" i="20"/>
  <c r="G32" i="28"/>
  <c r="I26" i="19"/>
  <c r="K15" i="20"/>
  <c r="J23" i="20"/>
  <c r="I26" i="20"/>
  <c r="H30" i="22"/>
  <c r="H34" i="22"/>
  <c r="J71" i="20"/>
  <c r="K59" i="18"/>
  <c r="M51" i="20"/>
  <c r="J70" i="19"/>
  <c r="K63" i="19"/>
  <c r="K71" i="20"/>
  <c r="K30" i="20"/>
  <c r="I29" i="20"/>
  <c r="I19" i="19"/>
  <c r="K19" i="20"/>
  <c r="J29" i="20"/>
  <c r="I29" i="18"/>
  <c r="K28" i="20"/>
  <c r="J30" i="20"/>
  <c r="K62" i="18"/>
  <c r="K66" i="18"/>
  <c r="K55" i="18"/>
  <c r="K62" i="19"/>
  <c r="J47" i="28"/>
  <c r="K68" i="20"/>
  <c r="H35" i="28"/>
  <c r="I30" i="20"/>
  <c r="I15" i="19"/>
  <c r="I28" i="20"/>
  <c r="J11" i="19"/>
  <c r="H35" i="30"/>
  <c r="R35" i="30" s="1"/>
  <c r="G32" i="30"/>
  <c r="R32" i="30" s="1"/>
  <c r="O91" i="19"/>
  <c r="O114" i="19"/>
  <c r="O95" i="19"/>
  <c r="O99" i="19"/>
  <c r="P95" i="20"/>
  <c r="P91" i="20"/>
  <c r="P99" i="20"/>
  <c r="P114" i="20"/>
  <c r="L130" i="20"/>
  <c r="J61" i="19"/>
  <c r="J61" i="20"/>
  <c r="R71" i="29"/>
  <c r="L84" i="18"/>
  <c r="L130" i="18" s="1"/>
  <c r="L82" i="18"/>
  <c r="L108" i="18"/>
  <c r="L111" i="18"/>
  <c r="L110" i="18"/>
  <c r="K118" i="18"/>
  <c r="K128" i="18" s="1"/>
  <c r="K123" i="28"/>
  <c r="K133" i="28" s="1"/>
  <c r="L110" i="28"/>
  <c r="R87" i="20"/>
  <c r="R70" i="30"/>
  <c r="M126" i="20"/>
  <c r="M129" i="20" s="1"/>
  <c r="O123" i="20"/>
  <c r="L123" i="19"/>
  <c r="K45" i="18"/>
  <c r="L61" i="20"/>
  <c r="M118" i="20"/>
  <c r="M128" i="20" s="1"/>
  <c r="N91" i="19"/>
  <c r="N99" i="19"/>
  <c r="N95" i="19"/>
  <c r="N114" i="19"/>
  <c r="M117" i="20"/>
  <c r="M127" i="20" s="1"/>
  <c r="K118" i="20"/>
  <c r="K128" i="20" s="1"/>
  <c r="L123" i="18"/>
  <c r="Q108" i="28"/>
  <c r="N123" i="20"/>
  <c r="K118" i="19"/>
  <c r="K128" i="19" s="1"/>
  <c r="M85" i="19"/>
  <c r="M99" i="19"/>
  <c r="M95" i="19"/>
  <c r="M91" i="19"/>
  <c r="M83" i="19"/>
  <c r="M114" i="19"/>
  <c r="L126" i="20"/>
  <c r="L129" i="20" s="1"/>
  <c r="K61" i="20"/>
  <c r="L101" i="18"/>
  <c r="M85" i="18"/>
  <c r="M99" i="18"/>
  <c r="M95" i="18"/>
  <c r="M91" i="18"/>
  <c r="M83" i="18"/>
  <c r="M114" i="18"/>
  <c r="M105" i="18"/>
  <c r="M106" i="18"/>
  <c r="M103" i="18"/>
  <c r="M104" i="18"/>
  <c r="M102" i="18"/>
  <c r="N87" i="18"/>
  <c r="K119" i="18"/>
  <c r="K132" i="18" s="1"/>
  <c r="Q99" i="20"/>
  <c r="Q95" i="20"/>
  <c r="Q91" i="20"/>
  <c r="Q114" i="20"/>
  <c r="L117" i="20"/>
  <c r="L127" i="20" s="1"/>
  <c r="Q111" i="28"/>
  <c r="M119" i="20"/>
  <c r="M132" i="20" s="1"/>
  <c r="K126" i="18"/>
  <c r="K129" i="18" s="1"/>
  <c r="L84" i="19"/>
  <c r="L82" i="19"/>
  <c r="L124" i="28"/>
  <c r="L137" i="28" s="1"/>
  <c r="M83" i="28"/>
  <c r="L87" i="28"/>
  <c r="R87" i="28" s="1"/>
  <c r="L82" i="28"/>
  <c r="L135" i="28" s="1"/>
  <c r="L116" i="18"/>
  <c r="L125" i="18" s="1"/>
  <c r="L120" i="18"/>
  <c r="L133" i="18" s="1"/>
  <c r="K117" i="18"/>
  <c r="K127" i="18" s="1"/>
  <c r="L116" i="19"/>
  <c r="L125" i="19" s="1"/>
  <c r="L120" i="19"/>
  <c r="L133" i="19" s="1"/>
  <c r="K85" i="28"/>
  <c r="K146" i="28"/>
  <c r="K119" i="28"/>
  <c r="K91" i="28"/>
  <c r="K95" i="28"/>
  <c r="K99" i="28"/>
  <c r="L118" i="20"/>
  <c r="L128" i="20" s="1"/>
  <c r="K45" i="19"/>
  <c r="R71" i="30"/>
  <c r="R68" i="30"/>
  <c r="M55" i="19" a="1"/>
  <c r="H32" i="18" a="1"/>
  <c r="L64" i="19" a="1"/>
  <c r="K68" i="18" a="1"/>
  <c r="J26" i="18" a="1"/>
  <c r="K71" i="19" a="1"/>
  <c r="L65" i="18" a="1"/>
  <c r="J28" i="19" a="1"/>
  <c r="O47" i="19" a="1"/>
  <c r="K71" i="18" a="1"/>
  <c r="P51" i="20" a="1"/>
  <c r="K70" i="19" a="1"/>
  <c r="J27" i="19" a="1"/>
  <c r="J26" i="19" a="1"/>
  <c r="K11" i="18" a="1"/>
  <c r="J30" i="18" a="1"/>
  <c r="J51" i="28" a="1"/>
  <c r="L23" i="20" a="1"/>
  <c r="L55" i="18" a="1"/>
  <c r="N59" i="19" a="1"/>
  <c r="M51" i="19" a="1"/>
  <c r="L65" i="19" a="1"/>
  <c r="J27" i="18" a="1"/>
  <c r="I35" i="18" a="1"/>
  <c r="L11" i="19" a="1"/>
  <c r="I34" i="20" a="1"/>
  <c r="I35" i="19" a="1"/>
  <c r="J15" i="18" a="1"/>
  <c r="J15" i="19" a="1"/>
  <c r="L19" i="20" a="1"/>
  <c r="N11" i="20" a="1"/>
  <c r="J23" i="18" a="1"/>
  <c r="O11" i="20" a="1"/>
  <c r="J23" i="19" a="1"/>
  <c r="H32" i="20" a="1"/>
  <c r="N35" i="28" a="1"/>
  <c r="L63" i="18" a="1"/>
  <c r="L64" i="18" a="1"/>
  <c r="P55" i="20" a="1"/>
  <c r="K68" i="19" a="1"/>
  <c r="J29" i="19" a="1"/>
  <c r="K70" i="28" a="1"/>
  <c r="K34" i="20" a="1"/>
  <c r="L63" i="19" a="1"/>
  <c r="L51" i="18" a="1"/>
  <c r="K70" i="18" a="1"/>
  <c r="O59" i="20" a="1"/>
  <c r="I34" i="28" a="1"/>
  <c r="L15" i="20" a="1"/>
  <c r="K47" i="28" a="1"/>
  <c r="J19" i="19" a="1"/>
  <c r="I11" i="28" a="1"/>
  <c r="O55" i="20" a="1"/>
  <c r="M59" i="19" a="1"/>
  <c r="L59" i="19" a="1"/>
  <c r="M32" i="28" a="1"/>
  <c r="L66" i="18" a="1"/>
  <c r="P59" i="20" a="1"/>
  <c r="L51" i="19" a="1"/>
  <c r="K35" i="20" a="1"/>
  <c r="J28" i="18" a="1"/>
  <c r="J30" i="19" a="1"/>
  <c r="N51" i="19" a="1"/>
  <c r="L55" i="19" a="1"/>
  <c r="M47" i="18" a="1"/>
  <c r="J35" i="20" a="1"/>
  <c r="I34" i="19" a="1"/>
  <c r="L59" i="18" a="1"/>
  <c r="N55" i="19" a="1"/>
  <c r="J34" i="20" a="1"/>
  <c r="J59" i="28" a="1"/>
  <c r="I35" i="20" a="1"/>
  <c r="P71" i="28" a="1"/>
  <c r="J32" i="20" a="1"/>
  <c r="I34" i="18" a="1"/>
  <c r="J55" i="28" a="1"/>
  <c r="M19" i="20" a="1"/>
  <c r="L66" i="19" a="1"/>
  <c r="H32" i="19" a="1"/>
  <c r="J19" i="18" a="1"/>
  <c r="M23" i="20" a="1"/>
  <c r="M15" i="20" a="1"/>
  <c r="P68" i="28" a="1"/>
  <c r="K11" i="19" a="1"/>
  <c r="O51" i="20" a="1"/>
  <c r="L62" i="19" a="1"/>
  <c r="I32" i="20" a="1"/>
  <c r="J29" i="18" a="1"/>
  <c r="M11" i="19" a="1"/>
  <c r="L62" i="18" a="1"/>
  <c r="N131" i="18" l="1"/>
  <c r="L136" i="28"/>
  <c r="M110" i="19"/>
  <c r="M111" i="19"/>
  <c r="M108" i="19"/>
  <c r="R91" i="20"/>
  <c r="R47" i="20"/>
  <c r="R99" i="20"/>
  <c r="R95" i="20"/>
  <c r="L119" i="18"/>
  <c r="L132" i="18" s="1"/>
  <c r="K70" i="19"/>
  <c r="L64" i="18"/>
  <c r="L59" i="18"/>
  <c r="L62" i="19"/>
  <c r="M59" i="19"/>
  <c r="J19" i="18"/>
  <c r="J23" i="18"/>
  <c r="O11" i="20"/>
  <c r="L23" i="20"/>
  <c r="L19" i="20"/>
  <c r="K68" i="19"/>
  <c r="P71" i="28"/>
  <c r="L63" i="18"/>
  <c r="L65" i="19"/>
  <c r="O55" i="20"/>
  <c r="J30" i="18"/>
  <c r="I35" i="20"/>
  <c r="J34" i="20"/>
  <c r="J15" i="18"/>
  <c r="H32" i="19"/>
  <c r="L11" i="19"/>
  <c r="I34" i="28"/>
  <c r="L66" i="19"/>
  <c r="O47" i="19"/>
  <c r="J26" i="18"/>
  <c r="N35" i="28"/>
  <c r="K11" i="18"/>
  <c r="K9" i="18" s="1"/>
  <c r="I34" i="18"/>
  <c r="H32" i="18"/>
  <c r="K71" i="19"/>
  <c r="K47" i="28"/>
  <c r="R47" i="28" s="1"/>
  <c r="L65" i="18"/>
  <c r="M51" i="19"/>
  <c r="N51" i="19"/>
  <c r="I32" i="20"/>
  <c r="J35" i="20"/>
  <c r="J23" i="19"/>
  <c r="I34" i="20"/>
  <c r="M32" i="28"/>
  <c r="J29" i="18"/>
  <c r="N11" i="20"/>
  <c r="J59" i="28"/>
  <c r="P68" i="28"/>
  <c r="K70" i="18"/>
  <c r="N59" i="19"/>
  <c r="I11" i="28"/>
  <c r="J27" i="19"/>
  <c r="J30" i="19"/>
  <c r="K34" i="20"/>
  <c r="H32" i="20"/>
  <c r="J32" i="20"/>
  <c r="J29" i="19"/>
  <c r="L66" i="18"/>
  <c r="J55" i="28"/>
  <c r="P51" i="20"/>
  <c r="L51" i="19"/>
  <c r="M55" i="19"/>
  <c r="K71" i="18"/>
  <c r="N55" i="19"/>
  <c r="J26" i="19"/>
  <c r="J27" i="18"/>
  <c r="K35" i="20"/>
  <c r="M19" i="20"/>
  <c r="M23" i="20"/>
  <c r="J51" i="28"/>
  <c r="P55" i="20"/>
  <c r="M47" i="18"/>
  <c r="L51" i="18"/>
  <c r="L63" i="19"/>
  <c r="L55" i="19"/>
  <c r="K68" i="18"/>
  <c r="O59" i="20"/>
  <c r="I34" i="19"/>
  <c r="I35" i="19"/>
  <c r="J28" i="18"/>
  <c r="J15" i="19"/>
  <c r="J19" i="19"/>
  <c r="J28" i="19"/>
  <c r="P59" i="20"/>
  <c r="L62" i="18"/>
  <c r="L55" i="18"/>
  <c r="L64" i="19"/>
  <c r="L59" i="19"/>
  <c r="K70" i="28"/>
  <c r="O51" i="20"/>
  <c r="L15" i="20"/>
  <c r="K11" i="19"/>
  <c r="K9" i="19" s="1"/>
  <c r="M15" i="20"/>
  <c r="I35" i="18"/>
  <c r="M11" i="19"/>
  <c r="M120" i="19"/>
  <c r="M133" i="19" s="1"/>
  <c r="M116" i="19"/>
  <c r="M125" i="19" s="1"/>
  <c r="L126" i="19"/>
  <c r="L129" i="19" s="1"/>
  <c r="L118" i="19"/>
  <c r="L128" i="19" s="1"/>
  <c r="R111" i="28"/>
  <c r="Q123" i="20"/>
  <c r="M101" i="18"/>
  <c r="L117" i="19"/>
  <c r="L127" i="19" s="1"/>
  <c r="O123" i="19"/>
  <c r="P91" i="19"/>
  <c r="P99" i="19"/>
  <c r="P114" i="19"/>
  <c r="P95" i="19"/>
  <c r="P123" i="20"/>
  <c r="L45" i="18"/>
  <c r="L146" i="28"/>
  <c r="L85" i="28"/>
  <c r="L99" i="28"/>
  <c r="R99" i="28" s="1"/>
  <c r="L91" i="28"/>
  <c r="R91" i="28" s="1"/>
  <c r="L95" i="28"/>
  <c r="R95" i="28" s="1"/>
  <c r="L119" i="28"/>
  <c r="L119" i="19"/>
  <c r="L132" i="19" s="1"/>
  <c r="M123" i="19"/>
  <c r="M124" i="28"/>
  <c r="M137" i="28" s="1"/>
  <c r="M88" i="28"/>
  <c r="N83" i="28"/>
  <c r="M82" i="28"/>
  <c r="M135" i="28" s="1"/>
  <c r="M123" i="18"/>
  <c r="M82" i="19"/>
  <c r="M84" i="19"/>
  <c r="R108" i="28"/>
  <c r="N123" i="19"/>
  <c r="J75" i="28"/>
  <c r="K61" i="19"/>
  <c r="J9" i="18"/>
  <c r="L130" i="19"/>
  <c r="M82" i="18"/>
  <c r="M84" i="18"/>
  <c r="M110" i="18"/>
  <c r="M111" i="18"/>
  <c r="M108" i="18"/>
  <c r="J9" i="19"/>
  <c r="N85" i="18"/>
  <c r="N105" i="18"/>
  <c r="N91" i="18"/>
  <c r="N102" i="18"/>
  <c r="N106" i="18"/>
  <c r="N104" i="18"/>
  <c r="N103" i="18"/>
  <c r="N99" i="18"/>
  <c r="N95" i="18"/>
  <c r="N114" i="18"/>
  <c r="N83" i="18"/>
  <c r="O87" i="18"/>
  <c r="L126" i="18"/>
  <c r="L129" i="18" s="1"/>
  <c r="L118" i="18"/>
  <c r="L128" i="18" s="1"/>
  <c r="K122" i="28"/>
  <c r="K132" i="28" s="1"/>
  <c r="K143" i="28" s="1"/>
  <c r="K128" i="28"/>
  <c r="K131" i="28" s="1"/>
  <c r="M120" i="18"/>
  <c r="M133" i="18" s="1"/>
  <c r="M116" i="18"/>
  <c r="M125" i="18" s="1"/>
  <c r="L117" i="18"/>
  <c r="L127" i="18" s="1"/>
  <c r="L123" i="28"/>
  <c r="L133" i="28" s="1"/>
  <c r="M110" i="28"/>
  <c r="L45" i="19"/>
  <c r="L68" i="18" a="1"/>
  <c r="K19" i="18" a="1"/>
  <c r="O35" i="28" a="1"/>
  <c r="M55" i="18" a="1"/>
  <c r="L11" i="18" a="1"/>
  <c r="K15" i="19" a="1"/>
  <c r="J11" i="28" a="1"/>
  <c r="I15" i="28" a="1"/>
  <c r="L68" i="19" a="1"/>
  <c r="K27" i="19" a="1"/>
  <c r="N47" i="18" a="1"/>
  <c r="M19" i="19" a="1"/>
  <c r="K30" i="18" a="1"/>
  <c r="L19" i="19" a="1"/>
  <c r="K30" i="19" a="1"/>
  <c r="N15" i="20" a="1"/>
  <c r="O55" i="19" a="1"/>
  <c r="J34" i="28" a="1"/>
  <c r="I32" i="18" a="1"/>
  <c r="J34" i="18" a="1"/>
  <c r="J35" i="19" a="1"/>
  <c r="K59" i="28" a="1"/>
  <c r="K28" i="19" a="1"/>
  <c r="M15" i="19" a="1"/>
  <c r="L70" i="18" a="1"/>
  <c r="I32" i="19" a="1"/>
  <c r="L71" i="19" a="1"/>
  <c r="K55" i="28" a="1"/>
  <c r="O19" i="20" a="1"/>
  <c r="K27" i="18" a="1"/>
  <c r="L70" i="28" a="1"/>
  <c r="I19" i="28" a="1"/>
  <c r="K26" i="18" a="1"/>
  <c r="N23" i="20" a="1"/>
  <c r="O59" i="19" a="1"/>
  <c r="N19" i="20" a="1"/>
  <c r="K28" i="18" a="1"/>
  <c r="P47" i="19" a="1"/>
  <c r="M66" i="18" a="1"/>
  <c r="M51" i="18" a="1"/>
  <c r="K51" i="28" a="1"/>
  <c r="K29" i="19" a="1"/>
  <c r="O23" i="20" a="1"/>
  <c r="J35" i="18" a="1"/>
  <c r="K29" i="18" a="1"/>
  <c r="M63" i="18" a="1"/>
  <c r="K23" i="18" a="1"/>
  <c r="K19" i="19" a="1"/>
  <c r="M65" i="18" a="1"/>
  <c r="K26" i="19" a="1"/>
  <c r="L23" i="19" a="1"/>
  <c r="N32" i="28" a="1"/>
  <c r="M59" i="18" a="1"/>
  <c r="N11" i="19" a="1"/>
  <c r="L15" i="19" a="1"/>
  <c r="K23" i="19" a="1"/>
  <c r="O15" i="20" a="1"/>
  <c r="M23" i="19" a="1"/>
  <c r="M62" i="18" a="1"/>
  <c r="L48" i="28" a="1"/>
  <c r="L71" i="18" a="1"/>
  <c r="K15" i="18" a="1"/>
  <c r="O51" i="19" a="1"/>
  <c r="M64" i="18" a="1"/>
  <c r="I23" i="28" a="1"/>
  <c r="L70" i="19" a="1"/>
  <c r="J34" i="19" a="1"/>
  <c r="M136" i="28" l="1"/>
  <c r="O131" i="18"/>
  <c r="M130" i="19"/>
  <c r="R55" i="20"/>
  <c r="R11" i="20"/>
  <c r="R59" i="20"/>
  <c r="R51" i="20"/>
  <c r="M126" i="19"/>
  <c r="M129" i="19" s="1"/>
  <c r="M117" i="19"/>
  <c r="M127" i="19" s="1"/>
  <c r="M63" i="18"/>
  <c r="L70" i="18"/>
  <c r="L71" i="19"/>
  <c r="K23" i="19"/>
  <c r="I32" i="18"/>
  <c r="I15" i="28"/>
  <c r="M19" i="19"/>
  <c r="K30" i="18"/>
  <c r="M23" i="19"/>
  <c r="K30" i="19"/>
  <c r="I32" i="19"/>
  <c r="M64" i="18"/>
  <c r="K28" i="19"/>
  <c r="L15" i="19"/>
  <c r="N19" i="20"/>
  <c r="L70" i="28"/>
  <c r="M66" i="18"/>
  <c r="K55" i="28"/>
  <c r="R55" i="28" s="1"/>
  <c r="O59" i="19"/>
  <c r="K19" i="18"/>
  <c r="J35" i="18"/>
  <c r="J34" i="18"/>
  <c r="K29" i="18"/>
  <c r="L23" i="19"/>
  <c r="N47" i="18"/>
  <c r="M62" i="18"/>
  <c r="K51" i="28"/>
  <c r="R51" i="28" s="1"/>
  <c r="N15" i="20"/>
  <c r="K26" i="18"/>
  <c r="K19" i="19"/>
  <c r="L19" i="19"/>
  <c r="K26" i="19"/>
  <c r="K59" i="28"/>
  <c r="R59" i="28" s="1"/>
  <c r="O51" i="19"/>
  <c r="J34" i="28"/>
  <c r="O23" i="20"/>
  <c r="K27" i="19"/>
  <c r="N32" i="28"/>
  <c r="R32" i="28" s="1"/>
  <c r="J11" i="28"/>
  <c r="J39" i="28" s="1"/>
  <c r="K29" i="19"/>
  <c r="K23" i="18"/>
  <c r="M51" i="18"/>
  <c r="P47" i="19"/>
  <c r="R47" i="19" s="1"/>
  <c r="M65" i="18"/>
  <c r="K15" i="18"/>
  <c r="K15" i="19"/>
  <c r="J35" i="19"/>
  <c r="K27" i="18"/>
  <c r="K28" i="18"/>
  <c r="M55" i="18"/>
  <c r="L68" i="18"/>
  <c r="L68" i="19"/>
  <c r="L48" i="28"/>
  <c r="O55" i="19"/>
  <c r="L11" i="18"/>
  <c r="O15" i="20"/>
  <c r="I23" i="28"/>
  <c r="M15" i="19"/>
  <c r="N11" i="19"/>
  <c r="M59" i="18"/>
  <c r="L71" i="18"/>
  <c r="L70" i="19"/>
  <c r="N23" i="20"/>
  <c r="O19" i="20"/>
  <c r="I19" i="28"/>
  <c r="O35" i="28"/>
  <c r="R35" i="28" s="1"/>
  <c r="J34" i="19"/>
  <c r="N101" i="18"/>
  <c r="M130" i="18"/>
  <c r="L122" i="28"/>
  <c r="L132" i="28" s="1"/>
  <c r="L143" i="28" s="1"/>
  <c r="L128" i="28"/>
  <c r="L131" i="28" s="1"/>
  <c r="M123" i="28"/>
  <c r="M133" i="28" s="1"/>
  <c r="N110" i="28"/>
  <c r="M119" i="18"/>
  <c r="M132" i="18" s="1"/>
  <c r="M119" i="19"/>
  <c r="M132" i="19" s="1"/>
  <c r="K134" i="28"/>
  <c r="K142" i="28"/>
  <c r="O85" i="18"/>
  <c r="O106" i="18"/>
  <c r="O105" i="18"/>
  <c r="O99" i="18"/>
  <c r="O103" i="18"/>
  <c r="O104" i="18"/>
  <c r="O91" i="18"/>
  <c r="O102" i="18"/>
  <c r="O95" i="18"/>
  <c r="O114" i="18"/>
  <c r="O83" i="18"/>
  <c r="P87" i="18"/>
  <c r="Q87" i="18" s="1"/>
  <c r="N116" i="18"/>
  <c r="N125" i="18" s="1"/>
  <c r="N120" i="18"/>
  <c r="N133" i="18" s="1"/>
  <c r="N82" i="18"/>
  <c r="N84" i="18"/>
  <c r="N110" i="18"/>
  <c r="N111" i="18"/>
  <c r="N108" i="18"/>
  <c r="L61" i="19"/>
  <c r="R68" i="28"/>
  <c r="K75" i="28"/>
  <c r="Q99" i="19"/>
  <c r="R99" i="19" s="1"/>
  <c r="Q95" i="19"/>
  <c r="Q91" i="19"/>
  <c r="Q114" i="19"/>
  <c r="N123" i="18"/>
  <c r="R87" i="19"/>
  <c r="M126" i="18"/>
  <c r="M129" i="18" s="1"/>
  <c r="N124" i="28"/>
  <c r="N137" i="28" s="1"/>
  <c r="N88" i="28"/>
  <c r="O83" i="28"/>
  <c r="N82" i="28"/>
  <c r="N135" i="28" s="1"/>
  <c r="M118" i="18"/>
  <c r="M128" i="18" s="1"/>
  <c r="M118" i="19"/>
  <c r="M128" i="19" s="1"/>
  <c r="M117" i="18"/>
  <c r="M127" i="18" s="1"/>
  <c r="M85" i="28"/>
  <c r="M146" i="28"/>
  <c r="M100" i="28"/>
  <c r="M96" i="28"/>
  <c r="M92" i="28"/>
  <c r="M120" i="28"/>
  <c r="M45" i="18"/>
  <c r="P123" i="19"/>
  <c r="I39" i="28"/>
  <c r="R71" i="28"/>
  <c r="J23" i="28" a="1"/>
  <c r="L28" i="18" a="1"/>
  <c r="N62" i="18" a="1"/>
  <c r="N23" i="19" a="1"/>
  <c r="N64" i="18" a="1"/>
  <c r="L23" i="18" a="1"/>
  <c r="L19" i="18" a="1"/>
  <c r="N63" i="18" a="1"/>
  <c r="P59" i="19" a="1"/>
  <c r="O11" i="19" a="1"/>
  <c r="M70" i="28" a="1"/>
  <c r="L30" i="18" a="1"/>
  <c r="N59" i="18" a="1"/>
  <c r="M68" i="18" a="1"/>
  <c r="N51" i="18" a="1"/>
  <c r="L26" i="18" a="1"/>
  <c r="N66" i="18" a="1"/>
  <c r="K34" i="18" a="1"/>
  <c r="K34" i="28" a="1"/>
  <c r="J32" i="19" a="1"/>
  <c r="J15" i="28" a="1"/>
  <c r="L52" i="28" a="1"/>
  <c r="L15" i="18" a="1"/>
  <c r="K35" i="19" a="1"/>
  <c r="N19" i="19" a="1"/>
  <c r="J19" i="28" a="1"/>
  <c r="O47" i="18" a="1"/>
  <c r="M48" i="28" a="1"/>
  <c r="P55" i="19" a="1"/>
  <c r="L29" i="18" a="1"/>
  <c r="M11" i="18" a="1"/>
  <c r="K34" i="19" a="1"/>
  <c r="K12" i="28" a="1"/>
  <c r="N15" i="19" a="1"/>
  <c r="K35" i="18" a="1"/>
  <c r="P47" i="18" a="1"/>
  <c r="L27" i="18" a="1"/>
  <c r="J32" i="18" a="1"/>
  <c r="M71" i="18" a="1"/>
  <c r="P51" i="19" a="1"/>
  <c r="M70" i="18" a="1"/>
  <c r="N65" i="18" a="1"/>
  <c r="N55" i="18" a="1"/>
  <c r="L56" i="28" a="1"/>
  <c r="L60" i="28" a="1"/>
  <c r="P131" i="18" l="1"/>
  <c r="Q131" i="18" s="1"/>
  <c r="N136" i="28"/>
  <c r="N130" i="18"/>
  <c r="N126" i="18"/>
  <c r="N129" i="18" s="1"/>
  <c r="N117" i="18"/>
  <c r="N127" i="18" s="1"/>
  <c r="R15" i="20"/>
  <c r="R11" i="28"/>
  <c r="R23" i="20"/>
  <c r="R19" i="20"/>
  <c r="M71" i="18"/>
  <c r="N66" i="18"/>
  <c r="M70" i="28"/>
  <c r="N23" i="19"/>
  <c r="P47" i="18"/>
  <c r="M70" i="18"/>
  <c r="N55" i="18"/>
  <c r="N19" i="19"/>
  <c r="J23" i="28"/>
  <c r="R23" i="28" s="1"/>
  <c r="J19" i="28"/>
  <c r="R19" i="28" s="1"/>
  <c r="M68" i="18"/>
  <c r="L52" i="28"/>
  <c r="P51" i="19"/>
  <c r="R51" i="19" s="1"/>
  <c r="N62" i="18"/>
  <c r="L30" i="18"/>
  <c r="N65" i="18"/>
  <c r="L56" i="28"/>
  <c r="N51" i="18"/>
  <c r="K12" i="28"/>
  <c r="L29" i="18"/>
  <c r="K34" i="28"/>
  <c r="N15" i="19"/>
  <c r="L60" i="28"/>
  <c r="N64" i="18"/>
  <c r="K34" i="19"/>
  <c r="J32" i="19"/>
  <c r="O11" i="19"/>
  <c r="J15" i="28"/>
  <c r="R15" i="28" s="1"/>
  <c r="K35" i="19"/>
  <c r="M48" i="28"/>
  <c r="P55" i="19"/>
  <c r="R55" i="19" s="1"/>
  <c r="O47" i="18"/>
  <c r="N63" i="18"/>
  <c r="K35" i="18"/>
  <c r="J32" i="18"/>
  <c r="L15" i="18"/>
  <c r="L26" i="18"/>
  <c r="K34" i="18"/>
  <c r="P59" i="19"/>
  <c r="R59" i="19" s="1"/>
  <c r="N59" i="18"/>
  <c r="L23" i="18"/>
  <c r="L19" i="18"/>
  <c r="M11" i="18"/>
  <c r="M9" i="18" s="1"/>
  <c r="L28" i="18"/>
  <c r="L27" i="18"/>
  <c r="O82" i="18"/>
  <c r="O84" i="18"/>
  <c r="O111" i="18"/>
  <c r="O108" i="18"/>
  <c r="O110" i="18"/>
  <c r="Q123" i="19"/>
  <c r="O123" i="18"/>
  <c r="O110" i="28"/>
  <c r="N123" i="28"/>
  <c r="N133" i="28" s="1"/>
  <c r="Q85" i="18"/>
  <c r="Q104" i="18"/>
  <c r="Q103" i="18"/>
  <c r="Q95" i="18"/>
  <c r="Q102" i="18"/>
  <c r="Q106" i="18"/>
  <c r="Q105" i="18"/>
  <c r="Q91" i="18"/>
  <c r="Q99" i="18"/>
  <c r="Q114" i="18"/>
  <c r="Q83" i="18"/>
  <c r="M122" i="28"/>
  <c r="M132" i="28" s="1"/>
  <c r="M143" i="28" s="1"/>
  <c r="M129" i="28"/>
  <c r="M131" i="28" s="1"/>
  <c r="L142" i="28"/>
  <c r="L134" i="28"/>
  <c r="N118" i="18"/>
  <c r="N128" i="18" s="1"/>
  <c r="O120" i="18"/>
  <c r="O133" i="18" s="1"/>
  <c r="O116" i="18"/>
  <c r="O125" i="18" s="1"/>
  <c r="N119" i="18"/>
  <c r="N132" i="18" s="1"/>
  <c r="L75" i="28"/>
  <c r="R91" i="19"/>
  <c r="N85" i="28"/>
  <c r="N146" i="28"/>
  <c r="N96" i="28"/>
  <c r="N100" i="28"/>
  <c r="N92" i="28"/>
  <c r="N120" i="28"/>
  <c r="P85" i="18"/>
  <c r="P99" i="18"/>
  <c r="P91" i="18"/>
  <c r="P95" i="18"/>
  <c r="P105" i="18"/>
  <c r="P104" i="18"/>
  <c r="P106" i="18"/>
  <c r="P103" i="18"/>
  <c r="P102" i="18"/>
  <c r="P114" i="18"/>
  <c r="P83" i="18"/>
  <c r="O101" i="18"/>
  <c r="L9" i="18"/>
  <c r="R95" i="19"/>
  <c r="O124" i="28"/>
  <c r="O137" i="28" s="1"/>
  <c r="O88" i="28"/>
  <c r="P83" i="28"/>
  <c r="O82" i="28"/>
  <c r="O135" i="28" s="1"/>
  <c r="R87" i="18"/>
  <c r="N45" i="18"/>
  <c r="P51" i="18" a="1"/>
  <c r="M26" i="18" a="1"/>
  <c r="O11" i="18" a="1"/>
  <c r="P63" i="18" a="1"/>
  <c r="P55" i="18" a="1"/>
  <c r="O55" i="18" a="1"/>
  <c r="O62" i="18" a="1"/>
  <c r="P64" i="18" a="1"/>
  <c r="O66" i="18" a="1"/>
  <c r="M56" i="28" a="1"/>
  <c r="O19" i="19" a="1"/>
  <c r="N71" i="18" a="1"/>
  <c r="K20" i="28" a="1"/>
  <c r="M30" i="18" a="1"/>
  <c r="N11" i="18" a="1"/>
  <c r="O23" i="19" a="1"/>
  <c r="M15" i="18" a="1"/>
  <c r="M52" i="28" a="1"/>
  <c r="M19" i="18" a="1"/>
  <c r="O65" i="18" a="1"/>
  <c r="O51" i="18" a="1"/>
  <c r="N70" i="28" a="1"/>
  <c r="L12" i="28" a="1"/>
  <c r="P62" i="18" a="1"/>
  <c r="O64" i="18" a="1"/>
  <c r="K32" i="18" a="1"/>
  <c r="P65" i="18" a="1"/>
  <c r="P59" i="18" a="1"/>
  <c r="K16" i="28" a="1"/>
  <c r="M60" i="28" a="1"/>
  <c r="N68" i="18" a="1"/>
  <c r="L34" i="28" a="1"/>
  <c r="P66" i="18" a="1"/>
  <c r="O15" i="19" a="1"/>
  <c r="M23" i="18" a="1"/>
  <c r="M27" i="18" a="1"/>
  <c r="N70" i="18" a="1"/>
  <c r="O59" i="18" a="1"/>
  <c r="K24" i="28" a="1"/>
  <c r="L35" i="18" a="1"/>
  <c r="M28" i="18" a="1"/>
  <c r="L34" i="18" a="1"/>
  <c r="O63" i="18" a="1"/>
  <c r="N48" i="28" a="1"/>
  <c r="M29" i="18" a="1"/>
  <c r="O136" i="28" l="1"/>
  <c r="O130" i="18"/>
  <c r="R11" i="19"/>
  <c r="O119" i="18"/>
  <c r="O132" i="18" s="1"/>
  <c r="O62" i="18"/>
  <c r="P62" i="18"/>
  <c r="M29" i="18"/>
  <c r="O15" i="19"/>
  <c r="R15" i="19" s="1"/>
  <c r="O63" i="18"/>
  <c r="P55" i="18"/>
  <c r="O23" i="19"/>
  <c r="R23" i="19" s="1"/>
  <c r="M27" i="18"/>
  <c r="K16" i="28"/>
  <c r="M19" i="18"/>
  <c r="P63" i="18"/>
  <c r="N11" i="18"/>
  <c r="K32" i="18"/>
  <c r="L34" i="18"/>
  <c r="N48" i="28"/>
  <c r="O64" i="18"/>
  <c r="M52" i="28"/>
  <c r="P64" i="18"/>
  <c r="N70" i="28"/>
  <c r="O19" i="19"/>
  <c r="R19" i="19" s="1"/>
  <c r="M28" i="18"/>
  <c r="L34" i="28"/>
  <c r="O65" i="18"/>
  <c r="M60" i="28"/>
  <c r="P59" i="18"/>
  <c r="N70" i="18"/>
  <c r="L12" i="28"/>
  <c r="L39" i="28" s="1"/>
  <c r="M30" i="18"/>
  <c r="O55" i="18"/>
  <c r="M56" i="28"/>
  <c r="P51" i="18"/>
  <c r="N68" i="18"/>
  <c r="K24" i="28"/>
  <c r="M15" i="18"/>
  <c r="O11" i="18"/>
  <c r="O9" i="18" s="1"/>
  <c r="L35" i="18"/>
  <c r="O66" i="18"/>
  <c r="O51" i="18"/>
  <c r="P65" i="18"/>
  <c r="N71" i="18"/>
  <c r="O59" i="18"/>
  <c r="P66" i="18"/>
  <c r="M23" i="18"/>
  <c r="K20" i="28"/>
  <c r="M26" i="18"/>
  <c r="P124" i="28"/>
  <c r="P137" i="28" s="1"/>
  <c r="P88" i="28"/>
  <c r="Q83" i="28"/>
  <c r="Q82" i="28" s="1"/>
  <c r="P116" i="18"/>
  <c r="P125" i="18" s="1"/>
  <c r="P120" i="18"/>
  <c r="P133" i="18" s="1"/>
  <c r="R102" i="18"/>
  <c r="M142" i="28"/>
  <c r="M134" i="28"/>
  <c r="Q116" i="18"/>
  <c r="Q125" i="18" s="1"/>
  <c r="Q120" i="18"/>
  <c r="Q133" i="18" s="1"/>
  <c r="P101" i="18"/>
  <c r="R103" i="18"/>
  <c r="Q84" i="18"/>
  <c r="Q110" i="18"/>
  <c r="Q108" i="18"/>
  <c r="Q111" i="18"/>
  <c r="R83" i="18"/>
  <c r="Q101" i="18"/>
  <c r="O45" i="18"/>
  <c r="R47" i="18"/>
  <c r="O146" i="28"/>
  <c r="O85" i="28"/>
  <c r="O100" i="28"/>
  <c r="O92" i="28"/>
  <c r="O96" i="28"/>
  <c r="O120" i="28"/>
  <c r="Q123" i="18"/>
  <c r="R104" i="18"/>
  <c r="O123" i="28"/>
  <c r="O133" i="28" s="1"/>
  <c r="P110" i="28"/>
  <c r="K39" i="28"/>
  <c r="R85" i="18"/>
  <c r="R132" i="18" s="1"/>
  <c r="O126" i="18"/>
  <c r="O129" i="18" s="1"/>
  <c r="M75" i="28"/>
  <c r="R95" i="18"/>
  <c r="O117" i="18"/>
  <c r="O127" i="18" s="1"/>
  <c r="O118" i="18"/>
  <c r="O128" i="18" s="1"/>
  <c r="P45" i="18"/>
  <c r="P82" i="18"/>
  <c r="Q82" i="18" s="1"/>
  <c r="R82" i="18" s="1"/>
  <c r="P84" i="18"/>
  <c r="P111" i="18"/>
  <c r="P108" i="18"/>
  <c r="P110" i="18"/>
  <c r="R91" i="18"/>
  <c r="R105" i="18"/>
  <c r="N122" i="28"/>
  <c r="N132" i="28" s="1"/>
  <c r="N143" i="28" s="1"/>
  <c r="N129" i="28"/>
  <c r="N131" i="28" s="1"/>
  <c r="P82" i="28"/>
  <c r="P135" i="28" s="1"/>
  <c r="P123" i="18"/>
  <c r="R99" i="18"/>
  <c r="R106" i="18"/>
  <c r="L16" i="28" a="1"/>
  <c r="N52" i="28" a="1"/>
  <c r="O19" i="18" a="1"/>
  <c r="O30" i="18" a="1"/>
  <c r="L32" i="18" a="1"/>
  <c r="N27" i="18" a="1"/>
  <c r="N26" i="18" a="1"/>
  <c r="M12" i="28" a="1"/>
  <c r="N28" i="18" a="1"/>
  <c r="N30" i="18" a="1"/>
  <c r="N19" i="18" a="1"/>
  <c r="N56" i="28" a="1"/>
  <c r="O70" i="28" a="1"/>
  <c r="O29" i="18" a="1"/>
  <c r="O23" i="18" a="1"/>
  <c r="M34" i="28" a="1"/>
  <c r="P71" i="18" a="1"/>
  <c r="O48" i="28" a="1"/>
  <c r="N23" i="18" a="1"/>
  <c r="M34" i="18" a="1"/>
  <c r="N15" i="18" a="1"/>
  <c r="O28" i="18" a="1"/>
  <c r="O68" i="18" a="1"/>
  <c r="O71" i="18" a="1"/>
  <c r="N29" i="18" a="1"/>
  <c r="O27" i="18" a="1"/>
  <c r="P70" i="18" a="1"/>
  <c r="P68" i="18" a="1"/>
  <c r="L24" i="28" a="1"/>
  <c r="O70" i="18" a="1"/>
  <c r="L20" i="28" a="1"/>
  <c r="N60" i="28" a="1"/>
  <c r="O26" i="18" a="1"/>
  <c r="M35" i="18" a="1"/>
  <c r="O15" i="18" a="1"/>
  <c r="R101" i="18" l="1"/>
  <c r="P136" i="28"/>
  <c r="R131" i="18"/>
  <c r="Q126" i="18"/>
  <c r="Q129" i="18" s="1"/>
  <c r="R83" i="28"/>
  <c r="R45" i="18"/>
  <c r="P126" i="18"/>
  <c r="P129" i="18" s="1"/>
  <c r="P117" i="18"/>
  <c r="P127" i="18" s="1"/>
  <c r="P119" i="18"/>
  <c r="P132" i="18" s="1"/>
  <c r="Q117" i="18"/>
  <c r="Q127" i="18" s="1"/>
  <c r="Q119" i="18"/>
  <c r="Q132" i="18" s="1"/>
  <c r="R65" i="18"/>
  <c r="R64" i="18"/>
  <c r="P70" i="18"/>
  <c r="M34" i="18"/>
  <c r="N56" i="28"/>
  <c r="M35" i="18"/>
  <c r="L32" i="18"/>
  <c r="O23" i="18"/>
  <c r="M34" i="28"/>
  <c r="N27" i="18"/>
  <c r="N52" i="28"/>
  <c r="O29" i="18"/>
  <c r="O15" i="18"/>
  <c r="L24" i="28"/>
  <c r="O28" i="18"/>
  <c r="O27" i="18"/>
  <c r="N60" i="28"/>
  <c r="N15" i="18"/>
  <c r="L20" i="28"/>
  <c r="N29" i="18"/>
  <c r="L16" i="28"/>
  <c r="O30" i="18"/>
  <c r="N30" i="18"/>
  <c r="N19" i="18"/>
  <c r="N28" i="18"/>
  <c r="O70" i="18"/>
  <c r="N23" i="18"/>
  <c r="O26" i="18"/>
  <c r="O68" i="18"/>
  <c r="P71" i="18"/>
  <c r="O48" i="28"/>
  <c r="M12" i="28"/>
  <c r="O71" i="18"/>
  <c r="O70" i="28"/>
  <c r="P68" i="18"/>
  <c r="O19" i="18"/>
  <c r="N26" i="18"/>
  <c r="P130" i="18"/>
  <c r="R84" i="18"/>
  <c r="O122" i="28"/>
  <c r="O132" i="28" s="1"/>
  <c r="O143" i="28" s="1"/>
  <c r="O129" i="28"/>
  <c r="O131" i="28" s="1"/>
  <c r="N9" i="18"/>
  <c r="R9" i="18" s="1"/>
  <c r="R11" i="18"/>
  <c r="Q130" i="18"/>
  <c r="R130" i="18" s="1"/>
  <c r="R51" i="18"/>
  <c r="Q135" i="28"/>
  <c r="R135" i="28" s="1"/>
  <c r="R82" i="28"/>
  <c r="R66" i="18"/>
  <c r="R55" i="18"/>
  <c r="R110" i="18"/>
  <c r="Q88" i="28"/>
  <c r="Q124" i="28"/>
  <c r="Q137" i="28" s="1"/>
  <c r="R59" i="18"/>
  <c r="N142" i="28"/>
  <c r="N134" i="28"/>
  <c r="P118" i="18"/>
  <c r="P128" i="18" s="1"/>
  <c r="R108" i="18"/>
  <c r="P85" i="28"/>
  <c r="P146" i="28"/>
  <c r="P100" i="28"/>
  <c r="P96" i="28"/>
  <c r="P92" i="28"/>
  <c r="P120" i="28"/>
  <c r="N75" i="28"/>
  <c r="R111" i="18"/>
  <c r="P123" i="28"/>
  <c r="P133" i="28" s="1"/>
  <c r="Q110" i="28"/>
  <c r="R110" i="28" s="1"/>
  <c r="Q118" i="18"/>
  <c r="Q128" i="18" s="1"/>
  <c r="R62" i="18"/>
  <c r="O52" i="28" a="1"/>
  <c r="M16" i="28" a="1"/>
  <c r="N34" i="28" a="1"/>
  <c r="P70" i="28" a="1"/>
  <c r="M24" i="28" a="1"/>
  <c r="O35" i="18" a="1"/>
  <c r="N35" i="18" a="1"/>
  <c r="N32" i="18" a="1"/>
  <c r="P48" i="28" a="1"/>
  <c r="M32" i="18" a="1"/>
  <c r="N12" i="28" a="1"/>
  <c r="N34" i="18" a="1"/>
  <c r="O60" i="28" a="1"/>
  <c r="O56" i="28" a="1"/>
  <c r="M20" i="28" a="1"/>
  <c r="O34" i="18" a="1"/>
  <c r="Q136" i="28" l="1"/>
  <c r="R136" i="28" s="1"/>
  <c r="R70" i="18"/>
  <c r="R27" i="18"/>
  <c r="R68" i="18"/>
  <c r="R15" i="18"/>
  <c r="R23" i="18"/>
  <c r="R71" i="18"/>
  <c r="M24" i="28"/>
  <c r="O60" i="28"/>
  <c r="O35" i="18"/>
  <c r="P70" i="28"/>
  <c r="R70" i="28" s="1"/>
  <c r="N12" i="28"/>
  <c r="N39" i="28" s="1"/>
  <c r="M32" i="18"/>
  <c r="P48" i="28"/>
  <c r="N32" i="18"/>
  <c r="M20" i="28"/>
  <c r="N34" i="28"/>
  <c r="O56" i="28"/>
  <c r="N35" i="18"/>
  <c r="M16" i="28"/>
  <c r="O52" i="28"/>
  <c r="N34" i="18"/>
  <c r="O34" i="18"/>
  <c r="M39" i="28"/>
  <c r="R28" i="18"/>
  <c r="Q123" i="28"/>
  <c r="Q133" i="28" s="1"/>
  <c r="O75" i="28"/>
  <c r="R19" i="18"/>
  <c r="R30" i="18"/>
  <c r="Q146" i="28"/>
  <c r="Q85" i="28"/>
  <c r="R85" i="28" s="1"/>
  <c r="Q100" i="28"/>
  <c r="Q92" i="28"/>
  <c r="Q96" i="28"/>
  <c r="Q120" i="28"/>
  <c r="R88" i="28"/>
  <c r="R146" i="28" s="1"/>
  <c r="R26" i="18"/>
  <c r="R29" i="18"/>
  <c r="O142" i="28"/>
  <c r="O134" i="28"/>
  <c r="P122" i="28"/>
  <c r="P132" i="28" s="1"/>
  <c r="P143" i="28" s="1"/>
  <c r="P129" i="28"/>
  <c r="P131" i="28" s="1"/>
  <c r="P52" i="28" a="1"/>
  <c r="N16" i="28" a="1"/>
  <c r="N20" i="28" a="1"/>
  <c r="P56" i="28" a="1"/>
  <c r="P60" i="28" a="1"/>
  <c r="O34" i="28" a="1"/>
  <c r="N24" i="28" a="1"/>
  <c r="O12" i="28" a="1"/>
  <c r="R34" i="18" l="1"/>
  <c r="R32" i="18"/>
  <c r="O12" i="28"/>
  <c r="O39" i="28" s="1"/>
  <c r="P56" i="28"/>
  <c r="N16" i="28"/>
  <c r="P52" i="28"/>
  <c r="R52" i="28" s="1"/>
  <c r="P60" i="28"/>
  <c r="O34" i="28"/>
  <c r="R34" i="28" s="1"/>
  <c r="N20" i="28"/>
  <c r="N24" i="28"/>
  <c r="P75" i="28"/>
  <c r="R100" i="28"/>
  <c r="Q122" i="28"/>
  <c r="Q132" i="28" s="1"/>
  <c r="Q143" i="28" s="1"/>
  <c r="Q129" i="28"/>
  <c r="Q131" i="28" s="1"/>
  <c r="R48" i="28"/>
  <c r="R75" i="28" s="1"/>
  <c r="R35" i="18"/>
  <c r="R96" i="28"/>
  <c r="R92" i="28"/>
  <c r="P142" i="28"/>
  <c r="P134" i="28"/>
  <c r="O24" i="28" a="1"/>
  <c r="O20" i="28" a="1"/>
  <c r="O16" i="28" a="1"/>
  <c r="R12" i="28" l="1"/>
  <c r="R39" i="28" s="1"/>
  <c r="O24" i="28"/>
  <c r="R24" i="28" s="1"/>
  <c r="O16" i="28"/>
  <c r="R16" i="28" s="1"/>
  <c r="O20" i="28"/>
  <c r="R20" i="28" s="1"/>
  <c r="R60" i="28"/>
  <c r="R56" i="28"/>
  <c r="Q142" i="28"/>
  <c r="Q134" i="28"/>
  <c r="L88" i="35" l="1"/>
  <c r="M110" i="35"/>
  <c r="L105" i="35"/>
  <c r="P108" i="35"/>
  <c r="O88" i="35"/>
  <c r="O108" i="35"/>
  <c r="Q108" i="35"/>
  <c r="K108" i="35"/>
  <c r="L108" i="35"/>
  <c r="L111" i="35"/>
  <c r="M108" i="35"/>
  <c r="J108" i="35"/>
  <c r="M106" i="35"/>
  <c r="J106" i="35"/>
  <c r="L106" i="35"/>
  <c r="L110" i="35"/>
  <c r="K48" i="35" a="1"/>
  <c r="N48" i="35" a="1"/>
  <c r="L66" i="35" a="1"/>
  <c r="L70" i="35" a="1"/>
  <c r="I66" i="35" a="1"/>
  <c r="N68" i="35" a="1"/>
  <c r="K66" i="35" a="1"/>
  <c r="K70" i="35" a="1"/>
  <c r="K71" i="35" a="1"/>
  <c r="K65" i="35" a="1"/>
  <c r="O68" i="35" a="1"/>
  <c r="I68" i="35" a="1"/>
  <c r="P68" i="35" a="1"/>
  <c r="K68" i="35" a="1"/>
  <c r="L68" i="35" a="1"/>
  <c r="J68" i="35" a="1"/>
  <c r="K48" i="35" l="1"/>
  <c r="L92" i="35"/>
  <c r="L100" i="35"/>
  <c r="L96" i="35"/>
  <c r="L88" i="33"/>
  <c r="M87" i="35"/>
  <c r="M86" i="35"/>
  <c r="O87" i="35"/>
  <c r="O85" i="35" s="1"/>
  <c r="J87" i="35"/>
  <c r="J91" i="35" s="1"/>
  <c r="L87" i="35"/>
  <c r="L87" i="33" s="1"/>
  <c r="Q88" i="35"/>
  <c r="Q100" i="35" s="1"/>
  <c r="O68" i="35"/>
  <c r="P116" i="35"/>
  <c r="P111" i="33"/>
  <c r="P106" i="35"/>
  <c r="K70" i="35"/>
  <c r="I66" i="35"/>
  <c r="J68" i="35"/>
  <c r="L70" i="35"/>
  <c r="K66" i="35"/>
  <c r="L68" i="35"/>
  <c r="P68" i="35"/>
  <c r="L66" i="35"/>
  <c r="K71" i="35"/>
  <c r="K65" i="35"/>
  <c r="I68" i="35"/>
  <c r="K68" i="35"/>
  <c r="N68" i="35"/>
  <c r="N48" i="35"/>
  <c r="Q106" i="35"/>
  <c r="O110" i="35"/>
  <c r="L115" i="33"/>
  <c r="J108" i="33"/>
  <c r="K116" i="35"/>
  <c r="K111" i="33"/>
  <c r="M115" i="33"/>
  <c r="K110" i="35"/>
  <c r="L108" i="33"/>
  <c r="O106" i="35"/>
  <c r="O99" i="35"/>
  <c r="O83" i="35"/>
  <c r="O132" i="35"/>
  <c r="M116" i="35"/>
  <c r="M111" i="33"/>
  <c r="Q111" i="33"/>
  <c r="Q116" i="35"/>
  <c r="J87" i="33"/>
  <c r="P110" i="35"/>
  <c r="M108" i="33"/>
  <c r="L116" i="33"/>
  <c r="J110" i="35"/>
  <c r="L129" i="35"/>
  <c r="L145" i="33" s="1"/>
  <c r="L130" i="35"/>
  <c r="L144" i="33" s="1"/>
  <c r="L107" i="33"/>
  <c r="L113" i="35"/>
  <c r="L120" i="35" s="1"/>
  <c r="L114" i="35"/>
  <c r="L121" i="35" s="1"/>
  <c r="K106" i="35"/>
  <c r="Q110" i="35"/>
  <c r="J116" i="35"/>
  <c r="J111" i="33"/>
  <c r="R108" i="35"/>
  <c r="L116" i="35"/>
  <c r="L111" i="33"/>
  <c r="O111" i="33"/>
  <c r="O116" i="35"/>
  <c r="O100" i="35"/>
  <c r="O96" i="35"/>
  <c r="O92" i="35"/>
  <c r="K48" i="33" a="1"/>
  <c r="P66" i="35" a="1"/>
  <c r="I51" i="35" a="1"/>
  <c r="N56" i="35" a="1"/>
  <c r="P70" i="35" a="1"/>
  <c r="J35" i="35" a="1"/>
  <c r="K71" i="33" a="1"/>
  <c r="J32" i="35" a="1"/>
  <c r="N52" i="35" a="1"/>
  <c r="H32" i="35" a="1"/>
  <c r="L47" i="35" a="1"/>
  <c r="N59" i="35" a="1"/>
  <c r="N66" i="35" a="1"/>
  <c r="O71" i="33" a="1"/>
  <c r="M32" i="35" a="1"/>
  <c r="P71" i="33" a="1"/>
  <c r="H30" i="35" a="1"/>
  <c r="J29" i="35" a="1"/>
  <c r="N32" i="35" a="1"/>
  <c r="K56" i="35" a="1"/>
  <c r="L46" i="35" a="1"/>
  <c r="K34" i="35" a="1"/>
  <c r="K68" i="33" a="1"/>
  <c r="K47" i="33" a="1"/>
  <c r="I47" i="33" a="1"/>
  <c r="I47" i="35" a="1"/>
  <c r="K47" i="35" a="1"/>
  <c r="N70" i="35" a="1"/>
  <c r="I70" i="35" a="1"/>
  <c r="L32" i="35" a="1"/>
  <c r="G32" i="35" a="1"/>
  <c r="I68" i="33" a="1"/>
  <c r="N60" i="35" a="1"/>
  <c r="J70" i="35" a="1"/>
  <c r="J12" i="35" a="1"/>
  <c r="K30" i="35" a="1"/>
  <c r="I32" i="35" a="1"/>
  <c r="P48" i="35" a="1"/>
  <c r="P60" i="35" a="1"/>
  <c r="O70" i="35" a="1"/>
  <c r="L68" i="33" a="1"/>
  <c r="L71" i="33" a="1"/>
  <c r="K52" i="35" a="1"/>
  <c r="J71" i="33" a="1"/>
  <c r="J30" i="35" a="1"/>
  <c r="M12" i="35" a="1"/>
  <c r="J34" i="35" a="1"/>
  <c r="O66" i="35" a="1"/>
  <c r="N47" i="35" a="1"/>
  <c r="K60" i="35" a="1"/>
  <c r="J66" i="35" a="1"/>
  <c r="I71" i="33" a="1"/>
  <c r="N71" i="33" a="1"/>
  <c r="O87" i="33" l="1"/>
  <c r="O95" i="35"/>
  <c r="L149" i="33"/>
  <c r="J95" i="35"/>
  <c r="J99" i="35"/>
  <c r="L99" i="35"/>
  <c r="L91" i="35"/>
  <c r="O91" i="35"/>
  <c r="L83" i="35"/>
  <c r="L85" i="35"/>
  <c r="L132" i="35"/>
  <c r="L95" i="35"/>
  <c r="L46" i="35"/>
  <c r="L47" i="35"/>
  <c r="K48" i="33"/>
  <c r="K56" i="35"/>
  <c r="K60" i="35"/>
  <c r="K52" i="35"/>
  <c r="J12" i="35"/>
  <c r="M90" i="35"/>
  <c r="M98" i="35"/>
  <c r="M94" i="35"/>
  <c r="R86" i="35"/>
  <c r="M86" i="33"/>
  <c r="M91" i="35"/>
  <c r="M99" i="35"/>
  <c r="M95" i="35"/>
  <c r="M87" i="33"/>
  <c r="L96" i="33"/>
  <c r="L120" i="33"/>
  <c r="L92" i="33"/>
  <c r="L100" i="33"/>
  <c r="L151" i="33"/>
  <c r="Q92" i="35"/>
  <c r="Q96" i="35"/>
  <c r="P48" i="35"/>
  <c r="K47" i="35"/>
  <c r="K75" i="35" s="1"/>
  <c r="I47" i="35"/>
  <c r="N47" i="35"/>
  <c r="N75" i="35" s="1"/>
  <c r="Q87" i="35"/>
  <c r="Q85" i="35" s="1"/>
  <c r="P88" i="35"/>
  <c r="P92" i="35" s="1"/>
  <c r="M88" i="35"/>
  <c r="M88" i="33" s="1"/>
  <c r="P87" i="35"/>
  <c r="P99" i="35" s="1"/>
  <c r="J88" i="35"/>
  <c r="J96" i="35" s="1"/>
  <c r="K87" i="35"/>
  <c r="K99" i="35" s="1"/>
  <c r="J111" i="35"/>
  <c r="J116" i="33" s="1"/>
  <c r="O66" i="35"/>
  <c r="O71" i="33"/>
  <c r="M32" i="35"/>
  <c r="P111" i="35"/>
  <c r="P108" i="33"/>
  <c r="I47" i="33"/>
  <c r="J70" i="35"/>
  <c r="N70" i="35"/>
  <c r="I32" i="35"/>
  <c r="J32" i="35"/>
  <c r="G32" i="35"/>
  <c r="J30" i="35"/>
  <c r="N71" i="33"/>
  <c r="J66" i="35"/>
  <c r="I70" i="35"/>
  <c r="I51" i="35"/>
  <c r="N59" i="35"/>
  <c r="N66" i="35"/>
  <c r="P60" i="35"/>
  <c r="P66" i="35"/>
  <c r="J29" i="35"/>
  <c r="K34" i="35"/>
  <c r="N60" i="35"/>
  <c r="K71" i="33"/>
  <c r="K68" i="33"/>
  <c r="J35" i="35"/>
  <c r="H32" i="35"/>
  <c r="K47" i="33"/>
  <c r="L68" i="33"/>
  <c r="I68" i="33"/>
  <c r="K30" i="35"/>
  <c r="N52" i="35"/>
  <c r="P70" i="35"/>
  <c r="P71" i="33"/>
  <c r="J71" i="33"/>
  <c r="M12" i="35"/>
  <c r="H30" i="35"/>
  <c r="N56" i="35"/>
  <c r="I71" i="33"/>
  <c r="O70" i="35"/>
  <c r="L71" i="33"/>
  <c r="L32" i="35"/>
  <c r="N32" i="35"/>
  <c r="J34" i="35"/>
  <c r="K105" i="35"/>
  <c r="J99" i="33"/>
  <c r="J91" i="33"/>
  <c r="J119" i="33"/>
  <c r="J95" i="33"/>
  <c r="K115" i="33"/>
  <c r="O115" i="33"/>
  <c r="L117" i="35"/>
  <c r="L125" i="35" s="1"/>
  <c r="R68" i="35"/>
  <c r="Q105" i="35"/>
  <c r="Q129" i="35" s="1"/>
  <c r="Q145" i="33" s="1"/>
  <c r="K111" i="35"/>
  <c r="K108" i="33"/>
  <c r="J115" i="33"/>
  <c r="R110" i="35"/>
  <c r="O108" i="33"/>
  <c r="Q108" i="33"/>
  <c r="P105" i="35"/>
  <c r="O91" i="33"/>
  <c r="O95" i="33"/>
  <c r="O119" i="33"/>
  <c r="O99" i="33"/>
  <c r="R106" i="35"/>
  <c r="O111" i="35"/>
  <c r="Q111" i="35"/>
  <c r="J105" i="35"/>
  <c r="L95" i="33"/>
  <c r="L83" i="33"/>
  <c r="L124" i="33" s="1"/>
  <c r="L137" i="33" s="1"/>
  <c r="L119" i="33"/>
  <c r="L99" i="33"/>
  <c r="L91" i="33"/>
  <c r="L85" i="33"/>
  <c r="M105" i="35"/>
  <c r="M111" i="35"/>
  <c r="Q115" i="33"/>
  <c r="O105" i="35"/>
  <c r="R111" i="33"/>
  <c r="P115" i="33"/>
  <c r="N55" i="35" a="1"/>
  <c r="L58" i="35" a="1"/>
  <c r="K60" i="33" a="1"/>
  <c r="K35" i="33" a="1"/>
  <c r="L71" i="35" a="1"/>
  <c r="N30" i="35" a="1"/>
  <c r="I55" i="33" a="1"/>
  <c r="P56" i="35" a="1"/>
  <c r="N51" i="33" a="1"/>
  <c r="K55" i="33" a="1"/>
  <c r="M16" i="35" a="1"/>
  <c r="N35" i="33" a="1"/>
  <c r="I59" i="35" a="1"/>
  <c r="K11" i="35" a="1"/>
  <c r="H35" i="33" a="1"/>
  <c r="J35" i="33" a="1"/>
  <c r="I65" i="35" a="1"/>
  <c r="J32" i="33" a="1"/>
  <c r="O71" i="35" a="1"/>
  <c r="L47" i="33" a="1"/>
  <c r="N59" i="33" a="1"/>
  <c r="I55" i="35" a="1"/>
  <c r="K56" i="33" a="1"/>
  <c r="J24" i="35" a="1"/>
  <c r="H34" i="35" a="1"/>
  <c r="I48" i="35" a="1"/>
  <c r="K51" i="33" a="1"/>
  <c r="J11" i="33" a="1"/>
  <c r="G32" i="33" a="1"/>
  <c r="H15" i="35" a="1"/>
  <c r="O34" i="35" a="1"/>
  <c r="O35" i="33" a="1"/>
  <c r="N71" i="35" a="1"/>
  <c r="L51" i="35" a="1"/>
  <c r="P65" i="35" a="1"/>
  <c r="N65" i="35" a="1"/>
  <c r="O47" i="35" a="1"/>
  <c r="M30" i="35" a="1"/>
  <c r="H11" i="35" a="1"/>
  <c r="M20" i="35" a="1"/>
  <c r="N47" i="33" a="1"/>
  <c r="N55" i="33" a="1"/>
  <c r="I35" i="33" a="1"/>
  <c r="K59" i="35" a="1"/>
  <c r="L54" i="35" a="1"/>
  <c r="J16" i="35" a="1"/>
  <c r="O12" i="35" a="1"/>
  <c r="P47" i="35" a="1"/>
  <c r="M34" i="35" a="1"/>
  <c r="I30" i="35" a="1"/>
  <c r="O68" i="33" a="1"/>
  <c r="I71" i="35" a="1"/>
  <c r="M24" i="35" a="1"/>
  <c r="M23" i="35" a="1"/>
  <c r="K59" i="33" a="1"/>
  <c r="I34" i="35" a="1"/>
  <c r="O48" i="35" a="1"/>
  <c r="J71" i="35" a="1"/>
  <c r="P71" i="35" a="1"/>
  <c r="J20" i="35" a="1"/>
  <c r="O30" i="35" a="1"/>
  <c r="N34" i="35" a="1"/>
  <c r="I59" i="33" a="1"/>
  <c r="K10" i="35" a="1"/>
  <c r="J59" i="35" a="1"/>
  <c r="J68" i="33" a="1"/>
  <c r="K51" i="35" a="1"/>
  <c r="J12" i="33" a="1"/>
  <c r="L59" i="35" a="1"/>
  <c r="J11" i="35" a="1"/>
  <c r="L48" i="35" a="1"/>
  <c r="O65" i="35" a="1"/>
  <c r="J47" i="35" a="1"/>
  <c r="P52" i="35" a="1"/>
  <c r="O52" i="35" a="1"/>
  <c r="L48" i="33" a="1"/>
  <c r="K55" i="35" a="1"/>
  <c r="N68" i="33" a="1"/>
  <c r="M11" i="35" a="1"/>
  <c r="L46" i="33" a="1"/>
  <c r="J65" i="35" a="1"/>
  <c r="L65" i="35" a="1"/>
  <c r="N51" i="35" a="1"/>
  <c r="K52" i="33" a="1"/>
  <c r="L55" i="35" a="1"/>
  <c r="O24" i="35" a="1"/>
  <c r="I56" i="35" a="1"/>
  <c r="P68" i="33" a="1"/>
  <c r="O59" i="35" a="1"/>
  <c r="M35" i="33" a="1"/>
  <c r="I51" i="33" a="1"/>
  <c r="L50" i="35" a="1"/>
  <c r="H11" i="33" a="1"/>
  <c r="I32" i="33" a="1"/>
  <c r="N55" i="35" l="1"/>
  <c r="N47" i="33"/>
  <c r="I59" i="35"/>
  <c r="I55" i="35"/>
  <c r="K132" i="35"/>
  <c r="P88" i="33"/>
  <c r="K83" i="35"/>
  <c r="K85" i="35"/>
  <c r="K91" i="35"/>
  <c r="K87" i="33"/>
  <c r="K51" i="35"/>
  <c r="K59" i="35"/>
  <c r="K95" i="35"/>
  <c r="M100" i="35"/>
  <c r="N51" i="35"/>
  <c r="L122" i="33"/>
  <c r="L132" i="33" s="1"/>
  <c r="P91" i="35"/>
  <c r="M149" i="33"/>
  <c r="K55" i="35"/>
  <c r="M85" i="35"/>
  <c r="M83" i="35"/>
  <c r="L47" i="33"/>
  <c r="L50" i="35"/>
  <c r="L55" i="35"/>
  <c r="L59" i="35"/>
  <c r="J16" i="35"/>
  <c r="L51" i="35"/>
  <c r="J24" i="35"/>
  <c r="K60" i="33"/>
  <c r="L46" i="33"/>
  <c r="J20" i="35"/>
  <c r="K52" i="33"/>
  <c r="J12" i="33"/>
  <c r="L54" i="35"/>
  <c r="K11" i="35"/>
  <c r="K56" i="33"/>
  <c r="L58" i="35"/>
  <c r="K10" i="35"/>
  <c r="R10" i="35" s="1"/>
  <c r="M119" i="33"/>
  <c r="M99" i="33"/>
  <c r="M91" i="33"/>
  <c r="M95" i="33"/>
  <c r="R90" i="35"/>
  <c r="M90" i="33"/>
  <c r="M118" i="33"/>
  <c r="M94" i="33"/>
  <c r="M98" i="33"/>
  <c r="R86" i="33"/>
  <c r="M132" i="35"/>
  <c r="M96" i="35"/>
  <c r="R94" i="35"/>
  <c r="M92" i="35"/>
  <c r="R98" i="35"/>
  <c r="R46" i="35"/>
  <c r="J151" i="33"/>
  <c r="Q83" i="35"/>
  <c r="J88" i="33"/>
  <c r="J149" i="33" s="1"/>
  <c r="Q132" i="35"/>
  <c r="R88" i="35"/>
  <c r="Q95" i="35"/>
  <c r="J92" i="35"/>
  <c r="R92" i="35" s="1"/>
  <c r="Q91" i="35"/>
  <c r="J100" i="35"/>
  <c r="Q87" i="33"/>
  <c r="Q91" i="33" s="1"/>
  <c r="J132" i="35"/>
  <c r="P96" i="35"/>
  <c r="P85" i="35"/>
  <c r="Q99" i="35"/>
  <c r="R99" i="35" s="1"/>
  <c r="P56" i="35"/>
  <c r="P52" i="35"/>
  <c r="P95" i="35"/>
  <c r="P87" i="33"/>
  <c r="P95" i="33" s="1"/>
  <c r="P132" i="35"/>
  <c r="P83" i="35"/>
  <c r="P117" i="35" s="1"/>
  <c r="P125" i="35" s="1"/>
  <c r="J47" i="35"/>
  <c r="J75" i="35" s="1"/>
  <c r="O48" i="35"/>
  <c r="I48" i="35"/>
  <c r="P47" i="35"/>
  <c r="P75" i="35" s="1"/>
  <c r="M11" i="35"/>
  <c r="M39" i="35" s="1"/>
  <c r="O47" i="35"/>
  <c r="H11" i="35"/>
  <c r="J11" i="35"/>
  <c r="J39" i="35" s="1"/>
  <c r="L48" i="35"/>
  <c r="L75" i="35" s="1"/>
  <c r="O12" i="35"/>
  <c r="J85" i="35"/>
  <c r="J124" i="35"/>
  <c r="K124" i="35" s="1"/>
  <c r="L124" i="35" s="1"/>
  <c r="M124" i="35" s="1"/>
  <c r="N124" i="35" s="1"/>
  <c r="O124" i="35" s="1"/>
  <c r="P124" i="35" s="1"/>
  <c r="Q124" i="35" s="1"/>
  <c r="R124" i="35" s="1"/>
  <c r="R87" i="35"/>
  <c r="J83" i="35"/>
  <c r="J117" i="35" s="1"/>
  <c r="J125" i="35" s="1"/>
  <c r="P100" i="35"/>
  <c r="I71" i="35"/>
  <c r="O71" i="35"/>
  <c r="O68" i="33"/>
  <c r="N35" i="33"/>
  <c r="N30" i="35"/>
  <c r="P116" i="33"/>
  <c r="P151" i="33" s="1"/>
  <c r="R66" i="35"/>
  <c r="K59" i="33"/>
  <c r="N71" i="35"/>
  <c r="N51" i="33"/>
  <c r="J59" i="35"/>
  <c r="J68" i="33"/>
  <c r="H35" i="33"/>
  <c r="O34" i="35"/>
  <c r="J32" i="33"/>
  <c r="M23" i="35"/>
  <c r="J65" i="35"/>
  <c r="M20" i="35"/>
  <c r="J11" i="33"/>
  <c r="J35" i="33"/>
  <c r="H15" i="35"/>
  <c r="M34" i="35"/>
  <c r="O65" i="35"/>
  <c r="J71" i="35"/>
  <c r="L48" i="33"/>
  <c r="O52" i="35"/>
  <c r="M16" i="35"/>
  <c r="M24" i="35"/>
  <c r="H34" i="35"/>
  <c r="N65" i="35"/>
  <c r="K55" i="33"/>
  <c r="P68" i="33"/>
  <c r="I30" i="35"/>
  <c r="I34" i="35"/>
  <c r="L71" i="35"/>
  <c r="L65" i="35"/>
  <c r="N68" i="33"/>
  <c r="P65" i="35"/>
  <c r="I55" i="33"/>
  <c r="I32" i="33"/>
  <c r="M35" i="33"/>
  <c r="O59" i="35"/>
  <c r="I65" i="35"/>
  <c r="N59" i="33"/>
  <c r="K35" i="33"/>
  <c r="I35" i="33"/>
  <c r="G32" i="33"/>
  <c r="O30" i="35"/>
  <c r="H11" i="33"/>
  <c r="I56" i="35"/>
  <c r="I51" i="33"/>
  <c r="N34" i="35"/>
  <c r="O24" i="35"/>
  <c r="K51" i="33"/>
  <c r="P71" i="35"/>
  <c r="N55" i="33"/>
  <c r="I59" i="33"/>
  <c r="O35" i="33"/>
  <c r="M30" i="35"/>
  <c r="O116" i="33"/>
  <c r="O117" i="35"/>
  <c r="O125" i="35" s="1"/>
  <c r="R71" i="33"/>
  <c r="P92" i="33"/>
  <c r="P100" i="33"/>
  <c r="P96" i="33"/>
  <c r="P120" i="33"/>
  <c r="K130" i="35"/>
  <c r="K144" i="33" s="1"/>
  <c r="K107" i="33"/>
  <c r="K113" i="35"/>
  <c r="K120" i="35" s="1"/>
  <c r="K114" i="35"/>
  <c r="K121" i="35" s="1"/>
  <c r="K129" i="35"/>
  <c r="K145" i="33" s="1"/>
  <c r="K75" i="33"/>
  <c r="P129" i="35"/>
  <c r="P145" i="33" s="1"/>
  <c r="P130" i="35"/>
  <c r="P144" i="33" s="1"/>
  <c r="P107" i="33"/>
  <c r="P114" i="35"/>
  <c r="P121" i="35" s="1"/>
  <c r="P113" i="35"/>
  <c r="P120" i="35" s="1"/>
  <c r="K116" i="33"/>
  <c r="K151" i="33" s="1"/>
  <c r="L152" i="33" s="1"/>
  <c r="M96" i="33"/>
  <c r="M100" i="33"/>
  <c r="M83" i="33"/>
  <c r="M124" i="33" s="1"/>
  <c r="M137" i="33" s="1"/>
  <c r="M85" i="33"/>
  <c r="M92" i="33"/>
  <c r="M120" i="33"/>
  <c r="Q117" i="35"/>
  <c r="Q125" i="35" s="1"/>
  <c r="R70" i="35"/>
  <c r="O107" i="33"/>
  <c r="O130" i="35"/>
  <c r="O144" i="33" s="1"/>
  <c r="O129" i="35"/>
  <c r="O145" i="33" s="1"/>
  <c r="O114" i="35"/>
  <c r="O121" i="35" s="1"/>
  <c r="O113" i="35"/>
  <c r="O120" i="35" s="1"/>
  <c r="K117" i="35"/>
  <c r="K125" i="35" s="1"/>
  <c r="R32" i="35"/>
  <c r="M116" i="33"/>
  <c r="M151" i="33" s="1"/>
  <c r="M129" i="35"/>
  <c r="M145" i="33" s="1"/>
  <c r="M113" i="35"/>
  <c r="M120" i="35" s="1"/>
  <c r="M107" i="33"/>
  <c r="M114" i="35"/>
  <c r="M121" i="35" s="1"/>
  <c r="M130" i="35"/>
  <c r="M144" i="33" s="1"/>
  <c r="Q107" i="33"/>
  <c r="Q114" i="35"/>
  <c r="Q113" i="35"/>
  <c r="Q120" i="35" s="1"/>
  <c r="Q130" i="35"/>
  <c r="Q144" i="33" s="1"/>
  <c r="J107" i="33"/>
  <c r="J130" i="35"/>
  <c r="J144" i="33" s="1"/>
  <c r="J114" i="35"/>
  <c r="J121" i="35" s="1"/>
  <c r="R105" i="35"/>
  <c r="J113" i="35"/>
  <c r="J120" i="35" s="1"/>
  <c r="J129" i="35"/>
  <c r="J145" i="33" s="1"/>
  <c r="R108" i="33"/>
  <c r="K85" i="33"/>
  <c r="R111" i="35"/>
  <c r="Q116" i="33"/>
  <c r="R115" i="33"/>
  <c r="O48" i="33" a="1"/>
  <c r="J19" i="35" a="1"/>
  <c r="L59" i="33" a="1"/>
  <c r="L50" i="33" a="1"/>
  <c r="O56" i="33" a="1"/>
  <c r="K29" i="35" a="1"/>
  <c r="L32" i="33" a="1"/>
  <c r="I60" i="35" a="1"/>
  <c r="L52" i="33" a="1"/>
  <c r="I23" i="35" a="1"/>
  <c r="N23" i="35" a="1"/>
  <c r="J23" i="33" a="1"/>
  <c r="N11" i="35" a="1"/>
  <c r="M15" i="33" a="1"/>
  <c r="J15" i="33" a="1"/>
  <c r="J47" i="33" a="1"/>
  <c r="K11" i="33" a="1"/>
  <c r="K23" i="35" a="1"/>
  <c r="L52" i="35" a="1"/>
  <c r="O29" i="35" a="1"/>
  <c r="N35" i="35" a="1"/>
  <c r="L56" i="33" a="1"/>
  <c r="O60" i="33" a="1"/>
  <c r="M19" i="33" a="1"/>
  <c r="H29" i="35" a="1"/>
  <c r="M32" i="33" a="1"/>
  <c r="O16" i="35" a="1"/>
  <c r="O20" i="35" a="1"/>
  <c r="I29" i="35" a="1"/>
  <c r="J15" i="35" a="1"/>
  <c r="K10" i="33" a="1"/>
  <c r="L51" i="33" a="1"/>
  <c r="J24" i="33" a="1"/>
  <c r="M29" i="35" a="1"/>
  <c r="O55" i="33" a="1"/>
  <c r="I48" i="33" a="1"/>
  <c r="O55" i="35" a="1"/>
  <c r="M23" i="33" a="1"/>
  <c r="M19" i="35" a="1"/>
  <c r="J23" i="35" a="1"/>
  <c r="L54" i="33" a="1"/>
  <c r="K18" i="35" a="1"/>
  <c r="K22" i="35" a="1"/>
  <c r="K35" i="35" a="1"/>
  <c r="H15" i="33" a="1"/>
  <c r="L60" i="33" a="1"/>
  <c r="M35" i="35" a="1"/>
  <c r="K12" i="35" a="1"/>
  <c r="M11" i="33" a="1"/>
  <c r="J55" i="35" a="1"/>
  <c r="K14" i="35" a="1"/>
  <c r="L55" i="33" a="1"/>
  <c r="H35" i="35" a="1"/>
  <c r="I11" i="35" a="1"/>
  <c r="P51" i="35" a="1"/>
  <c r="I52" i="35" a="1"/>
  <c r="I35" i="35" a="1"/>
  <c r="H12" i="35" a="1"/>
  <c r="H32" i="33" a="1"/>
  <c r="H23" i="33" a="1"/>
  <c r="N32" i="33" a="1"/>
  <c r="P55" i="35" a="1"/>
  <c r="N29" i="35" a="1"/>
  <c r="H23" i="35" a="1"/>
  <c r="L60" i="35" a="1"/>
  <c r="L58" i="33" a="1"/>
  <c r="L56" i="35" a="1"/>
  <c r="P51" i="33" a="1"/>
  <c r="O52" i="33" a="1"/>
  <c r="O47" i="33" a="1"/>
  <c r="O11" i="35" a="1"/>
  <c r="H19" i="33" a="1"/>
  <c r="H19" i="35" a="1"/>
  <c r="M15" i="35" a="1"/>
  <c r="K19" i="35" a="1"/>
  <c r="K15" i="35" a="1"/>
  <c r="O56" i="35" a="1"/>
  <c r="J19" i="33" a="1"/>
  <c r="P59" i="35" a="1"/>
  <c r="O35" i="35" a="1"/>
  <c r="N12" i="35" a="1"/>
  <c r="P47" i="33" a="1"/>
  <c r="J51" i="35" a="1"/>
  <c r="O51" i="35" a="1"/>
  <c r="J16" i="33" a="1"/>
  <c r="J20" i="33" a="1"/>
  <c r="N16" i="35" a="1"/>
  <c r="O60" i="35" a="1"/>
  <c r="H20" i="35" a="1"/>
  <c r="K12" i="33" a="1"/>
  <c r="M11" i="33" l="1"/>
  <c r="M19" i="35"/>
  <c r="R100" i="35"/>
  <c r="P119" i="33"/>
  <c r="R96" i="35"/>
  <c r="R91" i="35"/>
  <c r="P91" i="33"/>
  <c r="J47" i="33"/>
  <c r="J75" i="33" s="1"/>
  <c r="O48" i="33"/>
  <c r="J51" i="35"/>
  <c r="H19" i="35"/>
  <c r="H23" i="35"/>
  <c r="K149" i="33"/>
  <c r="L150" i="33" s="1"/>
  <c r="K95" i="33"/>
  <c r="K119" i="33"/>
  <c r="K122" i="33" s="1"/>
  <c r="K132" i="33" s="1"/>
  <c r="K91" i="33"/>
  <c r="K83" i="33"/>
  <c r="K124" i="33" s="1"/>
  <c r="K137" i="33" s="1"/>
  <c r="K99" i="33"/>
  <c r="Q119" i="33"/>
  <c r="Q99" i="33"/>
  <c r="L60" i="35"/>
  <c r="J55" i="35"/>
  <c r="J23" i="35"/>
  <c r="J15" i="35"/>
  <c r="Q95" i="33"/>
  <c r="P99" i="33"/>
  <c r="J120" i="33"/>
  <c r="J122" i="33" s="1"/>
  <c r="J132" i="33" s="1"/>
  <c r="J92" i="33"/>
  <c r="P85" i="33"/>
  <c r="J100" i="33"/>
  <c r="P83" i="33"/>
  <c r="P124" i="33" s="1"/>
  <c r="P137" i="33" s="1"/>
  <c r="J96" i="33"/>
  <c r="R95" i="35"/>
  <c r="J39" i="33"/>
  <c r="P82" i="35"/>
  <c r="P123" i="35" s="1"/>
  <c r="O51" i="35"/>
  <c r="M15" i="35"/>
  <c r="M117" i="35"/>
  <c r="M125" i="35" s="1"/>
  <c r="J136" i="33"/>
  <c r="K136" i="33" s="1"/>
  <c r="L136" i="33" s="1"/>
  <c r="M136" i="33" s="1"/>
  <c r="J19" i="35"/>
  <c r="J83" i="33"/>
  <c r="J124" i="33" s="1"/>
  <c r="J137" i="33" s="1"/>
  <c r="K22" i="35"/>
  <c r="R22" i="35" s="1"/>
  <c r="J24" i="33"/>
  <c r="L52" i="35"/>
  <c r="L50" i="33"/>
  <c r="J20" i="33"/>
  <c r="K15" i="35"/>
  <c r="L56" i="35"/>
  <c r="L55" i="33"/>
  <c r="K18" i="35"/>
  <c r="R18" i="35" s="1"/>
  <c r="L51" i="33"/>
  <c r="K23" i="35"/>
  <c r="L59" i="33"/>
  <c r="J16" i="33"/>
  <c r="K19" i="35"/>
  <c r="L58" i="33"/>
  <c r="K14" i="35"/>
  <c r="R14" i="35" s="1"/>
  <c r="L54" i="33"/>
  <c r="K10" i="33"/>
  <c r="R10" i="33" s="1"/>
  <c r="K11" i="33"/>
  <c r="R58" i="35"/>
  <c r="R90" i="33"/>
  <c r="R54" i="35"/>
  <c r="L82" i="35"/>
  <c r="L123" i="35" s="1"/>
  <c r="R98" i="33"/>
  <c r="R50" i="35"/>
  <c r="R94" i="33"/>
  <c r="R46" i="33"/>
  <c r="R132" i="35"/>
  <c r="I60" i="35"/>
  <c r="P51" i="35"/>
  <c r="I52" i="35"/>
  <c r="P55" i="35"/>
  <c r="I48" i="33"/>
  <c r="P47" i="33"/>
  <c r="J85" i="33"/>
  <c r="O56" i="35"/>
  <c r="R87" i="33"/>
  <c r="P149" i="33"/>
  <c r="R85" i="35"/>
  <c r="P59" i="35"/>
  <c r="R59" i="35" s="1"/>
  <c r="O75" i="35"/>
  <c r="O47" i="33"/>
  <c r="O55" i="35"/>
  <c r="O16" i="35"/>
  <c r="O20" i="35"/>
  <c r="Q82" i="35"/>
  <c r="Q123" i="35" s="1"/>
  <c r="R123" i="35" s="1"/>
  <c r="R83" i="35"/>
  <c r="R48" i="35"/>
  <c r="K82" i="35"/>
  <c r="K123" i="35" s="1"/>
  <c r="R47" i="35"/>
  <c r="N11" i="35"/>
  <c r="O11" i="35"/>
  <c r="O39" i="35" s="1"/>
  <c r="H12" i="35"/>
  <c r="H39" i="35" s="1"/>
  <c r="K12" i="35"/>
  <c r="K39" i="35" s="1"/>
  <c r="N12" i="35"/>
  <c r="O60" i="35"/>
  <c r="I11" i="35"/>
  <c r="I39" i="35" s="1"/>
  <c r="M82" i="35"/>
  <c r="M123" i="35" s="1"/>
  <c r="N82" i="35"/>
  <c r="N123" i="35" s="1"/>
  <c r="I75" i="35"/>
  <c r="O82" i="35"/>
  <c r="O123" i="35" s="1"/>
  <c r="J82" i="35"/>
  <c r="J123" i="35" s="1"/>
  <c r="R116" i="33"/>
  <c r="H35" i="35"/>
  <c r="M32" i="33"/>
  <c r="N35" i="35"/>
  <c r="R68" i="33"/>
  <c r="R71" i="35"/>
  <c r="R107" i="33"/>
  <c r="R95" i="33"/>
  <c r="R34" i="35"/>
  <c r="R30" i="35"/>
  <c r="H23" i="33"/>
  <c r="I29" i="35"/>
  <c r="N23" i="35"/>
  <c r="H29" i="35"/>
  <c r="L60" i="33"/>
  <c r="H19" i="33"/>
  <c r="P51" i="33"/>
  <c r="O55" i="33"/>
  <c r="L56" i="33"/>
  <c r="O56" i="33"/>
  <c r="O29" i="35"/>
  <c r="H32" i="33"/>
  <c r="N29" i="35"/>
  <c r="O60" i="33"/>
  <c r="M19" i="33"/>
  <c r="L32" i="33"/>
  <c r="N32" i="33"/>
  <c r="N16" i="35"/>
  <c r="I23" i="35"/>
  <c r="O52" i="33"/>
  <c r="O35" i="35"/>
  <c r="K29" i="35"/>
  <c r="J19" i="33"/>
  <c r="K12" i="33"/>
  <c r="M15" i="33"/>
  <c r="J15" i="33"/>
  <c r="H15" i="33"/>
  <c r="K35" i="35"/>
  <c r="M35" i="35"/>
  <c r="H20" i="35"/>
  <c r="L52" i="33"/>
  <c r="M23" i="33"/>
  <c r="M29" i="35"/>
  <c r="I35" i="35"/>
  <c r="J23" i="33"/>
  <c r="R65" i="35"/>
  <c r="R91" i="33"/>
  <c r="L75" i="33"/>
  <c r="L82" i="33"/>
  <c r="R35" i="33"/>
  <c r="J55" i="33" a="1"/>
  <c r="O59" i="33" a="1"/>
  <c r="K22" i="33" a="1"/>
  <c r="H12" i="33" a="1"/>
  <c r="K24" i="33" a="1"/>
  <c r="O11" i="33" a="1"/>
  <c r="I56" i="33" a="1"/>
  <c r="K23" i="33" a="1"/>
  <c r="N11" i="33" a="1"/>
  <c r="P59" i="33" a="1"/>
  <c r="N15" i="35" a="1"/>
  <c r="K19" i="33" a="1"/>
  <c r="O23" i="35" a="1"/>
  <c r="N19" i="35" a="1"/>
  <c r="N20" i="33" a="1"/>
  <c r="N24" i="35" a="1"/>
  <c r="O19" i="35" a="1"/>
  <c r="O51" i="33" a="1"/>
  <c r="K24" i="35" a="1"/>
  <c r="K18" i="33" a="1"/>
  <c r="K20" i="33" a="1"/>
  <c r="K16" i="33" a="1"/>
  <c r="H16" i="35" a="1"/>
  <c r="N20" i="35" a="1"/>
  <c r="I15" i="35" a="1"/>
  <c r="I52" i="33" a="1"/>
  <c r="I11" i="33" a="1"/>
  <c r="I19" i="35" a="1"/>
  <c r="K15" i="33" a="1"/>
  <c r="N16" i="33" a="1"/>
  <c r="O15" i="33" a="1"/>
  <c r="N19" i="33" a="1"/>
  <c r="K20" i="35" a="1"/>
  <c r="N12" i="33" a="1"/>
  <c r="I60" i="33" a="1"/>
  <c r="K16" i="35" a="1"/>
  <c r="O15" i="35" a="1"/>
  <c r="H24" i="35" a="1"/>
  <c r="N24" i="33" a="1"/>
  <c r="K14" i="33" a="1"/>
  <c r="P55" i="33" a="1"/>
  <c r="J59" i="33" a="1"/>
  <c r="J51" i="33" a="1"/>
  <c r="O51" i="33" l="1"/>
  <c r="J55" i="33"/>
  <c r="J59" i="33"/>
  <c r="I15" i="35"/>
  <c r="J51" i="33"/>
  <c r="R51" i="33" s="1"/>
  <c r="N12" i="33"/>
  <c r="I11" i="33"/>
  <c r="I39" i="33" s="1"/>
  <c r="P59" i="33"/>
  <c r="R59" i="33" s="1"/>
  <c r="R51" i="35"/>
  <c r="O59" i="33"/>
  <c r="I52" i="33"/>
  <c r="P55" i="33"/>
  <c r="R55" i="33" s="1"/>
  <c r="I56" i="33"/>
  <c r="I60" i="33"/>
  <c r="I19" i="35"/>
  <c r="K24" i="35"/>
  <c r="R99" i="33"/>
  <c r="K39" i="33"/>
  <c r="J82" i="33"/>
  <c r="N15" i="35"/>
  <c r="M82" i="33"/>
  <c r="M135" i="33" s="1"/>
  <c r="R82" i="35"/>
  <c r="K82" i="33"/>
  <c r="K135" i="33" s="1"/>
  <c r="R52" i="35"/>
  <c r="K19" i="33"/>
  <c r="K22" i="33"/>
  <c r="R22" i="33" s="1"/>
  <c r="K20" i="35"/>
  <c r="K23" i="33"/>
  <c r="K14" i="33"/>
  <c r="R14" i="33" s="1"/>
  <c r="K16" i="35"/>
  <c r="K15" i="33"/>
  <c r="K18" i="33"/>
  <c r="R18" i="33" s="1"/>
  <c r="R58" i="33"/>
  <c r="R56" i="35"/>
  <c r="R50" i="33"/>
  <c r="R54" i="33"/>
  <c r="R60" i="35"/>
  <c r="R47" i="33"/>
  <c r="R55" i="35"/>
  <c r="O11" i="33"/>
  <c r="H12" i="33"/>
  <c r="H39" i="33" s="1"/>
  <c r="O19" i="35"/>
  <c r="H16" i="35"/>
  <c r="O15" i="35"/>
  <c r="R15" i="35" s="1"/>
  <c r="H24" i="35"/>
  <c r="I75" i="33"/>
  <c r="O75" i="33"/>
  <c r="N20" i="35"/>
  <c r="O23" i="35"/>
  <c r="R23" i="35" s="1"/>
  <c r="N19" i="35"/>
  <c r="N11" i="33"/>
  <c r="R75" i="35"/>
  <c r="R12" i="35"/>
  <c r="R11" i="35"/>
  <c r="N39" i="35"/>
  <c r="N24" i="35"/>
  <c r="L135" i="33"/>
  <c r="J135" i="33"/>
  <c r="R32" i="33"/>
  <c r="R35" i="35"/>
  <c r="K20" i="33"/>
  <c r="K16" i="33"/>
  <c r="N19" i="33"/>
  <c r="O15" i="33"/>
  <c r="N16" i="33"/>
  <c r="K24" i="33"/>
  <c r="N24" i="33"/>
  <c r="N20" i="33"/>
  <c r="R29" i="35"/>
  <c r="I23" i="33" a="1"/>
  <c r="I19" i="33" a="1"/>
  <c r="I15" i="33" a="1"/>
  <c r="H16" i="33" a="1"/>
  <c r="O23" i="33" a="1"/>
  <c r="N23" i="33" a="1"/>
  <c r="O19" i="33" a="1"/>
  <c r="H20" i="33" a="1"/>
  <c r="N15" i="33" a="1"/>
  <c r="H24" i="33" a="1"/>
  <c r="N15" i="33" l="1"/>
  <c r="I15" i="33"/>
  <c r="I23" i="33"/>
  <c r="I19" i="33"/>
  <c r="N39" i="33"/>
  <c r="O23" i="33"/>
  <c r="H24" i="33"/>
  <c r="H20" i="33"/>
  <c r="O19" i="33"/>
  <c r="H16" i="33"/>
  <c r="N23" i="33"/>
  <c r="R20" i="35"/>
  <c r="R16" i="35"/>
  <c r="R19" i="35"/>
  <c r="R24" i="35"/>
  <c r="R11" i="33"/>
  <c r="R39" i="35"/>
  <c r="R15" i="33" l="1"/>
  <c r="R23" i="33"/>
  <c r="R19" i="33"/>
  <c r="O104" i="34" l="1"/>
  <c r="N104" i="33" s="1"/>
  <c r="O104" i="36"/>
  <c r="M64" i="33" a="1"/>
  <c r="N64" i="34" a="1"/>
  <c r="N64" i="36" a="1"/>
  <c r="N108" i="34" l="1"/>
  <c r="N108" i="36"/>
  <c r="N105" i="34"/>
  <c r="N105" i="36"/>
  <c r="Q104" i="34"/>
  <c r="Q104" i="36"/>
  <c r="N64" i="36"/>
  <c r="N64" i="34"/>
  <c r="O105" i="34"/>
  <c r="N105" i="33" s="1"/>
  <c r="O105" i="36"/>
  <c r="O88" i="34"/>
  <c r="O96" i="34" s="1"/>
  <c r="O88" i="36"/>
  <c r="M64" i="33"/>
  <c r="M65" i="36" a="1"/>
  <c r="N65" i="34" a="1"/>
  <c r="M68" i="34" a="1"/>
  <c r="N65" i="36" a="1"/>
  <c r="M65" i="33" a="1"/>
  <c r="N56" i="34" a="1"/>
  <c r="P64" i="36" a="1"/>
  <c r="N48" i="34" a="1"/>
  <c r="L28" i="33" a="1"/>
  <c r="M68" i="36" a="1"/>
  <c r="N48" i="36" a="1"/>
  <c r="M28" i="36" a="1"/>
  <c r="P64" i="34" a="1"/>
  <c r="M28" i="34" a="1"/>
  <c r="M65" i="34" a="1"/>
  <c r="M68" i="36" l="1"/>
  <c r="M68" i="34"/>
  <c r="N106" i="34"/>
  <c r="N106" i="36"/>
  <c r="N118" i="36"/>
  <c r="N128" i="36" s="1"/>
  <c r="N111" i="34"/>
  <c r="N111" i="36"/>
  <c r="N118" i="34"/>
  <c r="N128" i="34" s="1"/>
  <c r="N110" i="33"/>
  <c r="M65" i="36"/>
  <c r="M65" i="34"/>
  <c r="N102" i="34"/>
  <c r="N102" i="36"/>
  <c r="M105" i="33"/>
  <c r="N110" i="34"/>
  <c r="N110" i="36"/>
  <c r="N88" i="34"/>
  <c r="N88" i="36"/>
  <c r="O102" i="34"/>
  <c r="O116" i="34" s="1"/>
  <c r="Q108" i="34"/>
  <c r="Q108" i="36"/>
  <c r="P64" i="36"/>
  <c r="P64" i="34"/>
  <c r="O100" i="34"/>
  <c r="P104" i="33"/>
  <c r="Q88" i="34"/>
  <c r="Q88" i="36"/>
  <c r="Q105" i="34"/>
  <c r="Q105" i="36"/>
  <c r="N48" i="36"/>
  <c r="N48" i="34"/>
  <c r="N75" i="34" s="1"/>
  <c r="N65" i="36"/>
  <c r="N65" i="34"/>
  <c r="M28" i="34"/>
  <c r="M28" i="36"/>
  <c r="O88" i="37"/>
  <c r="O92" i="36"/>
  <c r="O88" i="22"/>
  <c r="O96" i="36"/>
  <c r="O100" i="36"/>
  <c r="O115" i="36"/>
  <c r="O85" i="36"/>
  <c r="O142" i="36"/>
  <c r="O83" i="36"/>
  <c r="O85" i="34"/>
  <c r="O108" i="34"/>
  <c r="O118" i="34" s="1"/>
  <c r="O128" i="34" s="1"/>
  <c r="O108" i="36"/>
  <c r="O106" i="34"/>
  <c r="N106" i="33" s="1"/>
  <c r="O106" i="36"/>
  <c r="O142" i="34"/>
  <c r="O88" i="33"/>
  <c r="O120" i="33" s="1"/>
  <c r="O122" i="33" s="1"/>
  <c r="O132" i="33" s="1"/>
  <c r="O83" i="34"/>
  <c r="O115" i="34"/>
  <c r="O124" i="34" s="1"/>
  <c r="O111" i="34"/>
  <c r="O111" i="36"/>
  <c r="O92" i="34"/>
  <c r="N56" i="34"/>
  <c r="M65" i="33"/>
  <c r="L28" i="33"/>
  <c r="M66" i="36" a="1"/>
  <c r="L65" i="33" a="1"/>
  <c r="N60" i="34" a="1"/>
  <c r="P65" i="36" a="1"/>
  <c r="P68" i="36" a="1"/>
  <c r="M12" i="34" a="1"/>
  <c r="M12" i="36" a="1"/>
  <c r="L29" i="33" a="1"/>
  <c r="N52" i="36" a="1"/>
  <c r="O28" i="34" a="1"/>
  <c r="M71" i="34" a="1"/>
  <c r="M70" i="34" a="1"/>
  <c r="N66" i="36" a="1"/>
  <c r="P48" i="36" a="1"/>
  <c r="N48" i="33" a="1"/>
  <c r="N60" i="36" a="1"/>
  <c r="P65" i="34" a="1"/>
  <c r="N52" i="34" a="1"/>
  <c r="N71" i="34" a="1"/>
  <c r="M48" i="36" a="1"/>
  <c r="L29" i="36" a="1"/>
  <c r="M70" i="36" a="1"/>
  <c r="N68" i="36" a="1"/>
  <c r="N56" i="36" a="1"/>
  <c r="M29" i="36" a="1"/>
  <c r="P48" i="34" a="1"/>
  <c r="N48" i="37" a="1"/>
  <c r="N71" i="36" a="1"/>
  <c r="K32" i="36" a="1"/>
  <c r="L29" i="34" a="1"/>
  <c r="M66" i="33" a="1"/>
  <c r="N62" i="34" a="1"/>
  <c r="M29" i="34" a="1"/>
  <c r="N66" i="34" a="1"/>
  <c r="M20" i="34" a="1"/>
  <c r="M66" i="34" a="1"/>
  <c r="O64" i="33" a="1"/>
  <c r="P68" i="34" a="1"/>
  <c r="M71" i="36" a="1"/>
  <c r="M62" i="34" a="1"/>
  <c r="N68" i="34" a="1"/>
  <c r="M70" i="33" a="1"/>
  <c r="K32" i="34" a="1"/>
  <c r="M48" i="34" a="1"/>
  <c r="O28" i="36" a="1"/>
  <c r="M62" i="36" a="1"/>
  <c r="N48" i="22" a="1"/>
  <c r="M71" i="34" l="1"/>
  <c r="M66" i="36"/>
  <c r="M70" i="33"/>
  <c r="M66" i="34"/>
  <c r="K32" i="34"/>
  <c r="M71" i="36"/>
  <c r="K32" i="36"/>
  <c r="N114" i="33"/>
  <c r="N123" i="33"/>
  <c r="N133" i="33" s="1"/>
  <c r="M106" i="33"/>
  <c r="R88" i="36"/>
  <c r="R142" i="36" s="1"/>
  <c r="M70" i="36"/>
  <c r="M70" i="34"/>
  <c r="L65" i="33"/>
  <c r="M48" i="36"/>
  <c r="M62" i="36"/>
  <c r="M48" i="34"/>
  <c r="M62" i="34"/>
  <c r="L29" i="34"/>
  <c r="L29" i="36"/>
  <c r="N113" i="33"/>
  <c r="N83" i="36"/>
  <c r="N115" i="36"/>
  <c r="N85" i="36"/>
  <c r="N88" i="22"/>
  <c r="N92" i="36"/>
  <c r="N142" i="36"/>
  <c r="N96" i="36"/>
  <c r="N88" i="20"/>
  <c r="N100" i="36"/>
  <c r="N88" i="19"/>
  <c r="N88" i="37"/>
  <c r="N131" i="36"/>
  <c r="O131" i="36" s="1"/>
  <c r="P131" i="36" s="1"/>
  <c r="Q131" i="36" s="1"/>
  <c r="R131" i="36" s="1"/>
  <c r="N120" i="36"/>
  <c r="N133" i="36" s="1"/>
  <c r="N116" i="36"/>
  <c r="N125" i="36" s="1"/>
  <c r="N103" i="36"/>
  <c r="N92" i="34"/>
  <c r="N96" i="34"/>
  <c r="N100" i="34"/>
  <c r="N115" i="34"/>
  <c r="N142" i="34"/>
  <c r="N83" i="34"/>
  <c r="N85" i="34"/>
  <c r="N131" i="34"/>
  <c r="O131" i="34" s="1"/>
  <c r="P131" i="34" s="1"/>
  <c r="N88" i="33"/>
  <c r="N116" i="34"/>
  <c r="N125" i="34" s="1"/>
  <c r="N130" i="33" s="1"/>
  <c r="N120" i="34"/>
  <c r="N133" i="34" s="1"/>
  <c r="N103" i="34"/>
  <c r="M102" i="33"/>
  <c r="P82" i="34"/>
  <c r="P130" i="34" s="1"/>
  <c r="N104" i="34"/>
  <c r="N104" i="36"/>
  <c r="N104" i="19" s="1"/>
  <c r="O102" i="36"/>
  <c r="P68" i="36"/>
  <c r="P68" i="34"/>
  <c r="Q118" i="36"/>
  <c r="Q128" i="36" s="1"/>
  <c r="Q118" i="34"/>
  <c r="Q128" i="34" s="1"/>
  <c r="Q110" i="33"/>
  <c r="Q111" i="34"/>
  <c r="Q111" i="36"/>
  <c r="R111" i="36" s="1"/>
  <c r="Q106" i="34"/>
  <c r="R106" i="34" s="1"/>
  <c r="Q106" i="33" s="1"/>
  <c r="Q106" i="36"/>
  <c r="O64" i="33"/>
  <c r="P65" i="36"/>
  <c r="R65" i="36" s="1"/>
  <c r="P48" i="34"/>
  <c r="P65" i="34"/>
  <c r="N60" i="34"/>
  <c r="O28" i="34"/>
  <c r="P48" i="36"/>
  <c r="O28" i="36"/>
  <c r="Q102" i="34"/>
  <c r="Q102" i="36"/>
  <c r="Q110" i="34"/>
  <c r="Q110" i="36"/>
  <c r="Q96" i="34"/>
  <c r="Q83" i="34"/>
  <c r="Q115" i="34"/>
  <c r="Q92" i="34"/>
  <c r="Q142" i="34"/>
  <c r="Q100" i="34"/>
  <c r="Q85" i="34"/>
  <c r="Q88" i="33"/>
  <c r="R88" i="34"/>
  <c r="R142" i="34" s="1"/>
  <c r="P105" i="33"/>
  <c r="R105" i="34"/>
  <c r="Q105" i="33" s="1"/>
  <c r="R105" i="36"/>
  <c r="R92" i="34"/>
  <c r="O110" i="34"/>
  <c r="O110" i="36"/>
  <c r="Q131" i="34"/>
  <c r="R131" i="34" s="1"/>
  <c r="Q96" i="36"/>
  <c r="Q88" i="37"/>
  <c r="Q115" i="36"/>
  <c r="Q142" i="36"/>
  <c r="Q92" i="36"/>
  <c r="Q83" i="36"/>
  <c r="Q82" i="36" s="1"/>
  <c r="Q100" i="36"/>
  <c r="R100" i="36" s="1"/>
  <c r="Q85" i="36"/>
  <c r="R85" i="36" s="1"/>
  <c r="Q88" i="22"/>
  <c r="O100" i="33"/>
  <c r="O149" i="33"/>
  <c r="R108" i="34"/>
  <c r="O110" i="33"/>
  <c r="O123" i="33" s="1"/>
  <c r="O133" i="33" s="1"/>
  <c r="N48" i="33"/>
  <c r="N75" i="33" s="1"/>
  <c r="N52" i="34"/>
  <c r="N66" i="36"/>
  <c r="N60" i="36"/>
  <c r="N71" i="36"/>
  <c r="N66" i="34"/>
  <c r="N56" i="36"/>
  <c r="M29" i="34"/>
  <c r="N71" i="34"/>
  <c r="N48" i="22"/>
  <c r="M29" i="36"/>
  <c r="N68" i="36"/>
  <c r="N68" i="34"/>
  <c r="N52" i="36"/>
  <c r="M12" i="34"/>
  <c r="M39" i="34" s="1"/>
  <c r="N62" i="34"/>
  <c r="N48" i="37"/>
  <c r="M12" i="36"/>
  <c r="O125" i="34"/>
  <c r="O130" i="33" s="1"/>
  <c r="O117" i="34"/>
  <c r="O127" i="34" s="1"/>
  <c r="O138" i="34" s="1"/>
  <c r="O143" i="33" s="1"/>
  <c r="O83" i="33"/>
  <c r="O124" i="36"/>
  <c r="O85" i="33"/>
  <c r="R106" i="36"/>
  <c r="O103" i="34"/>
  <c r="N103" i="33" s="1"/>
  <c r="R96" i="36"/>
  <c r="O119" i="36"/>
  <c r="O132" i="36" s="1"/>
  <c r="O82" i="36"/>
  <c r="O130" i="36" s="1"/>
  <c r="P82" i="36"/>
  <c r="P130" i="36" s="1"/>
  <c r="R83" i="36"/>
  <c r="O96" i="22"/>
  <c r="O92" i="22"/>
  <c r="O85" i="22"/>
  <c r="O100" i="22"/>
  <c r="O115" i="22"/>
  <c r="O83" i="22"/>
  <c r="O111" i="22" s="1"/>
  <c r="R88" i="22"/>
  <c r="O120" i="34"/>
  <c r="O133" i="34" s="1"/>
  <c r="R102" i="34"/>
  <c r="Q102" i="33" s="1"/>
  <c r="O118" i="36"/>
  <c r="O128" i="36" s="1"/>
  <c r="R108" i="36"/>
  <c r="O82" i="34"/>
  <c r="O130" i="34" s="1"/>
  <c r="R111" i="34"/>
  <c r="O96" i="33"/>
  <c r="R92" i="36"/>
  <c r="R83" i="34"/>
  <c r="O119" i="34"/>
  <c r="O132" i="34" s="1"/>
  <c r="N102" i="33"/>
  <c r="N121" i="33" s="1"/>
  <c r="O114" i="33"/>
  <c r="O92" i="33"/>
  <c r="O120" i="36"/>
  <c r="O133" i="36" s="1"/>
  <c r="O103" i="36"/>
  <c r="O116" i="36"/>
  <c r="O125" i="36" s="1"/>
  <c r="R102" i="36"/>
  <c r="O96" i="37"/>
  <c r="O92" i="37"/>
  <c r="O100" i="37"/>
  <c r="O115" i="37"/>
  <c r="O85" i="37"/>
  <c r="O83" i="37"/>
  <c r="O111" i="37" s="1"/>
  <c r="R88" i="37"/>
  <c r="N75" i="36"/>
  <c r="M20" i="34"/>
  <c r="M66" i="33"/>
  <c r="L29" i="33"/>
  <c r="R110" i="33"/>
  <c r="O129" i="33"/>
  <c r="Q121" i="33"/>
  <c r="Q125" i="33"/>
  <c r="Q138" i="33" s="1"/>
  <c r="L30" i="34" a="1"/>
  <c r="M64" i="34" a="1"/>
  <c r="M56" i="34" a="1"/>
  <c r="M48" i="37" a="1"/>
  <c r="N60" i="37" a="1"/>
  <c r="O29" i="34" a="1"/>
  <c r="N56" i="33" a="1"/>
  <c r="P71" i="36" a="1"/>
  <c r="P52" i="34" a="1"/>
  <c r="L32" i="36" a="1"/>
  <c r="L30" i="33" a="1"/>
  <c r="O12" i="36" a="1"/>
  <c r="M64" i="36" a="1"/>
  <c r="N70" i="36" a="1"/>
  <c r="P62" i="36" a="1"/>
  <c r="L66" i="33" a="1"/>
  <c r="P62" i="34" a="1"/>
  <c r="P60" i="36" a="1"/>
  <c r="M63" i="36" a="1"/>
  <c r="N71" i="22" a="1"/>
  <c r="P52" i="36" a="1"/>
  <c r="L35" i="36" a="1"/>
  <c r="L12" i="36" a="1"/>
  <c r="L12" i="34" a="1"/>
  <c r="L62" i="33" a="1"/>
  <c r="P48" i="22" a="1"/>
  <c r="M12" i="22" a="1"/>
  <c r="P62" i="33" a="1"/>
  <c r="N62" i="36" a="1"/>
  <c r="P48" i="33" a="1"/>
  <c r="N70" i="33" a="1"/>
  <c r="O65" i="33" a="1"/>
  <c r="M63" i="33" a="1"/>
  <c r="M52" i="36" a="1"/>
  <c r="P70" i="36" a="1"/>
  <c r="N63" i="34" a="1"/>
  <c r="N32" i="36" a="1"/>
  <c r="P60" i="34" a="1"/>
  <c r="N28" i="33" a="1"/>
  <c r="L34" i="36" a="1"/>
  <c r="M56" i="36" a="1"/>
  <c r="M60" i="36" a="1"/>
  <c r="N52" i="33" a="1"/>
  <c r="M12" i="33" a="1"/>
  <c r="N52" i="22" a="1"/>
  <c r="M24" i="36" a="1"/>
  <c r="P66" i="33" a="1"/>
  <c r="N56" i="22" a="1"/>
  <c r="N70" i="34" a="1"/>
  <c r="M30" i="34" a="1"/>
  <c r="M30" i="36" a="1"/>
  <c r="M64" i="19" a="1"/>
  <c r="N56" i="37" a="1"/>
  <c r="M63" i="34" a="1"/>
  <c r="M35" i="36" a="1"/>
  <c r="M48" i="22" a="1"/>
  <c r="M52" i="34" a="1"/>
  <c r="M60" i="34" a="1"/>
  <c r="P65" i="33" a="1"/>
  <c r="O12" i="34" a="1"/>
  <c r="P56" i="36" a="1"/>
  <c r="P66" i="36" a="1"/>
  <c r="P66" i="34" a="1"/>
  <c r="N63" i="36" a="1"/>
  <c r="M16" i="34" a="1"/>
  <c r="M20" i="36" a="1"/>
  <c r="L32" i="34" a="1"/>
  <c r="L30" i="36" a="1"/>
  <c r="M26" i="34" a="1"/>
  <c r="M35" i="34" a="1"/>
  <c r="L26" i="36" a="1"/>
  <c r="N32" i="34" a="1"/>
  <c r="P70" i="33" a="1"/>
  <c r="M48" i="20" a="1"/>
  <c r="O29" i="36" a="1"/>
  <c r="L35" i="34" a="1"/>
  <c r="L34" i="34" a="1"/>
  <c r="M48" i="33" a="1"/>
  <c r="L26" i="34" a="1"/>
  <c r="P56" i="34" a="1"/>
  <c r="N71" i="37" a="1"/>
  <c r="P71" i="34" a="1"/>
  <c r="N60" i="33" a="1"/>
  <c r="N52" i="37" a="1"/>
  <c r="M24" i="34" a="1"/>
  <c r="M12" i="37" a="1"/>
  <c r="P48" i="37" a="1"/>
  <c r="P70" i="34" a="1"/>
  <c r="K29" i="33" a="1"/>
  <c r="M62" i="33" a="1"/>
  <c r="L34" i="33" a="1"/>
  <c r="M16" i="36" a="1"/>
  <c r="M48" i="19" a="1"/>
  <c r="N60" i="22" a="1"/>
  <c r="N125" i="33" l="1"/>
  <c r="N138" i="33" s="1"/>
  <c r="R48" i="36"/>
  <c r="R75" i="36" s="1"/>
  <c r="L35" i="36"/>
  <c r="L30" i="34"/>
  <c r="L34" i="33"/>
  <c r="L66" i="33"/>
  <c r="L30" i="36"/>
  <c r="L35" i="34"/>
  <c r="N103" i="20"/>
  <c r="N151" i="33"/>
  <c r="R85" i="34"/>
  <c r="N102" i="20"/>
  <c r="R88" i="33"/>
  <c r="L62" i="33"/>
  <c r="M48" i="37"/>
  <c r="M63" i="34"/>
  <c r="M64" i="19"/>
  <c r="M48" i="19"/>
  <c r="L26" i="34"/>
  <c r="M60" i="34"/>
  <c r="M60" i="36"/>
  <c r="L12" i="34"/>
  <c r="L39" i="34" s="1"/>
  <c r="M56" i="34"/>
  <c r="M48" i="20"/>
  <c r="L26" i="36"/>
  <c r="M64" i="36"/>
  <c r="M48" i="33"/>
  <c r="M52" i="34"/>
  <c r="M56" i="36"/>
  <c r="L12" i="36"/>
  <c r="L39" i="36" s="1"/>
  <c r="M64" i="34"/>
  <c r="M63" i="36"/>
  <c r="K29" i="33"/>
  <c r="M52" i="36"/>
  <c r="L34" i="34"/>
  <c r="M48" i="22"/>
  <c r="L34" i="36"/>
  <c r="M125" i="33"/>
  <c r="M138" i="33" s="1"/>
  <c r="M121" i="33"/>
  <c r="M122" i="33" s="1"/>
  <c r="M132" i="33" s="1"/>
  <c r="N100" i="37"/>
  <c r="N115" i="37"/>
  <c r="N131" i="37"/>
  <c r="O131" i="37" s="1"/>
  <c r="P131" i="37" s="1"/>
  <c r="Q131" i="37" s="1"/>
  <c r="R131" i="37" s="1"/>
  <c r="N92" i="37"/>
  <c r="N96" i="37"/>
  <c r="N83" i="37"/>
  <c r="N85" i="37"/>
  <c r="M103" i="33"/>
  <c r="N124" i="34"/>
  <c r="N117" i="34"/>
  <c r="N127" i="34" s="1"/>
  <c r="N138" i="34" s="1"/>
  <c r="N143" i="33" s="1"/>
  <c r="N102" i="19"/>
  <c r="N131" i="19"/>
  <c r="N100" i="19"/>
  <c r="N115" i="19"/>
  <c r="N96" i="19"/>
  <c r="N92" i="19"/>
  <c r="N85" i="19"/>
  <c r="N83" i="19"/>
  <c r="O88" i="19"/>
  <c r="N124" i="36"/>
  <c r="N126" i="36" s="1"/>
  <c r="N117" i="36"/>
  <c r="N127" i="36" s="1"/>
  <c r="N138" i="36" s="1"/>
  <c r="N103" i="19"/>
  <c r="N119" i="36"/>
  <c r="N132" i="36" s="1"/>
  <c r="N82" i="36"/>
  <c r="N130" i="36" s="1"/>
  <c r="M75" i="34"/>
  <c r="N120" i="20"/>
  <c r="N133" i="20" s="1"/>
  <c r="N104" i="20"/>
  <c r="N131" i="20"/>
  <c r="N92" i="20"/>
  <c r="N115" i="20"/>
  <c r="N100" i="20"/>
  <c r="N96" i="20"/>
  <c r="N83" i="20"/>
  <c r="N111" i="20" s="1"/>
  <c r="N85" i="20"/>
  <c r="O88" i="20"/>
  <c r="N105" i="20"/>
  <c r="N116" i="20" s="1"/>
  <c r="N125" i="20" s="1"/>
  <c r="R104" i="36"/>
  <c r="N149" i="33"/>
  <c r="N120" i="33"/>
  <c r="N122" i="33" s="1"/>
  <c r="N132" i="33" s="1"/>
  <c r="N96" i="33"/>
  <c r="N83" i="33"/>
  <c r="O82" i="33" s="1"/>
  <c r="O135" i="33" s="1"/>
  <c r="N92" i="33"/>
  <c r="N100" i="33"/>
  <c r="N85" i="33"/>
  <c r="N136" i="33"/>
  <c r="O136" i="33" s="1"/>
  <c r="P136" i="33" s="1"/>
  <c r="Q136" i="33" s="1"/>
  <c r="R136" i="33" s="1"/>
  <c r="N105" i="19"/>
  <c r="M75" i="36"/>
  <c r="N101" i="34"/>
  <c r="M104" i="33"/>
  <c r="R104" i="34"/>
  <c r="Q104" i="33" s="1"/>
  <c r="N103" i="22"/>
  <c r="N103" i="37"/>
  <c r="N105" i="22"/>
  <c r="N102" i="37"/>
  <c r="N104" i="37"/>
  <c r="N105" i="37"/>
  <c r="N102" i="22"/>
  <c r="N101" i="36"/>
  <c r="N104" i="22"/>
  <c r="N106" i="20"/>
  <c r="N106" i="19"/>
  <c r="N119" i="34"/>
  <c r="N132" i="34" s="1"/>
  <c r="N82" i="34"/>
  <c r="N130" i="34" s="1"/>
  <c r="N131" i="22"/>
  <c r="O131" i="22" s="1"/>
  <c r="P131" i="22" s="1"/>
  <c r="Q131" i="22" s="1"/>
  <c r="R131" i="22" s="1"/>
  <c r="N85" i="22"/>
  <c r="N96" i="22"/>
  <c r="N83" i="22"/>
  <c r="N115" i="22"/>
  <c r="N100" i="22"/>
  <c r="N92" i="22"/>
  <c r="R68" i="34"/>
  <c r="N62" i="36"/>
  <c r="P66" i="34"/>
  <c r="R66" i="34" s="1"/>
  <c r="P71" i="36"/>
  <c r="R71" i="36" s="1"/>
  <c r="P71" i="34"/>
  <c r="R71" i="34" s="1"/>
  <c r="P70" i="33"/>
  <c r="N32" i="34"/>
  <c r="P66" i="36"/>
  <c r="R66" i="36" s="1"/>
  <c r="N32" i="36"/>
  <c r="P106" i="33"/>
  <c r="Q114" i="33"/>
  <c r="Q123" i="33"/>
  <c r="Q133" i="33" s="1"/>
  <c r="N70" i="34"/>
  <c r="P56" i="34"/>
  <c r="O12" i="36"/>
  <c r="O39" i="36" s="1"/>
  <c r="P48" i="37"/>
  <c r="P70" i="34"/>
  <c r="M24" i="34"/>
  <c r="P48" i="22"/>
  <c r="R48" i="22" s="1"/>
  <c r="P56" i="36"/>
  <c r="P60" i="34"/>
  <c r="O29" i="34"/>
  <c r="R29" i="34" s="1"/>
  <c r="P62" i="36"/>
  <c r="O12" i="34"/>
  <c r="P48" i="33"/>
  <c r="P60" i="36"/>
  <c r="P52" i="34"/>
  <c r="P62" i="34"/>
  <c r="O29" i="36"/>
  <c r="R29" i="36" s="1"/>
  <c r="P65" i="33"/>
  <c r="N28" i="33"/>
  <c r="P70" i="36"/>
  <c r="P52" i="36"/>
  <c r="N70" i="36"/>
  <c r="O65" i="33"/>
  <c r="O113" i="33"/>
  <c r="R110" i="34"/>
  <c r="R96" i="34"/>
  <c r="P75" i="36"/>
  <c r="Q124" i="36"/>
  <c r="Q96" i="37"/>
  <c r="Q92" i="37"/>
  <c r="Q85" i="37"/>
  <c r="R85" i="37" s="1"/>
  <c r="R132" i="37" s="1"/>
  <c r="Q100" i="37"/>
  <c r="Q115" i="37"/>
  <c r="Q83" i="37"/>
  <c r="Q110" i="37" s="1"/>
  <c r="Q113" i="33"/>
  <c r="Q151" i="33" s="1"/>
  <c r="Q85" i="22"/>
  <c r="Q92" i="22"/>
  <c r="Q100" i="22"/>
  <c r="Q96" i="22"/>
  <c r="Q115" i="22"/>
  <c r="Q83" i="22"/>
  <c r="R100" i="34"/>
  <c r="Q120" i="36"/>
  <c r="Q133" i="36" s="1"/>
  <c r="Q116" i="36"/>
  <c r="Q125" i="36" s="1"/>
  <c r="Q103" i="36"/>
  <c r="P75" i="34"/>
  <c r="R48" i="34"/>
  <c r="R75" i="34" s="1"/>
  <c r="Q120" i="33"/>
  <c r="Q122" i="33" s="1"/>
  <c r="Q132" i="33" s="1"/>
  <c r="Q100" i="33"/>
  <c r="Q92" i="33"/>
  <c r="Q96" i="33"/>
  <c r="Q149" i="33"/>
  <c r="Q83" i="33"/>
  <c r="Q85" i="33"/>
  <c r="R85" i="33" s="1"/>
  <c r="O131" i="33"/>
  <c r="Q120" i="34"/>
  <c r="Q133" i="34" s="1"/>
  <c r="Q103" i="34"/>
  <c r="R103" i="34" s="1"/>
  <c r="Q103" i="33" s="1"/>
  <c r="Q101" i="33" s="1"/>
  <c r="Q116" i="34"/>
  <c r="Q125" i="34" s="1"/>
  <c r="Q130" i="33" s="1"/>
  <c r="P102" i="33"/>
  <c r="R85" i="22"/>
  <c r="R132" i="22" s="1"/>
  <c r="O126" i="34"/>
  <c r="Q119" i="36"/>
  <c r="Q132" i="36" s="1"/>
  <c r="Q124" i="34"/>
  <c r="R65" i="34"/>
  <c r="R110" i="36"/>
  <c r="R105" i="33"/>
  <c r="Q119" i="34"/>
  <c r="Q132" i="34" s="1"/>
  <c r="Q82" i="34"/>
  <c r="O101" i="34"/>
  <c r="N60" i="33"/>
  <c r="R114" i="33"/>
  <c r="O151" i="33"/>
  <c r="O108" i="22"/>
  <c r="O118" i="22" s="1"/>
  <c r="O128" i="22" s="1"/>
  <c r="P66" i="33"/>
  <c r="N70" i="33"/>
  <c r="O124" i="33"/>
  <c r="O137" i="33" s="1"/>
  <c r="N71" i="37"/>
  <c r="N71" i="22"/>
  <c r="N60" i="37"/>
  <c r="N63" i="36"/>
  <c r="M35" i="34"/>
  <c r="M16" i="34"/>
  <c r="N52" i="37"/>
  <c r="P62" i="33"/>
  <c r="N52" i="22"/>
  <c r="M26" i="34"/>
  <c r="N56" i="37"/>
  <c r="N52" i="33"/>
  <c r="N56" i="33"/>
  <c r="N56" i="22"/>
  <c r="M20" i="36"/>
  <c r="M16" i="36"/>
  <c r="M12" i="33"/>
  <c r="M62" i="33"/>
  <c r="L32" i="34"/>
  <c r="M30" i="34"/>
  <c r="N63" i="34"/>
  <c r="L32" i="36"/>
  <c r="M35" i="36"/>
  <c r="M12" i="37"/>
  <c r="M24" i="36"/>
  <c r="N60" i="22"/>
  <c r="M12" i="22"/>
  <c r="M30" i="36"/>
  <c r="R100" i="37"/>
  <c r="O105" i="37"/>
  <c r="O102" i="37"/>
  <c r="O102" i="22"/>
  <c r="O104" i="22"/>
  <c r="O104" i="37"/>
  <c r="O101" i="36"/>
  <c r="O105" i="22"/>
  <c r="O103" i="37"/>
  <c r="R103" i="36"/>
  <c r="O103" i="22"/>
  <c r="O103" i="20"/>
  <c r="O103" i="19"/>
  <c r="O106" i="22"/>
  <c r="R92" i="37"/>
  <c r="R92" i="22"/>
  <c r="R96" i="22"/>
  <c r="O106" i="37"/>
  <c r="O117" i="36"/>
  <c r="O127" i="36" s="1"/>
  <c r="O138" i="36" s="1"/>
  <c r="O84" i="37"/>
  <c r="O110" i="37"/>
  <c r="O84" i="22"/>
  <c r="O110" i="22"/>
  <c r="O126" i="36"/>
  <c r="M39" i="36"/>
  <c r="R68" i="36"/>
  <c r="O124" i="22"/>
  <c r="Q130" i="36"/>
  <c r="R130" i="36" s="1"/>
  <c r="R82" i="36"/>
  <c r="N45" i="37"/>
  <c r="O124" i="37"/>
  <c r="O108" i="37"/>
  <c r="R100" i="22"/>
  <c r="N45" i="22"/>
  <c r="M63" i="33"/>
  <c r="L30" i="33"/>
  <c r="O142" i="33"/>
  <c r="O134" i="33"/>
  <c r="N101" i="33"/>
  <c r="O129" i="34"/>
  <c r="O137" i="34"/>
  <c r="M56" i="37" a="1"/>
  <c r="M52" i="20" a="1"/>
  <c r="M60" i="22" a="1"/>
  <c r="L28" i="19" a="1"/>
  <c r="L12" i="19" a="1"/>
  <c r="L12" i="33" a="1"/>
  <c r="M56" i="22" a="1"/>
  <c r="O34" i="34" a="1"/>
  <c r="M24" i="33" a="1"/>
  <c r="O34" i="33" a="1"/>
  <c r="O26" i="33" a="1"/>
  <c r="P52" i="33" a="1"/>
  <c r="O16" i="34" a="1"/>
  <c r="N66" i="37" a="1"/>
  <c r="P60" i="33" a="1"/>
  <c r="M16" i="22" a="1"/>
  <c r="P63" i="33" a="1"/>
  <c r="M56" i="20" a="1"/>
  <c r="N63" i="20" a="1"/>
  <c r="M35" i="22" a="1"/>
  <c r="M64" i="37" a="1"/>
  <c r="N63" i="37" a="1"/>
  <c r="M20" i="22" a="1"/>
  <c r="M65" i="20" a="1"/>
  <c r="M63" i="37" a="1"/>
  <c r="L27" i="34" a="1"/>
  <c r="L12" i="20" a="1"/>
  <c r="M56" i="33" a="1"/>
  <c r="M52" i="37" a="1"/>
  <c r="M71" i="20" a="1"/>
  <c r="P56" i="33" a="1"/>
  <c r="M34" i="34" a="1"/>
  <c r="M27" i="34" a="1"/>
  <c r="N70" i="22" a="1"/>
  <c r="N62" i="22" a="1"/>
  <c r="O12" i="37" a="1"/>
  <c r="N64" i="37" a="1"/>
  <c r="N63" i="19" a="1"/>
  <c r="M65" i="22" a="1"/>
  <c r="P52" i="22" a="1"/>
  <c r="L24" i="34" a="1"/>
  <c r="P63" i="36" a="1"/>
  <c r="M62" i="20" a="1"/>
  <c r="M60" i="33" a="1"/>
  <c r="M66" i="20" a="1"/>
  <c r="L28" i="34" a="1"/>
  <c r="L27" i="36" a="1"/>
  <c r="M65" i="37" a="1"/>
  <c r="M62" i="19" a="1"/>
  <c r="O30" i="34" a="1"/>
  <c r="O66" i="33" a="1"/>
  <c r="O35" i="34" a="1"/>
  <c r="N65" i="37" a="1"/>
  <c r="O34" i="36" a="1"/>
  <c r="P70" i="37" a="1"/>
  <c r="L26" i="33" a="1"/>
  <c r="N64" i="22" a="1"/>
  <c r="L27" i="33" a="1"/>
  <c r="L20" i="36" a="1"/>
  <c r="P60" i="22" a="1"/>
  <c r="M27" i="36" a="1"/>
  <c r="M52" i="22" a="1"/>
  <c r="O16" i="36" a="1"/>
  <c r="M16" i="33" a="1"/>
  <c r="K30" i="33" a="1"/>
  <c r="M63" i="22" a="1"/>
  <c r="L12" i="37" a="1"/>
  <c r="M56" i="19" a="1"/>
  <c r="M60" i="37" a="1"/>
  <c r="L28" i="36" a="1"/>
  <c r="N48" i="19" a="1"/>
  <c r="N29" i="33" a="1"/>
  <c r="N70" i="37" a="1"/>
  <c r="P56" i="22" a="1"/>
  <c r="P52" i="37" a="1"/>
  <c r="M35" i="37" a="1"/>
  <c r="O12" i="22" a="1"/>
  <c r="P60" i="37" a="1"/>
  <c r="M26" i="36" a="1"/>
  <c r="O24" i="34" a="1"/>
  <c r="M62" i="37" a="1"/>
  <c r="M34" i="33" a="1"/>
  <c r="O26" i="34" a="1"/>
  <c r="M66" i="19" a="1"/>
  <c r="M24" i="37" a="1"/>
  <c r="O20" i="36" a="1"/>
  <c r="M63" i="20" a="1"/>
  <c r="M64" i="22" a="1"/>
  <c r="L20" i="34" a="1"/>
  <c r="M60" i="20" a="1"/>
  <c r="L63" i="33" a="1"/>
  <c r="L16" i="36" a="1"/>
  <c r="M64" i="20" a="1"/>
  <c r="M20" i="37" a="1"/>
  <c r="N66" i="22" a="1"/>
  <c r="P56" i="37" a="1"/>
  <c r="O30" i="33" a="1"/>
  <c r="N68" i="22" a="1"/>
  <c r="O35" i="36" a="1"/>
  <c r="M20" i="33" a="1"/>
  <c r="M16" i="37" a="1"/>
  <c r="O62" i="33" a="1"/>
  <c r="L16" i="34" a="1"/>
  <c r="M52" i="33" a="1"/>
  <c r="O29" i="33" a="1"/>
  <c r="M60" i="19" a="1"/>
  <c r="P64" i="33" a="1"/>
  <c r="P63" i="34" a="1"/>
  <c r="L24" i="36" a="1"/>
  <c r="K26" i="33" a="1"/>
  <c r="M63" i="19" a="1"/>
  <c r="M65" i="19" a="1"/>
  <c r="M52" i="19" a="1"/>
  <c r="L64" i="33" a="1"/>
  <c r="N48" i="20" a="1"/>
  <c r="O30" i="36" a="1"/>
  <c r="O20" i="34" a="1"/>
  <c r="O24" i="36" a="1"/>
  <c r="N68" i="37" a="1"/>
  <c r="M24" i="22" a="1"/>
  <c r="M34" i="36" a="1"/>
  <c r="N62" i="37" a="1"/>
  <c r="N65" i="22" a="1"/>
  <c r="O12" i="33" a="1"/>
  <c r="M62" i="22" a="1"/>
  <c r="O26" i="36" a="1"/>
  <c r="L12" i="22" a="1"/>
  <c r="N63" i="22" a="1"/>
  <c r="R60" i="36" l="1"/>
  <c r="R48" i="37"/>
  <c r="R92" i="33"/>
  <c r="P82" i="33"/>
  <c r="P135" i="33" s="1"/>
  <c r="M63" i="20"/>
  <c r="K30" i="33"/>
  <c r="M62" i="20"/>
  <c r="N110" i="20"/>
  <c r="Q117" i="34"/>
  <c r="Q127" i="34" s="1"/>
  <c r="Q138" i="34" s="1"/>
  <c r="Q143" i="33" s="1"/>
  <c r="Q124" i="33"/>
  <c r="Q137" i="33" s="1"/>
  <c r="R52" i="36"/>
  <c r="M71" i="20"/>
  <c r="M56" i="22"/>
  <c r="P64" i="33"/>
  <c r="M52" i="33"/>
  <c r="N48" i="20"/>
  <c r="M64" i="20"/>
  <c r="N48" i="19"/>
  <c r="M62" i="19"/>
  <c r="M52" i="37"/>
  <c r="L12" i="33"/>
  <c r="L39" i="33" s="1"/>
  <c r="L24" i="34"/>
  <c r="M62" i="22"/>
  <c r="L64" i="33"/>
  <c r="L16" i="36"/>
  <c r="L28" i="36"/>
  <c r="R28" i="36" s="1"/>
  <c r="M65" i="37"/>
  <c r="M56" i="33"/>
  <c r="L12" i="19"/>
  <c r="L9" i="19" s="1"/>
  <c r="M64" i="37"/>
  <c r="M56" i="20"/>
  <c r="M52" i="19"/>
  <c r="L63" i="33"/>
  <c r="M60" i="37"/>
  <c r="L27" i="36"/>
  <c r="L12" i="20"/>
  <c r="L9" i="20" s="1"/>
  <c r="L28" i="19"/>
  <c r="M52" i="22"/>
  <c r="M62" i="37"/>
  <c r="M65" i="19"/>
  <c r="M60" i="20"/>
  <c r="M56" i="19"/>
  <c r="L28" i="34"/>
  <c r="R28" i="34" s="1"/>
  <c r="L27" i="34"/>
  <c r="M60" i="22"/>
  <c r="M66" i="19"/>
  <c r="M65" i="22"/>
  <c r="M63" i="19"/>
  <c r="L20" i="34"/>
  <c r="L12" i="37"/>
  <c r="L9" i="37" s="1"/>
  <c r="M66" i="20"/>
  <c r="M63" i="37"/>
  <c r="M52" i="20"/>
  <c r="M60" i="19"/>
  <c r="L20" i="36"/>
  <c r="K26" i="33"/>
  <c r="M64" i="22"/>
  <c r="M63" i="22"/>
  <c r="M60" i="33"/>
  <c r="M65" i="20"/>
  <c r="M56" i="37"/>
  <c r="L12" i="22"/>
  <c r="L9" i="22" s="1"/>
  <c r="L16" i="34"/>
  <c r="L24" i="36"/>
  <c r="P88" i="20"/>
  <c r="Q88" i="20" s="1"/>
  <c r="O105" i="20"/>
  <c r="O131" i="20"/>
  <c r="O104" i="20"/>
  <c r="O92" i="20"/>
  <c r="O96" i="20"/>
  <c r="O106" i="20"/>
  <c r="O100" i="20"/>
  <c r="O115" i="20"/>
  <c r="O124" i="20" s="1"/>
  <c r="O85" i="20"/>
  <c r="O102" i="20"/>
  <c r="O83" i="20"/>
  <c r="O105" i="19"/>
  <c r="O102" i="19"/>
  <c r="O83" i="19"/>
  <c r="O104" i="19"/>
  <c r="O85" i="19"/>
  <c r="O131" i="19"/>
  <c r="O100" i="19"/>
  <c r="O96" i="19"/>
  <c r="O92" i="19"/>
  <c r="O106" i="19"/>
  <c r="O115" i="19"/>
  <c r="O124" i="19" s="1"/>
  <c r="P88" i="19"/>
  <c r="N120" i="19"/>
  <c r="N133" i="19" s="1"/>
  <c r="N116" i="19"/>
  <c r="N125" i="19" s="1"/>
  <c r="M75" i="33"/>
  <c r="N120" i="22"/>
  <c r="N133" i="22" s="1"/>
  <c r="N116" i="22"/>
  <c r="R104" i="33"/>
  <c r="N124" i="33"/>
  <c r="N137" i="33" s="1"/>
  <c r="N82" i="33"/>
  <c r="N135" i="33" s="1"/>
  <c r="N84" i="19"/>
  <c r="N130" i="19" s="1"/>
  <c r="N82" i="19"/>
  <c r="R64" i="36"/>
  <c r="N82" i="20"/>
  <c r="N84" i="20"/>
  <c r="N130" i="20" s="1"/>
  <c r="N108" i="20"/>
  <c r="N126" i="34"/>
  <c r="N129" i="33"/>
  <c r="N131" i="33" s="1"/>
  <c r="N124" i="37"/>
  <c r="M45" i="19"/>
  <c r="M101" i="33"/>
  <c r="M45" i="20"/>
  <c r="N116" i="37"/>
  <c r="N117" i="37" s="1"/>
  <c r="N120" i="37"/>
  <c r="N133" i="37" s="1"/>
  <c r="R64" i="34"/>
  <c r="N124" i="20"/>
  <c r="N126" i="20" s="1"/>
  <c r="N129" i="20" s="1"/>
  <c r="N117" i="20"/>
  <c r="N127" i="20" s="1"/>
  <c r="N108" i="19"/>
  <c r="N124" i="19"/>
  <c r="N126" i="19" s="1"/>
  <c r="N129" i="19" s="1"/>
  <c r="M45" i="37"/>
  <c r="N124" i="22"/>
  <c r="N117" i="22"/>
  <c r="N101" i="37"/>
  <c r="N111" i="19"/>
  <c r="N111" i="37"/>
  <c r="N108" i="37"/>
  <c r="N84" i="37"/>
  <c r="N130" i="37" s="1"/>
  <c r="N82" i="37"/>
  <c r="O82" i="37" s="1"/>
  <c r="P82" i="37" s="1"/>
  <c r="Q82" i="37" s="1"/>
  <c r="R82" i="37" s="1"/>
  <c r="N106" i="37"/>
  <c r="N110" i="37"/>
  <c r="N108" i="22"/>
  <c r="N106" i="22"/>
  <c r="N84" i="22"/>
  <c r="N130" i="22" s="1"/>
  <c r="N111" i="22"/>
  <c r="N82" i="22"/>
  <c r="O82" i="22" s="1"/>
  <c r="P82" i="22" s="1"/>
  <c r="Q82" i="22" s="1"/>
  <c r="R82" i="22" s="1"/>
  <c r="N110" i="22"/>
  <c r="N101" i="22"/>
  <c r="N110" i="19"/>
  <c r="N137" i="36"/>
  <c r="N129" i="36"/>
  <c r="M45" i="22"/>
  <c r="O119" i="37"/>
  <c r="O132" i="37" s="1"/>
  <c r="R83" i="33"/>
  <c r="R70" i="33"/>
  <c r="R62" i="36"/>
  <c r="R32" i="34"/>
  <c r="M26" i="36"/>
  <c r="R83" i="37"/>
  <c r="R12" i="36"/>
  <c r="R39" i="36" s="1"/>
  <c r="R32" i="36"/>
  <c r="O30" i="36"/>
  <c r="R30" i="36" s="1"/>
  <c r="O34" i="33"/>
  <c r="O35" i="34"/>
  <c r="R35" i="34" s="1"/>
  <c r="O35" i="36"/>
  <c r="R35" i="36" s="1"/>
  <c r="O66" i="33"/>
  <c r="R66" i="33" s="1"/>
  <c r="O30" i="34"/>
  <c r="R30" i="34" s="1"/>
  <c r="Q82" i="33"/>
  <c r="R82" i="33" s="1"/>
  <c r="R106" i="33"/>
  <c r="O62" i="33"/>
  <c r="R62" i="33" s="1"/>
  <c r="N29" i="33"/>
  <c r="O16" i="34"/>
  <c r="O12" i="22"/>
  <c r="O9" i="22" s="1"/>
  <c r="P56" i="22"/>
  <c r="M34" i="36"/>
  <c r="O24" i="36"/>
  <c r="P56" i="37"/>
  <c r="P63" i="34"/>
  <c r="P63" i="36"/>
  <c r="P60" i="22"/>
  <c r="R60" i="22" s="1"/>
  <c r="O16" i="36"/>
  <c r="O12" i="33"/>
  <c r="O39" i="33" s="1"/>
  <c r="O34" i="34"/>
  <c r="O20" i="36"/>
  <c r="P56" i="33"/>
  <c r="P52" i="22"/>
  <c r="O34" i="36"/>
  <c r="O12" i="37"/>
  <c r="O9" i="37" s="1"/>
  <c r="O26" i="34"/>
  <c r="R26" i="34" s="1"/>
  <c r="P52" i="33"/>
  <c r="P60" i="37"/>
  <c r="O26" i="36"/>
  <c r="P70" i="37"/>
  <c r="P60" i="33"/>
  <c r="O29" i="33"/>
  <c r="O20" i="34"/>
  <c r="P52" i="37"/>
  <c r="O24" i="34"/>
  <c r="M34" i="34"/>
  <c r="Q111" i="22"/>
  <c r="Q84" i="22"/>
  <c r="Q106" i="22"/>
  <c r="Q108" i="22"/>
  <c r="Q130" i="34"/>
  <c r="R130" i="34" s="1"/>
  <c r="R82" i="34"/>
  <c r="P125" i="33"/>
  <c r="P138" i="33" s="1"/>
  <c r="P121" i="33"/>
  <c r="P122" i="33" s="1"/>
  <c r="P132" i="33" s="1"/>
  <c r="R102" i="33"/>
  <c r="Q124" i="22"/>
  <c r="Q117" i="36"/>
  <c r="Q127" i="36" s="1"/>
  <c r="Q138" i="36" s="1"/>
  <c r="R65" i="33"/>
  <c r="P45" i="22"/>
  <c r="Q126" i="36"/>
  <c r="R70" i="36"/>
  <c r="Q126" i="34"/>
  <c r="Q129" i="33"/>
  <c r="Q131" i="33" s="1"/>
  <c r="Q142" i="33" s="1"/>
  <c r="Q101" i="34"/>
  <c r="R101" i="34" s="1"/>
  <c r="P103" i="33"/>
  <c r="Q103" i="22"/>
  <c r="R103" i="22" s="1"/>
  <c r="Q104" i="22"/>
  <c r="Q105" i="37"/>
  <c r="R105" i="37" s="1"/>
  <c r="Q102" i="37"/>
  <c r="Q104" i="37"/>
  <c r="R104" i="37" s="1"/>
  <c r="Q105" i="22"/>
  <c r="R105" i="22" s="1"/>
  <c r="Q103" i="37"/>
  <c r="Q101" i="36"/>
  <c r="R101" i="36" s="1"/>
  <c r="Q102" i="22"/>
  <c r="R102" i="22" s="1"/>
  <c r="Q84" i="37"/>
  <c r="Q130" i="37" s="1"/>
  <c r="R130" i="37" s="1"/>
  <c r="Q106" i="37"/>
  <c r="Q108" i="37"/>
  <c r="Q111" i="37"/>
  <c r="P75" i="33"/>
  <c r="R48" i="33"/>
  <c r="R75" i="33" s="1"/>
  <c r="R83" i="22"/>
  <c r="R96" i="37"/>
  <c r="Q124" i="37"/>
  <c r="O39" i="34"/>
  <c r="R12" i="34"/>
  <c r="R39" i="34" s="1"/>
  <c r="P45" i="37"/>
  <c r="R56" i="36"/>
  <c r="Q110" i="22"/>
  <c r="R110" i="22" s="1"/>
  <c r="R96" i="33"/>
  <c r="R62" i="34"/>
  <c r="R52" i="34"/>
  <c r="R113" i="33"/>
  <c r="R56" i="34"/>
  <c r="R100" i="33"/>
  <c r="R60" i="34"/>
  <c r="R70" i="34"/>
  <c r="P63" i="33"/>
  <c r="M39" i="33"/>
  <c r="M24" i="33"/>
  <c r="N68" i="22"/>
  <c r="O119" i="22"/>
  <c r="O132" i="22" s="1"/>
  <c r="M34" i="33"/>
  <c r="O30" i="33"/>
  <c r="N65" i="22"/>
  <c r="N66" i="22"/>
  <c r="M20" i="22"/>
  <c r="M16" i="22"/>
  <c r="N64" i="37"/>
  <c r="M20" i="33"/>
  <c r="O26" i="33"/>
  <c r="M27" i="36"/>
  <c r="N70" i="22"/>
  <c r="N63" i="19"/>
  <c r="N64" i="22"/>
  <c r="M24" i="22"/>
  <c r="M16" i="33"/>
  <c r="N63" i="20"/>
  <c r="N62" i="22"/>
  <c r="M24" i="37"/>
  <c r="N68" i="37"/>
  <c r="N63" i="22"/>
  <c r="N62" i="37"/>
  <c r="M27" i="34"/>
  <c r="M20" i="37"/>
  <c r="M16" i="37"/>
  <c r="M35" i="22"/>
  <c r="N70" i="37"/>
  <c r="N66" i="37"/>
  <c r="N65" i="37"/>
  <c r="L26" i="33"/>
  <c r="N63" i="37"/>
  <c r="M35" i="37"/>
  <c r="O137" i="36"/>
  <c r="O129" i="36"/>
  <c r="R106" i="22"/>
  <c r="O130" i="37"/>
  <c r="P130" i="37"/>
  <c r="R104" i="22"/>
  <c r="O120" i="22"/>
  <c r="O133" i="22" s="1"/>
  <c r="O116" i="22"/>
  <c r="O118" i="37"/>
  <c r="O128" i="37" s="1"/>
  <c r="O101" i="22"/>
  <c r="O120" i="37"/>
  <c r="O133" i="37" s="1"/>
  <c r="O116" i="37"/>
  <c r="R102" i="37"/>
  <c r="R110" i="37"/>
  <c r="M9" i="22"/>
  <c r="M9" i="37"/>
  <c r="P130" i="22"/>
  <c r="R84" i="22"/>
  <c r="O101" i="37"/>
  <c r="R103" i="37"/>
  <c r="L27" i="33"/>
  <c r="L29" i="37" a="1"/>
  <c r="L20" i="33" a="1"/>
  <c r="N65" i="20" a="1"/>
  <c r="L20" i="37" a="1"/>
  <c r="L20" i="20" a="1"/>
  <c r="M70" i="19" a="1"/>
  <c r="M71" i="37" a="1"/>
  <c r="M68" i="37" a="1"/>
  <c r="P71" i="37" a="1"/>
  <c r="O34" i="37" a="1"/>
  <c r="O24" i="37" a="1"/>
  <c r="M34" i="37" a="1"/>
  <c r="M27" i="19" a="1"/>
  <c r="M28" i="37" a="1"/>
  <c r="L16" i="22" a="1"/>
  <c r="N56" i="20" a="1"/>
  <c r="M26" i="37" a="1"/>
  <c r="L16" i="20" a="1"/>
  <c r="O27" i="34" a="1"/>
  <c r="P66" i="37" a="1"/>
  <c r="L27" i="22" a="1"/>
  <c r="L30" i="20" a="1"/>
  <c r="M70" i="22" a="1"/>
  <c r="N62" i="20" a="1"/>
  <c r="L26" i="37" a="1"/>
  <c r="N65" i="19" a="1"/>
  <c r="M12" i="19" a="1"/>
  <c r="L26" i="19" a="1"/>
  <c r="N26" i="33" a="1"/>
  <c r="P68" i="22" a="1"/>
  <c r="M27" i="22" a="1"/>
  <c r="M30" i="37" a="1"/>
  <c r="O16" i="37" a="1"/>
  <c r="N30" i="33" a="1"/>
  <c r="M70" i="20" a="1"/>
  <c r="N56" i="19" a="1"/>
  <c r="P71" i="22" a="1"/>
  <c r="L20" i="22" a="1"/>
  <c r="N66" i="19" a="1"/>
  <c r="L32" i="22" a="1"/>
  <c r="O48" i="20" a="1"/>
  <c r="L24" i="33" a="1"/>
  <c r="L16" i="33" a="1"/>
  <c r="N60" i="19" a="1"/>
  <c r="L30" i="19" a="1"/>
  <c r="M66" i="22" a="1"/>
  <c r="K27" i="33" a="1"/>
  <c r="L24" i="37" a="1"/>
  <c r="P65" i="37" a="1"/>
  <c r="P64" i="37" a="1"/>
  <c r="M26" i="22" a="1"/>
  <c r="O27" i="36" a="1"/>
  <c r="P66" i="22" a="1"/>
  <c r="O24" i="33" a="1"/>
  <c r="O28" i="33" a="1"/>
  <c r="N66" i="20" a="1"/>
  <c r="L32" i="37" a="1"/>
  <c r="L16" i="37" a="1"/>
  <c r="N52" i="20" a="1"/>
  <c r="M29" i="22" a="1"/>
  <c r="L27" i="20" a="1"/>
  <c r="N60" i="20" a="1"/>
  <c r="P48" i="20" a="1"/>
  <c r="L26" i="22" a="1"/>
  <c r="M70" i="37" a="1"/>
  <c r="L24" i="19" a="1"/>
  <c r="L28" i="20" a="1"/>
  <c r="L24" i="20" a="1"/>
  <c r="L20" i="19" a="1"/>
  <c r="P68" i="37" a="1"/>
  <c r="P62" i="37" a="1"/>
  <c r="M27" i="20" a="1"/>
  <c r="O20" i="33" a="1"/>
  <c r="P65" i="22" a="1"/>
  <c r="O20" i="37" a="1"/>
  <c r="L29" i="19" a="1"/>
  <c r="O27" i="33" a="1"/>
  <c r="K28" i="33" a="1"/>
  <c r="M28" i="22" a="1"/>
  <c r="L26" i="20" a="1"/>
  <c r="N64" i="19" a="1"/>
  <c r="M66" i="37" a="1"/>
  <c r="L28" i="37" a="1"/>
  <c r="N52" i="19" a="1"/>
  <c r="N64" i="20" a="1"/>
  <c r="L16" i="19" a="1"/>
  <c r="L27" i="19" a="1"/>
  <c r="L28" i="22" a="1"/>
  <c r="P70" i="22" a="1"/>
  <c r="M34" i="22" a="1"/>
  <c r="O63" i="33" a="1"/>
  <c r="O24" i="22" a="1"/>
  <c r="M29" i="37" a="1"/>
  <c r="O20" i="22" a="1"/>
  <c r="O48" i="19" a="1"/>
  <c r="M68" i="19" a="1"/>
  <c r="M27" i="37" a="1"/>
  <c r="O16" i="33" a="1"/>
  <c r="M68" i="22" a="1"/>
  <c r="O16" i="22" a="1"/>
  <c r="L35" i="20" a="1"/>
  <c r="M68" i="20" a="1"/>
  <c r="L27" i="37" a="1"/>
  <c r="L24" i="22" a="1"/>
  <c r="M12" i="20" a="1"/>
  <c r="M71" i="19" a="1"/>
  <c r="L29" i="22" a="1"/>
  <c r="N62" i="19" a="1"/>
  <c r="M71" i="22" a="1"/>
  <c r="P64" i="22" a="1"/>
  <c r="P62" i="22" a="1"/>
  <c r="P63" i="22" a="1"/>
  <c r="P63" i="37" a="1"/>
  <c r="M30" i="22" a="1"/>
  <c r="L29" i="20" a="1"/>
  <c r="R108" i="22" l="1"/>
  <c r="N119" i="37"/>
  <c r="N132" i="37" s="1"/>
  <c r="R45" i="22"/>
  <c r="M70" i="20"/>
  <c r="L26" i="20"/>
  <c r="L27" i="20"/>
  <c r="R106" i="37"/>
  <c r="R108" i="37"/>
  <c r="R45" i="37"/>
  <c r="R52" i="22"/>
  <c r="R52" i="33"/>
  <c r="R20" i="34"/>
  <c r="R60" i="33"/>
  <c r="R56" i="33"/>
  <c r="R56" i="22"/>
  <c r="R52" i="37"/>
  <c r="R24" i="34"/>
  <c r="R60" i="37"/>
  <c r="R16" i="36"/>
  <c r="M71" i="22"/>
  <c r="N66" i="20"/>
  <c r="L28" i="22"/>
  <c r="L20" i="19"/>
  <c r="L24" i="37"/>
  <c r="L26" i="19"/>
  <c r="M68" i="37"/>
  <c r="N66" i="19"/>
  <c r="N62" i="19"/>
  <c r="N56" i="20"/>
  <c r="L27" i="19"/>
  <c r="L24" i="20"/>
  <c r="K27" i="33"/>
  <c r="M12" i="19"/>
  <c r="M9" i="19" s="1"/>
  <c r="M71" i="37"/>
  <c r="N52" i="20"/>
  <c r="L29" i="22"/>
  <c r="L29" i="19"/>
  <c r="L16" i="19"/>
  <c r="L28" i="20"/>
  <c r="M66" i="22"/>
  <c r="N65" i="19"/>
  <c r="M70" i="19"/>
  <c r="M68" i="22"/>
  <c r="M71" i="19"/>
  <c r="N56" i="19"/>
  <c r="N64" i="20"/>
  <c r="L24" i="19"/>
  <c r="L30" i="19"/>
  <c r="L26" i="37"/>
  <c r="L20" i="20"/>
  <c r="K28" i="33"/>
  <c r="M12" i="20"/>
  <c r="M9" i="20" s="1"/>
  <c r="M68" i="19"/>
  <c r="N52" i="19"/>
  <c r="M70" i="37"/>
  <c r="R70" i="37" s="1"/>
  <c r="N60" i="19"/>
  <c r="N62" i="20"/>
  <c r="L20" i="37"/>
  <c r="L16" i="20"/>
  <c r="L24" i="22"/>
  <c r="L16" i="22"/>
  <c r="L28" i="37"/>
  <c r="L26" i="22"/>
  <c r="L16" i="33"/>
  <c r="M70" i="22"/>
  <c r="N65" i="20"/>
  <c r="L29" i="20"/>
  <c r="L27" i="37"/>
  <c r="O28" i="33"/>
  <c r="M66" i="37"/>
  <c r="P48" i="20"/>
  <c r="L24" i="33"/>
  <c r="L30" i="20"/>
  <c r="L20" i="33"/>
  <c r="L20" i="22"/>
  <c r="M68" i="20"/>
  <c r="O48" i="19"/>
  <c r="N64" i="19"/>
  <c r="N60" i="20"/>
  <c r="O48" i="20"/>
  <c r="L27" i="22"/>
  <c r="L29" i="37"/>
  <c r="L16" i="37"/>
  <c r="L35" i="20"/>
  <c r="Q130" i="22"/>
  <c r="R130" i="22" s="1"/>
  <c r="O130" i="22"/>
  <c r="R16" i="34"/>
  <c r="N117" i="19"/>
  <c r="N127" i="19" s="1"/>
  <c r="N119" i="20"/>
  <c r="N132" i="20" s="1"/>
  <c r="O108" i="19"/>
  <c r="O111" i="19"/>
  <c r="O110" i="19"/>
  <c r="O82" i="19"/>
  <c r="O84" i="19"/>
  <c r="N118" i="37"/>
  <c r="N128" i="37" s="1"/>
  <c r="O120" i="19"/>
  <c r="O133" i="19" s="1"/>
  <c r="O116" i="19"/>
  <c r="M61" i="19"/>
  <c r="N45" i="19"/>
  <c r="N125" i="22"/>
  <c r="N126" i="22" s="1"/>
  <c r="N129" i="22" s="1"/>
  <c r="N127" i="22"/>
  <c r="N118" i="22"/>
  <c r="N128" i="22" s="1"/>
  <c r="O110" i="20"/>
  <c r="O82" i="20"/>
  <c r="O108" i="20"/>
  <c r="O111" i="20"/>
  <c r="O84" i="20"/>
  <c r="R64" i="33"/>
  <c r="N45" i="20"/>
  <c r="N118" i="19"/>
  <c r="N128" i="19" s="1"/>
  <c r="R20" i="36"/>
  <c r="R24" i="36"/>
  <c r="N119" i="19"/>
  <c r="N132" i="19" s="1"/>
  <c r="O120" i="20"/>
  <c r="O133" i="20" s="1"/>
  <c r="O116" i="20"/>
  <c r="O125" i="20" s="1"/>
  <c r="O126" i="20" s="1"/>
  <c r="O129" i="20" s="1"/>
  <c r="P131" i="20"/>
  <c r="Q131" i="20" s="1"/>
  <c r="R131" i="20" s="1"/>
  <c r="N142" i="33"/>
  <c r="N134" i="33"/>
  <c r="R88" i="20"/>
  <c r="Q104" i="20"/>
  <c r="Q103" i="20"/>
  <c r="Q92" i="20"/>
  <c r="Q100" i="20"/>
  <c r="Q115" i="20"/>
  <c r="Q124" i="20" s="1"/>
  <c r="Q106" i="20"/>
  <c r="Q96" i="20"/>
  <c r="Q83" i="20"/>
  <c r="Q102" i="20"/>
  <c r="Q85" i="20"/>
  <c r="Q105" i="20"/>
  <c r="N137" i="34"/>
  <c r="N129" i="34"/>
  <c r="M61" i="20"/>
  <c r="N119" i="22"/>
  <c r="N132" i="22" s="1"/>
  <c r="N125" i="37"/>
  <c r="N126" i="37" s="1"/>
  <c r="N129" i="37" s="1"/>
  <c r="N127" i="37"/>
  <c r="N118" i="20"/>
  <c r="N128" i="20" s="1"/>
  <c r="Q88" i="19"/>
  <c r="P96" i="19"/>
  <c r="P103" i="19"/>
  <c r="P100" i="19"/>
  <c r="P104" i="19"/>
  <c r="P83" i="19"/>
  <c r="P115" i="19"/>
  <c r="P124" i="19" s="1"/>
  <c r="P102" i="19"/>
  <c r="P85" i="19"/>
  <c r="P131" i="19"/>
  <c r="P105" i="19"/>
  <c r="P106" i="19"/>
  <c r="P92" i="19"/>
  <c r="P105" i="20"/>
  <c r="P85" i="20"/>
  <c r="P104" i="20"/>
  <c r="P102" i="20"/>
  <c r="P92" i="20"/>
  <c r="P96" i="20"/>
  <c r="P100" i="20"/>
  <c r="P103" i="20"/>
  <c r="P115" i="20"/>
  <c r="P106" i="20"/>
  <c r="P83" i="20"/>
  <c r="Q135" i="33"/>
  <c r="R135" i="33" s="1"/>
  <c r="R34" i="34"/>
  <c r="R12" i="22"/>
  <c r="R9" i="22"/>
  <c r="R26" i="36"/>
  <c r="R12" i="37"/>
  <c r="R34" i="33"/>
  <c r="Q119" i="22"/>
  <c r="Q132" i="22" s="1"/>
  <c r="R12" i="33"/>
  <c r="R39" i="33" s="1"/>
  <c r="R9" i="37"/>
  <c r="N30" i="33"/>
  <c r="R30" i="33" s="1"/>
  <c r="O34" i="37"/>
  <c r="O20" i="33"/>
  <c r="O20" i="37"/>
  <c r="P63" i="37"/>
  <c r="P65" i="22"/>
  <c r="R65" i="22" s="1"/>
  <c r="O24" i="37"/>
  <c r="P70" i="22"/>
  <c r="P71" i="37"/>
  <c r="P64" i="37"/>
  <c r="R64" i="37" s="1"/>
  <c r="P68" i="22"/>
  <c r="O16" i="33"/>
  <c r="O20" i="22"/>
  <c r="O63" i="33"/>
  <c r="P68" i="37"/>
  <c r="R68" i="37" s="1"/>
  <c r="P62" i="37"/>
  <c r="R62" i="37" s="1"/>
  <c r="P66" i="22"/>
  <c r="O16" i="37"/>
  <c r="P66" i="37"/>
  <c r="P65" i="37"/>
  <c r="R65" i="37" s="1"/>
  <c r="O24" i="22"/>
  <c r="O27" i="36"/>
  <c r="R27" i="36" s="1"/>
  <c r="P64" i="22"/>
  <c r="P71" i="22"/>
  <c r="P62" i="22"/>
  <c r="R62" i="22" s="1"/>
  <c r="P63" i="22"/>
  <c r="O24" i="33"/>
  <c r="O16" i="22"/>
  <c r="O27" i="34"/>
  <c r="R27" i="34" s="1"/>
  <c r="N26" i="33"/>
  <c r="R26" i="33" s="1"/>
  <c r="R84" i="37"/>
  <c r="Q101" i="37"/>
  <c r="R101" i="37" s="1"/>
  <c r="Q119" i="37"/>
  <c r="Q132" i="37" s="1"/>
  <c r="Q134" i="33"/>
  <c r="Q137" i="36"/>
  <c r="Q129" i="36"/>
  <c r="R34" i="36"/>
  <c r="R111" i="37"/>
  <c r="Q137" i="34"/>
  <c r="Q129" i="34"/>
  <c r="Q118" i="22"/>
  <c r="Q128" i="22" s="1"/>
  <c r="P101" i="33"/>
  <c r="R101" i="33" s="1"/>
  <c r="R103" i="33"/>
  <c r="R56" i="37"/>
  <c r="Q118" i="37"/>
  <c r="Q128" i="37" s="1"/>
  <c r="Q120" i="37"/>
  <c r="Q133" i="37" s="1"/>
  <c r="Q116" i="37"/>
  <c r="R29" i="33"/>
  <c r="R111" i="22"/>
  <c r="Q120" i="22"/>
  <c r="Q133" i="22" s="1"/>
  <c r="Q116" i="22"/>
  <c r="Q101" i="22"/>
  <c r="R101" i="22" s="1"/>
  <c r="O27" i="33"/>
  <c r="L32" i="22"/>
  <c r="M27" i="37"/>
  <c r="M34" i="37"/>
  <c r="M26" i="37"/>
  <c r="M28" i="22"/>
  <c r="M27" i="22"/>
  <c r="M27" i="19"/>
  <c r="M28" i="37"/>
  <c r="M29" i="22"/>
  <c r="M29" i="37"/>
  <c r="M26" i="22"/>
  <c r="M34" i="22"/>
  <c r="M30" i="22"/>
  <c r="L32" i="37"/>
  <c r="M27" i="20"/>
  <c r="M30" i="37"/>
  <c r="O127" i="22"/>
  <c r="O125" i="22"/>
  <c r="O126" i="22" s="1"/>
  <c r="O129" i="22" s="1"/>
  <c r="O117" i="22"/>
  <c r="O125" i="37"/>
  <c r="O126" i="37" s="1"/>
  <c r="O129" i="37" s="1"/>
  <c r="O127" i="37"/>
  <c r="O117" i="37"/>
  <c r="M26" i="19" a="1"/>
  <c r="M20" i="20" a="1"/>
  <c r="N68" i="20" a="1"/>
  <c r="N71" i="19" a="1"/>
  <c r="N70" i="19" a="1"/>
  <c r="P60" i="20" a="1"/>
  <c r="O63" i="19" a="1"/>
  <c r="O60" i="19" a="1"/>
  <c r="O27" i="37" a="1"/>
  <c r="O28" i="37" a="1"/>
  <c r="O30" i="37" a="1"/>
  <c r="O35" i="37" a="1"/>
  <c r="O63" i="20" a="1"/>
  <c r="M24" i="19" a="1"/>
  <c r="O34" i="22" a="1"/>
  <c r="M30" i="20" a="1"/>
  <c r="L34" i="22" a="1"/>
  <c r="K32" i="22" a="1"/>
  <c r="L35" i="19" a="1"/>
  <c r="P64" i="20" a="1"/>
  <c r="N71" i="20" a="1"/>
  <c r="P52" i="20" a="1"/>
  <c r="O56" i="19" a="1"/>
  <c r="O65" i="19" a="1"/>
  <c r="O66" i="19" a="1"/>
  <c r="O26" i="22" a="1"/>
  <c r="L35" i="22" a="1"/>
  <c r="O28" i="22" a="1"/>
  <c r="N70" i="20" a="1"/>
  <c r="K32" i="20" a="1"/>
  <c r="P62" i="20" a="1"/>
  <c r="P63" i="20" a="1"/>
  <c r="P65" i="20" a="1"/>
  <c r="O52" i="20" a="1"/>
  <c r="O56" i="20" a="1"/>
  <c r="O60" i="20" a="1"/>
  <c r="O30" i="22" a="1"/>
  <c r="N27" i="33" a="1"/>
  <c r="M30" i="19" a="1"/>
  <c r="L30" i="37" a="1"/>
  <c r="M26" i="20" a="1"/>
  <c r="M24" i="20" a="1"/>
  <c r="P66" i="20" a="1"/>
  <c r="P56" i="20" a="1"/>
  <c r="O65" i="20" a="1"/>
  <c r="O66" i="20" a="1"/>
  <c r="O62" i="19" a="1"/>
  <c r="P48" i="19" a="1"/>
  <c r="K32" i="37" a="1"/>
  <c r="O29" i="37" a="1"/>
  <c r="N12" i="19" a="1"/>
  <c r="M29" i="20" a="1"/>
  <c r="N12" i="20" a="1"/>
  <c r="O64" i="19" a="1"/>
  <c r="M20" i="19" a="1"/>
  <c r="M28" i="20" a="1"/>
  <c r="O64" i="20" a="1"/>
  <c r="O62" i="20" a="1"/>
  <c r="L35" i="37" a="1"/>
  <c r="M16" i="20" a="1"/>
  <c r="O29" i="22" a="1"/>
  <c r="O27" i="22" a="1"/>
  <c r="O12" i="20" a="1"/>
  <c r="N68" i="19" a="1"/>
  <c r="O52" i="19" a="1"/>
  <c r="K32" i="19" a="1"/>
  <c r="M16" i="19" a="1"/>
  <c r="L34" i="37" a="1"/>
  <c r="L30" i="22" a="1"/>
  <c r="M29" i="19" a="1"/>
  <c r="L34" i="19" a="1"/>
  <c r="N32" i="22" a="1"/>
  <c r="O35" i="22" a="1"/>
  <c r="L34" i="20" a="1"/>
  <c r="O26" i="37" a="1"/>
  <c r="M28" i="19" a="1"/>
  <c r="N32" i="37" a="1"/>
  <c r="R16" i="33" l="1"/>
  <c r="R70" i="22"/>
  <c r="L34" i="20"/>
  <c r="N61" i="19"/>
  <c r="Q131" i="19"/>
  <c r="R131" i="19" s="1"/>
  <c r="R24" i="22"/>
  <c r="R16" i="22"/>
  <c r="R66" i="37"/>
  <c r="R66" i="22"/>
  <c r="N61" i="20"/>
  <c r="R24" i="33"/>
  <c r="R20" i="37"/>
  <c r="R20" i="33"/>
  <c r="R20" i="22"/>
  <c r="R68" i="22"/>
  <c r="R16" i="37"/>
  <c r="R24" i="37"/>
  <c r="O60" i="20"/>
  <c r="O66" i="19"/>
  <c r="O60" i="19"/>
  <c r="P66" i="20"/>
  <c r="M29" i="20"/>
  <c r="L34" i="19"/>
  <c r="M16" i="20"/>
  <c r="M30" i="19"/>
  <c r="O56" i="20"/>
  <c r="O65" i="19"/>
  <c r="O63" i="19"/>
  <c r="L34" i="22"/>
  <c r="M26" i="20"/>
  <c r="M29" i="19"/>
  <c r="L35" i="37"/>
  <c r="K32" i="37"/>
  <c r="O52" i="20"/>
  <c r="O56" i="19"/>
  <c r="P60" i="20"/>
  <c r="N12" i="20"/>
  <c r="M24" i="19"/>
  <c r="L30" i="22"/>
  <c r="O62" i="20"/>
  <c r="P48" i="19"/>
  <c r="P65" i="20"/>
  <c r="P52" i="20"/>
  <c r="N70" i="19"/>
  <c r="M24" i="20"/>
  <c r="O12" i="20"/>
  <c r="O9" i="20" s="1"/>
  <c r="L34" i="37"/>
  <c r="R34" i="37" s="1"/>
  <c r="O64" i="20"/>
  <c r="O62" i="19"/>
  <c r="P63" i="20"/>
  <c r="N71" i="20"/>
  <c r="N71" i="19"/>
  <c r="M28" i="19"/>
  <c r="L30" i="37"/>
  <c r="M16" i="19"/>
  <c r="M28" i="20"/>
  <c r="O66" i="20"/>
  <c r="P62" i="20"/>
  <c r="P64" i="20"/>
  <c r="N68" i="20"/>
  <c r="N68" i="19"/>
  <c r="N12" i="19"/>
  <c r="N9" i="19" s="1"/>
  <c r="K32" i="19"/>
  <c r="M20" i="19"/>
  <c r="O65" i="20"/>
  <c r="K32" i="20"/>
  <c r="L35" i="19"/>
  <c r="M20" i="20"/>
  <c r="M30" i="20"/>
  <c r="O63" i="20"/>
  <c r="O52" i="19"/>
  <c r="O64" i="19"/>
  <c r="P56" i="20"/>
  <c r="N70" i="20"/>
  <c r="K32" i="22"/>
  <c r="M26" i="19"/>
  <c r="L35" i="22"/>
  <c r="R100" i="20"/>
  <c r="R96" i="20"/>
  <c r="O119" i="19"/>
  <c r="O132" i="19" s="1"/>
  <c r="O130" i="19"/>
  <c r="R92" i="20"/>
  <c r="O45" i="20"/>
  <c r="R48" i="20"/>
  <c r="P116" i="20"/>
  <c r="P125" i="20" s="1"/>
  <c r="P120" i="20"/>
  <c r="P133" i="20" s="1"/>
  <c r="R102" i="20"/>
  <c r="Q102" i="19"/>
  <c r="Q103" i="19"/>
  <c r="R88" i="19"/>
  <c r="Q115" i="19"/>
  <c r="Q124" i="19" s="1"/>
  <c r="Q92" i="19"/>
  <c r="Q105" i="19"/>
  <c r="Q96" i="19"/>
  <c r="Q100" i="19"/>
  <c r="Q106" i="19"/>
  <c r="Q83" i="19"/>
  <c r="Q85" i="19"/>
  <c r="R85" i="19" s="1"/>
  <c r="R132" i="19" s="1"/>
  <c r="Q104" i="19"/>
  <c r="R105" i="20"/>
  <c r="O119" i="20"/>
  <c r="O132" i="20" s="1"/>
  <c r="O130" i="20"/>
  <c r="P45" i="20"/>
  <c r="P108" i="20"/>
  <c r="P84" i="20"/>
  <c r="P119" i="20" s="1"/>
  <c r="P132" i="20" s="1"/>
  <c r="P111" i="20"/>
  <c r="P110" i="20"/>
  <c r="R104" i="20"/>
  <c r="P116" i="19"/>
  <c r="P120" i="19"/>
  <c r="P133" i="19" s="1"/>
  <c r="R85" i="20"/>
  <c r="R132" i="20" s="1"/>
  <c r="R106" i="20"/>
  <c r="Q120" i="20"/>
  <c r="Q133" i="20" s="1"/>
  <c r="Q116" i="20"/>
  <c r="O118" i="20"/>
  <c r="O128" i="20" s="1"/>
  <c r="O118" i="19"/>
  <c r="O128" i="19" s="1"/>
  <c r="O45" i="19"/>
  <c r="P124" i="20"/>
  <c r="P126" i="20" s="1"/>
  <c r="P129" i="20" s="1"/>
  <c r="P117" i="20"/>
  <c r="P127" i="20" s="1"/>
  <c r="P82" i="19"/>
  <c r="P111" i="19"/>
  <c r="P84" i="19"/>
  <c r="P108" i="19"/>
  <c r="P110" i="19"/>
  <c r="R83" i="20"/>
  <c r="Q82" i="20"/>
  <c r="R82" i="20" s="1"/>
  <c r="Q84" i="20"/>
  <c r="Q111" i="20"/>
  <c r="Q110" i="20"/>
  <c r="Q108" i="20"/>
  <c r="P82" i="20"/>
  <c r="O125" i="19"/>
  <c r="O126" i="19" s="1"/>
  <c r="O129" i="19" s="1"/>
  <c r="O117" i="19"/>
  <c r="O127" i="19" s="1"/>
  <c r="R103" i="20"/>
  <c r="O117" i="20"/>
  <c r="O127" i="20" s="1"/>
  <c r="R28" i="33"/>
  <c r="O35" i="22"/>
  <c r="O26" i="22"/>
  <c r="R26" i="22" s="1"/>
  <c r="O30" i="22"/>
  <c r="O35" i="37"/>
  <c r="N27" i="33"/>
  <c r="R27" i="33" s="1"/>
  <c r="O29" i="22"/>
  <c r="R29" i="22" s="1"/>
  <c r="O27" i="37"/>
  <c r="R27" i="37" s="1"/>
  <c r="O34" i="22"/>
  <c r="O29" i="37"/>
  <c r="R29" i="37" s="1"/>
  <c r="O28" i="22"/>
  <c r="R28" i="22" s="1"/>
  <c r="O30" i="37"/>
  <c r="N32" i="22"/>
  <c r="O26" i="37"/>
  <c r="R26" i="37" s="1"/>
  <c r="N32" i="37"/>
  <c r="O27" i="22"/>
  <c r="R27" i="22" s="1"/>
  <c r="O28" i="37"/>
  <c r="R28" i="37" s="1"/>
  <c r="R71" i="22"/>
  <c r="R71" i="37"/>
  <c r="Q127" i="22"/>
  <c r="Q125" i="22"/>
  <c r="Q126" i="22" s="1"/>
  <c r="Q129" i="22" s="1"/>
  <c r="Q117" i="22"/>
  <c r="R64" i="22"/>
  <c r="Q127" i="37"/>
  <c r="Q125" i="37"/>
  <c r="Q126" i="37" s="1"/>
  <c r="Q129" i="37" s="1"/>
  <c r="Q117" i="37"/>
  <c r="P63" i="19" a="1"/>
  <c r="O71" i="20" a="1"/>
  <c r="L32" i="20" a="1"/>
  <c r="N27" i="20" a="1"/>
  <c r="P60" i="19" a="1"/>
  <c r="O68" i="20" a="1"/>
  <c r="O16" i="20" a="1"/>
  <c r="O20" i="20" a="1"/>
  <c r="P62" i="19" a="1"/>
  <c r="O28" i="20" a="1"/>
  <c r="P66" i="19" a="1"/>
  <c r="N24" i="20" a="1"/>
  <c r="P71" i="20" a="1"/>
  <c r="O71" i="19" a="1"/>
  <c r="P64" i="19" a="1"/>
  <c r="P65" i="19" a="1"/>
  <c r="O12" i="19" a="1"/>
  <c r="P52" i="19" a="1"/>
  <c r="O68" i="19" a="1"/>
  <c r="N20" i="20" a="1"/>
  <c r="N30" i="19" a="1"/>
  <c r="P70" i="20" a="1"/>
  <c r="O70" i="20" a="1"/>
  <c r="O70" i="19" a="1"/>
  <c r="N26" i="19" a="1"/>
  <c r="O27" i="20" a="1"/>
  <c r="M34" i="19" a="1"/>
  <c r="N28" i="19" a="1"/>
  <c r="N16" i="20" a="1"/>
  <c r="N29" i="19" a="1"/>
  <c r="N24" i="19" a="1"/>
  <c r="P68" i="20" a="1"/>
  <c r="N16" i="19" a="1"/>
  <c r="N30" i="20" a="1"/>
  <c r="N26" i="20" a="1"/>
  <c r="N28" i="20" a="1"/>
  <c r="M34" i="20" a="1"/>
  <c r="O29" i="20" a="1"/>
  <c r="N20" i="19" a="1"/>
  <c r="N27" i="19" a="1"/>
  <c r="O30" i="20" a="1"/>
  <c r="P56" i="19" a="1"/>
  <c r="N29" i="20" a="1"/>
  <c r="O24" i="20" a="1"/>
  <c r="O26" i="20" a="1"/>
  <c r="L32" i="19" a="1"/>
  <c r="M35" i="20" a="1"/>
  <c r="M35" i="19" a="1"/>
  <c r="R32" i="37" l="1"/>
  <c r="R30" i="37"/>
  <c r="R45" i="20"/>
  <c r="R32" i="22"/>
  <c r="R34" i="22"/>
  <c r="R30" i="22"/>
  <c r="R35" i="37"/>
  <c r="R35" i="22"/>
  <c r="O68" i="20"/>
  <c r="P66" i="19"/>
  <c r="P62" i="19"/>
  <c r="O20" i="20"/>
  <c r="N29" i="20"/>
  <c r="N30" i="20"/>
  <c r="N26" i="19"/>
  <c r="O12" i="19"/>
  <c r="P60" i="19"/>
  <c r="N28" i="19"/>
  <c r="N28" i="20"/>
  <c r="N26" i="20"/>
  <c r="P56" i="19"/>
  <c r="N16" i="19"/>
  <c r="O70" i="19"/>
  <c r="P65" i="19"/>
  <c r="N27" i="20"/>
  <c r="O68" i="19"/>
  <c r="P52" i="19"/>
  <c r="L32" i="19"/>
  <c r="O30" i="20"/>
  <c r="P68" i="20"/>
  <c r="O70" i="20"/>
  <c r="P64" i="19"/>
  <c r="L32" i="20"/>
  <c r="M35" i="19"/>
  <c r="M34" i="19"/>
  <c r="O24" i="20"/>
  <c r="N27" i="19"/>
  <c r="N24" i="19"/>
  <c r="P70" i="20"/>
  <c r="O71" i="19"/>
  <c r="O71" i="20"/>
  <c r="O28" i="20"/>
  <c r="M35" i="20"/>
  <c r="O16" i="20"/>
  <c r="N20" i="19"/>
  <c r="N29" i="19"/>
  <c r="N30" i="19"/>
  <c r="P71" i="20"/>
  <c r="P63" i="19"/>
  <c r="M34" i="20"/>
  <c r="O26" i="20"/>
  <c r="O27" i="20"/>
  <c r="O29" i="20"/>
  <c r="R29" i="20" s="1"/>
  <c r="N16" i="20"/>
  <c r="N20" i="20"/>
  <c r="N24" i="20"/>
  <c r="Q130" i="20"/>
  <c r="R130" i="20" s="1"/>
  <c r="Q119" i="20"/>
  <c r="Q132" i="20" s="1"/>
  <c r="P118" i="20"/>
  <c r="P128" i="20" s="1"/>
  <c r="R106" i="19"/>
  <c r="R102" i="19"/>
  <c r="Q116" i="19"/>
  <c r="Q120" i="19"/>
  <c r="Q133" i="19" s="1"/>
  <c r="R66" i="20"/>
  <c r="P45" i="19"/>
  <c r="R45" i="19" s="1"/>
  <c r="R48" i="19"/>
  <c r="R100" i="19"/>
  <c r="R64" i="20"/>
  <c r="P125" i="19"/>
  <c r="P126" i="19" s="1"/>
  <c r="P129" i="19" s="1"/>
  <c r="P117" i="19"/>
  <c r="P127" i="19" s="1"/>
  <c r="R105" i="19"/>
  <c r="O61" i="20"/>
  <c r="P118" i="19"/>
  <c r="P128" i="19" s="1"/>
  <c r="R92" i="19"/>
  <c r="N9" i="20"/>
  <c r="R9" i="20" s="1"/>
  <c r="R12" i="20"/>
  <c r="R108" i="20"/>
  <c r="Q118" i="20"/>
  <c r="Q128" i="20" s="1"/>
  <c r="P130" i="19"/>
  <c r="P119" i="19"/>
  <c r="P132" i="19" s="1"/>
  <c r="Q125" i="20"/>
  <c r="Q126" i="20" s="1"/>
  <c r="Q129" i="20" s="1"/>
  <c r="Q117" i="20"/>
  <c r="Q127" i="20" s="1"/>
  <c r="R104" i="19"/>
  <c r="O61" i="19"/>
  <c r="R110" i="20"/>
  <c r="R111" i="20"/>
  <c r="R96" i="19"/>
  <c r="R52" i="20"/>
  <c r="P130" i="20"/>
  <c r="R84" i="20"/>
  <c r="Q111" i="19"/>
  <c r="Q108" i="19"/>
  <c r="Q110" i="19"/>
  <c r="Q82" i="19"/>
  <c r="R82" i="19" s="1"/>
  <c r="Q84" i="19"/>
  <c r="R83" i="19"/>
  <c r="R103" i="19"/>
  <c r="R62" i="20"/>
  <c r="P61" i="20"/>
  <c r="R65" i="20"/>
  <c r="R56" i="20"/>
  <c r="R60" i="20"/>
  <c r="N35" i="20" a="1"/>
  <c r="P68" i="19" a="1"/>
  <c r="N35" i="19" a="1"/>
  <c r="O27" i="19" a="1"/>
  <c r="N32" i="20" a="1"/>
  <c r="O26" i="19" a="1"/>
  <c r="N34" i="20" a="1"/>
  <c r="M32" i="20" a="1"/>
  <c r="O28" i="19" a="1"/>
  <c r="O35" i="20" a="1"/>
  <c r="O20" i="19" a="1"/>
  <c r="O30" i="19" a="1"/>
  <c r="P70" i="19" a="1"/>
  <c r="N34" i="19" a="1"/>
  <c r="O34" i="20" a="1"/>
  <c r="O29" i="19" a="1"/>
  <c r="M32" i="19" a="1"/>
  <c r="O24" i="19" a="1"/>
  <c r="O16" i="19" a="1"/>
  <c r="P71" i="19" a="1"/>
  <c r="R28" i="20" l="1"/>
  <c r="O35" i="20"/>
  <c r="N35" i="19"/>
  <c r="O28" i="19"/>
  <c r="R28" i="19" s="1"/>
  <c r="O29" i="19"/>
  <c r="R29" i="19" s="1"/>
  <c r="O34" i="20"/>
  <c r="N34" i="20"/>
  <c r="N34" i="19"/>
  <c r="P70" i="19"/>
  <c r="N32" i="20"/>
  <c r="P68" i="19"/>
  <c r="O20" i="19"/>
  <c r="R20" i="19" s="1"/>
  <c r="P71" i="19"/>
  <c r="O16" i="19"/>
  <c r="R16" i="19" s="1"/>
  <c r="O26" i="19"/>
  <c r="R26" i="19" s="1"/>
  <c r="M32" i="19"/>
  <c r="O30" i="19"/>
  <c r="R30" i="19" s="1"/>
  <c r="O27" i="19"/>
  <c r="R27" i="19" s="1"/>
  <c r="N35" i="20"/>
  <c r="O24" i="19"/>
  <c r="R24" i="19" s="1"/>
  <c r="M32" i="20"/>
  <c r="Q130" i="19"/>
  <c r="R130" i="19" s="1"/>
  <c r="Q119" i="19"/>
  <c r="Q132" i="19" s="1"/>
  <c r="R84" i="19"/>
  <c r="R61" i="20"/>
  <c r="R71" i="20"/>
  <c r="R64" i="19"/>
  <c r="R65" i="19"/>
  <c r="O9" i="19"/>
  <c r="R9" i="19" s="1"/>
  <c r="R12" i="19"/>
  <c r="R70" i="20"/>
  <c r="R110" i="19"/>
  <c r="Q125" i="19"/>
  <c r="Q126" i="19" s="1"/>
  <c r="Q129" i="19" s="1"/>
  <c r="Q117" i="19"/>
  <c r="Q127" i="19" s="1"/>
  <c r="R68" i="20"/>
  <c r="Q118" i="19"/>
  <c r="Q128" i="19" s="1"/>
  <c r="R108" i="19"/>
  <c r="R30" i="20"/>
  <c r="R56" i="19"/>
  <c r="R111" i="19"/>
  <c r="R16" i="20"/>
  <c r="R24" i="20"/>
  <c r="R20" i="20"/>
  <c r="R26" i="20"/>
  <c r="R52" i="19"/>
  <c r="R62" i="19"/>
  <c r="R66" i="19"/>
  <c r="P61" i="19"/>
  <c r="R61" i="19" s="1"/>
  <c r="R27" i="20"/>
  <c r="R60" i="19"/>
  <c r="N32" i="19" a="1"/>
  <c r="O34" i="19" a="1"/>
  <c r="O35" i="19" a="1"/>
  <c r="O34" i="19" l="1"/>
  <c r="R34" i="19" s="1"/>
  <c r="O35" i="19"/>
  <c r="R35" i="19" s="1"/>
  <c r="N32" i="19"/>
  <c r="R32" i="19" s="1"/>
  <c r="R70" i="19"/>
  <c r="R34" i="20"/>
  <c r="R71" i="19"/>
  <c r="R68" i="19"/>
  <c r="R32" i="20"/>
  <c r="R35" i="2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tc={59428211-DDEB-48AD-BA9D-B4FC35115091}</author>
  </authors>
  <commentList>
    <comment ref="B19" authorId="0" shapeId="0" xr:uid="{59428211-DDEB-48AD-BA9D-B4FC35115091}">
      <text>
        <t>[Threaded comment]
Your version of Excel allows you to read this threaded comment; however, any edits to it will get removed if the file is opened in a newer version of Excel. Learn more: https://go.microsoft.com/fwlink/?linkid=870924
Comment:
    After meeting w/Emily Lindow, Chief of Staff @BOEM, reducing this to 60%, and further reducing the "remaining lease areas" acreage to 30%. She explained that recent conversations with fisheries indicated they would likely oppose projects further building out their lease areas, at least initially. So we can't count on more than an additional 5 GW from those leftover lease areas.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tc={75767BFA-A065-4EC6-9C12-18F1C02FC1DA}</author>
  </authors>
  <commentList>
    <comment ref="B84" authorId="0" shapeId="0" xr:uid="{75767BFA-A065-4EC6-9C12-18F1C02FC1DA}">
      <text>
        <t>[Threaded comment]
Your version of Excel allows you to read this threaded comment; however, any edits to it will get removed if the file is opened in a newer version of Excel. Learn more: https://go.microsoft.com/fwlink/?linkid=870924
Comment:
    @Rouxel, Noe  here is the # of projects per year.</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tc={82EB43AC-686A-4B4F-B4EA-19B06AAD0012}</author>
  </authors>
  <commentList>
    <comment ref="B84" authorId="0" shapeId="0" xr:uid="{82EB43AC-686A-4B4F-B4EA-19B06AAD0012}">
      <text>
        <t>[Threaded comment]
Your version of Excel allows you to read this threaded comment; however, any edits to it will get removed if the file is opened in a newer version of Excel. Learn more: https://go.microsoft.com/fwlink/?linkid=870924
Comment:
    @Rouxel, Noe  here is the # of projects per year.</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tc={93D1100A-F495-442F-A6BD-289F587F1CCA}</author>
  </authors>
  <commentList>
    <comment ref="B84" authorId="0" shapeId="0" xr:uid="{93D1100A-F495-442F-A6BD-289F587F1CCA}">
      <text>
        <t>[Threaded comment]
Your version of Excel allows you to read this threaded comment; however, any edits to it will get removed if the file is opened in a newer version of Excel. Learn more: https://go.microsoft.com/fwlink/?linkid=870924
Comment:
    @Rouxel, Noe  here is the # of projects per year.</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tc={0D991AF4-2DAC-4EB0-ADAF-5DE7C3347AC2}</author>
  </authors>
  <commentList>
    <comment ref="AH34" authorId="0" shapeId="0" xr:uid="{0D991AF4-2DAC-4EB0-ADAF-5DE7C3347AC2}">
      <text>
        <t>[Threaded comment]
Your version of Excel allows you to read this threaded comment; however, any edits to it will get removed if the file is opened in a newer version of Excel. Learn more: https://go.microsoft.com/fwlink/?linkid=870924
Comment:
    Added 500 MW to account for the additional 500 MW capability on the West Coast in 2029. Then assume constant build-out of 5.6 GW/yr on the AC and 1.0 GW/yr on the WC through 2035.</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<sst xmlns="http://schemas.openxmlformats.org/spreadsheetml/2006/main" count="1647" uniqueCount="444">
  <si>
    <t>Notes</t>
  </si>
  <si>
    <t>Vessels</t>
  </si>
  <si>
    <t>Basic project assumptions are listed in SCRoadmap_scenarios.docx (BOX folder)</t>
  </si>
  <si>
    <t>Assumptions</t>
  </si>
  <si>
    <t>Conversions:</t>
  </si>
  <si>
    <t>Turbine Size</t>
  </si>
  <si>
    <t>sm</t>
  </si>
  <si>
    <t>med</t>
  </si>
  <si>
    <t>lg</t>
  </si>
  <si>
    <t>AVG</t>
  </si>
  <si>
    <t>Acres per NM^2</t>
  </si>
  <si>
    <t>COD &lt;= 2026</t>
  </si>
  <si>
    <t>km per mile</t>
  </si>
  <si>
    <t>nautical miles per mile</t>
  </si>
  <si>
    <t>km per NM</t>
  </si>
  <si>
    <t>Substations</t>
  </si>
  <si>
    <t>MW/Substation</t>
  </si>
  <si>
    <t>MW</t>
  </si>
  <si>
    <t>Array and Export Cables</t>
  </si>
  <si>
    <t>States</t>
  </si>
  <si>
    <t>Abbrev.</t>
  </si>
  <si>
    <t>No.</t>
  </si>
  <si>
    <t>Array cable margin</t>
  </si>
  <si>
    <t>Maine</t>
  </si>
  <si>
    <t>ME</t>
  </si>
  <si>
    <t>New Hampshire</t>
  </si>
  <si>
    <t>NH</t>
  </si>
  <si>
    <t>Massachusetts</t>
  </si>
  <si>
    <t>MA</t>
  </si>
  <si>
    <t>Weather Window</t>
  </si>
  <si>
    <t>Rhode Island</t>
  </si>
  <si>
    <t>RI</t>
  </si>
  <si>
    <t>Quarter</t>
  </si>
  <si>
    <t>% active time</t>
  </si>
  <si>
    <t>Connecticut</t>
  </si>
  <si>
    <t>CT</t>
  </si>
  <si>
    <t>Q1</t>
  </si>
  <si>
    <t>New York</t>
  </si>
  <si>
    <t>NY</t>
  </si>
  <si>
    <t>Q2</t>
  </si>
  <si>
    <t>New Jersey</t>
  </si>
  <si>
    <t>NJ</t>
  </si>
  <si>
    <t>Q3</t>
  </si>
  <si>
    <t>Delaware</t>
  </si>
  <si>
    <t>DE</t>
  </si>
  <si>
    <t>Q4</t>
  </si>
  <si>
    <t>Maryland</t>
  </si>
  <si>
    <t>MD</t>
  </si>
  <si>
    <t>% of year when construction is possible.</t>
  </si>
  <si>
    <t>Virginia</t>
  </si>
  <si>
    <t>VA</t>
  </si>
  <si>
    <t>Assume Project is installed within one year (during Q2/Q3 weather window)</t>
  </si>
  <si>
    <t>North Carolina</t>
  </si>
  <si>
    <t>NC</t>
  </si>
  <si>
    <t>South Carolina</t>
  </si>
  <si>
    <t>SC</t>
  </si>
  <si>
    <t>California</t>
  </si>
  <si>
    <t>CA</t>
  </si>
  <si>
    <r>
      <t>One turbine per nm</t>
    </r>
    <r>
      <rPr>
        <vertAlign val="superscript"/>
        <sz val="11"/>
        <color theme="1"/>
        <rFont val="Calibri"/>
        <family val="2"/>
        <scheme val="minor"/>
      </rPr>
      <t>2</t>
    </r>
  </si>
  <si>
    <r>
      <t>nm</t>
    </r>
    <r>
      <rPr>
        <vertAlign val="superscript"/>
        <sz val="11"/>
        <color theme="1"/>
        <rFont val="Calibri"/>
        <family val="2"/>
        <scheme val="minor"/>
      </rPr>
      <t>2</t>
    </r>
  </si>
  <si>
    <t>Procurement, Transport, Construction, Installation Timelines</t>
  </si>
  <si>
    <t>Start of construction to COD</t>
  </si>
  <si>
    <t>yr</t>
  </si>
  <si>
    <t>Procurement &amp; manufacturing</t>
  </si>
  <si>
    <t>Blades</t>
  </si>
  <si>
    <t>Feeder barge min size</t>
  </si>
  <si>
    <t>m</t>
  </si>
  <si>
    <t>Tower</t>
  </si>
  <si>
    <t>OSS</t>
  </si>
  <si>
    <t>Array cables</t>
  </si>
  <si>
    <t>Export cables</t>
  </si>
  <si>
    <t>Monopile</t>
  </si>
  <si>
    <t>Jacket foundation</t>
  </si>
  <si>
    <t>OSS Jacket</t>
  </si>
  <si>
    <t>Include Projects</t>
  </si>
  <si>
    <t>Include Undeveloped areas</t>
  </si>
  <si>
    <t># of OSP</t>
  </si>
  <si>
    <t>array cable length per turbine, km</t>
  </si>
  <si>
    <t>Total cable array length, km</t>
  </si>
  <si>
    <t>export cable length, km</t>
  </si>
  <si>
    <t># of export cables</t>
  </si>
  <si>
    <t>Total export cable length, km</t>
  </si>
  <si>
    <t>HVAC</t>
  </si>
  <si>
    <t>HVDC</t>
  </si>
  <si>
    <t>Number of Projects</t>
  </si>
  <si>
    <t>Project COD</t>
  </si>
  <si>
    <t>Total Project Capacity, MW</t>
  </si>
  <si>
    <t>Average Rated Power, MW</t>
  </si>
  <si>
    <t>substructure: total  monopiles, #</t>
  </si>
  <si>
    <t>substructure: total GBF, #</t>
  </si>
  <si>
    <t>substructure: total jacket, #</t>
  </si>
  <si>
    <t xml:space="preserve"> </t>
  </si>
  <si>
    <t>Total Lease Area, Acres</t>
  </si>
  <si>
    <t>Total # of 12 MW turbines</t>
  </si>
  <si>
    <t>Total # of 15 MW turbines</t>
  </si>
  <si>
    <t>Total # of 18 MW turbines</t>
  </si>
  <si>
    <t>TOTAL</t>
  </si>
  <si>
    <t>Transposed Table</t>
  </si>
  <si>
    <t>AverageMin Water Depth, m</t>
  </si>
  <si>
    <t>Average Max Water Depth, m</t>
  </si>
  <si>
    <t xml:space="preserve">substructure: total GBF, #
</t>
  </si>
  <si>
    <t xml:space="preserve">substructure: total jacket, #
</t>
  </si>
  <si>
    <t>substructure: Total OSP jacket, #</t>
  </si>
  <si>
    <t>PROJECTS</t>
  </si>
  <si>
    <t>Toggle</t>
  </si>
  <si>
    <t>Year</t>
  </si>
  <si>
    <t>TOTALS</t>
  </si>
  <si>
    <t>DEMAND</t>
  </si>
  <si>
    <t>PROCUREMENT &amp; MANUFACTURING</t>
  </si>
  <si>
    <t>NOTE: This table is the FOUNDATION, based on COD. All other activities are keyed off of COD.</t>
  </si>
  <si>
    <t>Cumulative MW</t>
  </si>
  <si>
    <t>Installed MW</t>
  </si>
  <si>
    <t>TURBINES, MW</t>
  </si>
  <si>
    <t>ROTOR BLADES, UNITS</t>
  </si>
  <si>
    <t>NACELLES, MW</t>
  </si>
  <si>
    <t>TOWERS, UNITS</t>
  </si>
  <si>
    <t>FOUNDATIONS</t>
  </si>
  <si>
    <t>GBF (turbine)</t>
  </si>
  <si>
    <t>Jacket (turbine)</t>
  </si>
  <si>
    <t>SUBSTATIONS</t>
  </si>
  <si>
    <t>CABLES, KM</t>
  </si>
  <si>
    <t>WTIV (12 MW)</t>
  </si>
  <si>
    <t>WTIV (15 MW)</t>
  </si>
  <si>
    <t>WTIV (18 MW)</t>
  </si>
  <si>
    <t>WTIV</t>
  </si>
  <si>
    <t>Foundations</t>
  </si>
  <si>
    <t>min depth, m</t>
  </si>
  <si>
    <t>max depth, m</t>
  </si>
  <si>
    <t>Gravity Base Foundation (GBF)</t>
  </si>
  <si>
    <t>Jacket</t>
  </si>
  <si>
    <t>Can be manufactured in US</t>
  </si>
  <si>
    <t>Nacelle</t>
  </si>
  <si>
    <t>Procurement timelines</t>
  </si>
  <si>
    <t>1. link procurement timelines in column A (one for each item)</t>
  </si>
  <si>
    <t>2. copy/paste from cell C10 into new row</t>
  </si>
  <si>
    <t>3. update the $A$10 reference to the current row</t>
  </si>
  <si>
    <t>4. select row and Ctrl-R to fill in to the right</t>
  </si>
  <si>
    <t>VESSELS, (Vessel.Day)</t>
  </si>
  <si>
    <t>HLV (Substation)</t>
  </si>
  <si>
    <t>Mob/demob time to be added</t>
  </si>
  <si>
    <t>HLV/WTIV (foundation)</t>
  </si>
  <si>
    <t>VESSELS, (Vessels needed)</t>
  </si>
  <si>
    <t>feeder Barges</t>
  </si>
  <si>
    <t>GBS foundation</t>
  </si>
  <si>
    <t>"Red Period" Jan-April no pile-driving due to Right Whale activity</t>
  </si>
  <si>
    <t>"Red Period" ends April 30, "Yellow period" May 1-15</t>
  </si>
  <si>
    <t>"Yellow Period" Nov</t>
  </si>
  <si>
    <t>Tufts study -- restrictions + weather windows justify 8 month (2/3) ocnstruction window</t>
  </si>
  <si>
    <t>NOTE: the Tufts study also has examples of staging + install time from 2 EU projects</t>
  </si>
  <si>
    <t>Total WTIV</t>
  </si>
  <si>
    <t>FYI -- from Tufts study. Table 5.</t>
  </si>
  <si>
    <t>Feeder barge transit time</t>
  </si>
  <si>
    <t>Feeder barge time on site</t>
  </si>
  <si>
    <t>Barge mob time</t>
  </si>
  <si>
    <r>
      <t>Tier 1: finished components</t>
    </r>
    <r>
      <rPr>
        <sz val="11"/>
        <color rgb="FF000000"/>
        <rFont val="Calibri"/>
        <family val="2"/>
      </rPr>
      <t> </t>
    </r>
  </si>
  <si>
    <t>WTG 12 MW </t>
  </si>
  <si>
    <t>WTG 15 MW </t>
  </si>
  <si>
    <t>WTG 18 MW </t>
  </si>
  <si>
    <t>Monopile  </t>
  </si>
  <si>
    <t>Transition piece </t>
  </si>
  <si>
    <t>Gravity base </t>
  </si>
  <si>
    <t>Jacket </t>
  </si>
  <si>
    <t>OSS Jacket </t>
  </si>
  <si>
    <t>Offshore substation </t>
  </si>
  <si>
    <t>Array cables </t>
  </si>
  <si>
    <t>Export cables </t>
  </si>
  <si>
    <r>
      <t>Tier 2: subassemblies</t>
    </r>
    <r>
      <rPr>
        <sz val="11"/>
        <color rgb="FF000000"/>
        <rFont val="Calibri"/>
        <family val="2"/>
      </rPr>
      <t> </t>
    </r>
  </si>
  <si>
    <t>Rotor blades: 107m, 115m, 125m </t>
  </si>
  <si>
    <t>Nacelle: 12MW, 15 MW, 18MW </t>
  </si>
  <si>
    <t>Tower:  110m, 120m, 130m </t>
  </si>
  <si>
    <t>COMMERCIAL OPERATION DATE (COD)</t>
  </si>
  <si>
    <t>HLV, per substation</t>
  </si>
  <si>
    <t>WTIV per turbine</t>
  </si>
  <si>
    <t>WTIV per foundation</t>
  </si>
  <si>
    <t>#</t>
  </si>
  <si>
    <t>WTG's per barge</t>
  </si>
  <si>
    <t>LOW</t>
  </si>
  <si>
    <t>MED</t>
  </si>
  <si>
    <t>HIGH</t>
  </si>
  <si>
    <t>CTV</t>
  </si>
  <si>
    <t>Construction year 0</t>
  </si>
  <si>
    <t xml:space="preserve">Year   1 </t>
  </si>
  <si>
    <t>Year   2 - 20</t>
  </si>
  <si>
    <t>initial CTV need</t>
  </si>
  <si>
    <t xml:space="preserve">Manuf ramp-up, </t>
  </si>
  <si>
    <t>Interim Calcs</t>
  </si>
  <si>
    <t># of turbines available to the US market</t>
  </si>
  <si>
    <t>HIGH - Highly Constrained scenario</t>
  </si>
  <si>
    <t>LOW - Low Constrained scenario</t>
  </si>
  <si>
    <t>MED - Medium Constrained scenario</t>
  </si>
  <si>
    <t>years</t>
  </si>
  <si>
    <t>Cable Laying speed</t>
  </si>
  <si>
    <t>km/day</t>
  </si>
  <si>
    <t>TRANSPORT &amp; STORE</t>
  </si>
  <si>
    <t>days</t>
  </si>
  <si>
    <t>CLV</t>
  </si>
  <si>
    <t>Transport &amp; storage</t>
  </si>
  <si>
    <t>Constrained scenarios:</t>
  </si>
  <si>
    <t>Standard development % of Lease Area</t>
  </si>
  <si>
    <t>Build-out lag time for remaining Lease Area</t>
  </si>
  <si>
    <t>2026 &lt; COD &lt;= 2030</t>
  </si>
  <si>
    <t>2030 &lt; COD &lt;= 2035</t>
  </si>
  <si>
    <t>Scenarios</t>
  </si>
  <si>
    <t>Total # of WTIVs available</t>
  </si>
  <si>
    <t>Assumes projects are developed according to Developers' timelines with no constraints on WTG supply and WTIVs.</t>
  </si>
  <si>
    <t>Distance between turbines, nm</t>
  </si>
  <si>
    <t xml:space="preserve">Turbine spacing </t>
  </si>
  <si>
    <t>Turbine size (Applied to Undeveloped areas):</t>
  </si>
  <si>
    <t>Toggle to INCLUDE/EXCLUDE  (change these on Annual Gantt Chart sheet)</t>
  </si>
  <si>
    <t>KEY:</t>
  </si>
  <si>
    <t>input</t>
  </si>
  <si>
    <t>calculated</t>
  </si>
  <si>
    <t>Existing projects (Block island, CVOW demo)</t>
  </si>
  <si>
    <t>Mob/demob time</t>
  </si>
  <si>
    <t>Can be manufactured in US, but more expensive than monopile and jacket (see GBS Foundation sheet). Half of Equinor projects, and half of shallower parts of NY Bight</t>
  </si>
  <si>
    <t>% Available for US</t>
  </si>
  <si>
    <t>Type</t>
  </si>
  <si>
    <t>CTVs</t>
  </si>
  <si>
    <t># required</t>
  </si>
  <si>
    <t>Units</t>
  </si>
  <si>
    <t>Vessel Parameters</t>
  </si>
  <si>
    <t>Value</t>
  </si>
  <si>
    <t>Cable-laying vessels</t>
  </si>
  <si>
    <t>Duration</t>
  </si>
  <si>
    <t>This sheet contains ALL project assumptions used in the following worksheets to develop the (GREEN) output sheets, one sheet per scenario</t>
  </si>
  <si>
    <t xml:space="preserve">DESCRIPTION: </t>
  </si>
  <si>
    <t>48 h too high, might be as low as 24 h</t>
  </si>
  <si>
    <t>48 h too high</t>
  </si>
  <si>
    <t>Gravity base foundation (GBF)</t>
  </si>
  <si>
    <t>% of Total</t>
  </si>
  <si>
    <t>Foundation sensitivity study</t>
  </si>
  <si>
    <t>Unconstrained scenario:</t>
  </si>
  <si>
    <t>Other Assumptions:</t>
  </si>
  <si>
    <t>acres per km^2</t>
  </si>
  <si>
    <t>km^2/nm^2</t>
  </si>
  <si>
    <t>Total Turbines</t>
  </si>
  <si>
    <t>Projects Constructed</t>
  </si>
  <si>
    <t>hr</t>
  </si>
  <si>
    <t>Spacing of 1 nm between turbines is approximately 8.3 rotor diameters for the largest known rotors (222 m diameter).</t>
  </si>
  <si>
    <t>ROTOR BLADES</t>
  </si>
  <si>
    <t>NACELLES</t>
  </si>
  <si>
    <t>TOWERS</t>
  </si>
  <si>
    <t>Feeder Barges</t>
  </si>
  <si>
    <t>VESSELS</t>
  </si>
  <si>
    <t>VESSEL DAYS</t>
  </si>
  <si>
    <t>TURBINES</t>
  </si>
  <si>
    <t>IF(AND('OUTPUT-UNC'!E$86&gt;0,'OUTPUT-UNC'!E$87=0,'OUTPUT-UNC'!E$88=0),(Assumptions!$C$9/$B134),IF(AND('OUTPUT-UNC'!E$86&gt;0,'OUTPUT-UNC'!E$87&gt;0,'OUTPUT-UNC'!E$88=0),(Assumptions!$C$9/$B134/2),IF(AND('OUTPUT-UNC'!E$86&gt;0,'OUTPUT-UNC'!E$87=0,'OUTPUT-UNC'!E$88&gt;0),Assumptions!$C$9/$B134/2,IF(AND('OUTPUT-UNC'!E$86&gt;0,'OUTPUT-UNC'!E$87&gt;0,'OUTPUT-UNC'!E$88&gt;0),Assumptions!$C$9/$B134/3,0))))</t>
  </si>
  <si>
    <t>Total MW available for export from Europe, annually</t>
  </si>
  <si>
    <t>Preferred option (least cost, most used in Europe, simplest, quickest to install). Monopile factory in NJ being constructed by EEW (Orsted).</t>
  </si>
  <si>
    <t xml:space="preserve">States </t>
  </si>
  <si>
    <t>EC -UNDEVELOPED</t>
  </si>
  <si>
    <t>WC-UNDEVELOPED</t>
  </si>
  <si>
    <t>WTIV total days</t>
  </si>
  <si>
    <t>Port Requirements</t>
  </si>
  <si>
    <t>Berth (Feeder barges)</t>
  </si>
  <si>
    <t>EC-Undeveloped</t>
  </si>
  <si>
    <t>WC-Undeveloped</t>
  </si>
  <si>
    <t>Monopiles (turbine)</t>
  </si>
  <si>
    <t>Transition Piece</t>
  </si>
  <si>
    <t>Jacket (OSS)</t>
  </si>
  <si>
    <t>substructure: total  spar buoys, #</t>
  </si>
  <si>
    <t xml:space="preserve">substructure: total semi-subs, #
</t>
  </si>
  <si>
    <t xml:space="preserve">substructure: total TLP, #
</t>
  </si>
  <si>
    <t>substructure: Total OSPsemi-sub, #</t>
  </si>
  <si>
    <t># of OSP, floating</t>
  </si>
  <si>
    <t>EC-UNDEVELOPED</t>
  </si>
  <si>
    <t>EC-Projects</t>
  </si>
  <si>
    <t>Floating (turbine)</t>
  </si>
  <si>
    <t>Floating (floating OSS)</t>
  </si>
  <si>
    <t xml:space="preserve">EC Lay-down Area (acres) </t>
  </si>
  <si>
    <t>WC Lay-down Area (acres)</t>
  </si>
  <si>
    <t>OSS Topside</t>
  </si>
  <si>
    <t>Static Array Cable, km</t>
  </si>
  <si>
    <t>Static Export Cable, km</t>
  </si>
  <si>
    <t>Dynamic Array Cable, km</t>
  </si>
  <si>
    <t>TURBINES (total)</t>
  </si>
  <si>
    <t>NOTE: This table is the BASELINE, based on COD. All other activities are keyed off of COD.</t>
  </si>
  <si>
    <t>Total dynamic  array cable length, km</t>
  </si>
  <si>
    <t>Dynamic export cable length, km</t>
  </si>
  <si>
    <t>Dynamic array cable length per turbine, km</t>
  </si>
  <si>
    <t># of dynamic export cables</t>
  </si>
  <si>
    <t>Total dynamic export cable length, km</t>
  </si>
  <si>
    <t>Total static array cable length, km</t>
  </si>
  <si>
    <t>Static export cable length, km</t>
  </si>
  <si>
    <t># of static export cables</t>
  </si>
  <si>
    <t>Total static export cable length, km</t>
  </si>
  <si>
    <t>Static array cable length per turbine, km</t>
  </si>
  <si>
    <t>ACCELERATED</t>
  </si>
  <si>
    <t>Dynamic Export Cable, km</t>
  </si>
  <si>
    <t>Rock damping</t>
  </si>
  <si>
    <t>incl. re-loading</t>
  </si>
  <si>
    <t># of OSP, fixed</t>
  </si>
  <si>
    <t>substructure: Total OSP floating, #</t>
  </si>
  <si>
    <t>WTIV Total Days</t>
  </si>
  <si>
    <t>EC-UNCONSTRAINED</t>
  </si>
  <si>
    <t>WC-UNCONSTRAINED</t>
  </si>
  <si>
    <t>Rock dumping vessel</t>
  </si>
  <si>
    <t>Rock dumping</t>
  </si>
  <si>
    <t>OUTPUT - UNCONSTRAINED TOTAL DEMAND PIPELINE (EC and WC) scenario</t>
  </si>
  <si>
    <t>OUTPUT - EAST COAST UNCONSTRAINED DEMAND PIPELINE scenario</t>
  </si>
  <si>
    <t>OUTPUT - ACCELERATED TOTAL DEMAND PIPELINE (EC AND WC) scenario</t>
  </si>
  <si>
    <t>EC-ACCEL</t>
  </si>
  <si>
    <t>WC-ACCEL</t>
  </si>
  <si>
    <t>Fixed OSS Topside</t>
  </si>
  <si>
    <t>Floating OSS Topside</t>
  </si>
  <si>
    <t>scour protection  vessel</t>
  </si>
  <si>
    <t>Scour protection Install vessel, per MP</t>
  </si>
  <si>
    <t>Offshore Tug, per WTG</t>
  </si>
  <si>
    <t>Anchor Handling Vessel, per WTG</t>
  </si>
  <si>
    <t>incl. pre-lay, anchor proof, and hook-up</t>
  </si>
  <si>
    <t>tow from WTG integration port to offshore location</t>
  </si>
  <si>
    <t>Towing speed</t>
  </si>
  <si>
    <t>kt</t>
  </si>
  <si>
    <t>NM</t>
  </si>
  <si>
    <t>Non towing speed</t>
  </si>
  <si>
    <t>tow from WTG integration port to offshore location + return</t>
  </si>
  <si>
    <t>return</t>
  </si>
  <si>
    <t>Offshore tug</t>
  </si>
  <si>
    <t>Anchor Handling Vessel</t>
  </si>
  <si>
    <t>VESSEL.DAYS</t>
  </si>
  <si>
    <t>%</t>
  </si>
  <si>
    <t>for each WTG</t>
  </si>
  <si>
    <t>Long haul tugs</t>
  </si>
  <si>
    <t>Average distance from port</t>
  </si>
  <si>
    <t>Anchor Handling mobilization time</t>
  </si>
  <si>
    <t>number of mooring sets per mobilization</t>
  </si>
  <si>
    <t>return to port for loading new mooring lines and back to offshore site</t>
  </si>
  <si>
    <t>tug manoeuvering and prep time</t>
  </si>
  <si>
    <t>Annual construction window, East Coast:</t>
  </si>
  <si>
    <t xml:space="preserve">Annual construction window, California </t>
  </si>
  <si>
    <t>NY Bight lease areas and Wilmington East WEA are included in analysis</t>
  </si>
  <si>
    <t xml:space="preserve">Assumed turbine spacing of 1 WTG per nm2 yields turbine density of 3.5MW/km^2 for 12 MW turbines, which is slightly higher than the NREL 2020 Offhsore Wind Technologies Market Report, up to 5.3MW/km^2 for 18 MW turbines.  </t>
  </si>
  <si>
    <t>Berth (m)</t>
  </si>
  <si>
    <t>Floating wind port requirements</t>
  </si>
  <si>
    <t>Tack time</t>
  </si>
  <si>
    <t>d</t>
  </si>
  <si>
    <t>unit per year</t>
  </si>
  <si>
    <t>Lay-down area (acres)</t>
  </si>
  <si>
    <t>Berth length (m)</t>
  </si>
  <si>
    <t>Foundation assembly</t>
  </si>
  <si>
    <t>Turbine staging</t>
  </si>
  <si>
    <t>Mooring marshalling</t>
  </si>
  <si>
    <t>requirement (/WTG/yr)</t>
  </si>
  <si>
    <t>SOV</t>
  </si>
  <si>
    <t>FIX-Extend</t>
  </si>
  <si>
    <t>FLOAT-Extend</t>
  </si>
  <si>
    <t>FLOAT-Expand</t>
  </si>
  <si>
    <t>FIX-Expand</t>
  </si>
  <si>
    <t>FLOAT-EX</t>
  </si>
  <si>
    <t>FIX-EX</t>
  </si>
  <si>
    <t>TURBINES ORDERED, MW</t>
  </si>
  <si>
    <t>ROTOR BLADES, m</t>
  </si>
  <si>
    <t>TOWERS, m</t>
  </si>
  <si>
    <t>Jackets (turbine)</t>
  </si>
  <si>
    <t>Jacket (Substation)</t>
  </si>
  <si>
    <t>OSS Topsides</t>
  </si>
  <si>
    <t>CABLES</t>
  </si>
  <si>
    <t>Array cable, km</t>
  </si>
  <si>
    <t>Export cable, km</t>
  </si>
  <si>
    <t>SOVs</t>
  </si>
  <si>
    <t>Fixed</t>
  </si>
  <si>
    <t>Fixed-EXPANDED</t>
  </si>
  <si>
    <t>Floating</t>
  </si>
  <si>
    <t>Floating-EXPANDED</t>
  </si>
  <si>
    <t>Scour Protection Vessel</t>
  </si>
  <si>
    <t>Feeder Barge</t>
  </si>
  <si>
    <t>EC-known</t>
  </si>
  <si>
    <t>WC-known</t>
  </si>
  <si>
    <t>OUTPUT - EAST COAST KNOWN DEMAND PIPELINE scenario</t>
  </si>
  <si>
    <t>OUTPUT -WEST COAST KNOWN DEMAND PIPELINE scenario</t>
  </si>
  <si>
    <t>Includes leased projects AND announced leases (NY Bight, Wilmington East)</t>
  </si>
  <si>
    <t>OUTPUT - FIXED-BOTTOM EXPANDED UNCONSTRAINED DEMAND PIPELINE scenario</t>
  </si>
  <si>
    <t>OUTPUT -FLOATING EXPANDED UNCONSTRAINED DEMAND PIPELINE scenario</t>
  </si>
  <si>
    <t>Includes EXPANDED FIXED-BOTTOM areas</t>
  </si>
  <si>
    <t>WTGs/yr</t>
  </si>
  <si>
    <t>Floating Wind vessels - parameters</t>
  </si>
  <si>
    <t>All announced projects (as of end of 2021) are included in the analysis</t>
  </si>
  <si>
    <t>CA Humboldt WEA and Morro Bay with East extension are included in the analysis</t>
  </si>
  <si>
    <t>Percent of remaining developable lease areas for existing projects is included in the analysis, verified against DOE's projections as updated in Dec 2021.</t>
  </si>
  <si>
    <t>Expanded lease areas (beyond NY Bight and Wilmington East) included as follows: 
FIXED: Carolina Long Bay (Grand Strand), Central Atlantic, Gulf of Mexico
FLOATING: Gulf of Maine, Central Atlantic, Gulf of Mexico, Oregon
See table below for details</t>
  </si>
  <si>
    <t>Gulf of Mexico (FIXED)</t>
  </si>
  <si>
    <t>Carolina Long Bay (FIXED)</t>
  </si>
  <si>
    <t>Gulf of Maine (FLOATING</t>
  </si>
  <si>
    <t>Gulf of Mexico (FLOATING)</t>
  </si>
  <si>
    <t>Central Atlantic (FLOATING)</t>
  </si>
  <si>
    <t>Central Atlantic (FIXED)</t>
  </si>
  <si>
    <t>Oregon (FLOATING)</t>
  </si>
  <si>
    <t>EXPANDED LEASE Totals</t>
  </si>
  <si>
    <t>EXPANDED (future anticipated Installations)</t>
  </si>
  <si>
    <t>SOV - WTGs serviced per year per SOV</t>
  </si>
  <si>
    <t xml:space="preserve">Accounts for weather windows, est 3 crew per turbine, </t>
  </si>
  <si>
    <t>weather window, %</t>
  </si>
  <si>
    <t>% service crew available per day</t>
  </si>
  <si>
    <t>total service crew per SOV</t>
  </si>
  <si>
    <t># crew per turbine</t>
  </si>
  <si>
    <t>service days per turbine per year</t>
  </si>
  <si>
    <t>WTGs/yr/SOV</t>
  </si>
  <si>
    <t>SOV Calcs</t>
  </si>
  <si>
    <t>Available days per year</t>
  </si>
  <si>
    <t>i.e., one turbine ready to deploy every 10 days</t>
  </si>
  <si>
    <t># of units that can be fabricated per year</t>
  </si>
  <si>
    <t>See staging figure</t>
  </si>
  <si>
    <t>interim parameters for laydown area and # of berths calcs.</t>
  </si>
  <si>
    <t>Average required berth length</t>
  </si>
  <si>
    <t>#/yr</t>
  </si>
  <si>
    <t>Title of related report:</t>
  </si>
  <si>
    <t>U.S. East Coast and West Coast Offshore Wind Project Pipeline Including Vessels and Port Study</t>
  </si>
  <si>
    <t>Doc. File Name:</t>
  </si>
  <si>
    <t>Date:</t>
  </si>
  <si>
    <t>Author:</t>
  </si>
  <si>
    <t>Ruth Heffernan Marsh, Principal Engineer/PM, DNV</t>
  </si>
  <si>
    <t>Worksheet name</t>
  </si>
  <si>
    <t>worksheet description</t>
  </si>
  <si>
    <t>All assumptions used in this analysis are presented here.</t>
  </si>
  <si>
    <t>Aggregated</t>
  </si>
  <si>
    <t>TOTAL-UNC</t>
  </si>
  <si>
    <t>TOTAL-Expand</t>
  </si>
  <si>
    <t xml:space="preserve">Same as TOTAL-UNC plus the addition of FIX-EX and FLOAT-EX </t>
  </si>
  <si>
    <t>EC-UNC</t>
  </si>
  <si>
    <t>EC-LOW</t>
  </si>
  <si>
    <t>EC-MED</t>
  </si>
  <si>
    <t>EC-HIGH</t>
  </si>
  <si>
    <t>GBF-UNC</t>
  </si>
  <si>
    <t>ACCEL</t>
  </si>
  <si>
    <t>Gantt chart for the ACCELERATED project TOTAL pipeline scenario, EAST and WEST COAST. This scenario assumes that once the pipeline reaches it's maximum capacity, the buildout continues at that pace through 2035.</t>
  </si>
  <si>
    <t>EC-Known</t>
  </si>
  <si>
    <t>WC-Known</t>
  </si>
  <si>
    <t>Gantt chart for the known project pipeline scenario for the WEST COAST. Includes all announced WEA's for California as of Dec 2021. CODs are either those published by the developer or estimated based on available information.</t>
  </si>
  <si>
    <t>Gantt chart for the known project pipeline scenario for the EAST COAST. Updated December 2021. Includes all announced projects and remaining undeveloped areas leased as of December 2021, as well as the NY Bight LA and Wilmington East WEA. CODs are either those published by the developer or estimated based on available project information.</t>
  </si>
  <si>
    <t>Gantt chart for the unconstrained project TOTAL pipeline scenario, EAST and WEST COAST. This scenario assumes there are no constraints on supply of any components nor of vessels to complete projects installations. CODs are either those published by the developer or estimated based on available information.</t>
  </si>
  <si>
    <t xml:space="preserve">Same as EC-UNC, with "low" constrained project pipeline scenario for the EAST COAST. This scenario assumes there are relatively low constraints on turbine supply and vessels needed to complete project installations. </t>
  </si>
  <si>
    <t xml:space="preserve">Same as EC-UNC, with "medium" constrained project pipeline scenario for the EAST COAST. This scenario assumes there are medium constraints on turbine supply and vessels needed to complete project installations. </t>
  </si>
  <si>
    <t xml:space="preserve">Same as EC-UNC, with "high" constrained project pipeline scenario for the EAST COAST. This scenario assumes there are high constraints on turbine supply and vessels needed to complete project installations. </t>
  </si>
  <si>
    <t>ALL-MONO</t>
  </si>
  <si>
    <t xml:space="preserve">Same as EC-UNC scenario, but assuming equal demand for all three fixed-bottom turbine foundation types (monopile, jacket, and GBF). This scenario assumes there are no constraints on obtaining each foundation type. </t>
  </si>
  <si>
    <t xml:space="preserve">Same as EC-UNC scenario, but assuming 100% monopile foundations. This scenario assumes there are no constraints on meeting the demand. </t>
  </si>
  <si>
    <t>Aggregated and anonymized information from all projects, undeveloped Lease Areas, Wind Energy Areas, and expanded (anticipated) lease areas included in this study.</t>
  </si>
  <si>
    <t>Same as EC-Known WITH addition of anticipated BOEM leases for fixed-bottom projects anticipated to be installed by 2035. This "Unconstrained" scenario assumes there are no constraints on supply of any components nor of vessels to complete projects installations. CODs are either those published by the developer or estimated based on available information.</t>
  </si>
  <si>
    <t>Berth-FLOAT, #</t>
  </si>
  <si>
    <t>Berth-FIXED (Feeder barges), #</t>
  </si>
  <si>
    <t>US OSW EC-WC Pipeline Gantt Charts 20220208.xlsx</t>
  </si>
  <si>
    <t>This workbook presents Gantt charts showing the projected U.S. Offshore wind project pipeline through 2035 for a number of development scenarios. The worksheets are described below. NOTE: This version INCLUDES additional projected Lease Areas identified by BOEM and sent to NREL on 2/1/2022. These additions to the EXPANDED pipeline were also approved by the DOE.</t>
  </si>
  <si>
    <t xml:space="preserve">Expanded scenario -- Includes additional fixed-bottom lease areas BOEM expects to release by 2025 (after the NY Bight), as well as additional areas </t>
  </si>
  <si>
    <t xml:space="preserve">Expanded scenario -- Includes additional floating lease areas BOEM expects to release by 2025 (after the NY Bight), as well as additional areas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</si>
</sst>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_(* \(#,##0.00\);_(* &quot;-&quot;??_);_(@_)"/>
    <numFmt numFmtId="164" formatCode="0.0"/>
    <numFmt numFmtId="165" formatCode="0.000"/>
  </numFmts>
  <fonts count="23" x14ac:knownFonts="1">
    <font>
      <sz val="11"/>
      <color theme="1"/>
      <name val="Calibri"/>
      <family val="2"/>
      <scheme val="minor"/>
    </font>
    <font>
      <b/>
      <sz val="11"/>
      <color theme="1"/>
      <name val="Calibri"/>
      <family val="2"/>
      <scheme val="minor"/>
    </font>
    <font>
      <sz val="11"/>
      <color theme="1"/>
      <name val="Calibri"/>
      <family val="2"/>
      <scheme val="minor"/>
    </font>
    <font>
      <b/>
      <sz val="12"/>
      <color theme="1"/>
      <name val="Calibri"/>
      <family val="2"/>
      <scheme val="minor"/>
    </font>
    <font>
      <sz val="8"/>
      <name val="Calibri"/>
      <family val="2"/>
      <scheme val="minor"/>
    </font>
    <font>
      <i/>
      <sz val="11"/>
      <color theme="1"/>
      <name val="Calibri"/>
      <family val="2"/>
      <scheme val="minor"/>
    </font>
    <font>
      <vertAlign val="superscript"/>
      <sz val="11"/>
      <color theme="1"/>
      <name val="Calibri"/>
      <family val="2"/>
      <scheme val="minor"/>
    </font>
    <font>
      <sz val="11"/>
      <color rgb="FF006100"/>
      <name val="Calibri"/>
      <family val="2"/>
      <scheme val="minor"/>
    </font>
    <font>
      <sz val="11"/>
      <color rgb="FF9C5700"/>
      <name val="Calibri"/>
      <family val="2"/>
      <scheme val="minor"/>
    </font>
    <font>
      <b/>
      <sz val="11"/>
      <color rgb="FF000000"/>
      <name val="Calibri"/>
      <family val="2"/>
    </font>
    <font>
      <sz val="11"/>
      <color rgb="FF000000"/>
      <name val="Calibri"/>
      <family val="2"/>
    </font>
    <font>
      <sz val="12"/>
      <name val="Calibri"/>
      <family val="2"/>
    </font>
    <font>
      <b/>
      <i/>
      <sz val="11"/>
      <color theme="1"/>
      <name val="Calibri"/>
      <family val="2"/>
      <scheme val="minor"/>
    </font>
    <font>
      <sz val="16"/>
      <color theme="1"/>
      <name val="Calibri"/>
      <family val="2"/>
      <scheme val="minor"/>
    </font>
    <font>
      <b/>
      <sz val="16"/>
      <color theme="1"/>
      <name val="Calibri"/>
      <family val="2"/>
      <scheme val="minor"/>
    </font>
    <font>
      <sz val="11"/>
      <color theme="0"/>
      <name val="Calibri"/>
      <family val="2"/>
      <scheme val="minor"/>
    </font>
    <font>
      <sz val="12"/>
      <color theme="1"/>
      <name val="Calibri"/>
      <family val="2"/>
      <scheme val="minor"/>
    </font>
    <font>
      <sz val="14"/>
      <color theme="1"/>
      <name val="Calibri"/>
      <family val="2"/>
      <scheme val="minor"/>
    </font>
    <font>
      <b/>
      <sz val="14"/>
      <color theme="1"/>
      <name val="Calibri"/>
      <family val="2"/>
      <scheme val="minor"/>
    </font>
    <font>
      <sz val="12"/>
      <color theme="0"/>
      <name val="Calibri"/>
      <family val="2"/>
      <scheme val="minor"/>
    </font>
    <font>
      <b/>
      <sz val="12"/>
      <color theme="0"/>
      <name val="Calibri"/>
      <family val="2"/>
      <scheme val="minor"/>
    </font>
    <font>
      <sz val="12"/>
      <color theme="0" tint="-0.14999847407452621"/>
      <name val="Calibri"/>
      <family val="2"/>
      <scheme val="minor"/>
    </font>
    <font>
      <b/>
      <sz val="12"/>
      <color rgb="FF0070C0"/>
      <name val="Cambria"/>
      <family val="1"/>
    </font>
  </fonts>
  <fills count="16">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0"/>
        <bgColor indexed="64"/>
      </patternFill>
    </fill>
    <fill>
      <patternFill patternType="solid">
        <fgColor theme="5" tint="0.79998168889431442"/>
        <bgColor indexed="64"/>
      </patternFill>
    </fill>
    <fill>
      <patternFill patternType="solid">
        <fgColor rgb="FFC6EFCE"/>
      </patternFill>
    </fill>
    <fill>
      <patternFill patternType="solid">
        <fgColor rgb="FFFFEB9C"/>
      </patternFill>
    </fill>
    <fill>
      <patternFill patternType="solid">
        <fgColor rgb="FF0079C2"/>
        <bgColor indexed="64"/>
      </patternFill>
    </fill>
    <fill>
      <patternFill patternType="solid">
        <fgColor rgb="FFC1EE86"/>
        <bgColor indexed="64"/>
      </patternFill>
    </fill>
    <fill>
      <patternFill patternType="solid">
        <fgColor rgb="FFDEE2E5"/>
        <bgColor indexed="64"/>
      </patternFill>
    </fill>
    <fill>
      <patternFill patternType="solid">
        <fgColor theme="8" tint="0.79998168889431442"/>
        <bgColor indexed="64"/>
      </patternFill>
    </fill>
    <fill>
      <patternFill patternType="solid">
        <fgColor rgb="FFD1D5D8"/>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style="thin">
        <color indexed="64"/>
      </top>
      <bottom style="double">
        <color indexed="64"/>
      </bottom>
      <diagonal/>
    </border>
    <border>
      <left style="thin">
        <color indexed="64"/>
      </left>
      <right/>
      <top/>
      <bottom/>
      <diagonal/>
    </border>
    <border>
      <left/>
      <right style="thin">
        <color indexed="64"/>
      </right>
      <top style="thin">
        <color indexed="64"/>
      </top>
      <bottom style="thin">
        <color indexed="64"/>
      </bottom>
      <diagonal/>
    </border>
    <border>
      <left/>
      <right style="thin">
        <color indexed="64"/>
      </right>
      <top/>
      <bottom/>
      <diagonal/>
    </border>
  </borders>
  <cellStyleXfs count="5">
    <xf numFmtId="0" fontId="0" fillId="0" borderId="0"/>
    <xf numFmtId="9" fontId="2" fillId="0" borderId="0" applyFont="0" applyFill="0" applyBorder="0" applyAlignment="0" applyProtection="0"/>
    <xf numFmtId="43" fontId="2" fillId="0" borderId="0" applyFont="0" applyFill="0" applyBorder="0" applyAlignment="0" applyProtection="0"/>
    <xf numFmtId="0" fontId="7" fillId="9" borderId="0" applyNumberFormat="0" applyBorder="0" applyAlignment="0" applyProtection="0"/>
    <xf numFmtId="0" fontId="8" fillId="10" borderId="0" applyNumberFormat="0" applyBorder="0" applyAlignment="0" applyProtection="0"/>
  </cellStyleXfs>
  <cellXfs count="232">
    <xf numFmtId="0" fontId="0" fillId="0" borderId="0" xfId="0"/>
    <xf numFmtId="0" fontId="0" fillId="0" borderId="0" xfId="0" applyAlignment="1">
      <alignment wrapText="1"/>
    </xf>
    <xf numFmtId="0" fontId="1" fillId="0" borderId="0" xfId="0" applyFont="1" applyAlignment="1">
      <alignment wrapText="1"/>
    </xf>
    <xf numFmtId="0" fontId="0" fillId="0" borderId="1" xfId="0" applyBorder="1" applyAlignment="1">
      <alignment wrapText="1"/>
    </xf>
    <xf numFmtId="0" fontId="0" fillId="0" borderId="1" xfId="0" applyBorder="1"/>
    <xf numFmtId="0" fontId="1" fillId="0" borderId="3" xfId="0" applyFont="1" applyBorder="1" applyAlignment="1">
      <alignment wrapText="1"/>
    </xf>
    <xf numFmtId="0" fontId="0" fillId="0" borderId="0" xfId="0" applyAlignment="1">
      <alignment horizontal="center" wrapText="1"/>
    </xf>
    <xf numFmtId="0" fontId="1" fillId="0" borderId="0" xfId="0" applyFont="1"/>
    <xf numFmtId="0" fontId="1" fillId="0" borderId="1" xfId="0" applyFont="1" applyBorder="1" applyAlignment="1">
      <alignment wrapText="1"/>
    </xf>
    <xf numFmtId="0" fontId="1" fillId="0" borderId="1" xfId="0" applyFont="1" applyBorder="1"/>
    <xf numFmtId="1" fontId="1" fillId="0" borderId="1" xfId="0" applyNumberFormat="1" applyFont="1" applyBorder="1"/>
    <xf numFmtId="0" fontId="1" fillId="4" borderId="3" xfId="0" applyFont="1" applyFill="1" applyBorder="1" applyAlignment="1">
      <alignment wrapText="1"/>
    </xf>
    <xf numFmtId="0" fontId="1" fillId="0" borderId="0" xfId="0" applyFont="1" applyAlignment="1"/>
    <xf numFmtId="0" fontId="1" fillId="0" borderId="3" xfId="0" applyFont="1" applyBorder="1" applyAlignment="1"/>
    <xf numFmtId="0" fontId="0" fillId="0" borderId="1" xfId="0" applyBorder="1" applyAlignment="1"/>
    <xf numFmtId="0" fontId="0" fillId="0" borderId="0" xfId="0" applyAlignment="1"/>
    <xf numFmtId="0" fontId="1" fillId="0" borderId="1" xfId="0" applyFont="1" applyBorder="1" applyAlignment="1"/>
    <xf numFmtId="0" fontId="0" fillId="0" borderId="0" xfId="0" applyAlignment="1">
      <alignment horizontal="center"/>
    </xf>
    <xf numFmtId="0" fontId="1" fillId="0" borderId="0" xfId="0" applyFont="1" applyBorder="1" applyAlignment="1">
      <alignment wrapText="1"/>
    </xf>
    <xf numFmtId="0" fontId="0" fillId="0" borderId="0" xfId="0" applyBorder="1"/>
    <xf numFmtId="0" fontId="0" fillId="0" borderId="1" xfId="0" applyFill="1" applyBorder="1"/>
    <xf numFmtId="0" fontId="0" fillId="0" borderId="0" xfId="0" applyBorder="1" applyAlignment="1">
      <alignment horizontal="center"/>
    </xf>
    <xf numFmtId="1" fontId="0" fillId="0" borderId="0" xfId="0" applyNumberFormat="1"/>
    <xf numFmtId="0" fontId="0" fillId="5" borderId="1" xfId="0" applyFill="1" applyBorder="1"/>
    <xf numFmtId="0" fontId="1" fillId="0" borderId="8" xfId="0" applyFont="1" applyBorder="1" applyAlignment="1">
      <alignment wrapText="1"/>
    </xf>
    <xf numFmtId="0" fontId="0" fillId="0" borderId="0" xfId="0" applyBorder="1" applyAlignment="1">
      <alignment wrapText="1"/>
    </xf>
    <xf numFmtId="0" fontId="1" fillId="0" borderId="0" xfId="0" applyFont="1" applyBorder="1" applyAlignment="1"/>
    <xf numFmtId="1" fontId="1" fillId="0" borderId="0" xfId="0" applyNumberFormat="1" applyFont="1"/>
    <xf numFmtId="0" fontId="0" fillId="2" borderId="0" xfId="0" applyFill="1"/>
    <xf numFmtId="16" fontId="0" fillId="0" borderId="0" xfId="0" applyNumberFormat="1"/>
    <xf numFmtId="0" fontId="0" fillId="0" borderId="0" xfId="0" applyFill="1"/>
    <xf numFmtId="0" fontId="0" fillId="0" borderId="0" xfId="0" applyFill="1" applyAlignment="1">
      <alignment horizontal="center"/>
    </xf>
    <xf numFmtId="0" fontId="0" fillId="0" borderId="0" xfId="0" applyFill="1" applyBorder="1" applyAlignment="1">
      <alignment horizontal="center"/>
    </xf>
    <xf numFmtId="0" fontId="0" fillId="0" borderId="1" xfId="0" applyFill="1" applyBorder="1" applyAlignment="1">
      <alignment horizontal="center" wrapText="1"/>
    </xf>
    <xf numFmtId="0" fontId="5" fillId="0" borderId="0" xfId="0" applyFont="1"/>
    <xf numFmtId="1" fontId="0" fillId="0" borderId="0" xfId="0" applyNumberFormat="1" applyAlignment="1"/>
    <xf numFmtId="0" fontId="0" fillId="0" borderId="0" xfId="0" applyAlignment="1">
      <alignment horizontal="left"/>
    </xf>
    <xf numFmtId="1" fontId="1" fillId="0" borderId="0" xfId="0" applyNumberFormat="1" applyFont="1" applyBorder="1" applyAlignment="1"/>
    <xf numFmtId="1" fontId="1" fillId="0" borderId="0" xfId="0" applyNumberFormat="1" applyFont="1" applyAlignment="1"/>
    <xf numFmtId="1" fontId="0" fillId="0" borderId="0" xfId="2" applyNumberFormat="1" applyFont="1"/>
    <xf numFmtId="1" fontId="1" fillId="0" borderId="0" xfId="2" applyNumberFormat="1" applyFont="1" applyFill="1" applyBorder="1" applyAlignment="1"/>
    <xf numFmtId="1" fontId="1" fillId="0" borderId="0" xfId="2" applyNumberFormat="1" applyFont="1" applyBorder="1" applyAlignment="1"/>
    <xf numFmtId="1" fontId="1" fillId="0" borderId="0" xfId="2" applyNumberFormat="1" applyFont="1" applyAlignment="1"/>
    <xf numFmtId="1" fontId="1" fillId="0" borderId="0" xfId="2" applyNumberFormat="1" applyFont="1"/>
    <xf numFmtId="1" fontId="0" fillId="0" borderId="0" xfId="0" applyNumberFormat="1" applyFill="1"/>
    <xf numFmtId="0" fontId="7" fillId="0" borderId="0" xfId="3" applyFill="1" applyBorder="1" applyAlignment="1">
      <alignment wrapText="1"/>
    </xf>
    <xf numFmtId="1" fontId="7" fillId="0" borderId="0" xfId="3" applyNumberFormat="1" applyFill="1"/>
    <xf numFmtId="0" fontId="7" fillId="0" borderId="0" xfId="3" applyFill="1"/>
    <xf numFmtId="0" fontId="8" fillId="0" borderId="0" xfId="4" applyFill="1" applyBorder="1" applyAlignment="1">
      <alignment wrapText="1"/>
    </xf>
    <xf numFmtId="1" fontId="8" fillId="0" borderId="0" xfId="4" applyNumberFormat="1" applyFill="1"/>
    <xf numFmtId="0" fontId="8" fillId="0" borderId="0" xfId="4" applyFill="1"/>
    <xf numFmtId="0" fontId="8" fillId="7" borderId="0" xfId="4" applyFill="1" applyBorder="1" applyAlignment="1">
      <alignment wrapText="1"/>
    </xf>
    <xf numFmtId="1" fontId="8" fillId="7" borderId="0" xfId="4" applyNumberFormat="1" applyFill="1"/>
    <xf numFmtId="0" fontId="8" fillId="7" borderId="0" xfId="4" applyFill="1"/>
    <xf numFmtId="1" fontId="0" fillId="0" borderId="0" xfId="0" applyNumberFormat="1" applyFill="1" applyBorder="1"/>
    <xf numFmtId="0" fontId="1" fillId="0" borderId="1" xfId="0" applyFont="1" applyBorder="1" applyAlignment="1">
      <alignment horizontal="center" wrapText="1"/>
    </xf>
    <xf numFmtId="0" fontId="0" fillId="0" borderId="1" xfId="0" applyBorder="1" applyAlignment="1">
      <alignment horizontal="center"/>
    </xf>
    <xf numFmtId="0" fontId="0" fillId="8" borderId="0" xfId="0" applyFill="1"/>
    <xf numFmtId="164" fontId="0" fillId="0" borderId="0" xfId="0" applyNumberFormat="1"/>
    <xf numFmtId="0" fontId="0" fillId="0" borderId="5" xfId="0" applyBorder="1"/>
    <xf numFmtId="0" fontId="0" fillId="0" borderId="0" xfId="0" applyFont="1"/>
    <xf numFmtId="0" fontId="5" fillId="0" borderId="0" xfId="0" applyFont="1" applyAlignment="1">
      <alignment wrapText="1"/>
    </xf>
    <xf numFmtId="0" fontId="0" fillId="0" borderId="0" xfId="0" applyFont="1" applyAlignment="1">
      <alignment wrapText="1"/>
    </xf>
    <xf numFmtId="0" fontId="0" fillId="0" borderId="0" xfId="0" applyFill="1" applyAlignment="1">
      <alignment wrapText="1"/>
    </xf>
    <xf numFmtId="0" fontId="0" fillId="0" borderId="1" xfId="0" applyBorder="1" applyAlignment="1">
      <alignment horizontal="center" wrapText="1"/>
    </xf>
    <xf numFmtId="0" fontId="0" fillId="0" borderId="1" xfId="0" applyBorder="1" applyAlignment="1">
      <alignment horizontal="left"/>
    </xf>
    <xf numFmtId="0" fontId="0" fillId="0" borderId="1" xfId="0" applyFont="1" applyBorder="1" applyAlignment="1">
      <alignment horizontal="left" wrapText="1"/>
    </xf>
    <xf numFmtId="9" fontId="0" fillId="0" borderId="1" xfId="1" applyFont="1" applyFill="1" applyBorder="1" applyAlignment="1">
      <alignment horizontal="center"/>
    </xf>
    <xf numFmtId="0" fontId="0" fillId="0" borderId="1" xfId="0" applyBorder="1" applyAlignment="1">
      <alignment horizontal="right" wrapText="1"/>
    </xf>
    <xf numFmtId="0" fontId="1" fillId="0" borderId="1" xfId="0" applyFont="1" applyBorder="1" applyAlignment="1">
      <alignment horizontal="center"/>
    </xf>
    <xf numFmtId="0" fontId="1" fillId="0" borderId="0" xfId="0" applyFont="1" applyBorder="1" applyAlignment="1">
      <alignment horizontal="center"/>
    </xf>
    <xf numFmtId="0" fontId="0" fillId="0" borderId="0" xfId="0" applyBorder="1" applyAlignment="1">
      <alignment horizontal="left"/>
    </xf>
    <xf numFmtId="0" fontId="9" fillId="0" borderId="6" xfId="0" applyFont="1" applyBorder="1" applyAlignment="1">
      <alignment horizontal="left" vertical="center" wrapText="1"/>
    </xf>
    <xf numFmtId="0" fontId="10" fillId="0" borderId="7" xfId="0" applyFont="1" applyBorder="1" applyAlignment="1">
      <alignment horizontal="left" vertical="center" wrapText="1"/>
    </xf>
    <xf numFmtId="0" fontId="11" fillId="0" borderId="7" xfId="0" applyFont="1" applyBorder="1" applyAlignment="1">
      <alignment horizontal="left" vertical="center" wrapText="1"/>
    </xf>
    <xf numFmtId="0" fontId="9" fillId="0" borderId="7" xfId="0" applyFont="1" applyBorder="1" applyAlignment="1">
      <alignment horizontal="left" vertical="center" wrapText="1"/>
    </xf>
    <xf numFmtId="0" fontId="10" fillId="0" borderId="2" xfId="0" applyFont="1" applyBorder="1" applyAlignment="1">
      <alignment horizontal="left" vertical="center" wrapText="1"/>
    </xf>
    <xf numFmtId="0" fontId="5" fillId="0" borderId="1" xfId="0" applyFont="1" applyBorder="1"/>
    <xf numFmtId="0" fontId="12" fillId="0" borderId="0" xfId="0" applyFont="1" applyAlignment="1">
      <alignment horizontal="left"/>
    </xf>
    <xf numFmtId="0" fontId="1" fillId="0" borderId="1" xfId="0" applyFont="1" applyBorder="1" applyAlignment="1">
      <alignment horizontal="left" wrapText="1"/>
    </xf>
    <xf numFmtId="0" fontId="1" fillId="0" borderId="1" xfId="0" applyFont="1" applyFill="1" applyBorder="1" applyAlignment="1">
      <alignment horizontal="center"/>
    </xf>
    <xf numFmtId="0" fontId="13" fillId="0" borderId="0" xfId="0" applyFont="1"/>
    <xf numFmtId="0" fontId="14" fillId="0" borderId="0" xfId="0" applyFont="1"/>
    <xf numFmtId="0" fontId="0" fillId="0" borderId="0" xfId="0" applyFill="1" applyBorder="1"/>
    <xf numFmtId="0" fontId="0" fillId="0" borderId="0" xfId="0" applyAlignment="1">
      <alignment vertical="top"/>
    </xf>
    <xf numFmtId="0" fontId="0" fillId="0" borderId="0" xfId="0" applyAlignment="1">
      <alignment horizontal="left" wrapText="1"/>
    </xf>
    <xf numFmtId="1" fontId="0" fillId="0" borderId="0" xfId="0" applyNumberFormat="1" applyFont="1"/>
    <xf numFmtId="1" fontId="0" fillId="0" borderId="0" xfId="3" applyNumberFormat="1" applyFont="1" applyFill="1"/>
    <xf numFmtId="1" fontId="0" fillId="0" borderId="0" xfId="4" applyNumberFormat="1" applyFont="1" applyFill="1"/>
    <xf numFmtId="1" fontId="0" fillId="7" borderId="0" xfId="4" applyNumberFormat="1" applyFont="1" applyFill="1"/>
    <xf numFmtId="0" fontId="0" fillId="0" borderId="0" xfId="0" applyBorder="1" applyAlignment="1">
      <alignment vertical="top"/>
    </xf>
    <xf numFmtId="0" fontId="0" fillId="12" borderId="1" xfId="0" applyFill="1" applyBorder="1" applyAlignment="1">
      <alignment horizontal="center"/>
    </xf>
    <xf numFmtId="9" fontId="0" fillId="12" borderId="1" xfId="1" applyFont="1" applyFill="1" applyBorder="1" applyAlignment="1">
      <alignment horizontal="center"/>
    </xf>
    <xf numFmtId="1" fontId="0" fillId="12" borderId="1" xfId="1" applyNumberFormat="1" applyFont="1" applyFill="1" applyBorder="1" applyAlignment="1">
      <alignment horizontal="center"/>
    </xf>
    <xf numFmtId="0" fontId="0" fillId="12" borderId="0" xfId="0" applyFill="1"/>
    <xf numFmtId="0" fontId="0" fillId="13" borderId="0" xfId="0" applyFill="1"/>
    <xf numFmtId="1" fontId="0" fillId="13" borderId="1" xfId="0" applyNumberFormat="1" applyFill="1" applyBorder="1" applyAlignment="1">
      <alignment horizontal="center"/>
    </xf>
    <xf numFmtId="0" fontId="0" fillId="13" borderId="1" xfId="0" applyFill="1" applyBorder="1" applyAlignment="1">
      <alignment horizontal="center"/>
    </xf>
    <xf numFmtId="0" fontId="0" fillId="12" borderId="1" xfId="0" applyFill="1" applyBorder="1" applyAlignment="1">
      <alignment horizontal="center" wrapText="1"/>
    </xf>
    <xf numFmtId="165" fontId="0" fillId="12" borderId="1" xfId="1" applyNumberFormat="1" applyFont="1" applyFill="1" applyBorder="1" applyAlignment="1">
      <alignment horizontal="center"/>
    </xf>
    <xf numFmtId="165" fontId="0" fillId="12" borderId="1" xfId="0" applyNumberFormat="1" applyFill="1" applyBorder="1" applyAlignment="1">
      <alignment horizontal="center"/>
    </xf>
    <xf numFmtId="9" fontId="0" fillId="13" borderId="1" xfId="0" applyNumberFormat="1" applyFill="1" applyBorder="1" applyAlignment="1">
      <alignment horizontal="center"/>
    </xf>
    <xf numFmtId="0" fontId="14" fillId="7" borderId="0" xfId="0" applyFont="1" applyFill="1"/>
    <xf numFmtId="0" fontId="17" fillId="7" borderId="0" xfId="0" applyFont="1" applyFill="1"/>
    <xf numFmtId="0" fontId="18" fillId="7" borderId="0" xfId="0" applyFont="1" applyFill="1"/>
    <xf numFmtId="0" fontId="3" fillId="7" borderId="5" xfId="0" applyFont="1" applyFill="1" applyBorder="1"/>
    <xf numFmtId="0" fontId="16" fillId="7" borderId="5" xfId="0" applyFont="1" applyFill="1" applyBorder="1"/>
    <xf numFmtId="1" fontId="19" fillId="7" borderId="5" xfId="0" applyNumberFormat="1" applyFont="1" applyFill="1" applyBorder="1" applyAlignment="1">
      <alignment horizontal="center"/>
    </xf>
    <xf numFmtId="1" fontId="16" fillId="7" borderId="5" xfId="0" applyNumberFormat="1" applyFont="1" applyFill="1" applyBorder="1" applyAlignment="1">
      <alignment horizontal="center"/>
    </xf>
    <xf numFmtId="1" fontId="3" fillId="7" borderId="5" xfId="0" applyNumberFormat="1" applyFont="1" applyFill="1" applyBorder="1" applyAlignment="1">
      <alignment horizontal="center"/>
    </xf>
    <xf numFmtId="1" fontId="16" fillId="7" borderId="5" xfId="0" applyNumberFormat="1" applyFont="1" applyFill="1" applyBorder="1"/>
    <xf numFmtId="0" fontId="16" fillId="7" borderId="5" xfId="0" applyFont="1" applyFill="1" applyBorder="1" applyAlignment="1">
      <alignment horizontal="center"/>
    </xf>
    <xf numFmtId="0" fontId="17" fillId="7" borderId="9" xfId="0" applyFont="1" applyFill="1" applyBorder="1"/>
    <xf numFmtId="1" fontId="16" fillId="7" borderId="4" xfId="0" applyNumberFormat="1" applyFont="1" applyFill="1" applyBorder="1"/>
    <xf numFmtId="0" fontId="16" fillId="7" borderId="4" xfId="0" applyFont="1" applyFill="1" applyBorder="1"/>
    <xf numFmtId="1" fontId="16" fillId="0" borderId="0" xfId="0" applyNumberFormat="1" applyFont="1"/>
    <xf numFmtId="0" fontId="16" fillId="0" borderId="0" xfId="0" applyFont="1"/>
    <xf numFmtId="0" fontId="20" fillId="11" borderId="0" xfId="0" applyFont="1" applyFill="1"/>
    <xf numFmtId="0" fontId="19" fillId="11" borderId="0" xfId="0" applyFont="1" applyFill="1"/>
    <xf numFmtId="1" fontId="19" fillId="11" borderId="0" xfId="0" applyNumberFormat="1" applyFont="1" applyFill="1"/>
    <xf numFmtId="0" fontId="3" fillId="0" borderId="0" xfId="0" applyFont="1"/>
    <xf numFmtId="0" fontId="16" fillId="8" borderId="0" xfId="0" applyFont="1" applyFill="1"/>
    <xf numFmtId="0" fontId="16" fillId="8" borderId="0" xfId="0" applyNumberFormat="1" applyFont="1" applyFill="1"/>
    <xf numFmtId="0" fontId="16" fillId="0" borderId="5" xfId="0" applyFont="1" applyBorder="1" applyAlignment="1">
      <alignment horizontal="center"/>
    </xf>
    <xf numFmtId="1" fontId="16" fillId="0" borderId="5" xfId="0" applyNumberFormat="1" applyFont="1" applyBorder="1" applyAlignment="1">
      <alignment horizontal="center"/>
    </xf>
    <xf numFmtId="0" fontId="16" fillId="0" borderId="5" xfId="0" applyFont="1" applyBorder="1"/>
    <xf numFmtId="1" fontId="16" fillId="0" borderId="5" xfId="0" applyNumberFormat="1" applyFont="1" applyBorder="1"/>
    <xf numFmtId="1" fontId="19" fillId="0" borderId="5" xfId="0" applyNumberFormat="1" applyFont="1" applyBorder="1" applyAlignment="1">
      <alignment horizontal="center"/>
    </xf>
    <xf numFmtId="1" fontId="16" fillId="0" borderId="4" xfId="0" applyNumberFormat="1" applyFont="1" applyBorder="1"/>
    <xf numFmtId="0" fontId="16" fillId="13" borderId="5" xfId="0" applyFont="1" applyFill="1" applyBorder="1"/>
    <xf numFmtId="1" fontId="16" fillId="13" borderId="4" xfId="0" applyNumberFormat="1" applyFont="1" applyFill="1" applyBorder="1"/>
    <xf numFmtId="0" fontId="16" fillId="13" borderId="5" xfId="0" applyFont="1" applyFill="1" applyBorder="1" applyAlignment="1">
      <alignment horizontal="center"/>
    </xf>
    <xf numFmtId="1" fontId="16" fillId="13" borderId="5" xfId="0" applyNumberFormat="1" applyFont="1" applyFill="1" applyBorder="1" applyAlignment="1">
      <alignment horizontal="center"/>
    </xf>
    <xf numFmtId="0" fontId="19" fillId="13" borderId="5" xfId="0" applyFont="1" applyFill="1" applyBorder="1"/>
    <xf numFmtId="0" fontId="19" fillId="13" borderId="5" xfId="0" applyFont="1" applyFill="1" applyBorder="1" applyAlignment="1">
      <alignment horizontal="center"/>
    </xf>
    <xf numFmtId="0" fontId="3" fillId="13" borderId="5" xfId="0" applyFont="1" applyFill="1" applyBorder="1"/>
    <xf numFmtId="1" fontId="19" fillId="13" borderId="5" xfId="0" applyNumberFormat="1" applyFont="1" applyFill="1" applyBorder="1" applyAlignment="1">
      <alignment horizontal="center"/>
    </xf>
    <xf numFmtId="1" fontId="3" fillId="13" borderId="5" xfId="0" applyNumberFormat="1" applyFont="1" applyFill="1" applyBorder="1" applyAlignment="1">
      <alignment horizontal="center"/>
    </xf>
    <xf numFmtId="0" fontId="15" fillId="0" borderId="0" xfId="0" applyFont="1"/>
    <xf numFmtId="0" fontId="16" fillId="13" borderId="0" xfId="0" applyFont="1" applyFill="1"/>
    <xf numFmtId="2" fontId="16" fillId="7" borderId="0" xfId="0" applyNumberFormat="1" applyFont="1" applyFill="1" applyBorder="1" applyAlignment="1">
      <alignment horizontal="center"/>
    </xf>
    <xf numFmtId="0" fontId="0" fillId="0" borderId="0" xfId="0" applyFont="1" applyFill="1" applyBorder="1"/>
    <xf numFmtId="0" fontId="1" fillId="0" borderId="0" xfId="0" applyFont="1" applyFill="1" applyBorder="1" applyAlignment="1">
      <alignment horizontal="center" wrapText="1"/>
    </xf>
    <xf numFmtId="0" fontId="1" fillId="13" borderId="5" xfId="0" applyFont="1" applyFill="1" applyBorder="1"/>
    <xf numFmtId="0" fontId="0" fillId="7" borderId="5" xfId="0" applyFill="1" applyBorder="1"/>
    <xf numFmtId="1" fontId="0" fillId="7" borderId="5" xfId="0" applyNumberFormat="1" applyFill="1" applyBorder="1"/>
    <xf numFmtId="0" fontId="1" fillId="4" borderId="3" xfId="0" applyFont="1" applyFill="1" applyBorder="1" applyAlignment="1"/>
    <xf numFmtId="0" fontId="0" fillId="0" borderId="7" xfId="0" applyBorder="1" applyAlignment="1"/>
    <xf numFmtId="0" fontId="2" fillId="0" borderId="3" xfId="3" applyFont="1" applyFill="1" applyBorder="1" applyAlignment="1"/>
    <xf numFmtId="0" fontId="2" fillId="0" borderId="3" xfId="4" applyFont="1" applyFill="1" applyBorder="1" applyAlignment="1"/>
    <xf numFmtId="0" fontId="2" fillId="7" borderId="3" xfId="4" applyFont="1" applyFill="1" applyBorder="1" applyAlignment="1"/>
    <xf numFmtId="1" fontId="21" fillId="13" borderId="0" xfId="0" applyNumberFormat="1" applyFont="1" applyFill="1" applyAlignment="1">
      <alignment horizontal="center"/>
    </xf>
    <xf numFmtId="0" fontId="21" fillId="13" borderId="5" xfId="0" applyFont="1" applyFill="1" applyBorder="1"/>
    <xf numFmtId="0" fontId="21" fillId="13" borderId="5" xfId="0" applyFont="1" applyFill="1" applyBorder="1" applyAlignment="1">
      <alignment horizontal="center"/>
    </xf>
    <xf numFmtId="1" fontId="21" fillId="13" borderId="5" xfId="0" applyNumberFormat="1" applyFont="1" applyFill="1" applyBorder="1" applyAlignment="1">
      <alignment horizontal="center"/>
    </xf>
    <xf numFmtId="0" fontId="0" fillId="0" borderId="0" xfId="0" applyAlignment="1">
      <alignment wrapText="1"/>
    </xf>
    <xf numFmtId="0" fontId="0" fillId="0" borderId="1" xfId="0" applyBorder="1" applyAlignment="1">
      <alignment wrapText="1"/>
    </xf>
    <xf numFmtId="0" fontId="16" fillId="6" borderId="5" xfId="0" applyFont="1" applyFill="1" applyBorder="1" applyAlignment="1">
      <alignment horizontal="center"/>
    </xf>
    <xf numFmtId="1" fontId="16" fillId="6" borderId="5" xfId="0" applyNumberFormat="1" applyFont="1" applyFill="1" applyBorder="1" applyAlignment="1">
      <alignment horizontal="center"/>
    </xf>
    <xf numFmtId="0" fontId="0" fillId="0" borderId="0" xfId="0" applyAlignment="1">
      <alignment horizontal="center"/>
    </xf>
    <xf numFmtId="0" fontId="0" fillId="12" borderId="0" xfId="0" applyFill="1" applyBorder="1" applyAlignment="1">
      <alignment horizontal="center"/>
    </xf>
    <xf numFmtId="0" fontId="2" fillId="14" borderId="3" xfId="4" applyFont="1" applyFill="1" applyBorder="1" applyAlignment="1"/>
    <xf numFmtId="0" fontId="1" fillId="14" borderId="3" xfId="0" applyFont="1" applyFill="1" applyBorder="1" applyAlignment="1"/>
    <xf numFmtId="164" fontId="0" fillId="0" borderId="0" xfId="2" applyNumberFormat="1" applyFont="1"/>
    <xf numFmtId="1" fontId="0" fillId="0" borderId="0" xfId="2" applyNumberFormat="1" applyFont="1" applyFill="1"/>
    <xf numFmtId="0" fontId="0" fillId="7" borderId="5" xfId="0" applyFill="1" applyBorder="1" applyAlignment="1">
      <alignment horizontal="center"/>
    </xf>
    <xf numFmtId="1" fontId="0" fillId="7" borderId="5" xfId="0" applyNumberFormat="1" applyFill="1" applyBorder="1" applyAlignment="1">
      <alignment horizontal="center"/>
    </xf>
    <xf numFmtId="0" fontId="0" fillId="0" borderId="0" xfId="0" applyAlignment="1">
      <alignment wrapText="1"/>
    </xf>
    <xf numFmtId="0" fontId="0" fillId="0" borderId="1" xfId="0" applyBorder="1" applyAlignment="1">
      <alignment wrapText="1"/>
    </xf>
    <xf numFmtId="0" fontId="0" fillId="0" borderId="1" xfId="0" applyBorder="1" applyAlignment="1">
      <alignment horizontal="left" wrapText="1"/>
    </xf>
    <xf numFmtId="0" fontId="1" fillId="0" borderId="1" xfId="0" applyFont="1" applyBorder="1" applyAlignment="1">
      <alignment horizontal="center" wrapText="1"/>
    </xf>
    <xf numFmtId="0" fontId="0" fillId="2" borderId="0" xfId="0" applyFill="1" applyAlignment="1">
      <alignment wrapText="1"/>
    </xf>
    <xf numFmtId="0" fontId="0" fillId="0" borderId="1" xfId="0" applyFont="1" applyBorder="1"/>
    <xf numFmtId="0" fontId="0" fillId="0" borderId="1" xfId="0" applyFont="1" applyBorder="1" applyAlignment="1">
      <alignment horizontal="center"/>
    </xf>
    <xf numFmtId="1" fontId="0" fillId="12" borderId="1" xfId="0" applyNumberFormat="1" applyFill="1" applyBorder="1" applyAlignment="1">
      <alignment horizontal="center"/>
    </xf>
    <xf numFmtId="1" fontId="0" fillId="6" borderId="1" xfId="0" applyNumberFormat="1" applyFill="1" applyBorder="1" applyAlignment="1">
      <alignment horizontal="center"/>
    </xf>
    <xf numFmtId="1" fontId="0" fillId="15" borderId="1" xfId="0" applyNumberFormat="1" applyFill="1" applyBorder="1" applyAlignment="1">
      <alignment horizontal="center"/>
    </xf>
    <xf numFmtId="0" fontId="0" fillId="0" borderId="1" xfId="0" applyBorder="1" applyAlignment="1">
      <alignment wrapText="1"/>
    </xf>
    <xf numFmtId="0" fontId="0" fillId="0" borderId="0" xfId="0" applyAlignment="1">
      <alignment horizontal="center"/>
    </xf>
    <xf numFmtId="0" fontId="16" fillId="6" borderId="0" xfId="0" applyFont="1" applyFill="1"/>
    <xf numFmtId="1" fontId="16" fillId="6" borderId="0" xfId="0" applyNumberFormat="1" applyFont="1" applyFill="1" applyAlignment="1">
      <alignment horizontal="center"/>
    </xf>
    <xf numFmtId="1" fontId="16" fillId="6" borderId="0" xfId="0" applyNumberFormat="1" applyFont="1" applyFill="1"/>
    <xf numFmtId="0" fontId="16" fillId="0" borderId="0" xfId="0" applyFont="1" applyAlignment="1">
      <alignment horizontal="center"/>
    </xf>
    <xf numFmtId="1" fontId="16" fillId="0" borderId="0" xfId="0" applyNumberFormat="1" applyFont="1" applyAlignment="1">
      <alignment horizontal="center"/>
    </xf>
    <xf numFmtId="0" fontId="16" fillId="6" borderId="0" xfId="0" applyFont="1" applyFill="1" applyAlignment="1">
      <alignment horizontal="center"/>
    </xf>
    <xf numFmtId="0" fontId="16" fillId="2" borderId="0" xfId="0" applyFont="1" applyFill="1"/>
    <xf numFmtId="1" fontId="3" fillId="0" borderId="0" xfId="0" applyNumberFormat="1" applyFont="1" applyAlignment="1">
      <alignment horizontal="center"/>
    </xf>
    <xf numFmtId="16" fontId="16" fillId="0" borderId="0" xfId="0" applyNumberFormat="1" applyFont="1"/>
    <xf numFmtId="1" fontId="3" fillId="6" borderId="0" xfId="0" applyNumberFormat="1" applyFont="1" applyFill="1" applyAlignment="1">
      <alignment horizontal="center"/>
    </xf>
    <xf numFmtId="0" fontId="3" fillId="0" borderId="4" xfId="0" applyFont="1" applyBorder="1"/>
    <xf numFmtId="1" fontId="3" fillId="0" borderId="5" xfId="0" applyNumberFormat="1" applyFont="1" applyBorder="1" applyAlignment="1">
      <alignment horizontal="center"/>
    </xf>
    <xf numFmtId="1" fontId="16" fillId="0" borderId="9" xfId="0" applyNumberFormat="1" applyFont="1" applyBorder="1"/>
    <xf numFmtId="164" fontId="16" fillId="0" borderId="0" xfId="0" applyNumberFormat="1" applyFont="1"/>
    <xf numFmtId="9" fontId="16" fillId="0" borderId="0" xfId="0" applyNumberFormat="1" applyFont="1"/>
    <xf numFmtId="0" fontId="17" fillId="7" borderId="0" xfId="0" applyFont="1" applyFill="1" applyAlignment="1">
      <alignment horizontal="center"/>
    </xf>
    <xf numFmtId="0" fontId="18" fillId="7" borderId="0" xfId="0" applyFont="1" applyFill="1" applyAlignment="1">
      <alignment horizontal="center"/>
    </xf>
    <xf numFmtId="0" fontId="19" fillId="11" borderId="0" xfId="0" applyFont="1" applyFill="1" applyAlignment="1">
      <alignment horizontal="center"/>
    </xf>
    <xf numFmtId="0" fontId="0" fillId="2" borderId="0" xfId="0" applyFill="1" applyAlignment="1">
      <alignment horizontal="center"/>
    </xf>
    <xf numFmtId="0" fontId="1" fillId="13" borderId="5" xfId="0" applyFont="1" applyFill="1" applyBorder="1" applyAlignment="1">
      <alignment horizontal="center"/>
    </xf>
    <xf numFmtId="0" fontId="3" fillId="13" borderId="0" xfId="0" applyFont="1" applyFill="1" applyBorder="1"/>
    <xf numFmtId="0" fontId="0" fillId="3" borderId="1" xfId="0" applyFill="1" applyBorder="1" applyAlignment="1">
      <alignment horizontal="center"/>
    </xf>
    <xf numFmtId="0" fontId="1" fillId="6" borderId="1" xfId="0" applyFont="1" applyFill="1" applyBorder="1" applyAlignment="1">
      <alignment horizontal="center"/>
    </xf>
    <xf numFmtId="2" fontId="0" fillId="6" borderId="1" xfId="0" applyNumberFormat="1" applyFill="1" applyBorder="1" applyAlignment="1">
      <alignment horizontal="center"/>
    </xf>
    <xf numFmtId="0" fontId="0" fillId="0" borderId="0" xfId="0" applyAlignment="1">
      <alignment horizontal="center"/>
    </xf>
    <xf numFmtId="0" fontId="0" fillId="0" borderId="1" xfId="0" applyBorder="1" applyAlignment="1">
      <alignment wrapText="1"/>
    </xf>
    <xf numFmtId="0" fontId="0" fillId="0" borderId="1" xfId="0" applyBorder="1" applyAlignment="1">
      <alignment horizontal="left" wrapText="1"/>
    </xf>
    <xf numFmtId="0" fontId="1" fillId="0" borderId="1" xfId="0" applyFont="1" applyBorder="1" applyAlignment="1">
      <alignment horizontal="center" wrapText="1"/>
    </xf>
    <xf numFmtId="0" fontId="0" fillId="0" borderId="0" xfId="0" applyAlignment="1">
      <alignment wrapText="1"/>
    </xf>
    <xf numFmtId="0" fontId="1" fillId="0" borderId="1" xfId="0" applyFont="1" applyBorder="1" applyAlignment="1">
      <alignment horizontal="left"/>
    </xf>
    <xf numFmtId="0" fontId="1" fillId="0" borderId="0" xfId="0" applyFont="1" applyFill="1" applyBorder="1"/>
    <xf numFmtId="1" fontId="15" fillId="0" borderId="0" xfId="0" applyNumberFormat="1" applyFont="1"/>
    <xf numFmtId="0" fontId="1" fillId="0" borderId="0" xfId="0" applyFont="1" applyAlignment="1">
      <alignment horizontal="center"/>
    </xf>
    <xf numFmtId="9" fontId="0" fillId="0" borderId="1" xfId="1" applyFont="1" applyBorder="1"/>
    <xf numFmtId="0" fontId="0" fillId="12" borderId="1" xfId="0" applyFill="1" applyBorder="1"/>
    <xf numFmtId="9" fontId="0" fillId="12" borderId="1" xfId="1" applyFont="1" applyFill="1" applyBorder="1"/>
    <xf numFmtId="1" fontId="0" fillId="0" borderId="2" xfId="0" applyNumberFormat="1" applyBorder="1" applyAlignment="1">
      <alignment horizontal="center"/>
    </xf>
    <xf numFmtId="0" fontId="0" fillId="0" borderId="11" xfId="0" applyFill="1" applyBorder="1"/>
    <xf numFmtId="0" fontId="0" fillId="3" borderId="7" xfId="0" applyFill="1" applyBorder="1" applyAlignment="1">
      <alignment horizontal="center"/>
    </xf>
    <xf numFmtId="0" fontId="22" fillId="0" borderId="0" xfId="0" applyFont="1" applyAlignment="1">
      <alignment horizontal="center" vertical="center" wrapText="1"/>
    </xf>
    <xf numFmtId="15" fontId="0" fillId="0" borderId="0" xfId="0" applyNumberFormat="1" applyAlignment="1">
      <alignment horizontal="center" wrapText="1"/>
    </xf>
    <xf numFmtId="0" fontId="1" fillId="0" borderId="0" xfId="0" applyFont="1" applyAlignment="1">
      <alignment vertical="center" wrapText="1"/>
    </xf>
    <xf numFmtId="0" fontId="1" fillId="0" borderId="0" xfId="0" applyFont="1" applyAlignment="1">
      <alignment horizontal="center" wrapText="1"/>
    </xf>
    <xf numFmtId="0" fontId="1" fillId="2" borderId="0" xfId="0" applyFont="1" applyFill="1" applyAlignment="1">
      <alignment vertical="center" wrapText="1"/>
    </xf>
    <xf numFmtId="0" fontId="0" fillId="0" borderId="5" xfId="0" applyBorder="1" applyAlignment="1">
      <alignment horizontal="center"/>
    </xf>
    <xf numFmtId="1" fontId="0" fillId="0" borderId="5" xfId="0" applyNumberFormat="1" applyBorder="1" applyAlignment="1">
      <alignment horizontal="center"/>
    </xf>
    <xf numFmtId="0" fontId="0" fillId="0" borderId="5" xfId="0" applyBorder="1" applyAlignment="1">
      <alignment horizontal="left"/>
    </xf>
    <xf numFmtId="0" fontId="0" fillId="0" borderId="1" xfId="0" applyBorder="1" applyAlignment="1">
      <alignment horizontal="left" wrapText="1"/>
    </xf>
    <xf numFmtId="0" fontId="0" fillId="0" borderId="1" xfId="0" applyBorder="1" applyAlignment="1">
      <alignment wrapText="1"/>
    </xf>
    <xf numFmtId="0" fontId="0" fillId="0" borderId="4" xfId="0" applyBorder="1" applyAlignment="1">
      <alignment horizontal="left" wrapText="1"/>
    </xf>
    <xf numFmtId="0" fontId="0" fillId="0" borderId="5" xfId="0" applyBorder="1" applyAlignment="1">
      <alignment horizontal="left" wrapText="1"/>
    </xf>
    <xf numFmtId="0" fontId="0" fillId="0" borderId="10" xfId="0" applyBorder="1" applyAlignment="1">
      <alignment horizontal="left" wrapText="1"/>
    </xf>
    <xf numFmtId="0" fontId="1" fillId="0" borderId="1" xfId="0" applyFont="1" applyBorder="1" applyAlignment="1">
      <alignment horizontal="center" wrapText="1"/>
    </xf>
  </cellXfs>
  <cellStyles count="5">
    <cellStyle name="Comma" xfId="2" builtinId="3"/>
    <cellStyle name="Good" xfId="3" builtinId="26"/>
    <cellStyle name="Neutral" xfId="4" builtinId="28"/>
    <cellStyle name="Normal" xfId="0" builtinId="0"/>
    <cellStyle name="Percent" xfId="1" builtinId="5"/>
  </cellStyles>
  <dxfs count="0"/>
  <tableStyles count="0" defaultTableStyle="TableStyleMedium2" defaultPivotStyle="PivotStyleLight16"/>
  <colors>
    <mruColors>
      <color rgb="FFC1EE86"/>
      <color rgb="FF0B5E90"/>
      <color rgb="FF00A4E4"/>
      <color rgb="FF5D9732"/>
      <color rgb="FFF7A11A"/>
      <color rgb="FF5DD2FF"/>
      <color rgb="FF8CC63F"/>
      <color rgb="FFD1D5D8"/>
      <color rgb="FF5E6A71"/>
      <color rgb="FF0079C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Vessels Required and Turbines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417250198291675E-2"/>
          <c:y val="7.5282334926584052E-2"/>
          <c:w val="0.82771678647263758"/>
          <c:h val="0.79270271721152119"/>
        </c:manualLayout>
      </c:layout>
      <c:barChart>
        <c:barDir val="col"/>
        <c:grouping val="stacked"/>
        <c:varyColors val="0"/>
        <c:ser>
          <c:idx val="0"/>
          <c:order val="0"/>
          <c:tx>
            <c:strRef>
              <c:f>'TOTAL-UNC'!$B$86</c:f>
              <c:strCache>
                <c:ptCount val="1"/>
                <c:pt idx="0">
                  <c:v>12</c:v>
                </c:pt>
              </c:strCache>
            </c:strRef>
          </c:tx>
          <c:spPr>
            <a:solidFill>
              <a:srgbClr val="0079C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'TOTAL-UNC'!$C$86:$Q$86</c:f>
              <c:numCache>
                <c:formatCode>0</c:formatCode>
                <c:ptCount val="14"/>
                <c:pt idx="0">
                  <c:v>0</c:v>
                </c:pt>
                <c:pt idx="1">
                  <c:v>42.769230769230774</c:v>
                </c:pt>
                <c:pt idx="2">
                  <c:v>261.79487179487182</c:v>
                </c:pt>
                <c:pt idx="3">
                  <c:v>187.5128205128205</c:v>
                </c:pt>
                <c:pt idx="4">
                  <c:v>60.666666666666664</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1573-4647-9D8A-2F45D53C338D}"/>
            </c:ext>
          </c:extLst>
        </c:ser>
        <c:ser>
          <c:idx val="5"/>
          <c:order val="5"/>
          <c:tx>
            <c:strRef>
              <c:f>'TOTAL-UNC'!$B$87</c:f>
              <c:strCache>
                <c:ptCount val="1"/>
                <c:pt idx="0">
                  <c:v>15</c:v>
                </c:pt>
              </c:strCache>
            </c:strRef>
          </c:tx>
          <c:spPr>
            <a:solidFill>
              <a:srgbClr val="5E6A71"/>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'TOTAL-UNC'!$C$87:$Q$87</c:f>
              <c:numCache>
                <c:formatCode>0</c:formatCode>
                <c:ptCount val="14"/>
                <c:pt idx="0">
                  <c:v>0</c:v>
                </c:pt>
                <c:pt idx="1">
                  <c:v>0</c:v>
                </c:pt>
                <c:pt idx="2">
                  <c:v>76.52100840336135</c:v>
                </c:pt>
                <c:pt idx="3">
                  <c:v>102.33333333333334</c:v>
                </c:pt>
                <c:pt idx="4">
                  <c:v>183.06666666666666</c:v>
                </c:pt>
                <c:pt idx="5">
                  <c:v>193.64</c:v>
                </c:pt>
                <c:pt idx="6">
                  <c:v>408.41126999157984</c:v>
                </c:pt>
                <c:pt idx="7">
                  <c:v>219.61275259631313</c:v>
                </c:pt>
                <c:pt idx="8">
                  <c:v>381.94193194134141</c:v>
                </c:pt>
                <c:pt idx="9">
                  <c:v>0</c:v>
                </c:pt>
                <c:pt idx="10">
                  <c:v>0</c:v>
                </c:pt>
                <c:pt idx="11">
                  <c:v>0</c:v>
                </c:pt>
                <c:pt idx="12">
                  <c:v>0</c:v>
                </c:pt>
                <c:pt idx="13">
                  <c:v>0</c:v>
                </c:pt>
              </c:numCache>
            </c:numRef>
          </c:val>
          <c:extLst>
            <c:ext xmlns:c16="http://schemas.microsoft.com/office/drawing/2014/chart" uri="{C3380CC4-5D6E-409C-BE32-E72D297353CC}">
              <c16:uniqueId val="{00000001-1573-4647-9D8A-2F45D53C338D}"/>
            </c:ext>
          </c:extLst>
        </c:ser>
        <c:ser>
          <c:idx val="6"/>
          <c:order val="6"/>
          <c:tx>
            <c:strRef>
              <c:f>'TOTAL-UNC'!$B$88</c:f>
              <c:strCache>
                <c:ptCount val="1"/>
                <c:pt idx="0">
                  <c:v>18</c:v>
                </c:pt>
              </c:strCache>
            </c:strRef>
          </c:tx>
          <c:spPr>
            <a:solidFill>
              <a:srgbClr val="5D973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'TOTAL-UNC'!$C$88:$Q$88</c:f>
              <c:numCache>
                <c:formatCode>0</c:formatCode>
                <c:ptCount val="14"/>
                <c:pt idx="0">
                  <c:v>0</c:v>
                </c:pt>
                <c:pt idx="1">
                  <c:v>0</c:v>
                </c:pt>
                <c:pt idx="2">
                  <c:v>0</c:v>
                </c:pt>
                <c:pt idx="3">
                  <c:v>0</c:v>
                </c:pt>
                <c:pt idx="4">
                  <c:v>0</c:v>
                </c:pt>
                <c:pt idx="5">
                  <c:v>0</c:v>
                </c:pt>
                <c:pt idx="6">
                  <c:v>0</c:v>
                </c:pt>
                <c:pt idx="7">
                  <c:v>0</c:v>
                </c:pt>
                <c:pt idx="8">
                  <c:v>0</c:v>
                </c:pt>
                <c:pt idx="9">
                  <c:v>144.53977773978585</c:v>
                </c:pt>
                <c:pt idx="10">
                  <c:v>217.27790874381157</c:v>
                </c:pt>
                <c:pt idx="11">
                  <c:v>81.493553167490219</c:v>
                </c:pt>
                <c:pt idx="12">
                  <c:v>80.082867813976321</c:v>
                </c:pt>
                <c:pt idx="13">
                  <c:v>51.333333333333336</c:v>
                </c:pt>
              </c:numCache>
            </c:numRef>
          </c:val>
          <c:extLst>
            <c:ext xmlns:c16="http://schemas.microsoft.com/office/drawing/2014/chart" uri="{C3380CC4-5D6E-409C-BE32-E72D297353CC}">
              <c16:uniqueId val="{00000002-1573-4647-9D8A-2F45D53C338D}"/>
            </c:ext>
          </c:extLst>
        </c:ser>
        <c:dLbls>
          <c:showLegendKey val="0"/>
          <c:showVal val="0"/>
          <c:showCatName val="0"/>
          <c:showSerName val="0"/>
          <c:showPercent val="0"/>
          <c:showBubbleSize val="0"/>
        </c:dLbls>
        <c:gapWidth val="200"/>
        <c:overlap val="100"/>
        <c:axId val="45334935"/>
        <c:axId val="45341167"/>
      </c:barChart>
      <c:lineChart>
        <c:grouping val="standard"/>
        <c:varyColors val="0"/>
        <c:ser>
          <c:idx val="1"/>
          <c:order val="1"/>
          <c:tx>
            <c:strRef>
              <c:f>'TOTAL-UNC'!$B$135</c:f>
              <c:strCache>
                <c:ptCount val="1"/>
                <c:pt idx="0">
                  <c:v>CTV</c:v>
                </c:pt>
              </c:strCache>
            </c:strRef>
          </c:tx>
          <c:spPr>
            <a:ln w="38100" cap="rnd">
              <a:solidFill>
                <a:srgbClr val="933C06"/>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'TOTAL-UNC'!$C$135:$Q$135</c:f>
              <c:numCache>
                <c:formatCode>0</c:formatCode>
                <c:ptCount val="14"/>
                <c:pt idx="0">
                  <c:v>0</c:v>
                </c:pt>
                <c:pt idx="1">
                  <c:v>6</c:v>
                </c:pt>
                <c:pt idx="2">
                  <c:v>18</c:v>
                </c:pt>
                <c:pt idx="3">
                  <c:v>26</c:v>
                </c:pt>
                <c:pt idx="4">
                  <c:v>32</c:v>
                </c:pt>
                <c:pt idx="5">
                  <c:v>33</c:v>
                </c:pt>
                <c:pt idx="6">
                  <c:v>43</c:v>
                </c:pt>
                <c:pt idx="7">
                  <c:v>50</c:v>
                </c:pt>
                <c:pt idx="8">
                  <c:v>58</c:v>
                </c:pt>
                <c:pt idx="9">
                  <c:v>61</c:v>
                </c:pt>
                <c:pt idx="10">
                  <c:v>61</c:v>
                </c:pt>
                <c:pt idx="11">
                  <c:v>61</c:v>
                </c:pt>
                <c:pt idx="12">
                  <c:v>61</c:v>
                </c:pt>
                <c:pt idx="13">
                  <c:v>61</c:v>
                </c:pt>
              </c:numCache>
            </c:numRef>
          </c:val>
          <c:smooth val="0"/>
          <c:extLst>
            <c:ext xmlns:c16="http://schemas.microsoft.com/office/drawing/2014/chart" uri="{C3380CC4-5D6E-409C-BE32-E72D297353CC}">
              <c16:uniqueId val="{00000003-1573-4647-9D8A-2F45D53C338D}"/>
            </c:ext>
          </c:extLst>
        </c:ser>
        <c:ser>
          <c:idx val="2"/>
          <c:order val="2"/>
          <c:tx>
            <c:strRef>
              <c:f>'TOTAL-UNC'!$B$134</c:f>
              <c:strCache>
                <c:ptCount val="1"/>
                <c:pt idx="0">
                  <c:v>Feeder Barges</c:v>
                </c:pt>
              </c:strCache>
            </c:strRef>
          </c:tx>
          <c:spPr>
            <a:ln w="38100" cap="rnd">
              <a:solidFill>
                <a:schemeClr val="accent3"/>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'TOTAL-UNC'!$C$134:$Q$134</c:f>
              <c:numCache>
                <c:formatCode>0</c:formatCode>
                <c:ptCount val="14"/>
                <c:pt idx="0">
                  <c:v>0</c:v>
                </c:pt>
                <c:pt idx="1">
                  <c:v>4</c:v>
                </c:pt>
                <c:pt idx="2">
                  <c:v>10</c:v>
                </c:pt>
                <c:pt idx="3">
                  <c:v>10</c:v>
                </c:pt>
                <c:pt idx="4">
                  <c:v>10</c:v>
                </c:pt>
                <c:pt idx="5">
                  <c:v>8</c:v>
                </c:pt>
                <c:pt idx="6">
                  <c:v>10</c:v>
                </c:pt>
                <c:pt idx="7">
                  <c:v>4</c:v>
                </c:pt>
                <c:pt idx="8">
                  <c:v>8</c:v>
                </c:pt>
                <c:pt idx="9">
                  <c:v>4</c:v>
                </c:pt>
                <c:pt idx="10">
                  <c:v>8</c:v>
                </c:pt>
                <c:pt idx="11">
                  <c:v>4</c:v>
                </c:pt>
                <c:pt idx="12">
                  <c:v>4</c:v>
                </c:pt>
                <c:pt idx="13">
                  <c:v>4</c:v>
                </c:pt>
              </c:numCache>
            </c:numRef>
          </c:val>
          <c:smooth val="0"/>
          <c:extLst>
            <c:ext xmlns:c16="http://schemas.microsoft.com/office/drawing/2014/chart" uri="{C3380CC4-5D6E-409C-BE32-E72D297353CC}">
              <c16:uniqueId val="{00000004-1573-4647-9D8A-2F45D53C338D}"/>
            </c:ext>
          </c:extLst>
        </c:ser>
        <c:ser>
          <c:idx val="3"/>
          <c:order val="3"/>
          <c:tx>
            <c:v>WTIV</c:v>
          </c:tx>
          <c:spPr>
            <a:ln w="38100" cap="rnd">
              <a:solidFill>
                <a:schemeClr val="accent4"/>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'TOTAL-UNC'!$C$131:$Q$131</c:f>
              <c:numCache>
                <c:formatCode>0</c:formatCode>
                <c:ptCount val="14"/>
                <c:pt idx="0">
                  <c:v>0</c:v>
                </c:pt>
                <c:pt idx="1">
                  <c:v>2</c:v>
                </c:pt>
                <c:pt idx="2">
                  <c:v>5</c:v>
                </c:pt>
                <c:pt idx="3">
                  <c:v>5</c:v>
                </c:pt>
                <c:pt idx="4">
                  <c:v>5</c:v>
                </c:pt>
                <c:pt idx="5">
                  <c:v>4</c:v>
                </c:pt>
                <c:pt idx="6">
                  <c:v>5</c:v>
                </c:pt>
                <c:pt idx="7">
                  <c:v>2</c:v>
                </c:pt>
                <c:pt idx="8">
                  <c:v>4</c:v>
                </c:pt>
                <c:pt idx="9">
                  <c:v>2</c:v>
                </c:pt>
                <c:pt idx="10">
                  <c:v>4</c:v>
                </c:pt>
                <c:pt idx="11">
                  <c:v>2</c:v>
                </c:pt>
                <c:pt idx="12">
                  <c:v>2</c:v>
                </c:pt>
                <c:pt idx="13">
                  <c:v>2</c:v>
                </c:pt>
              </c:numCache>
            </c:numRef>
          </c:val>
          <c:smooth val="0"/>
          <c:extLst>
            <c:ext xmlns:c16="http://schemas.microsoft.com/office/drawing/2014/chart" uri="{C3380CC4-5D6E-409C-BE32-E72D297353CC}">
              <c16:uniqueId val="{00000005-1573-4647-9D8A-2F45D53C338D}"/>
            </c:ext>
          </c:extLst>
        </c:ser>
        <c:ser>
          <c:idx val="4"/>
          <c:order val="4"/>
          <c:tx>
            <c:strRef>
              <c:f>'TOTAL-UNC'!$B$137</c:f>
              <c:strCache>
                <c:ptCount val="1"/>
                <c:pt idx="0">
                  <c:v>CLV</c:v>
                </c:pt>
              </c:strCache>
            </c:strRef>
          </c:tx>
          <c:spPr>
            <a:ln w="38100" cap="rnd">
              <a:solidFill>
                <a:schemeClr val="accent5"/>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'TOTAL-UNC'!$C$137:$Q$137</c:f>
              <c:numCache>
                <c:formatCode>0</c:formatCode>
                <c:ptCount val="14"/>
                <c:pt idx="0">
                  <c:v>0</c:v>
                </c:pt>
                <c:pt idx="1">
                  <c:v>1</c:v>
                </c:pt>
                <c:pt idx="2">
                  <c:v>4</c:v>
                </c:pt>
                <c:pt idx="3">
                  <c:v>3</c:v>
                </c:pt>
                <c:pt idx="4">
                  <c:v>3</c:v>
                </c:pt>
                <c:pt idx="5">
                  <c:v>2</c:v>
                </c:pt>
                <c:pt idx="6">
                  <c:v>4</c:v>
                </c:pt>
                <c:pt idx="7">
                  <c:v>3</c:v>
                </c:pt>
                <c:pt idx="8">
                  <c:v>4</c:v>
                </c:pt>
                <c:pt idx="9">
                  <c:v>2</c:v>
                </c:pt>
                <c:pt idx="10">
                  <c:v>3</c:v>
                </c:pt>
                <c:pt idx="11">
                  <c:v>1</c:v>
                </c:pt>
                <c:pt idx="12">
                  <c:v>2</c:v>
                </c:pt>
                <c:pt idx="13">
                  <c:v>1</c:v>
                </c:pt>
              </c:numCache>
            </c:numRef>
          </c:val>
          <c:smooth val="0"/>
          <c:extLst>
            <c:ext xmlns:c16="http://schemas.microsoft.com/office/drawing/2014/chart" uri="{C3380CC4-5D6E-409C-BE32-E72D297353CC}">
              <c16:uniqueId val="{00000006-1573-4647-9D8A-2F45D53C338D}"/>
            </c:ext>
          </c:extLst>
        </c:ser>
        <c:ser>
          <c:idx val="7"/>
          <c:order val="7"/>
          <c:tx>
            <c:strRef>
              <c:f>'TOTAL-UNC'!$B$136</c:f>
              <c:strCache>
                <c:ptCount val="1"/>
                <c:pt idx="0">
                  <c:v>SOV</c:v>
                </c:pt>
              </c:strCache>
            </c:strRef>
          </c:tx>
          <c:spPr>
            <a:ln w="28575" cap="rnd">
              <a:solidFill>
                <a:schemeClr val="accent2">
                  <a:lumMod val="60000"/>
                </a:schemeClr>
              </a:solidFill>
              <a:round/>
            </a:ln>
            <a:effectLst/>
          </c:spPr>
          <c:marker>
            <c:symbol val="none"/>
          </c:marker>
          <c:val>
            <c:numRef>
              <c:f>'TOTAL-UNC'!$C$136:$Q$136</c:f>
              <c:numCache>
                <c:formatCode>0</c:formatCode>
                <c:ptCount val="14"/>
                <c:pt idx="0">
                  <c:v>0</c:v>
                </c:pt>
                <c:pt idx="1">
                  <c:v>1</c:v>
                </c:pt>
                <c:pt idx="2">
                  <c:v>2</c:v>
                </c:pt>
                <c:pt idx="3">
                  <c:v>4</c:v>
                </c:pt>
                <c:pt idx="4">
                  <c:v>5</c:v>
                </c:pt>
                <c:pt idx="5">
                  <c:v>6</c:v>
                </c:pt>
                <c:pt idx="6">
                  <c:v>8</c:v>
                </c:pt>
                <c:pt idx="7">
                  <c:v>9</c:v>
                </c:pt>
                <c:pt idx="8">
                  <c:v>11</c:v>
                </c:pt>
                <c:pt idx="9">
                  <c:v>12</c:v>
                </c:pt>
                <c:pt idx="10">
                  <c:v>13</c:v>
                </c:pt>
                <c:pt idx="11">
                  <c:v>13</c:v>
                </c:pt>
                <c:pt idx="12">
                  <c:v>14</c:v>
                </c:pt>
                <c:pt idx="13">
                  <c:v>14</c:v>
                </c:pt>
              </c:numCache>
            </c:numRef>
          </c:val>
          <c:smooth val="0"/>
          <c:extLst>
            <c:ext xmlns:c16="http://schemas.microsoft.com/office/drawing/2014/chart" uri="{C3380CC4-5D6E-409C-BE32-E72D297353CC}">
              <c16:uniqueId val="{00000001-F84A-4C9F-9491-641622716FEA}"/>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Vessels Required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minorUnit val="5"/>
      </c:valAx>
      <c:valAx>
        <c:axId val="45341167"/>
        <c:scaling>
          <c:orientation val="minMax"/>
          <c:max val="500"/>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 Turbines Installed </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5334935"/>
        <c:crosses val="max"/>
        <c:crossBetween val="between"/>
      </c:valAx>
      <c:catAx>
        <c:axId val="45334935"/>
        <c:scaling>
          <c:orientation val="minMax"/>
        </c:scaling>
        <c:delete val="1"/>
        <c:axPos val="b"/>
        <c:numFmt formatCode="General" sourceLinked="1"/>
        <c:majorTickMark val="out"/>
        <c:minorTickMark val="none"/>
        <c:tickLblPos val="nextTo"/>
        <c:crossAx val="45341167"/>
        <c:crosses val="autoZero"/>
        <c:auto val="1"/>
        <c:lblAlgn val="ctr"/>
        <c:lblOffset val="100"/>
        <c:noMultiLvlLbl val="0"/>
      </c:catAx>
      <c:spPr>
        <a:noFill/>
        <a:ln>
          <a:noFill/>
        </a:ln>
        <a:effectLst/>
      </c:spPr>
    </c:plotArea>
    <c:legend>
      <c:legendPos val="b"/>
      <c:layout>
        <c:manualLayout>
          <c:xMode val="edge"/>
          <c:yMode val="edge"/>
          <c:x val="0.10195364966059496"/>
          <c:y val="9.4921392701569532E-2"/>
          <c:w val="0.56020124168352181"/>
          <c:h val="4.1739305780588092E-2"/>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nchor="t" anchorCtr="1"/>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Total MW and Projects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462671550043816E-2"/>
          <c:y val="7.5282334926584052E-2"/>
          <c:w val="0.84749648151120716"/>
          <c:h val="0.76811631697945759"/>
        </c:manualLayout>
      </c:layout>
      <c:barChart>
        <c:barDir val="col"/>
        <c:grouping val="clustered"/>
        <c:varyColors val="0"/>
        <c:ser>
          <c:idx val="0"/>
          <c:order val="0"/>
          <c:tx>
            <c:strRef>
              <c:f>'TOTAL-UNC'!$B$83</c:f>
              <c:strCache>
                <c:ptCount val="1"/>
                <c:pt idx="0">
                  <c:v>Installed MW</c:v>
                </c:pt>
              </c:strCache>
            </c:strRef>
          </c:tx>
          <c:spPr>
            <a:solidFill>
              <a:srgbClr val="0079C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'TOTAL-UNC'!$C$83:$Q$83</c:f>
              <c:numCache>
                <c:formatCode>0</c:formatCode>
                <c:ptCount val="14"/>
                <c:pt idx="0">
                  <c:v>0</c:v>
                </c:pt>
                <c:pt idx="1">
                  <c:v>513.23076923076928</c:v>
                </c:pt>
                <c:pt idx="2">
                  <c:v>4289.353587588882</c:v>
                </c:pt>
                <c:pt idx="3">
                  <c:v>3785.1538461538457</c:v>
                </c:pt>
                <c:pt idx="4">
                  <c:v>3474</c:v>
                </c:pt>
                <c:pt idx="5">
                  <c:v>2904.6</c:v>
                </c:pt>
                <c:pt idx="6">
                  <c:v>6126.169049873698</c:v>
                </c:pt>
                <c:pt idx="7">
                  <c:v>3294.1912889446971</c:v>
                </c:pt>
                <c:pt idx="8">
                  <c:v>5729.1289791201216</c:v>
                </c:pt>
                <c:pt idx="9">
                  <c:v>2601.7159993161454</c:v>
                </c:pt>
                <c:pt idx="10">
                  <c:v>3911.0023573886083</c:v>
                </c:pt>
                <c:pt idx="11">
                  <c:v>1466.8839570148239</c:v>
                </c:pt>
                <c:pt idx="12">
                  <c:v>1441.4916206515738</c:v>
                </c:pt>
                <c:pt idx="13">
                  <c:v>924</c:v>
                </c:pt>
              </c:numCache>
            </c:numRef>
          </c:val>
          <c:extLst>
            <c:ext xmlns:c16="http://schemas.microsoft.com/office/drawing/2014/chart" uri="{C3380CC4-5D6E-409C-BE32-E72D297353CC}">
              <c16:uniqueId val="{00000000-B0B8-4336-AAA5-BA69B5B97F60}"/>
            </c:ext>
          </c:extLst>
        </c:ser>
        <c:dLbls>
          <c:showLegendKey val="0"/>
          <c:showVal val="0"/>
          <c:showCatName val="0"/>
          <c:showSerName val="0"/>
          <c:showPercent val="0"/>
          <c:showBubbleSize val="0"/>
        </c:dLbls>
        <c:gapWidth val="200"/>
        <c:overlap val="100"/>
        <c:axId val="1105198224"/>
        <c:axId val="1105196256"/>
      </c:barChart>
      <c:lineChart>
        <c:grouping val="standard"/>
        <c:varyColors val="0"/>
        <c:ser>
          <c:idx val="4"/>
          <c:order val="1"/>
          <c:tx>
            <c:strRef>
              <c:f>'TOTAL-UNC'!$B$84</c:f>
              <c:strCache>
                <c:ptCount val="1"/>
                <c:pt idx="0">
                  <c:v>Projects Constructed</c:v>
                </c:pt>
              </c:strCache>
            </c:strRef>
          </c:tx>
          <c:spPr>
            <a:ln w="38100" cap="rnd">
              <a:solidFill>
                <a:srgbClr val="933C06"/>
              </a:solidFill>
              <a:round/>
            </a:ln>
            <a:effectLst/>
          </c:spPr>
          <c:marker>
            <c:symbol val="none"/>
          </c:marker>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'TOTAL-UNC'!$C$84:$Q$84</c:f>
              <c:numCache>
                <c:formatCode>0</c:formatCode>
                <c:ptCount val="14"/>
                <c:pt idx="0">
                  <c:v>0</c:v>
                </c:pt>
                <c:pt idx="1">
                  <c:v>2</c:v>
                </c:pt>
                <c:pt idx="2">
                  <c:v>6</c:v>
                </c:pt>
                <c:pt idx="3">
                  <c:v>5</c:v>
                </c:pt>
                <c:pt idx="4">
                  <c:v>6</c:v>
                </c:pt>
                <c:pt idx="5">
                  <c:v>3</c:v>
                </c:pt>
                <c:pt idx="6">
                  <c:v>8</c:v>
                </c:pt>
                <c:pt idx="7">
                  <c:v>5</c:v>
                </c:pt>
                <c:pt idx="8">
                  <c:v>8</c:v>
                </c:pt>
                <c:pt idx="9">
                  <c:v>4</c:v>
                </c:pt>
                <c:pt idx="10">
                  <c:v>4</c:v>
                </c:pt>
                <c:pt idx="11">
                  <c:v>2</c:v>
                </c:pt>
                <c:pt idx="12">
                  <c:v>2</c:v>
                </c:pt>
                <c:pt idx="13">
                  <c:v>1</c:v>
                </c:pt>
              </c:numCache>
            </c:numRef>
          </c:val>
          <c:smooth val="0"/>
          <c:extLst>
            <c:ext xmlns:c16="http://schemas.microsoft.com/office/drawing/2014/chart" uri="{C3380CC4-5D6E-409C-BE32-E72D297353CC}">
              <c16:uniqueId val="{00000001-B0B8-4336-AAA5-BA69B5B97F60}"/>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Projects Constructed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105196256"/>
        <c:scaling>
          <c:orientation val="minMax"/>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MW per year</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05198224"/>
        <c:crosses val="max"/>
        <c:crossBetween val="between"/>
      </c:valAx>
      <c:catAx>
        <c:axId val="1105198224"/>
        <c:scaling>
          <c:orientation val="minMax"/>
        </c:scaling>
        <c:delete val="1"/>
        <c:axPos val="b"/>
        <c:numFmt formatCode="General" sourceLinked="1"/>
        <c:majorTickMark val="out"/>
        <c:minorTickMark val="none"/>
        <c:tickLblPos val="nextTo"/>
        <c:crossAx val="1105196256"/>
        <c:crosses val="autoZero"/>
        <c:auto val="1"/>
        <c:lblAlgn val="ctr"/>
        <c:lblOffset val="100"/>
        <c:noMultiLvlLbl val="0"/>
      </c:catAx>
      <c:spPr>
        <a:noFill/>
        <a:ln>
          <a:noFill/>
        </a:ln>
        <a:effectLst/>
      </c:spPr>
    </c:plotArea>
    <c:legend>
      <c:legendPos val="b"/>
      <c:layout>
        <c:manualLayout>
          <c:xMode val="edge"/>
          <c:yMode val="edge"/>
          <c:x val="9.9358774265480274E-2"/>
          <c:y val="9.9731239444338426E-2"/>
          <c:w val="0.16406096444866217"/>
          <c:h val="0.1893341143365127"/>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Turbines Transported/Stored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2623337265654374E-2"/>
          <c:y val="7.5282334926584052E-2"/>
          <c:w val="0.80910229985705562"/>
          <c:h val="0.75701402721993338"/>
        </c:manualLayout>
      </c:layout>
      <c:barChart>
        <c:barDir val="col"/>
        <c:grouping val="stacked"/>
        <c:varyColors val="0"/>
        <c:ser>
          <c:idx val="1"/>
          <c:order val="0"/>
          <c:tx>
            <c:strRef>
              <c:f>'TOTAL-UNC'!$B$46</c:f>
              <c:strCache>
                <c:ptCount val="1"/>
                <c:pt idx="0">
                  <c:v>12</c:v>
                </c:pt>
              </c:strCache>
            </c:strRef>
          </c:tx>
          <c:spPr>
            <a:solidFill>
              <a:srgbClr val="0079C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'TOTAL-UNC'!$C$46:$Q$46</c:f>
              <c:numCache>
                <c:formatCode>0</c:formatCode>
                <c:ptCount val="14"/>
                <c:pt idx="0">
                  <c:v>42.769230769230774</c:v>
                </c:pt>
                <c:pt idx="1">
                  <c:v>261.79487179487182</c:v>
                </c:pt>
                <c:pt idx="2">
                  <c:v>187.5128205128205</c:v>
                </c:pt>
                <c:pt idx="3">
                  <c:v>60.666666666666664</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3AED-41E1-8F70-4A3FD76F855F}"/>
            </c:ext>
          </c:extLst>
        </c:ser>
        <c:ser>
          <c:idx val="2"/>
          <c:order val="1"/>
          <c:tx>
            <c:strRef>
              <c:f>'TOTAL-UNC'!$B$47</c:f>
              <c:strCache>
                <c:ptCount val="1"/>
                <c:pt idx="0">
                  <c:v>15</c:v>
                </c:pt>
              </c:strCache>
            </c:strRef>
          </c:tx>
          <c:spPr>
            <a:solidFill>
              <a:srgbClr val="5E6A71"/>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'TOTAL-UNC'!$C$47:$Q$47</c:f>
              <c:numCache>
                <c:formatCode>0</c:formatCode>
                <c:ptCount val="14"/>
                <c:pt idx="0">
                  <c:v>0</c:v>
                </c:pt>
                <c:pt idx="1">
                  <c:v>76.52100840336135</c:v>
                </c:pt>
                <c:pt idx="2">
                  <c:v>102.33333333333334</c:v>
                </c:pt>
                <c:pt idx="3">
                  <c:v>183.06666666666666</c:v>
                </c:pt>
                <c:pt idx="4">
                  <c:v>193.64</c:v>
                </c:pt>
                <c:pt idx="5">
                  <c:v>408.41126999157984</c:v>
                </c:pt>
                <c:pt idx="6">
                  <c:v>219.61275259631313</c:v>
                </c:pt>
                <c:pt idx="7">
                  <c:v>381.94193194134141</c:v>
                </c:pt>
                <c:pt idx="8">
                  <c:v>0</c:v>
                </c:pt>
                <c:pt idx="9">
                  <c:v>0</c:v>
                </c:pt>
                <c:pt idx="10">
                  <c:v>0</c:v>
                </c:pt>
                <c:pt idx="11">
                  <c:v>0</c:v>
                </c:pt>
                <c:pt idx="12">
                  <c:v>0</c:v>
                </c:pt>
              </c:numCache>
            </c:numRef>
          </c:val>
          <c:extLst>
            <c:ext xmlns:c16="http://schemas.microsoft.com/office/drawing/2014/chart" uri="{C3380CC4-5D6E-409C-BE32-E72D297353CC}">
              <c16:uniqueId val="{00000001-3AED-41E1-8F70-4A3FD76F855F}"/>
            </c:ext>
          </c:extLst>
        </c:ser>
        <c:ser>
          <c:idx val="3"/>
          <c:order val="2"/>
          <c:tx>
            <c:strRef>
              <c:f>'TOTAL-UNC'!$B$48</c:f>
              <c:strCache>
                <c:ptCount val="1"/>
                <c:pt idx="0">
                  <c:v>18</c:v>
                </c:pt>
              </c:strCache>
            </c:strRef>
          </c:tx>
          <c:spPr>
            <a:solidFill>
              <a:srgbClr val="5D973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'TOTAL-UNC'!$C$48:$Q$48</c:f>
              <c:numCache>
                <c:formatCode>0</c:formatCode>
                <c:ptCount val="14"/>
                <c:pt idx="0">
                  <c:v>0</c:v>
                </c:pt>
                <c:pt idx="1">
                  <c:v>0</c:v>
                </c:pt>
                <c:pt idx="2">
                  <c:v>0</c:v>
                </c:pt>
                <c:pt idx="3">
                  <c:v>0</c:v>
                </c:pt>
                <c:pt idx="4">
                  <c:v>0</c:v>
                </c:pt>
                <c:pt idx="5">
                  <c:v>0</c:v>
                </c:pt>
                <c:pt idx="6">
                  <c:v>0</c:v>
                </c:pt>
                <c:pt idx="7">
                  <c:v>0</c:v>
                </c:pt>
                <c:pt idx="8">
                  <c:v>144.53977773978585</c:v>
                </c:pt>
                <c:pt idx="9">
                  <c:v>217.27790874381157</c:v>
                </c:pt>
                <c:pt idx="10">
                  <c:v>81.493553167490219</c:v>
                </c:pt>
                <c:pt idx="11">
                  <c:v>80.082867813976321</c:v>
                </c:pt>
                <c:pt idx="12">
                  <c:v>51.333333333333336</c:v>
                </c:pt>
              </c:numCache>
            </c:numRef>
          </c:val>
          <c:extLst>
            <c:ext xmlns:c16="http://schemas.microsoft.com/office/drawing/2014/chart" uri="{C3380CC4-5D6E-409C-BE32-E72D297353CC}">
              <c16:uniqueId val="{00000002-3AED-41E1-8F70-4A3FD76F855F}"/>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Transportation/Storage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Turbines Stored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w="9525">
          <a:solidFill>
            <a:srgbClr val="3D6321"/>
          </a:solid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a:t>Turbine</a:t>
            </a:r>
            <a:r>
              <a:rPr lang="en-US" baseline="0"/>
              <a:t> Orders</a:t>
            </a:r>
            <a:endParaRPr lang="en-US"/>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909255046736566E-2"/>
          <c:y val="7.5282334926584052E-2"/>
          <c:w val="0.8200706163901833"/>
          <c:h val="0.75439490302403034"/>
        </c:manualLayout>
      </c:layout>
      <c:barChart>
        <c:barDir val="col"/>
        <c:grouping val="stacked"/>
        <c:varyColors val="0"/>
        <c:ser>
          <c:idx val="1"/>
          <c:order val="0"/>
          <c:tx>
            <c:strRef>
              <c:f>'TOTAL-UNC'!$B$10</c:f>
              <c:strCache>
                <c:ptCount val="1"/>
                <c:pt idx="0">
                  <c:v>12</c:v>
                </c:pt>
              </c:strCache>
            </c:strRef>
          </c:tx>
          <c:spPr>
            <a:solidFill>
              <a:srgbClr val="0079C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'TOTAL-UNC'!$C$10:$Q$10</c:f>
              <c:numCache>
                <c:formatCode>0</c:formatCode>
                <c:ptCount val="14"/>
                <c:pt idx="0">
                  <c:v>261.79487179487182</c:v>
                </c:pt>
                <c:pt idx="1">
                  <c:v>187.5128205128205</c:v>
                </c:pt>
                <c:pt idx="2">
                  <c:v>60.666666666666664</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D4FC-4791-8AB2-752B423EABC7}"/>
            </c:ext>
          </c:extLst>
        </c:ser>
        <c:ser>
          <c:idx val="2"/>
          <c:order val="1"/>
          <c:tx>
            <c:strRef>
              <c:f>'TOTAL-UNC'!$B$11</c:f>
              <c:strCache>
                <c:ptCount val="1"/>
                <c:pt idx="0">
                  <c:v>15</c:v>
                </c:pt>
              </c:strCache>
            </c:strRef>
          </c:tx>
          <c:spPr>
            <a:solidFill>
              <a:srgbClr val="5E6A71"/>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'TOTAL-UNC'!$C$11:$Q$11</c:f>
              <c:numCache>
                <c:formatCode>0</c:formatCode>
                <c:ptCount val="14"/>
                <c:pt idx="0">
                  <c:v>76.52100840336135</c:v>
                </c:pt>
                <c:pt idx="1">
                  <c:v>102.33333333333334</c:v>
                </c:pt>
                <c:pt idx="2">
                  <c:v>183.06666666666666</c:v>
                </c:pt>
                <c:pt idx="3">
                  <c:v>193.64</c:v>
                </c:pt>
                <c:pt idx="4">
                  <c:v>408.41126999157984</c:v>
                </c:pt>
                <c:pt idx="5">
                  <c:v>219.61275259631313</c:v>
                </c:pt>
                <c:pt idx="6">
                  <c:v>381.94193194134141</c:v>
                </c:pt>
                <c:pt idx="7">
                  <c:v>0</c:v>
                </c:pt>
                <c:pt idx="8">
                  <c:v>0</c:v>
                </c:pt>
                <c:pt idx="9">
                  <c:v>0</c:v>
                </c:pt>
                <c:pt idx="10">
                  <c:v>0</c:v>
                </c:pt>
                <c:pt idx="11">
                  <c:v>0</c:v>
                </c:pt>
              </c:numCache>
            </c:numRef>
          </c:val>
          <c:extLst>
            <c:ext xmlns:c16="http://schemas.microsoft.com/office/drawing/2014/chart" uri="{C3380CC4-5D6E-409C-BE32-E72D297353CC}">
              <c16:uniqueId val="{00000001-D4FC-4791-8AB2-752B423EABC7}"/>
            </c:ext>
          </c:extLst>
        </c:ser>
        <c:ser>
          <c:idx val="3"/>
          <c:order val="2"/>
          <c:tx>
            <c:strRef>
              <c:f>'TOTAL-UNC'!$B$12</c:f>
              <c:strCache>
                <c:ptCount val="1"/>
                <c:pt idx="0">
                  <c:v>18</c:v>
                </c:pt>
              </c:strCache>
            </c:strRef>
          </c:tx>
          <c:spPr>
            <a:solidFill>
              <a:srgbClr val="5D973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'TOTAL-UNC'!$C$12:$Q$12</c:f>
              <c:numCache>
                <c:formatCode>0</c:formatCode>
                <c:ptCount val="14"/>
                <c:pt idx="0">
                  <c:v>0</c:v>
                </c:pt>
                <c:pt idx="1">
                  <c:v>0</c:v>
                </c:pt>
                <c:pt idx="2">
                  <c:v>0</c:v>
                </c:pt>
                <c:pt idx="3">
                  <c:v>0</c:v>
                </c:pt>
                <c:pt idx="4">
                  <c:v>0</c:v>
                </c:pt>
                <c:pt idx="5">
                  <c:v>0</c:v>
                </c:pt>
                <c:pt idx="6">
                  <c:v>0</c:v>
                </c:pt>
                <c:pt idx="7">
                  <c:v>144.53977773978585</c:v>
                </c:pt>
                <c:pt idx="8">
                  <c:v>217.27790874381157</c:v>
                </c:pt>
                <c:pt idx="9">
                  <c:v>81.493553167490219</c:v>
                </c:pt>
                <c:pt idx="10">
                  <c:v>80.082867813976321</c:v>
                </c:pt>
                <c:pt idx="11">
                  <c:v>51.333333333333336</c:v>
                </c:pt>
              </c:numCache>
            </c:numRef>
          </c:val>
          <c:extLst>
            <c:ext xmlns:c16="http://schemas.microsoft.com/office/drawing/2014/chart" uri="{C3380CC4-5D6E-409C-BE32-E72D297353CC}">
              <c16:uniqueId val="{00000002-D4FC-4791-8AB2-752B423EABC7}"/>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Procurement/Manufacturing</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Turbines Ordered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baseline="0"/>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Vessels Required and Turbines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417250198291675E-2"/>
          <c:y val="7.5282334926584052E-2"/>
          <c:w val="0.82771678647263758"/>
          <c:h val="0.79270271721152119"/>
        </c:manualLayout>
      </c:layout>
      <c:barChart>
        <c:barDir val="col"/>
        <c:grouping val="stacked"/>
        <c:varyColors val="0"/>
        <c:ser>
          <c:idx val="0"/>
          <c:order val="0"/>
          <c:tx>
            <c:strRef>
              <c:f>'TOTAL-Expand'!$B$86</c:f>
              <c:strCache>
                <c:ptCount val="1"/>
                <c:pt idx="0">
                  <c:v>12</c:v>
                </c:pt>
              </c:strCache>
            </c:strRef>
          </c:tx>
          <c:spPr>
            <a:solidFill>
              <a:srgbClr val="0079C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'TOTAL-Expand'!$C$86:$Q$86</c:f>
              <c:numCache>
                <c:formatCode>0</c:formatCode>
                <c:ptCount val="15"/>
                <c:pt idx="1">
                  <c:v>0</c:v>
                </c:pt>
                <c:pt idx="2">
                  <c:v>42.769230769230774</c:v>
                </c:pt>
                <c:pt idx="3">
                  <c:v>261.79487179487182</c:v>
                </c:pt>
                <c:pt idx="4">
                  <c:v>187.5128205128205</c:v>
                </c:pt>
                <c:pt idx="5">
                  <c:v>60.666666666666664</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0-EA94-49A2-8A66-D297E7D96271}"/>
            </c:ext>
          </c:extLst>
        </c:ser>
        <c:ser>
          <c:idx val="5"/>
          <c:order val="5"/>
          <c:tx>
            <c:strRef>
              <c:f>'TOTAL-Expand'!$B$87</c:f>
              <c:strCache>
                <c:ptCount val="1"/>
                <c:pt idx="0">
                  <c:v>15</c:v>
                </c:pt>
              </c:strCache>
            </c:strRef>
          </c:tx>
          <c:spPr>
            <a:solidFill>
              <a:srgbClr val="5E6A71"/>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'TOTAL-Expand'!$C$87:$Q$87</c:f>
              <c:numCache>
                <c:formatCode>0</c:formatCode>
                <c:ptCount val="15"/>
                <c:pt idx="1">
                  <c:v>0</c:v>
                </c:pt>
                <c:pt idx="2">
                  <c:v>0</c:v>
                </c:pt>
                <c:pt idx="3">
                  <c:v>76.52100840336135</c:v>
                </c:pt>
                <c:pt idx="4">
                  <c:v>102.33333333333334</c:v>
                </c:pt>
                <c:pt idx="5">
                  <c:v>183.06666666666666</c:v>
                </c:pt>
                <c:pt idx="6">
                  <c:v>193.64</c:v>
                </c:pt>
                <c:pt idx="7">
                  <c:v>408.41126999157984</c:v>
                </c:pt>
                <c:pt idx="8">
                  <c:v>219.61275259631313</c:v>
                </c:pt>
                <c:pt idx="9">
                  <c:v>381.94193194134141</c:v>
                </c:pt>
                <c:pt idx="10">
                  <c:v>0</c:v>
                </c:pt>
                <c:pt idx="11">
                  <c:v>0</c:v>
                </c:pt>
                <c:pt idx="12">
                  <c:v>0</c:v>
                </c:pt>
                <c:pt idx="13">
                  <c:v>0</c:v>
                </c:pt>
                <c:pt idx="14">
                  <c:v>0</c:v>
                </c:pt>
              </c:numCache>
            </c:numRef>
          </c:val>
          <c:extLst>
            <c:ext xmlns:c16="http://schemas.microsoft.com/office/drawing/2014/chart" uri="{C3380CC4-5D6E-409C-BE32-E72D297353CC}">
              <c16:uniqueId val="{00000001-EA94-49A2-8A66-D297E7D96271}"/>
            </c:ext>
          </c:extLst>
        </c:ser>
        <c:ser>
          <c:idx val="6"/>
          <c:order val="6"/>
          <c:tx>
            <c:strRef>
              <c:f>'TOTAL-Expand'!$B$88</c:f>
              <c:strCache>
                <c:ptCount val="1"/>
                <c:pt idx="0">
                  <c:v>18</c:v>
                </c:pt>
              </c:strCache>
            </c:strRef>
          </c:tx>
          <c:spPr>
            <a:solidFill>
              <a:srgbClr val="5D973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'TOTAL-Expand'!$C$88:$Q$88</c:f>
              <c:numCache>
                <c:formatCode>0</c:formatCode>
                <c:ptCount val="15"/>
                <c:pt idx="1">
                  <c:v>0</c:v>
                </c:pt>
                <c:pt idx="2">
                  <c:v>0</c:v>
                </c:pt>
                <c:pt idx="3">
                  <c:v>0</c:v>
                </c:pt>
                <c:pt idx="4">
                  <c:v>0</c:v>
                </c:pt>
                <c:pt idx="5">
                  <c:v>0</c:v>
                </c:pt>
                <c:pt idx="6">
                  <c:v>0</c:v>
                </c:pt>
                <c:pt idx="7">
                  <c:v>0</c:v>
                </c:pt>
                <c:pt idx="8">
                  <c:v>0</c:v>
                </c:pt>
                <c:pt idx="9">
                  <c:v>0</c:v>
                </c:pt>
                <c:pt idx="10">
                  <c:v>319.20644440645248</c:v>
                </c:pt>
                <c:pt idx="11">
                  <c:v>356.16679763270048</c:v>
                </c:pt>
                <c:pt idx="12">
                  <c:v>398.16021983415686</c:v>
                </c:pt>
                <c:pt idx="13">
                  <c:v>274.52731225842081</c:v>
                </c:pt>
                <c:pt idx="14">
                  <c:v>301.33333333333331</c:v>
                </c:pt>
              </c:numCache>
            </c:numRef>
          </c:val>
          <c:extLst>
            <c:ext xmlns:c16="http://schemas.microsoft.com/office/drawing/2014/chart" uri="{C3380CC4-5D6E-409C-BE32-E72D297353CC}">
              <c16:uniqueId val="{00000002-EA94-49A2-8A66-D297E7D96271}"/>
            </c:ext>
          </c:extLst>
        </c:ser>
        <c:dLbls>
          <c:showLegendKey val="0"/>
          <c:showVal val="0"/>
          <c:showCatName val="0"/>
          <c:showSerName val="0"/>
          <c:showPercent val="0"/>
          <c:showBubbleSize val="0"/>
        </c:dLbls>
        <c:gapWidth val="200"/>
        <c:overlap val="100"/>
        <c:axId val="45334935"/>
        <c:axId val="45341167"/>
      </c:barChart>
      <c:lineChart>
        <c:grouping val="standard"/>
        <c:varyColors val="0"/>
        <c:ser>
          <c:idx val="1"/>
          <c:order val="1"/>
          <c:tx>
            <c:strRef>
              <c:f>'TOTAL-Expand'!$B$135</c:f>
              <c:strCache>
                <c:ptCount val="1"/>
                <c:pt idx="0">
                  <c:v>CTV</c:v>
                </c:pt>
              </c:strCache>
            </c:strRef>
          </c:tx>
          <c:spPr>
            <a:ln w="38100" cap="rnd">
              <a:solidFill>
                <a:srgbClr val="933C06"/>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'TOTAL-Expand'!$C$135:$Q$135</c:f>
              <c:numCache>
                <c:formatCode>0</c:formatCode>
                <c:ptCount val="15"/>
                <c:pt idx="1">
                  <c:v>0</c:v>
                </c:pt>
                <c:pt idx="2">
                  <c:v>6</c:v>
                </c:pt>
                <c:pt idx="3">
                  <c:v>18</c:v>
                </c:pt>
                <c:pt idx="4">
                  <c:v>26</c:v>
                </c:pt>
                <c:pt idx="5">
                  <c:v>32</c:v>
                </c:pt>
                <c:pt idx="6">
                  <c:v>33</c:v>
                </c:pt>
                <c:pt idx="7">
                  <c:v>43</c:v>
                </c:pt>
                <c:pt idx="8">
                  <c:v>50</c:v>
                </c:pt>
                <c:pt idx="9">
                  <c:v>58</c:v>
                </c:pt>
                <c:pt idx="10">
                  <c:v>67</c:v>
                </c:pt>
                <c:pt idx="11">
                  <c:v>73</c:v>
                </c:pt>
                <c:pt idx="12">
                  <c:v>80</c:v>
                </c:pt>
                <c:pt idx="13">
                  <c:v>83</c:v>
                </c:pt>
                <c:pt idx="14">
                  <c:v>86</c:v>
                </c:pt>
              </c:numCache>
            </c:numRef>
          </c:val>
          <c:smooth val="0"/>
          <c:extLst>
            <c:ext xmlns:c16="http://schemas.microsoft.com/office/drawing/2014/chart" uri="{C3380CC4-5D6E-409C-BE32-E72D297353CC}">
              <c16:uniqueId val="{00000003-EA94-49A2-8A66-D297E7D96271}"/>
            </c:ext>
          </c:extLst>
        </c:ser>
        <c:ser>
          <c:idx val="2"/>
          <c:order val="2"/>
          <c:tx>
            <c:strRef>
              <c:f>'TOTAL-Expand'!$B$134</c:f>
              <c:strCache>
                <c:ptCount val="1"/>
                <c:pt idx="0">
                  <c:v>Feeder Barge</c:v>
                </c:pt>
              </c:strCache>
            </c:strRef>
          </c:tx>
          <c:spPr>
            <a:ln w="38100" cap="rnd">
              <a:solidFill>
                <a:schemeClr val="accent3"/>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'TOTAL-Expand'!$C$134:$Q$134</c:f>
              <c:numCache>
                <c:formatCode>0</c:formatCode>
                <c:ptCount val="15"/>
                <c:pt idx="1">
                  <c:v>0</c:v>
                </c:pt>
                <c:pt idx="2">
                  <c:v>4</c:v>
                </c:pt>
                <c:pt idx="3">
                  <c:v>10</c:v>
                </c:pt>
                <c:pt idx="4">
                  <c:v>10</c:v>
                </c:pt>
                <c:pt idx="5">
                  <c:v>10</c:v>
                </c:pt>
                <c:pt idx="6">
                  <c:v>8</c:v>
                </c:pt>
                <c:pt idx="7">
                  <c:v>10</c:v>
                </c:pt>
                <c:pt idx="8">
                  <c:v>4</c:v>
                </c:pt>
                <c:pt idx="9">
                  <c:v>8</c:v>
                </c:pt>
                <c:pt idx="10">
                  <c:v>8</c:v>
                </c:pt>
                <c:pt idx="11">
                  <c:v>12</c:v>
                </c:pt>
                <c:pt idx="12">
                  <c:v>8</c:v>
                </c:pt>
                <c:pt idx="13">
                  <c:v>8</c:v>
                </c:pt>
                <c:pt idx="14">
                  <c:v>4</c:v>
                </c:pt>
              </c:numCache>
            </c:numRef>
          </c:val>
          <c:smooth val="0"/>
          <c:extLst>
            <c:ext xmlns:c16="http://schemas.microsoft.com/office/drawing/2014/chart" uri="{C3380CC4-5D6E-409C-BE32-E72D297353CC}">
              <c16:uniqueId val="{00000004-EA94-49A2-8A66-D297E7D96271}"/>
            </c:ext>
          </c:extLst>
        </c:ser>
        <c:ser>
          <c:idx val="3"/>
          <c:order val="3"/>
          <c:tx>
            <c:v>WTIV</c:v>
          </c:tx>
          <c:spPr>
            <a:ln w="38100" cap="rnd">
              <a:solidFill>
                <a:schemeClr val="accent4"/>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'TOTAL-Expand'!$C$131:$Q$131</c:f>
              <c:numCache>
                <c:formatCode>0</c:formatCode>
                <c:ptCount val="15"/>
                <c:pt idx="1">
                  <c:v>0</c:v>
                </c:pt>
                <c:pt idx="2">
                  <c:v>2</c:v>
                </c:pt>
                <c:pt idx="3">
                  <c:v>5</c:v>
                </c:pt>
                <c:pt idx="4">
                  <c:v>5</c:v>
                </c:pt>
                <c:pt idx="5">
                  <c:v>5</c:v>
                </c:pt>
                <c:pt idx="6">
                  <c:v>4</c:v>
                </c:pt>
                <c:pt idx="7">
                  <c:v>5</c:v>
                </c:pt>
                <c:pt idx="8">
                  <c:v>2</c:v>
                </c:pt>
                <c:pt idx="9">
                  <c:v>4</c:v>
                </c:pt>
                <c:pt idx="10">
                  <c:v>4</c:v>
                </c:pt>
                <c:pt idx="11">
                  <c:v>6</c:v>
                </c:pt>
                <c:pt idx="12">
                  <c:v>4</c:v>
                </c:pt>
                <c:pt idx="13">
                  <c:v>4</c:v>
                </c:pt>
                <c:pt idx="14">
                  <c:v>2</c:v>
                </c:pt>
              </c:numCache>
            </c:numRef>
          </c:val>
          <c:smooth val="0"/>
          <c:extLst>
            <c:ext xmlns:c16="http://schemas.microsoft.com/office/drawing/2014/chart" uri="{C3380CC4-5D6E-409C-BE32-E72D297353CC}">
              <c16:uniqueId val="{00000005-EA94-49A2-8A66-D297E7D96271}"/>
            </c:ext>
          </c:extLst>
        </c:ser>
        <c:ser>
          <c:idx val="4"/>
          <c:order val="4"/>
          <c:tx>
            <c:strRef>
              <c:f>'TOTAL-Expand'!$B$137</c:f>
              <c:strCache>
                <c:ptCount val="1"/>
                <c:pt idx="0">
                  <c:v>CLV</c:v>
                </c:pt>
              </c:strCache>
            </c:strRef>
          </c:tx>
          <c:spPr>
            <a:ln w="38100" cap="rnd">
              <a:solidFill>
                <a:schemeClr val="accent5"/>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'TOTAL-Expand'!$C$137:$Q$137</c:f>
              <c:numCache>
                <c:formatCode>0</c:formatCode>
                <c:ptCount val="15"/>
                <c:pt idx="1">
                  <c:v>0</c:v>
                </c:pt>
                <c:pt idx="2">
                  <c:v>1</c:v>
                </c:pt>
                <c:pt idx="3">
                  <c:v>4</c:v>
                </c:pt>
                <c:pt idx="4">
                  <c:v>3</c:v>
                </c:pt>
                <c:pt idx="5">
                  <c:v>3</c:v>
                </c:pt>
                <c:pt idx="6">
                  <c:v>2</c:v>
                </c:pt>
                <c:pt idx="7">
                  <c:v>4</c:v>
                </c:pt>
                <c:pt idx="8">
                  <c:v>3</c:v>
                </c:pt>
                <c:pt idx="9">
                  <c:v>4</c:v>
                </c:pt>
                <c:pt idx="10">
                  <c:v>3</c:v>
                </c:pt>
                <c:pt idx="11">
                  <c:v>5</c:v>
                </c:pt>
                <c:pt idx="12">
                  <c:v>4</c:v>
                </c:pt>
                <c:pt idx="13">
                  <c:v>3</c:v>
                </c:pt>
                <c:pt idx="14">
                  <c:v>2</c:v>
                </c:pt>
              </c:numCache>
            </c:numRef>
          </c:val>
          <c:smooth val="0"/>
          <c:extLst>
            <c:ext xmlns:c16="http://schemas.microsoft.com/office/drawing/2014/chart" uri="{C3380CC4-5D6E-409C-BE32-E72D297353CC}">
              <c16:uniqueId val="{00000006-EA94-49A2-8A66-D297E7D96271}"/>
            </c:ext>
          </c:extLst>
        </c:ser>
        <c:ser>
          <c:idx val="7"/>
          <c:order val="7"/>
          <c:tx>
            <c:strRef>
              <c:f>'TOTAL-Expand'!$B$136</c:f>
              <c:strCache>
                <c:ptCount val="1"/>
                <c:pt idx="0">
                  <c:v>SOV</c:v>
                </c:pt>
              </c:strCache>
            </c:strRef>
          </c:tx>
          <c:spPr>
            <a:ln w="28575" cap="rnd">
              <a:solidFill>
                <a:schemeClr val="accent2">
                  <a:lumMod val="60000"/>
                </a:schemeClr>
              </a:solidFill>
              <a:round/>
            </a:ln>
            <a:effectLst/>
          </c:spPr>
          <c:marker>
            <c:symbol val="none"/>
          </c:marker>
          <c:val>
            <c:numRef>
              <c:f>'TOTAL-Expand'!$C$136:$Q$136</c:f>
              <c:numCache>
                <c:formatCode>0</c:formatCode>
                <c:ptCount val="15"/>
                <c:pt idx="1">
                  <c:v>0</c:v>
                </c:pt>
                <c:pt idx="2">
                  <c:v>1</c:v>
                </c:pt>
                <c:pt idx="3">
                  <c:v>2</c:v>
                </c:pt>
                <c:pt idx="4">
                  <c:v>4</c:v>
                </c:pt>
                <c:pt idx="5">
                  <c:v>5</c:v>
                </c:pt>
                <c:pt idx="6">
                  <c:v>6</c:v>
                </c:pt>
                <c:pt idx="7">
                  <c:v>8</c:v>
                </c:pt>
                <c:pt idx="8">
                  <c:v>9</c:v>
                </c:pt>
                <c:pt idx="9">
                  <c:v>11</c:v>
                </c:pt>
                <c:pt idx="10">
                  <c:v>13</c:v>
                </c:pt>
                <c:pt idx="11">
                  <c:v>15</c:v>
                </c:pt>
                <c:pt idx="12">
                  <c:v>17</c:v>
                </c:pt>
                <c:pt idx="13">
                  <c:v>18</c:v>
                </c:pt>
                <c:pt idx="14">
                  <c:v>19</c:v>
                </c:pt>
              </c:numCache>
            </c:numRef>
          </c:val>
          <c:smooth val="0"/>
          <c:extLst>
            <c:ext xmlns:c16="http://schemas.microsoft.com/office/drawing/2014/chart" uri="{C3380CC4-5D6E-409C-BE32-E72D297353CC}">
              <c16:uniqueId val="{00000007-EA94-49A2-8A66-D297E7D96271}"/>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Vessels Required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minorUnit val="5"/>
      </c:valAx>
      <c:valAx>
        <c:axId val="45341167"/>
        <c:scaling>
          <c:orientation val="minMax"/>
          <c:max val="500"/>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 Turbines Installed </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5334935"/>
        <c:crosses val="max"/>
        <c:crossBetween val="between"/>
      </c:valAx>
      <c:catAx>
        <c:axId val="45334935"/>
        <c:scaling>
          <c:orientation val="minMax"/>
        </c:scaling>
        <c:delete val="1"/>
        <c:axPos val="b"/>
        <c:numFmt formatCode="General" sourceLinked="1"/>
        <c:majorTickMark val="out"/>
        <c:minorTickMark val="none"/>
        <c:tickLblPos val="nextTo"/>
        <c:crossAx val="45341167"/>
        <c:crosses val="autoZero"/>
        <c:auto val="1"/>
        <c:lblAlgn val="ctr"/>
        <c:lblOffset val="100"/>
        <c:noMultiLvlLbl val="0"/>
      </c:catAx>
      <c:spPr>
        <a:noFill/>
        <a:ln>
          <a:noFill/>
        </a:ln>
        <a:effectLst/>
      </c:spPr>
    </c:plotArea>
    <c:legend>
      <c:legendPos val="b"/>
      <c:layout>
        <c:manualLayout>
          <c:xMode val="edge"/>
          <c:yMode val="edge"/>
          <c:x val="0.10195364966059496"/>
          <c:y val="9.4921392701569532E-2"/>
          <c:w val="0.56020124168352181"/>
          <c:h val="4.1739305780588092E-2"/>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nchor="t" anchorCtr="1"/>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Total MW and Projects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462671550043816E-2"/>
          <c:y val="7.5282334926584052E-2"/>
          <c:w val="0.84749648151120716"/>
          <c:h val="0.76811631697945759"/>
        </c:manualLayout>
      </c:layout>
      <c:barChart>
        <c:barDir val="col"/>
        <c:grouping val="clustered"/>
        <c:varyColors val="0"/>
        <c:ser>
          <c:idx val="0"/>
          <c:order val="0"/>
          <c:tx>
            <c:strRef>
              <c:f>'TOTAL-Expand'!$B$83</c:f>
              <c:strCache>
                <c:ptCount val="1"/>
                <c:pt idx="0">
                  <c:v>Installed MW</c:v>
                </c:pt>
              </c:strCache>
            </c:strRef>
          </c:tx>
          <c:spPr>
            <a:solidFill>
              <a:srgbClr val="0079C2"/>
            </a:solidFill>
            <a:ln>
              <a:noFill/>
            </a:ln>
            <a:effectLst/>
          </c:spPr>
          <c:invertIfNegative val="0"/>
          <c:cat>
            <c:numRef>
              <c:f>'TOTAL-Expand'!$C$6:$Q$6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'TOTAL-Expand'!$C$83:$Q$83</c:f>
              <c:numCache>
                <c:formatCode>0</c:formatCode>
                <c:ptCount val="15"/>
                <c:pt idx="1">
                  <c:v>0</c:v>
                </c:pt>
                <c:pt idx="2">
                  <c:v>513.23076923076928</c:v>
                </c:pt>
                <c:pt idx="3">
                  <c:v>4289.353587588882</c:v>
                </c:pt>
                <c:pt idx="4">
                  <c:v>3785.1538461538457</c:v>
                </c:pt>
                <c:pt idx="5">
                  <c:v>3474</c:v>
                </c:pt>
                <c:pt idx="6">
                  <c:v>2904.6</c:v>
                </c:pt>
                <c:pt idx="7">
                  <c:v>6126.169049873698</c:v>
                </c:pt>
                <c:pt idx="8">
                  <c:v>3294.1912889446971</c:v>
                </c:pt>
                <c:pt idx="9">
                  <c:v>5729.1289791201216</c:v>
                </c:pt>
                <c:pt idx="10">
                  <c:v>5745.7159993161449</c:v>
                </c:pt>
                <c:pt idx="11">
                  <c:v>6411.0023573886083</c:v>
                </c:pt>
                <c:pt idx="12">
                  <c:v>7166.8839570148239</c:v>
                </c:pt>
                <c:pt idx="13">
                  <c:v>4941.4916206515745</c:v>
                </c:pt>
                <c:pt idx="14">
                  <c:v>5424</c:v>
                </c:pt>
              </c:numCache>
            </c:numRef>
          </c:val>
          <c:extLst>
            <c:ext xmlns:c16="http://schemas.microsoft.com/office/drawing/2014/chart" uri="{C3380CC4-5D6E-409C-BE32-E72D297353CC}">
              <c16:uniqueId val="{00000000-7440-46E1-9B57-57F997EAAA7A}"/>
            </c:ext>
          </c:extLst>
        </c:ser>
        <c:dLbls>
          <c:showLegendKey val="0"/>
          <c:showVal val="0"/>
          <c:showCatName val="0"/>
          <c:showSerName val="0"/>
          <c:showPercent val="0"/>
          <c:showBubbleSize val="0"/>
        </c:dLbls>
        <c:gapWidth val="200"/>
        <c:overlap val="100"/>
        <c:axId val="1105198224"/>
        <c:axId val="1105196256"/>
      </c:barChart>
      <c:lineChart>
        <c:grouping val="standard"/>
        <c:varyColors val="0"/>
        <c:ser>
          <c:idx val="4"/>
          <c:order val="1"/>
          <c:tx>
            <c:strRef>
              <c:f>'TOTAL-Expand'!$B$84</c:f>
              <c:strCache>
                <c:ptCount val="1"/>
                <c:pt idx="0">
                  <c:v>Projects Constructed</c:v>
                </c:pt>
              </c:strCache>
            </c:strRef>
          </c:tx>
          <c:spPr>
            <a:ln w="38100" cap="rnd">
              <a:solidFill>
                <a:srgbClr val="933C06"/>
              </a:solidFill>
              <a:round/>
            </a:ln>
            <a:effectLst/>
          </c:spPr>
          <c:marker>
            <c:symbol val="none"/>
          </c:marker>
          <c:cat>
            <c:numRef>
              <c:f>'TOTAL-Expand'!$C$6:$Q$6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'TOTAL-Expand'!$C$84:$Q$84</c:f>
              <c:numCache>
                <c:formatCode>0</c:formatCode>
                <c:ptCount val="15"/>
                <c:pt idx="1">
                  <c:v>0</c:v>
                </c:pt>
                <c:pt idx="2">
                  <c:v>2</c:v>
                </c:pt>
                <c:pt idx="3">
                  <c:v>6</c:v>
                </c:pt>
                <c:pt idx="4">
                  <c:v>5</c:v>
                </c:pt>
                <c:pt idx="5">
                  <c:v>6</c:v>
                </c:pt>
                <c:pt idx="6">
                  <c:v>3</c:v>
                </c:pt>
                <c:pt idx="7">
                  <c:v>8</c:v>
                </c:pt>
                <c:pt idx="8">
                  <c:v>5</c:v>
                </c:pt>
                <c:pt idx="9">
                  <c:v>8</c:v>
                </c:pt>
                <c:pt idx="10">
                  <c:v>7</c:v>
                </c:pt>
                <c:pt idx="11">
                  <c:v>7</c:v>
                </c:pt>
                <c:pt idx="12">
                  <c:v>7</c:v>
                </c:pt>
                <c:pt idx="13">
                  <c:v>5</c:v>
                </c:pt>
                <c:pt idx="14">
                  <c:v>5</c:v>
                </c:pt>
              </c:numCache>
            </c:numRef>
          </c:val>
          <c:smooth val="0"/>
          <c:extLst>
            <c:ext xmlns:c16="http://schemas.microsoft.com/office/drawing/2014/chart" uri="{C3380CC4-5D6E-409C-BE32-E72D297353CC}">
              <c16:uniqueId val="{00000001-7440-46E1-9B57-57F997EAAA7A}"/>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Projects Constructed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105196256"/>
        <c:scaling>
          <c:orientation val="minMax"/>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MW per year</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05198224"/>
        <c:crosses val="max"/>
        <c:crossBetween val="between"/>
      </c:valAx>
      <c:catAx>
        <c:axId val="1105198224"/>
        <c:scaling>
          <c:orientation val="minMax"/>
        </c:scaling>
        <c:delete val="1"/>
        <c:axPos val="b"/>
        <c:numFmt formatCode="General" sourceLinked="1"/>
        <c:majorTickMark val="out"/>
        <c:minorTickMark val="none"/>
        <c:tickLblPos val="nextTo"/>
        <c:crossAx val="1105196256"/>
        <c:crosses val="autoZero"/>
        <c:auto val="1"/>
        <c:lblAlgn val="ctr"/>
        <c:lblOffset val="100"/>
        <c:noMultiLvlLbl val="0"/>
      </c:catAx>
      <c:spPr>
        <a:noFill/>
        <a:ln>
          <a:noFill/>
        </a:ln>
        <a:effectLst/>
      </c:spPr>
    </c:plotArea>
    <c:legend>
      <c:legendPos val="b"/>
      <c:layout>
        <c:manualLayout>
          <c:xMode val="edge"/>
          <c:yMode val="edge"/>
          <c:x val="9.9358774265480274E-2"/>
          <c:y val="9.9731239444338426E-2"/>
          <c:w val="0.16406096444866217"/>
          <c:h val="0.1893341143365127"/>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Turbines Transported/Stored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2623337265654374E-2"/>
          <c:y val="7.5282334926584052E-2"/>
          <c:w val="0.80910229985705562"/>
          <c:h val="0.75701402721993338"/>
        </c:manualLayout>
      </c:layout>
      <c:barChart>
        <c:barDir val="col"/>
        <c:grouping val="stacked"/>
        <c:varyColors val="0"/>
        <c:ser>
          <c:idx val="1"/>
          <c:order val="0"/>
          <c:tx>
            <c:strRef>
              <c:f>'TOTAL-Expand'!$B$46</c:f>
              <c:strCache>
                <c:ptCount val="1"/>
                <c:pt idx="0">
                  <c:v>12</c:v>
                </c:pt>
              </c:strCache>
            </c:strRef>
          </c:tx>
          <c:spPr>
            <a:solidFill>
              <a:srgbClr val="0079C2"/>
            </a:solidFill>
            <a:ln>
              <a:noFill/>
            </a:ln>
            <a:effectLst/>
          </c:spPr>
          <c:invertIfNegative val="0"/>
          <c:cat>
            <c:numRef>
              <c:f>'TOTAL-Expand'!$C$6:$Q$6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'TOTAL-Expand'!$C$46:$Q$46</c:f>
              <c:numCache>
                <c:formatCode>0</c:formatCode>
                <c:ptCount val="15"/>
                <c:pt idx="0">
                  <c:v>0</c:v>
                </c:pt>
                <c:pt idx="1">
                  <c:v>42.769230769230774</c:v>
                </c:pt>
                <c:pt idx="2">
                  <c:v>261.79487179487182</c:v>
                </c:pt>
                <c:pt idx="3">
                  <c:v>187.5128205128205</c:v>
                </c:pt>
                <c:pt idx="4">
                  <c:v>60.666666666666664</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F9A4-41A8-892A-01D821754210}"/>
            </c:ext>
          </c:extLst>
        </c:ser>
        <c:ser>
          <c:idx val="2"/>
          <c:order val="1"/>
          <c:tx>
            <c:strRef>
              <c:f>'TOTAL-Expand'!$B$47</c:f>
              <c:strCache>
                <c:ptCount val="1"/>
                <c:pt idx="0">
                  <c:v>15</c:v>
                </c:pt>
              </c:strCache>
            </c:strRef>
          </c:tx>
          <c:spPr>
            <a:solidFill>
              <a:srgbClr val="5E6A71"/>
            </a:solidFill>
            <a:ln>
              <a:noFill/>
            </a:ln>
            <a:effectLst/>
          </c:spPr>
          <c:invertIfNegative val="0"/>
          <c:cat>
            <c:numRef>
              <c:f>'TOTAL-Expand'!$C$6:$Q$6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'TOTAL-Expand'!$C$47:$Q$47</c:f>
              <c:numCache>
                <c:formatCode>0</c:formatCode>
                <c:ptCount val="15"/>
                <c:pt idx="0">
                  <c:v>0</c:v>
                </c:pt>
                <c:pt idx="1">
                  <c:v>0</c:v>
                </c:pt>
                <c:pt idx="2">
                  <c:v>76.52100840336135</c:v>
                </c:pt>
                <c:pt idx="3">
                  <c:v>102.33333333333334</c:v>
                </c:pt>
                <c:pt idx="4">
                  <c:v>183.06666666666666</c:v>
                </c:pt>
                <c:pt idx="5">
                  <c:v>193.64</c:v>
                </c:pt>
                <c:pt idx="6">
                  <c:v>408.41126999157984</c:v>
                </c:pt>
                <c:pt idx="7">
                  <c:v>219.61275259631313</c:v>
                </c:pt>
                <c:pt idx="8">
                  <c:v>381.94193194134141</c:v>
                </c:pt>
                <c:pt idx="9">
                  <c:v>0</c:v>
                </c:pt>
                <c:pt idx="10">
                  <c:v>0</c:v>
                </c:pt>
                <c:pt idx="11">
                  <c:v>0</c:v>
                </c:pt>
                <c:pt idx="12">
                  <c:v>0</c:v>
                </c:pt>
                <c:pt idx="13">
                  <c:v>0</c:v>
                </c:pt>
              </c:numCache>
            </c:numRef>
          </c:val>
          <c:extLst>
            <c:ext xmlns:c16="http://schemas.microsoft.com/office/drawing/2014/chart" uri="{C3380CC4-5D6E-409C-BE32-E72D297353CC}">
              <c16:uniqueId val="{00000001-F9A4-41A8-892A-01D821754210}"/>
            </c:ext>
          </c:extLst>
        </c:ser>
        <c:ser>
          <c:idx val="3"/>
          <c:order val="2"/>
          <c:tx>
            <c:strRef>
              <c:f>'TOTAL-Expand'!$B$48</c:f>
              <c:strCache>
                <c:ptCount val="1"/>
                <c:pt idx="0">
                  <c:v>18</c:v>
                </c:pt>
              </c:strCache>
            </c:strRef>
          </c:tx>
          <c:spPr>
            <a:solidFill>
              <a:srgbClr val="5D9732"/>
            </a:solidFill>
            <a:ln>
              <a:noFill/>
            </a:ln>
            <a:effectLst/>
          </c:spPr>
          <c:invertIfNegative val="0"/>
          <c:cat>
            <c:numRef>
              <c:f>'TOTAL-Expand'!$C$6:$Q$6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'TOTAL-Expand'!$C$48:$Q$48</c:f>
              <c:numCache>
                <c:formatCode>0</c:formatCode>
                <c:ptCount val="15"/>
                <c:pt idx="0">
                  <c:v>0</c:v>
                </c:pt>
                <c:pt idx="1">
                  <c:v>0</c:v>
                </c:pt>
                <c:pt idx="2">
                  <c:v>0</c:v>
                </c:pt>
                <c:pt idx="3">
                  <c:v>0</c:v>
                </c:pt>
                <c:pt idx="4">
                  <c:v>0</c:v>
                </c:pt>
                <c:pt idx="5">
                  <c:v>0</c:v>
                </c:pt>
                <c:pt idx="6">
                  <c:v>0</c:v>
                </c:pt>
                <c:pt idx="7">
                  <c:v>0</c:v>
                </c:pt>
                <c:pt idx="8">
                  <c:v>0</c:v>
                </c:pt>
                <c:pt idx="9">
                  <c:v>319.20644440645248</c:v>
                </c:pt>
                <c:pt idx="10">
                  <c:v>356.16679763270048</c:v>
                </c:pt>
                <c:pt idx="11">
                  <c:v>398.16021983415686</c:v>
                </c:pt>
                <c:pt idx="12">
                  <c:v>274.52731225842081</c:v>
                </c:pt>
                <c:pt idx="13">
                  <c:v>301.33333333333331</c:v>
                </c:pt>
              </c:numCache>
            </c:numRef>
          </c:val>
          <c:extLst>
            <c:ext xmlns:c16="http://schemas.microsoft.com/office/drawing/2014/chart" uri="{C3380CC4-5D6E-409C-BE32-E72D297353CC}">
              <c16:uniqueId val="{00000002-F9A4-41A8-892A-01D821754210}"/>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Transportation/Storage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Turbines Stored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w="9525">
          <a:solidFill>
            <a:srgbClr val="3D6321"/>
          </a:solid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a:t>Turbine</a:t>
            </a:r>
            <a:r>
              <a:rPr lang="en-US" baseline="0"/>
              <a:t> Orders</a:t>
            </a:r>
            <a:endParaRPr lang="en-US"/>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909255046736566E-2"/>
          <c:y val="7.5282334926584052E-2"/>
          <c:w val="0.8200706163901833"/>
          <c:h val="0.75439490302403034"/>
        </c:manualLayout>
      </c:layout>
      <c:barChart>
        <c:barDir val="col"/>
        <c:grouping val="stacked"/>
        <c:varyColors val="0"/>
        <c:ser>
          <c:idx val="1"/>
          <c:order val="0"/>
          <c:tx>
            <c:strRef>
              <c:f>'TOTAL-UNC'!$B$10</c:f>
              <c:strCache>
                <c:ptCount val="1"/>
                <c:pt idx="0">
                  <c:v>12</c:v>
                </c:pt>
              </c:strCache>
            </c:strRef>
          </c:tx>
          <c:spPr>
            <a:solidFill>
              <a:srgbClr val="0079C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'TOTAL-UNC'!$C$10:$Q$10</c:f>
              <c:numCache>
                <c:formatCode>0</c:formatCode>
                <c:ptCount val="14"/>
                <c:pt idx="0">
                  <c:v>261.79487179487182</c:v>
                </c:pt>
                <c:pt idx="1">
                  <c:v>187.5128205128205</c:v>
                </c:pt>
                <c:pt idx="2">
                  <c:v>60.666666666666664</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6AD8-4C31-9471-31BD83CBD7FB}"/>
            </c:ext>
          </c:extLst>
        </c:ser>
        <c:ser>
          <c:idx val="2"/>
          <c:order val="1"/>
          <c:tx>
            <c:strRef>
              <c:f>'TOTAL-UNC'!$B$11</c:f>
              <c:strCache>
                <c:ptCount val="1"/>
                <c:pt idx="0">
                  <c:v>15</c:v>
                </c:pt>
              </c:strCache>
            </c:strRef>
          </c:tx>
          <c:spPr>
            <a:solidFill>
              <a:srgbClr val="5E6A71"/>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'TOTAL-UNC'!$C$11:$Q$11</c:f>
              <c:numCache>
                <c:formatCode>0</c:formatCode>
                <c:ptCount val="14"/>
                <c:pt idx="0">
                  <c:v>76.52100840336135</c:v>
                </c:pt>
                <c:pt idx="1">
                  <c:v>102.33333333333334</c:v>
                </c:pt>
                <c:pt idx="2">
                  <c:v>183.06666666666666</c:v>
                </c:pt>
                <c:pt idx="3">
                  <c:v>193.64</c:v>
                </c:pt>
                <c:pt idx="4">
                  <c:v>408.41126999157984</c:v>
                </c:pt>
                <c:pt idx="5">
                  <c:v>219.61275259631313</c:v>
                </c:pt>
                <c:pt idx="6">
                  <c:v>381.94193194134141</c:v>
                </c:pt>
                <c:pt idx="7">
                  <c:v>0</c:v>
                </c:pt>
                <c:pt idx="8">
                  <c:v>0</c:v>
                </c:pt>
                <c:pt idx="9">
                  <c:v>0</c:v>
                </c:pt>
                <c:pt idx="10">
                  <c:v>0</c:v>
                </c:pt>
                <c:pt idx="11">
                  <c:v>0</c:v>
                </c:pt>
              </c:numCache>
            </c:numRef>
          </c:val>
          <c:extLst>
            <c:ext xmlns:c16="http://schemas.microsoft.com/office/drawing/2014/chart" uri="{C3380CC4-5D6E-409C-BE32-E72D297353CC}">
              <c16:uniqueId val="{00000001-6AD8-4C31-9471-31BD83CBD7FB}"/>
            </c:ext>
          </c:extLst>
        </c:ser>
        <c:ser>
          <c:idx val="3"/>
          <c:order val="2"/>
          <c:tx>
            <c:strRef>
              <c:f>'TOTAL-UNC'!$B$12</c:f>
              <c:strCache>
                <c:ptCount val="1"/>
                <c:pt idx="0">
                  <c:v>18</c:v>
                </c:pt>
              </c:strCache>
            </c:strRef>
          </c:tx>
          <c:spPr>
            <a:solidFill>
              <a:srgbClr val="5D973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'TOTAL-UNC'!$C$12:$Q$12</c:f>
              <c:numCache>
                <c:formatCode>0</c:formatCode>
                <c:ptCount val="14"/>
                <c:pt idx="0">
                  <c:v>0</c:v>
                </c:pt>
                <c:pt idx="1">
                  <c:v>0</c:v>
                </c:pt>
                <c:pt idx="2">
                  <c:v>0</c:v>
                </c:pt>
                <c:pt idx="3">
                  <c:v>0</c:v>
                </c:pt>
                <c:pt idx="4">
                  <c:v>0</c:v>
                </c:pt>
                <c:pt idx="5">
                  <c:v>0</c:v>
                </c:pt>
                <c:pt idx="6">
                  <c:v>0</c:v>
                </c:pt>
                <c:pt idx="7">
                  <c:v>144.53977773978585</c:v>
                </c:pt>
                <c:pt idx="8">
                  <c:v>217.27790874381157</c:v>
                </c:pt>
                <c:pt idx="9">
                  <c:v>81.493553167490219</c:v>
                </c:pt>
                <c:pt idx="10">
                  <c:v>80.082867813976321</c:v>
                </c:pt>
                <c:pt idx="11">
                  <c:v>51.333333333333336</c:v>
                </c:pt>
              </c:numCache>
            </c:numRef>
          </c:val>
          <c:extLst>
            <c:ext xmlns:c16="http://schemas.microsoft.com/office/drawing/2014/chart" uri="{C3380CC4-5D6E-409C-BE32-E72D297353CC}">
              <c16:uniqueId val="{00000002-6AD8-4C31-9471-31BD83CBD7FB}"/>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Procurement/Manufacturing</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Turbines Ordered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baseline="0"/>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913567338243624"/>
          <c:y val="0.11579893632425893"/>
          <c:w val="0.70221898061422816"/>
          <c:h val="0.68854866561812311"/>
        </c:manualLayout>
      </c:layout>
      <c:barChart>
        <c:barDir val="col"/>
        <c:grouping val="stacked"/>
        <c:varyColors val="0"/>
        <c:ser>
          <c:idx val="1"/>
          <c:order val="1"/>
          <c:tx>
            <c:strRef>
              <c:f>'EC-known'!$B$83</c:f>
              <c:strCache>
                <c:ptCount val="1"/>
                <c:pt idx="0">
                  <c:v>Fixed</c:v>
                </c:pt>
              </c:strCache>
            </c:strRef>
          </c:tx>
          <c:spPr>
            <a:solidFill>
              <a:srgbClr val="0B5E90"/>
            </a:solidFill>
            <a:ln>
              <a:noFill/>
            </a:ln>
            <a:effectLst/>
          </c:spPr>
          <c:invertIfNegative val="0"/>
          <c:cat>
            <c:numRef>
              <c:f>'TOTAL-Expand'!$D$6:$Q$6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'EC-known'!$D$83:$Q$83</c:f>
              <c:numCache>
                <c:formatCode>0</c:formatCode>
                <c:ptCount val="14"/>
                <c:pt idx="0">
                  <c:v>0</c:v>
                </c:pt>
                <c:pt idx="1">
                  <c:v>513.23076923076928</c:v>
                </c:pt>
                <c:pt idx="2">
                  <c:v>4289.353587588882</c:v>
                </c:pt>
                <c:pt idx="3">
                  <c:v>3785.1538461538457</c:v>
                </c:pt>
                <c:pt idx="4">
                  <c:v>3474</c:v>
                </c:pt>
                <c:pt idx="5">
                  <c:v>2904.6</c:v>
                </c:pt>
                <c:pt idx="6">
                  <c:v>5625.9938385582327</c:v>
                </c:pt>
                <c:pt idx="7">
                  <c:v>2294</c:v>
                </c:pt>
                <c:pt idx="8">
                  <c:v>4728.937690175424</c:v>
                </c:pt>
                <c:pt idx="9">
                  <c:v>1502.1378789618993</c:v>
                </c:pt>
                <c:pt idx="10">
                  <c:v>3411.2678290787071</c:v>
                </c:pt>
                <c:pt idx="11">
                  <c:v>1067</c:v>
                </c:pt>
                <c:pt idx="12">
                  <c:v>1441.4916206515738</c:v>
                </c:pt>
                <c:pt idx="13">
                  <c:v>924</c:v>
                </c:pt>
              </c:numCache>
            </c:numRef>
          </c:val>
          <c:extLst>
            <c:ext xmlns:c16="http://schemas.microsoft.com/office/drawing/2014/chart" uri="{C3380CC4-5D6E-409C-BE32-E72D297353CC}">
              <c16:uniqueId val="{00000003-160E-4F32-8CBB-95A3E3607AB1}"/>
            </c:ext>
          </c:extLst>
        </c:ser>
        <c:ser>
          <c:idx val="2"/>
          <c:order val="2"/>
          <c:tx>
            <c:strRef>
              <c:f>'FIX-EX'!$B$83</c:f>
              <c:strCache>
                <c:ptCount val="1"/>
                <c:pt idx="0">
                  <c:v>Fixed-EXPANDED</c:v>
                </c:pt>
              </c:strCache>
            </c:strRef>
          </c:tx>
          <c:spPr>
            <a:pattFill prst="dkUpDiag">
              <a:fgClr>
                <a:srgbClr val="0B5E90"/>
              </a:fgClr>
              <a:bgClr>
                <a:schemeClr val="bg1"/>
              </a:bgClr>
            </a:pattFill>
            <a:ln>
              <a:noFill/>
            </a:ln>
            <a:effectLst/>
          </c:spPr>
          <c:invertIfNegative val="0"/>
          <c:cat>
            <c:numRef>
              <c:f>'TOTAL-Expand'!$D$6:$Q$6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'FIX-EX'!$D$83:$Q$83</c:f>
              <c:numCache>
                <c:formatCode>0</c:formatCode>
                <c:ptCount val="14"/>
                <c:pt idx="0">
                  <c:v>0</c:v>
                </c:pt>
                <c:pt idx="1">
                  <c:v>0</c:v>
                </c:pt>
                <c:pt idx="2">
                  <c:v>0</c:v>
                </c:pt>
                <c:pt idx="3">
                  <c:v>0</c:v>
                </c:pt>
                <c:pt idx="4">
                  <c:v>0</c:v>
                </c:pt>
                <c:pt idx="5">
                  <c:v>0</c:v>
                </c:pt>
                <c:pt idx="6">
                  <c:v>0</c:v>
                </c:pt>
                <c:pt idx="7">
                  <c:v>0</c:v>
                </c:pt>
                <c:pt idx="8">
                  <c:v>0</c:v>
                </c:pt>
                <c:pt idx="9">
                  <c:v>1500</c:v>
                </c:pt>
                <c:pt idx="10">
                  <c:v>2000</c:v>
                </c:pt>
                <c:pt idx="11">
                  <c:v>2500</c:v>
                </c:pt>
                <c:pt idx="12">
                  <c:v>1000</c:v>
                </c:pt>
                <c:pt idx="13">
                  <c:v>0</c:v>
                </c:pt>
              </c:numCache>
            </c:numRef>
          </c:val>
          <c:extLst>
            <c:ext xmlns:c16="http://schemas.microsoft.com/office/drawing/2014/chart" uri="{C3380CC4-5D6E-409C-BE32-E72D297353CC}">
              <c16:uniqueId val="{00000006-160E-4F32-8CBB-95A3E3607AB1}"/>
            </c:ext>
          </c:extLst>
        </c:ser>
        <c:ser>
          <c:idx val="0"/>
          <c:order val="3"/>
          <c:tx>
            <c:strRef>
              <c:f>'WC-known'!$B$83</c:f>
              <c:strCache>
                <c:ptCount val="1"/>
                <c:pt idx="0">
                  <c:v>Floating</c:v>
                </c:pt>
              </c:strCache>
            </c:strRef>
          </c:tx>
          <c:spPr>
            <a:solidFill>
              <a:srgbClr val="00A4E4"/>
            </a:solidFill>
            <a:ln>
              <a:noFill/>
            </a:ln>
            <a:effectLst/>
          </c:spPr>
          <c:invertIfNegative val="0"/>
          <c:cat>
            <c:numRef>
              <c:f>'TOTAL-Expand'!$D$6:$Q$6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'WC-known'!$D$83:$Q$83</c:f>
              <c:numCache>
                <c:formatCode>0</c:formatCode>
                <c:ptCount val="14"/>
                <c:pt idx="0">
                  <c:v>0</c:v>
                </c:pt>
                <c:pt idx="1">
                  <c:v>0</c:v>
                </c:pt>
                <c:pt idx="2">
                  <c:v>0</c:v>
                </c:pt>
                <c:pt idx="3">
                  <c:v>0</c:v>
                </c:pt>
                <c:pt idx="4">
                  <c:v>0</c:v>
                </c:pt>
                <c:pt idx="5">
                  <c:v>0</c:v>
                </c:pt>
                <c:pt idx="6">
                  <c:v>500.17521131546539</c:v>
                </c:pt>
                <c:pt idx="7">
                  <c:v>1000.1912889446969</c:v>
                </c:pt>
                <c:pt idx="8">
                  <c:v>1000.1912889446969</c:v>
                </c:pt>
                <c:pt idx="9">
                  <c:v>1099.5781203542456</c:v>
                </c:pt>
                <c:pt idx="10">
                  <c:v>499.73452830990107</c:v>
                </c:pt>
                <c:pt idx="11">
                  <c:v>399.88395701482398</c:v>
                </c:pt>
                <c:pt idx="12">
                  <c:v>0</c:v>
                </c:pt>
                <c:pt idx="13">
                  <c:v>0</c:v>
                </c:pt>
              </c:numCache>
            </c:numRef>
          </c:val>
          <c:extLst>
            <c:ext xmlns:c16="http://schemas.microsoft.com/office/drawing/2014/chart" uri="{C3380CC4-5D6E-409C-BE32-E72D297353CC}">
              <c16:uniqueId val="{00000004-160E-4F32-8CBB-95A3E3607AB1}"/>
            </c:ext>
          </c:extLst>
        </c:ser>
        <c:ser>
          <c:idx val="3"/>
          <c:order val="4"/>
          <c:tx>
            <c:strRef>
              <c:f>'FLOAT-EX'!$B$83</c:f>
              <c:strCache>
                <c:ptCount val="1"/>
                <c:pt idx="0">
                  <c:v>Floating-EXPANDED</c:v>
                </c:pt>
              </c:strCache>
            </c:strRef>
          </c:tx>
          <c:spPr>
            <a:pattFill prst="dkDnDiag">
              <a:fgClr>
                <a:srgbClr val="00A4E4"/>
              </a:fgClr>
              <a:bgClr>
                <a:schemeClr val="bg1"/>
              </a:bgClr>
            </a:pattFill>
            <a:ln>
              <a:noFill/>
            </a:ln>
            <a:effectLst/>
          </c:spPr>
          <c:invertIfNegative val="0"/>
          <c:cat>
            <c:numRef>
              <c:f>'TOTAL-Expand'!$D$6:$Q$6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'FLOAT-EX'!$D$83:$Q$83</c:f>
              <c:numCache>
                <c:formatCode>0</c:formatCode>
                <c:ptCount val="14"/>
                <c:pt idx="0">
                  <c:v>0</c:v>
                </c:pt>
                <c:pt idx="1">
                  <c:v>0</c:v>
                </c:pt>
                <c:pt idx="2">
                  <c:v>0</c:v>
                </c:pt>
                <c:pt idx="3">
                  <c:v>0</c:v>
                </c:pt>
                <c:pt idx="4">
                  <c:v>0</c:v>
                </c:pt>
                <c:pt idx="5">
                  <c:v>0</c:v>
                </c:pt>
                <c:pt idx="6">
                  <c:v>0</c:v>
                </c:pt>
                <c:pt idx="7">
                  <c:v>0</c:v>
                </c:pt>
                <c:pt idx="8">
                  <c:v>0</c:v>
                </c:pt>
                <c:pt idx="9">
                  <c:v>1644</c:v>
                </c:pt>
                <c:pt idx="10">
                  <c:v>500</c:v>
                </c:pt>
                <c:pt idx="11">
                  <c:v>3200</c:v>
                </c:pt>
                <c:pt idx="12">
                  <c:v>2500</c:v>
                </c:pt>
                <c:pt idx="13">
                  <c:v>4500</c:v>
                </c:pt>
              </c:numCache>
            </c:numRef>
          </c:val>
          <c:extLst>
            <c:ext xmlns:c16="http://schemas.microsoft.com/office/drawing/2014/chart" uri="{C3380CC4-5D6E-409C-BE32-E72D297353CC}">
              <c16:uniqueId val="{00000007-160E-4F32-8CBB-95A3E3607AB1}"/>
            </c:ext>
          </c:extLst>
        </c:ser>
        <c:dLbls>
          <c:showLegendKey val="0"/>
          <c:showVal val="0"/>
          <c:showCatName val="0"/>
          <c:showSerName val="0"/>
          <c:showPercent val="0"/>
          <c:showBubbleSize val="0"/>
        </c:dLbls>
        <c:gapWidth val="24"/>
        <c:overlap val="100"/>
        <c:axId val="892187192"/>
        <c:axId val="892188176"/>
      </c:barChart>
      <c:lineChart>
        <c:grouping val="standard"/>
        <c:varyColors val="0"/>
        <c:ser>
          <c:idx val="4"/>
          <c:order val="0"/>
          <c:tx>
            <c:strRef>
              <c:f>'TOTAL-Expand'!$B$82</c:f>
              <c:strCache>
                <c:ptCount val="1"/>
                <c:pt idx="0">
                  <c:v>Cumulative MW</c:v>
                </c:pt>
              </c:strCache>
            </c:strRef>
          </c:tx>
          <c:spPr>
            <a:ln w="28575" cap="rnd">
              <a:solidFill>
                <a:srgbClr val="C00000"/>
              </a:solidFill>
              <a:round/>
            </a:ln>
            <a:effectLst/>
          </c:spPr>
          <c:marker>
            <c:symbol val="none"/>
          </c:marker>
          <c:cat>
            <c:numRef>
              <c:f>'TOTAL-Expand'!$C$6:$Q$6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'TOTAL-Expand'!$D$82:$Q$82</c:f>
              <c:numCache>
                <c:formatCode>0</c:formatCode>
                <c:ptCount val="14"/>
                <c:pt idx="0">
                  <c:v>0</c:v>
                </c:pt>
                <c:pt idx="1">
                  <c:v>513.23076923076928</c:v>
                </c:pt>
                <c:pt idx="2">
                  <c:v>4802.5843568196515</c:v>
                </c:pt>
                <c:pt idx="3">
                  <c:v>8587.7382029734981</c:v>
                </c:pt>
                <c:pt idx="4">
                  <c:v>12061.738202973498</c:v>
                </c:pt>
                <c:pt idx="5">
                  <c:v>14966.338202973498</c:v>
                </c:pt>
                <c:pt idx="6">
                  <c:v>21092.507252847197</c:v>
                </c:pt>
                <c:pt idx="7">
                  <c:v>24386.698541791895</c:v>
                </c:pt>
                <c:pt idx="8">
                  <c:v>30115.827520912018</c:v>
                </c:pt>
                <c:pt idx="9">
                  <c:v>35861.543520228166</c:v>
                </c:pt>
                <c:pt idx="10">
                  <c:v>42272.545877616772</c:v>
                </c:pt>
                <c:pt idx="11">
                  <c:v>49439.429834631599</c:v>
                </c:pt>
                <c:pt idx="12">
                  <c:v>54380.921455283176</c:v>
                </c:pt>
                <c:pt idx="13">
                  <c:v>59804.921455283176</c:v>
                </c:pt>
              </c:numCache>
            </c:numRef>
          </c:val>
          <c:smooth val="0"/>
          <c:extLst>
            <c:ext xmlns:c16="http://schemas.microsoft.com/office/drawing/2014/chart" uri="{C3380CC4-5D6E-409C-BE32-E72D297353CC}">
              <c16:uniqueId val="{00000001-160E-4F32-8CBB-95A3E3607AB1}"/>
            </c:ext>
          </c:extLst>
        </c:ser>
        <c:dLbls>
          <c:showLegendKey val="0"/>
          <c:showVal val="0"/>
          <c:showCatName val="0"/>
          <c:showSerName val="0"/>
          <c:showPercent val="0"/>
          <c:showBubbleSize val="0"/>
        </c:dLbls>
        <c:marker val="1"/>
        <c:smooth val="0"/>
        <c:axId val="1237321640"/>
        <c:axId val="1237320328"/>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400" b="1"/>
                  <a:t>YEAR</a:t>
                </a:r>
              </a:p>
            </c:rich>
          </c:tx>
          <c:layout>
            <c:manualLayout>
              <c:xMode val="edge"/>
              <c:yMode val="edge"/>
              <c:x val="0.4843004537699796"/>
              <c:y val="0.92521126318716718"/>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000"/>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400" b="1" baseline="0"/>
                  <a:t> MW per Year</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237320328"/>
        <c:scaling>
          <c:orientation val="minMax"/>
          <c:max val="70000"/>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400" b="1"/>
                  <a:t>Cumulative capacity, MW</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237321640"/>
        <c:crosses val="max"/>
        <c:crossBetween val="between"/>
      </c:valAx>
      <c:catAx>
        <c:axId val="1237321640"/>
        <c:scaling>
          <c:orientation val="minMax"/>
        </c:scaling>
        <c:delete val="1"/>
        <c:axPos val="b"/>
        <c:numFmt formatCode="General" sourceLinked="1"/>
        <c:majorTickMark val="out"/>
        <c:minorTickMark val="none"/>
        <c:tickLblPos val="nextTo"/>
        <c:crossAx val="1237320328"/>
        <c:crosses val="autoZero"/>
        <c:auto val="1"/>
        <c:lblAlgn val="ctr"/>
        <c:lblOffset val="100"/>
        <c:noMultiLvlLbl val="0"/>
      </c:catAx>
      <c:spPr>
        <a:noFill/>
        <a:ln w="6350">
          <a:solidFill>
            <a:schemeClr val="accent1"/>
          </a:solidFill>
        </a:ln>
        <a:effectLst/>
      </c:spPr>
    </c:plotArea>
    <c:legend>
      <c:legendPos val="l"/>
      <c:layout>
        <c:manualLayout>
          <c:xMode val="edge"/>
          <c:yMode val="edge"/>
          <c:x val="0.15572102852291062"/>
          <c:y val="0.1440795202115531"/>
          <c:w val="0.23077277115725975"/>
          <c:h val="0.254095616229946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293216523904206"/>
          <c:y val="7.5282334926584052E-2"/>
          <c:w val="0.79020187174287926"/>
          <c:h val="0.75228981199868983"/>
        </c:manualLayout>
      </c:layout>
      <c:barChart>
        <c:barDir val="col"/>
        <c:grouping val="stacked"/>
        <c:varyColors val="0"/>
        <c:ser>
          <c:idx val="0"/>
          <c:order val="0"/>
          <c:tx>
            <c:strRef>
              <c:f>'TOTAL-Expand'!$B$86</c:f>
              <c:strCache>
                <c:ptCount val="1"/>
                <c:pt idx="0">
                  <c:v>12</c:v>
                </c:pt>
              </c:strCache>
            </c:strRef>
          </c:tx>
          <c:spPr>
            <a:solidFill>
              <a:srgbClr val="F7A11A"/>
            </a:solidFill>
            <a:ln w="0">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'TOTAL-Expand'!$D$86:$Q$86</c:f>
              <c:numCache>
                <c:formatCode>0</c:formatCode>
                <c:ptCount val="14"/>
                <c:pt idx="0">
                  <c:v>0</c:v>
                </c:pt>
                <c:pt idx="1">
                  <c:v>42.769230769230774</c:v>
                </c:pt>
                <c:pt idx="2">
                  <c:v>261.79487179487182</c:v>
                </c:pt>
                <c:pt idx="3">
                  <c:v>187.5128205128205</c:v>
                </c:pt>
                <c:pt idx="4">
                  <c:v>60.666666666666664</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1BDE-4F88-B101-0251A072326D}"/>
            </c:ext>
          </c:extLst>
        </c:ser>
        <c:ser>
          <c:idx val="5"/>
          <c:order val="1"/>
          <c:tx>
            <c:strRef>
              <c:f>'TOTAL-Expand'!$B$87</c:f>
              <c:strCache>
                <c:ptCount val="1"/>
                <c:pt idx="0">
                  <c:v>15</c:v>
                </c:pt>
              </c:strCache>
            </c:strRef>
          </c:tx>
          <c:spPr>
            <a:solidFill>
              <a:srgbClr val="0B5E90"/>
            </a:solidFill>
            <a:ln w="0">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'TOTAL-Expand'!$D$87:$Q$87</c:f>
              <c:numCache>
                <c:formatCode>0</c:formatCode>
                <c:ptCount val="14"/>
                <c:pt idx="0">
                  <c:v>0</c:v>
                </c:pt>
                <c:pt idx="1">
                  <c:v>0</c:v>
                </c:pt>
                <c:pt idx="2">
                  <c:v>76.52100840336135</c:v>
                </c:pt>
                <c:pt idx="3">
                  <c:v>102.33333333333334</c:v>
                </c:pt>
                <c:pt idx="4">
                  <c:v>183.06666666666666</c:v>
                </c:pt>
                <c:pt idx="5">
                  <c:v>193.64</c:v>
                </c:pt>
                <c:pt idx="6">
                  <c:v>408.41126999157984</c:v>
                </c:pt>
                <c:pt idx="7">
                  <c:v>219.61275259631313</c:v>
                </c:pt>
                <c:pt idx="8">
                  <c:v>381.94193194134141</c:v>
                </c:pt>
                <c:pt idx="9">
                  <c:v>0</c:v>
                </c:pt>
                <c:pt idx="10">
                  <c:v>0</c:v>
                </c:pt>
                <c:pt idx="11">
                  <c:v>0</c:v>
                </c:pt>
                <c:pt idx="12">
                  <c:v>0</c:v>
                </c:pt>
                <c:pt idx="13">
                  <c:v>0</c:v>
                </c:pt>
              </c:numCache>
            </c:numRef>
          </c:val>
          <c:extLst>
            <c:ext xmlns:c16="http://schemas.microsoft.com/office/drawing/2014/chart" uri="{C3380CC4-5D6E-409C-BE32-E72D297353CC}">
              <c16:uniqueId val="{00000001-1BDE-4F88-B101-0251A072326D}"/>
            </c:ext>
          </c:extLst>
        </c:ser>
        <c:ser>
          <c:idx val="6"/>
          <c:order val="2"/>
          <c:tx>
            <c:strRef>
              <c:f>'TOTAL-Expand'!$B$88</c:f>
              <c:strCache>
                <c:ptCount val="1"/>
                <c:pt idx="0">
                  <c:v>18</c:v>
                </c:pt>
              </c:strCache>
            </c:strRef>
          </c:tx>
          <c:spPr>
            <a:solidFill>
              <a:srgbClr val="5D973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'TOTAL-Expand'!$D$88:$Q$88</c:f>
              <c:numCache>
                <c:formatCode>0</c:formatCode>
                <c:ptCount val="14"/>
                <c:pt idx="0">
                  <c:v>0</c:v>
                </c:pt>
                <c:pt idx="1">
                  <c:v>0</c:v>
                </c:pt>
                <c:pt idx="2">
                  <c:v>0</c:v>
                </c:pt>
                <c:pt idx="3">
                  <c:v>0</c:v>
                </c:pt>
                <c:pt idx="4">
                  <c:v>0</c:v>
                </c:pt>
                <c:pt idx="5">
                  <c:v>0</c:v>
                </c:pt>
                <c:pt idx="6">
                  <c:v>0</c:v>
                </c:pt>
                <c:pt idx="7">
                  <c:v>0</c:v>
                </c:pt>
                <c:pt idx="8">
                  <c:v>0</c:v>
                </c:pt>
                <c:pt idx="9">
                  <c:v>319.20644440645248</c:v>
                </c:pt>
                <c:pt idx="10">
                  <c:v>356.16679763270048</c:v>
                </c:pt>
                <c:pt idx="11">
                  <c:v>398.16021983415686</c:v>
                </c:pt>
                <c:pt idx="12">
                  <c:v>274.52731225842081</c:v>
                </c:pt>
                <c:pt idx="13">
                  <c:v>301.33333333333331</c:v>
                </c:pt>
              </c:numCache>
            </c:numRef>
          </c:val>
          <c:extLst>
            <c:ext xmlns:c16="http://schemas.microsoft.com/office/drawing/2014/chart" uri="{C3380CC4-5D6E-409C-BE32-E72D297353CC}">
              <c16:uniqueId val="{00000002-1BDE-4F88-B101-0251A072326D}"/>
            </c:ext>
          </c:extLst>
        </c:ser>
        <c:dLbls>
          <c:showLegendKey val="0"/>
          <c:showVal val="0"/>
          <c:showCatName val="0"/>
          <c:showSerName val="0"/>
          <c:showPercent val="0"/>
          <c:showBubbleSize val="0"/>
        </c:dLbls>
        <c:gapWidth val="29"/>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200" b="1"/>
                  <a:t>YEAR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500"/>
          <c:min val="0"/>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400" baseline="0"/>
                  <a:t>Turbines</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minorUnit val="5"/>
      </c:valAx>
      <c:spPr>
        <a:noFill/>
        <a:ln w="6350">
          <a:solidFill>
            <a:schemeClr val="tx1"/>
          </a:solidFill>
        </a:ln>
        <a:effectLst/>
      </c:spPr>
    </c:plotArea>
    <c:legend>
      <c:legendPos val="l"/>
      <c:layout>
        <c:manualLayout>
          <c:xMode val="edge"/>
          <c:yMode val="edge"/>
          <c:x val="0.14786701680606781"/>
          <c:y val="0.16073581050399371"/>
          <c:w val="9.0454774909330307E-2"/>
          <c:h val="0.16371425520632721"/>
        </c:manualLayout>
      </c:layout>
      <c:overlay val="0"/>
      <c:spPr>
        <a:solidFill>
          <a:schemeClr val="bg1"/>
        </a:solid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nchor="t" anchorCtr="1"/>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293216523904206"/>
          <c:y val="7.5282334926584052E-2"/>
          <c:w val="0.79020187174287926"/>
          <c:h val="0.75228981199868983"/>
        </c:manualLayout>
      </c:layout>
      <c:barChart>
        <c:barDir val="col"/>
        <c:grouping val="stacked"/>
        <c:varyColors val="0"/>
        <c:ser>
          <c:idx val="0"/>
          <c:order val="0"/>
          <c:tx>
            <c:strRef>
              <c:f>'TOTAL-Expand'!$B$131</c:f>
              <c:strCache>
                <c:ptCount val="1"/>
                <c:pt idx="0">
                  <c:v>WTIV</c:v>
                </c:pt>
              </c:strCache>
            </c:strRef>
          </c:tx>
          <c:spPr>
            <a:solidFill>
              <a:schemeClr val="accent1"/>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'TOTAL-Expand'!$D$131:$Q$131</c:f>
              <c:numCache>
                <c:formatCode>0</c:formatCode>
                <c:ptCount val="14"/>
                <c:pt idx="0">
                  <c:v>0</c:v>
                </c:pt>
                <c:pt idx="1">
                  <c:v>2</c:v>
                </c:pt>
                <c:pt idx="2">
                  <c:v>5</c:v>
                </c:pt>
                <c:pt idx="3">
                  <c:v>5</c:v>
                </c:pt>
                <c:pt idx="4">
                  <c:v>5</c:v>
                </c:pt>
                <c:pt idx="5">
                  <c:v>4</c:v>
                </c:pt>
                <c:pt idx="6">
                  <c:v>5</c:v>
                </c:pt>
                <c:pt idx="7">
                  <c:v>2</c:v>
                </c:pt>
                <c:pt idx="8">
                  <c:v>4</c:v>
                </c:pt>
                <c:pt idx="9">
                  <c:v>4</c:v>
                </c:pt>
                <c:pt idx="10">
                  <c:v>6</c:v>
                </c:pt>
                <c:pt idx="11">
                  <c:v>4</c:v>
                </c:pt>
                <c:pt idx="12">
                  <c:v>4</c:v>
                </c:pt>
                <c:pt idx="13">
                  <c:v>2</c:v>
                </c:pt>
              </c:numCache>
            </c:numRef>
          </c:val>
          <c:extLst>
            <c:ext xmlns:c16="http://schemas.microsoft.com/office/drawing/2014/chart" uri="{C3380CC4-5D6E-409C-BE32-E72D297353CC}">
              <c16:uniqueId val="{00000000-D5F0-4B4C-9B70-A0ED468CA376}"/>
            </c:ext>
          </c:extLst>
        </c:ser>
        <c:ser>
          <c:idx val="5"/>
          <c:order val="1"/>
          <c:tx>
            <c:strRef>
              <c:f>'TOTAL-Expand'!$B$134</c:f>
              <c:strCache>
                <c:ptCount val="1"/>
                <c:pt idx="0">
                  <c:v>Feeder Barge</c:v>
                </c:pt>
              </c:strCache>
            </c:strRef>
          </c:tx>
          <c:spPr>
            <a:solidFill>
              <a:schemeClr val="accent6"/>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'TOTAL-Expand'!$D$134:$Q$134</c:f>
              <c:numCache>
                <c:formatCode>0</c:formatCode>
                <c:ptCount val="14"/>
                <c:pt idx="0">
                  <c:v>0</c:v>
                </c:pt>
                <c:pt idx="1">
                  <c:v>4</c:v>
                </c:pt>
                <c:pt idx="2">
                  <c:v>10</c:v>
                </c:pt>
                <c:pt idx="3">
                  <c:v>10</c:v>
                </c:pt>
                <c:pt idx="4">
                  <c:v>10</c:v>
                </c:pt>
                <c:pt idx="5">
                  <c:v>8</c:v>
                </c:pt>
                <c:pt idx="6">
                  <c:v>10</c:v>
                </c:pt>
                <c:pt idx="7">
                  <c:v>4</c:v>
                </c:pt>
                <c:pt idx="8">
                  <c:v>8</c:v>
                </c:pt>
                <c:pt idx="9">
                  <c:v>8</c:v>
                </c:pt>
                <c:pt idx="10">
                  <c:v>12</c:v>
                </c:pt>
                <c:pt idx="11">
                  <c:v>8</c:v>
                </c:pt>
                <c:pt idx="12">
                  <c:v>8</c:v>
                </c:pt>
                <c:pt idx="13">
                  <c:v>4</c:v>
                </c:pt>
              </c:numCache>
            </c:numRef>
          </c:val>
          <c:extLst>
            <c:ext xmlns:c16="http://schemas.microsoft.com/office/drawing/2014/chart" uri="{C3380CC4-5D6E-409C-BE32-E72D297353CC}">
              <c16:uniqueId val="{00000001-D5F0-4B4C-9B70-A0ED468CA376}"/>
            </c:ext>
          </c:extLst>
        </c:ser>
        <c:ser>
          <c:idx val="6"/>
          <c:order val="2"/>
          <c:tx>
            <c:strRef>
              <c:f>'TOTAL-Expand'!$B$137</c:f>
              <c:strCache>
                <c:ptCount val="1"/>
                <c:pt idx="0">
                  <c:v>CLV</c:v>
                </c:pt>
              </c:strCache>
            </c:strRef>
          </c:tx>
          <c:spPr>
            <a:solidFill>
              <a:schemeClr val="accent1">
                <a:lumMod val="60000"/>
              </a:schemeClr>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'TOTAL-Expand'!$D$137:$Q$137</c:f>
              <c:numCache>
                <c:formatCode>0</c:formatCode>
                <c:ptCount val="14"/>
                <c:pt idx="0">
                  <c:v>0</c:v>
                </c:pt>
                <c:pt idx="1">
                  <c:v>1</c:v>
                </c:pt>
                <c:pt idx="2">
                  <c:v>4</c:v>
                </c:pt>
                <c:pt idx="3">
                  <c:v>3</c:v>
                </c:pt>
                <c:pt idx="4">
                  <c:v>3</c:v>
                </c:pt>
                <c:pt idx="5">
                  <c:v>2</c:v>
                </c:pt>
                <c:pt idx="6">
                  <c:v>4</c:v>
                </c:pt>
                <c:pt idx="7">
                  <c:v>3</c:v>
                </c:pt>
                <c:pt idx="8">
                  <c:v>4</c:v>
                </c:pt>
                <c:pt idx="9">
                  <c:v>3</c:v>
                </c:pt>
                <c:pt idx="10">
                  <c:v>5</c:v>
                </c:pt>
                <c:pt idx="11">
                  <c:v>4</c:v>
                </c:pt>
                <c:pt idx="12">
                  <c:v>3</c:v>
                </c:pt>
                <c:pt idx="13">
                  <c:v>2</c:v>
                </c:pt>
              </c:numCache>
            </c:numRef>
          </c:val>
          <c:extLst>
            <c:ext xmlns:c16="http://schemas.microsoft.com/office/drawing/2014/chart" uri="{C3380CC4-5D6E-409C-BE32-E72D297353CC}">
              <c16:uniqueId val="{00000002-D5F0-4B4C-9B70-A0ED468CA376}"/>
            </c:ext>
          </c:extLst>
        </c:ser>
        <c:ser>
          <c:idx val="1"/>
          <c:order val="3"/>
          <c:tx>
            <c:strRef>
              <c:f>'TOTAL-Expand'!$B$135</c:f>
              <c:strCache>
                <c:ptCount val="1"/>
                <c:pt idx="0">
                  <c:v>CTV</c:v>
                </c:pt>
              </c:strCache>
            </c:strRef>
          </c:tx>
          <c:spPr>
            <a:solidFill>
              <a:schemeClr val="accent2"/>
            </a:solidFill>
            <a:ln>
              <a:noFill/>
            </a:ln>
            <a:effectLst/>
          </c:spPr>
          <c:invertIfNegative val="0"/>
          <c:val>
            <c:numRef>
              <c:f>'TOTAL-Expand'!$D$135:$Q$135</c:f>
              <c:numCache>
                <c:formatCode>0</c:formatCode>
                <c:ptCount val="14"/>
                <c:pt idx="0">
                  <c:v>0</c:v>
                </c:pt>
                <c:pt idx="1">
                  <c:v>6</c:v>
                </c:pt>
                <c:pt idx="2">
                  <c:v>18</c:v>
                </c:pt>
                <c:pt idx="3">
                  <c:v>26</c:v>
                </c:pt>
                <c:pt idx="4">
                  <c:v>32</c:v>
                </c:pt>
                <c:pt idx="5">
                  <c:v>33</c:v>
                </c:pt>
                <c:pt idx="6">
                  <c:v>43</c:v>
                </c:pt>
                <c:pt idx="7">
                  <c:v>50</c:v>
                </c:pt>
                <c:pt idx="8">
                  <c:v>58</c:v>
                </c:pt>
                <c:pt idx="9">
                  <c:v>67</c:v>
                </c:pt>
                <c:pt idx="10">
                  <c:v>73</c:v>
                </c:pt>
                <c:pt idx="11">
                  <c:v>80</c:v>
                </c:pt>
                <c:pt idx="12">
                  <c:v>83</c:v>
                </c:pt>
                <c:pt idx="13">
                  <c:v>86</c:v>
                </c:pt>
              </c:numCache>
            </c:numRef>
          </c:val>
          <c:extLst>
            <c:ext xmlns:c16="http://schemas.microsoft.com/office/drawing/2014/chart" uri="{C3380CC4-5D6E-409C-BE32-E72D297353CC}">
              <c16:uniqueId val="{00000004-D5F0-4B4C-9B70-A0ED468CA376}"/>
            </c:ext>
          </c:extLst>
        </c:ser>
        <c:ser>
          <c:idx val="2"/>
          <c:order val="4"/>
          <c:tx>
            <c:strRef>
              <c:f>'TOTAL-Expand'!$B$136</c:f>
              <c:strCache>
                <c:ptCount val="1"/>
                <c:pt idx="0">
                  <c:v>SOV</c:v>
                </c:pt>
              </c:strCache>
            </c:strRef>
          </c:tx>
          <c:spPr>
            <a:solidFill>
              <a:schemeClr val="accent3"/>
            </a:solidFill>
            <a:ln>
              <a:noFill/>
            </a:ln>
            <a:effectLst/>
          </c:spPr>
          <c:invertIfNegative val="0"/>
          <c:val>
            <c:numRef>
              <c:f>'TOTAL-Expand'!$D$136:$Q$136</c:f>
              <c:numCache>
                <c:formatCode>0</c:formatCode>
                <c:ptCount val="14"/>
                <c:pt idx="0">
                  <c:v>0</c:v>
                </c:pt>
                <c:pt idx="1">
                  <c:v>1</c:v>
                </c:pt>
                <c:pt idx="2">
                  <c:v>2</c:v>
                </c:pt>
                <c:pt idx="3">
                  <c:v>4</c:v>
                </c:pt>
                <c:pt idx="4">
                  <c:v>5</c:v>
                </c:pt>
                <c:pt idx="5">
                  <c:v>6</c:v>
                </c:pt>
                <c:pt idx="6">
                  <c:v>8</c:v>
                </c:pt>
                <c:pt idx="7">
                  <c:v>9</c:v>
                </c:pt>
                <c:pt idx="8">
                  <c:v>11</c:v>
                </c:pt>
                <c:pt idx="9">
                  <c:v>13</c:v>
                </c:pt>
                <c:pt idx="10">
                  <c:v>15</c:v>
                </c:pt>
                <c:pt idx="11">
                  <c:v>17</c:v>
                </c:pt>
                <c:pt idx="12">
                  <c:v>18</c:v>
                </c:pt>
                <c:pt idx="13">
                  <c:v>19</c:v>
                </c:pt>
              </c:numCache>
            </c:numRef>
          </c:val>
          <c:extLst>
            <c:ext xmlns:c16="http://schemas.microsoft.com/office/drawing/2014/chart" uri="{C3380CC4-5D6E-409C-BE32-E72D297353CC}">
              <c16:uniqueId val="{00000005-D5F0-4B4C-9B70-A0ED468CA376}"/>
            </c:ext>
          </c:extLst>
        </c:ser>
        <c:ser>
          <c:idx val="3"/>
          <c:order val="5"/>
          <c:tx>
            <c:strRef>
              <c:f>'TOTAL-Expand'!$B$138</c:f>
              <c:strCache>
                <c:ptCount val="1"/>
                <c:pt idx="0">
                  <c:v>Scour Protection Vessel</c:v>
                </c:pt>
              </c:strCache>
            </c:strRef>
          </c:tx>
          <c:spPr>
            <a:solidFill>
              <a:schemeClr val="accent4"/>
            </a:solidFill>
            <a:ln>
              <a:noFill/>
            </a:ln>
            <a:effectLst/>
          </c:spPr>
          <c:invertIfNegative val="0"/>
          <c:val>
            <c:numRef>
              <c:f>'TOTAL-Expand'!$D$138:$Q$138</c:f>
              <c:numCache>
                <c:formatCode>0</c:formatCode>
                <c:ptCount val="14"/>
                <c:pt idx="0">
                  <c:v>0</c:v>
                </c:pt>
                <c:pt idx="1">
                  <c:v>1</c:v>
                </c:pt>
                <c:pt idx="2">
                  <c:v>2</c:v>
                </c:pt>
                <c:pt idx="3">
                  <c:v>2</c:v>
                </c:pt>
                <c:pt idx="4">
                  <c:v>1</c:v>
                </c:pt>
                <c:pt idx="5">
                  <c:v>1</c:v>
                </c:pt>
                <c:pt idx="6">
                  <c:v>2</c:v>
                </c:pt>
                <c:pt idx="7">
                  <c:v>1</c:v>
                </c:pt>
                <c:pt idx="8">
                  <c:v>2</c:v>
                </c:pt>
                <c:pt idx="9">
                  <c:v>1</c:v>
                </c:pt>
                <c:pt idx="10">
                  <c:v>2</c:v>
                </c:pt>
                <c:pt idx="11">
                  <c:v>1</c:v>
                </c:pt>
                <c:pt idx="12">
                  <c:v>1</c:v>
                </c:pt>
                <c:pt idx="13">
                  <c:v>2</c:v>
                </c:pt>
              </c:numCache>
            </c:numRef>
          </c:val>
          <c:extLst>
            <c:ext xmlns:c16="http://schemas.microsoft.com/office/drawing/2014/chart" uri="{C3380CC4-5D6E-409C-BE32-E72D297353CC}">
              <c16:uniqueId val="{00000006-D5F0-4B4C-9B70-A0ED468CA376}"/>
            </c:ext>
          </c:extLst>
        </c:ser>
        <c:dLbls>
          <c:showLegendKey val="0"/>
          <c:showVal val="0"/>
          <c:showCatName val="0"/>
          <c:showSerName val="0"/>
          <c:showPercent val="0"/>
          <c:showBubbleSize val="0"/>
        </c:dLbls>
        <c:gapWidth val="29"/>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200" b="1"/>
                  <a:t>YEAR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20"/>
          <c:min val="0"/>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400" baseline="0"/>
                  <a:t>Vessels</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minorUnit val="5"/>
      </c:valAx>
      <c:spPr>
        <a:noFill/>
        <a:ln w="6350">
          <a:solidFill>
            <a:schemeClr val="tx1"/>
          </a:solidFill>
        </a:ln>
        <a:effectLst/>
      </c:spPr>
    </c:plotArea>
    <c:legend>
      <c:legendPos val="l"/>
      <c:layout>
        <c:manualLayout>
          <c:xMode val="edge"/>
          <c:yMode val="edge"/>
          <c:x val="0.13328243220341904"/>
          <c:y val="0.10314547528075196"/>
          <c:w val="0.3050565197768772"/>
          <c:h val="0.30790690875016347"/>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nchor="t" anchorCtr="1"/>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913567338243624"/>
          <c:y val="0.11579893632425893"/>
          <c:w val="0.70221898061422816"/>
          <c:h val="0.68854866561812311"/>
        </c:manualLayout>
      </c:layout>
      <c:barChart>
        <c:barDir val="col"/>
        <c:grouping val="stacked"/>
        <c:varyColors val="0"/>
        <c:ser>
          <c:idx val="1"/>
          <c:order val="1"/>
          <c:tx>
            <c:strRef>
              <c:f>'EC-known'!$B$83</c:f>
              <c:strCache>
                <c:ptCount val="1"/>
                <c:pt idx="0">
                  <c:v>Fixed</c:v>
                </c:pt>
              </c:strCache>
            </c:strRef>
          </c:tx>
          <c:spPr>
            <a:solidFill>
              <a:srgbClr val="0B5E90"/>
            </a:solidFill>
            <a:ln>
              <a:noFill/>
            </a:ln>
            <a:effectLst/>
          </c:spPr>
          <c:invertIfNegative val="0"/>
          <c:cat>
            <c:numRef>
              <c:f>'TOTAL-Expand'!$D$6:$Q$6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'EC-known'!$D$83:$Q$83</c:f>
              <c:numCache>
                <c:formatCode>0</c:formatCode>
                <c:ptCount val="14"/>
                <c:pt idx="0">
                  <c:v>0</c:v>
                </c:pt>
                <c:pt idx="1">
                  <c:v>513.23076923076928</c:v>
                </c:pt>
                <c:pt idx="2">
                  <c:v>4289.353587588882</c:v>
                </c:pt>
                <c:pt idx="3">
                  <c:v>3785.1538461538457</c:v>
                </c:pt>
                <c:pt idx="4">
                  <c:v>3474</c:v>
                </c:pt>
                <c:pt idx="5">
                  <c:v>2904.6</c:v>
                </c:pt>
                <c:pt idx="6">
                  <c:v>5625.9938385582327</c:v>
                </c:pt>
                <c:pt idx="7">
                  <c:v>2294</c:v>
                </c:pt>
                <c:pt idx="8">
                  <c:v>4728.937690175424</c:v>
                </c:pt>
                <c:pt idx="9">
                  <c:v>1502.1378789618993</c:v>
                </c:pt>
                <c:pt idx="10">
                  <c:v>3411.2678290787071</c:v>
                </c:pt>
                <c:pt idx="11">
                  <c:v>1067</c:v>
                </c:pt>
                <c:pt idx="12">
                  <c:v>1441.4916206515738</c:v>
                </c:pt>
                <c:pt idx="13">
                  <c:v>924</c:v>
                </c:pt>
              </c:numCache>
            </c:numRef>
          </c:val>
          <c:extLst>
            <c:ext xmlns:c16="http://schemas.microsoft.com/office/drawing/2014/chart" uri="{C3380CC4-5D6E-409C-BE32-E72D297353CC}">
              <c16:uniqueId val="{00000000-C648-48AA-A1B5-5706BFCB721B}"/>
            </c:ext>
          </c:extLst>
        </c:ser>
        <c:ser>
          <c:idx val="2"/>
          <c:order val="2"/>
          <c:tx>
            <c:strRef>
              <c:f>'FIX-EX'!$B$83</c:f>
              <c:strCache>
                <c:ptCount val="1"/>
                <c:pt idx="0">
                  <c:v>Fixed-EXPANDED</c:v>
                </c:pt>
              </c:strCache>
            </c:strRef>
          </c:tx>
          <c:spPr>
            <a:solidFill>
              <a:srgbClr val="0B5E90"/>
            </a:solidFill>
            <a:ln>
              <a:noFill/>
            </a:ln>
            <a:effectLst/>
          </c:spPr>
          <c:invertIfNegative val="0"/>
          <c:cat>
            <c:numRef>
              <c:f>'TOTAL-Expand'!$D$6:$Q$6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'FIX-EX'!$D$83:$Q$83</c:f>
              <c:numCache>
                <c:formatCode>0</c:formatCode>
                <c:ptCount val="14"/>
                <c:pt idx="0">
                  <c:v>0</c:v>
                </c:pt>
                <c:pt idx="1">
                  <c:v>0</c:v>
                </c:pt>
                <c:pt idx="2">
                  <c:v>0</c:v>
                </c:pt>
                <c:pt idx="3">
                  <c:v>0</c:v>
                </c:pt>
                <c:pt idx="4">
                  <c:v>0</c:v>
                </c:pt>
                <c:pt idx="5">
                  <c:v>0</c:v>
                </c:pt>
                <c:pt idx="6">
                  <c:v>0</c:v>
                </c:pt>
                <c:pt idx="7">
                  <c:v>0</c:v>
                </c:pt>
                <c:pt idx="8">
                  <c:v>0</c:v>
                </c:pt>
                <c:pt idx="9">
                  <c:v>1500</c:v>
                </c:pt>
                <c:pt idx="10">
                  <c:v>2000</c:v>
                </c:pt>
                <c:pt idx="11">
                  <c:v>2500</c:v>
                </c:pt>
                <c:pt idx="12">
                  <c:v>1000</c:v>
                </c:pt>
                <c:pt idx="13">
                  <c:v>0</c:v>
                </c:pt>
              </c:numCache>
            </c:numRef>
          </c:val>
          <c:extLst>
            <c:ext xmlns:c16="http://schemas.microsoft.com/office/drawing/2014/chart" uri="{C3380CC4-5D6E-409C-BE32-E72D297353CC}">
              <c16:uniqueId val="{00000001-C648-48AA-A1B5-5706BFCB721B}"/>
            </c:ext>
          </c:extLst>
        </c:ser>
        <c:ser>
          <c:idx val="0"/>
          <c:order val="3"/>
          <c:tx>
            <c:strRef>
              <c:f>'WC-known'!$B$83</c:f>
              <c:strCache>
                <c:ptCount val="1"/>
                <c:pt idx="0">
                  <c:v>Floating</c:v>
                </c:pt>
              </c:strCache>
            </c:strRef>
          </c:tx>
          <c:spPr>
            <a:solidFill>
              <a:srgbClr val="0B5E90"/>
            </a:solidFill>
            <a:ln>
              <a:noFill/>
            </a:ln>
            <a:effectLst/>
          </c:spPr>
          <c:invertIfNegative val="0"/>
          <c:cat>
            <c:numRef>
              <c:f>'TOTAL-Expand'!$D$6:$Q$6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'WC-known'!$D$83:$Q$83</c:f>
              <c:numCache>
                <c:formatCode>0</c:formatCode>
                <c:ptCount val="14"/>
                <c:pt idx="0">
                  <c:v>0</c:v>
                </c:pt>
                <c:pt idx="1">
                  <c:v>0</c:v>
                </c:pt>
                <c:pt idx="2">
                  <c:v>0</c:v>
                </c:pt>
                <c:pt idx="3">
                  <c:v>0</c:v>
                </c:pt>
                <c:pt idx="4">
                  <c:v>0</c:v>
                </c:pt>
                <c:pt idx="5">
                  <c:v>0</c:v>
                </c:pt>
                <c:pt idx="6">
                  <c:v>500.17521131546539</c:v>
                </c:pt>
                <c:pt idx="7">
                  <c:v>1000.1912889446969</c:v>
                </c:pt>
                <c:pt idx="8">
                  <c:v>1000.1912889446969</c:v>
                </c:pt>
                <c:pt idx="9">
                  <c:v>1099.5781203542456</c:v>
                </c:pt>
                <c:pt idx="10">
                  <c:v>499.73452830990107</c:v>
                </c:pt>
                <c:pt idx="11">
                  <c:v>399.88395701482398</c:v>
                </c:pt>
                <c:pt idx="12">
                  <c:v>0</c:v>
                </c:pt>
                <c:pt idx="13">
                  <c:v>0</c:v>
                </c:pt>
              </c:numCache>
            </c:numRef>
          </c:val>
          <c:extLst>
            <c:ext xmlns:c16="http://schemas.microsoft.com/office/drawing/2014/chart" uri="{C3380CC4-5D6E-409C-BE32-E72D297353CC}">
              <c16:uniqueId val="{00000002-C648-48AA-A1B5-5706BFCB721B}"/>
            </c:ext>
          </c:extLst>
        </c:ser>
        <c:ser>
          <c:idx val="3"/>
          <c:order val="4"/>
          <c:tx>
            <c:strRef>
              <c:f>'FLOAT-EX'!$B$83</c:f>
              <c:strCache>
                <c:ptCount val="1"/>
                <c:pt idx="0">
                  <c:v>Floating-EXPANDED</c:v>
                </c:pt>
              </c:strCache>
            </c:strRef>
          </c:tx>
          <c:spPr>
            <a:solidFill>
              <a:srgbClr val="0B5E90"/>
            </a:solidFill>
            <a:ln>
              <a:noFill/>
            </a:ln>
            <a:effectLst/>
          </c:spPr>
          <c:invertIfNegative val="0"/>
          <c:cat>
            <c:numRef>
              <c:f>'TOTAL-Expand'!$D$6:$Q$6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'FLOAT-EX'!$D$83:$Q$83</c:f>
              <c:numCache>
                <c:formatCode>0</c:formatCode>
                <c:ptCount val="14"/>
                <c:pt idx="0">
                  <c:v>0</c:v>
                </c:pt>
                <c:pt idx="1">
                  <c:v>0</c:v>
                </c:pt>
                <c:pt idx="2">
                  <c:v>0</c:v>
                </c:pt>
                <c:pt idx="3">
                  <c:v>0</c:v>
                </c:pt>
                <c:pt idx="4">
                  <c:v>0</c:v>
                </c:pt>
                <c:pt idx="5">
                  <c:v>0</c:v>
                </c:pt>
                <c:pt idx="6">
                  <c:v>0</c:v>
                </c:pt>
                <c:pt idx="7">
                  <c:v>0</c:v>
                </c:pt>
                <c:pt idx="8">
                  <c:v>0</c:v>
                </c:pt>
                <c:pt idx="9">
                  <c:v>1644</c:v>
                </c:pt>
                <c:pt idx="10">
                  <c:v>500</c:v>
                </c:pt>
                <c:pt idx="11">
                  <c:v>3200</c:v>
                </c:pt>
                <c:pt idx="12">
                  <c:v>2500</c:v>
                </c:pt>
                <c:pt idx="13">
                  <c:v>4500</c:v>
                </c:pt>
              </c:numCache>
            </c:numRef>
          </c:val>
          <c:extLst>
            <c:ext xmlns:c16="http://schemas.microsoft.com/office/drawing/2014/chart" uri="{C3380CC4-5D6E-409C-BE32-E72D297353CC}">
              <c16:uniqueId val="{00000003-C648-48AA-A1B5-5706BFCB721B}"/>
            </c:ext>
          </c:extLst>
        </c:ser>
        <c:dLbls>
          <c:showLegendKey val="0"/>
          <c:showVal val="0"/>
          <c:showCatName val="0"/>
          <c:showSerName val="0"/>
          <c:showPercent val="0"/>
          <c:showBubbleSize val="0"/>
        </c:dLbls>
        <c:gapWidth val="24"/>
        <c:overlap val="100"/>
        <c:axId val="892187192"/>
        <c:axId val="892188176"/>
      </c:barChart>
      <c:lineChart>
        <c:grouping val="standard"/>
        <c:varyColors val="0"/>
        <c:ser>
          <c:idx val="4"/>
          <c:order val="0"/>
          <c:tx>
            <c:strRef>
              <c:f>'TOTAL-Expand'!$B$82</c:f>
              <c:strCache>
                <c:ptCount val="1"/>
                <c:pt idx="0">
                  <c:v>Cumulative MW</c:v>
                </c:pt>
              </c:strCache>
            </c:strRef>
          </c:tx>
          <c:spPr>
            <a:ln w="28575" cap="rnd">
              <a:solidFill>
                <a:srgbClr val="C00000"/>
              </a:solidFill>
              <a:round/>
            </a:ln>
            <a:effectLst/>
          </c:spPr>
          <c:marker>
            <c:symbol val="none"/>
          </c:marker>
          <c:cat>
            <c:numRef>
              <c:f>'TOTAL-Expand'!$C$6:$Q$6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'TOTAL-Expand'!$D$82:$Q$82</c:f>
              <c:numCache>
                <c:formatCode>0</c:formatCode>
                <c:ptCount val="14"/>
                <c:pt idx="0">
                  <c:v>0</c:v>
                </c:pt>
                <c:pt idx="1">
                  <c:v>513.23076923076928</c:v>
                </c:pt>
                <c:pt idx="2">
                  <c:v>4802.5843568196515</c:v>
                </c:pt>
                <c:pt idx="3">
                  <c:v>8587.7382029734981</c:v>
                </c:pt>
                <c:pt idx="4">
                  <c:v>12061.738202973498</c:v>
                </c:pt>
                <c:pt idx="5">
                  <c:v>14966.338202973498</c:v>
                </c:pt>
                <c:pt idx="6">
                  <c:v>21092.507252847197</c:v>
                </c:pt>
                <c:pt idx="7">
                  <c:v>24386.698541791895</c:v>
                </c:pt>
                <c:pt idx="8">
                  <c:v>30115.827520912018</c:v>
                </c:pt>
                <c:pt idx="9">
                  <c:v>35861.543520228166</c:v>
                </c:pt>
                <c:pt idx="10">
                  <c:v>42272.545877616772</c:v>
                </c:pt>
                <c:pt idx="11">
                  <c:v>49439.429834631599</c:v>
                </c:pt>
                <c:pt idx="12">
                  <c:v>54380.921455283176</c:v>
                </c:pt>
                <c:pt idx="13">
                  <c:v>59804.921455283176</c:v>
                </c:pt>
              </c:numCache>
            </c:numRef>
          </c:val>
          <c:smooth val="0"/>
          <c:extLst>
            <c:ext xmlns:c16="http://schemas.microsoft.com/office/drawing/2014/chart" uri="{C3380CC4-5D6E-409C-BE32-E72D297353CC}">
              <c16:uniqueId val="{00000004-C648-48AA-A1B5-5706BFCB721B}"/>
            </c:ext>
          </c:extLst>
        </c:ser>
        <c:dLbls>
          <c:showLegendKey val="0"/>
          <c:showVal val="0"/>
          <c:showCatName val="0"/>
          <c:showSerName val="0"/>
          <c:showPercent val="0"/>
          <c:showBubbleSize val="0"/>
        </c:dLbls>
        <c:marker val="1"/>
        <c:smooth val="0"/>
        <c:axId val="1237321640"/>
        <c:axId val="1237320328"/>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400" b="1"/>
                  <a:t>YEAR</a:t>
                </a:r>
              </a:p>
            </c:rich>
          </c:tx>
          <c:layout>
            <c:manualLayout>
              <c:xMode val="edge"/>
              <c:yMode val="edge"/>
              <c:x val="0.4843004537699796"/>
              <c:y val="0.92521126318716718"/>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000"/>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400" b="1" baseline="0"/>
                  <a:t> MW per Year</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237320328"/>
        <c:scaling>
          <c:orientation val="minMax"/>
          <c:max val="70000"/>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400" b="1"/>
                  <a:t>Cumulative capacity, MW</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237321640"/>
        <c:crosses val="max"/>
        <c:crossBetween val="between"/>
      </c:valAx>
      <c:catAx>
        <c:axId val="1237321640"/>
        <c:scaling>
          <c:orientation val="minMax"/>
        </c:scaling>
        <c:delete val="1"/>
        <c:axPos val="b"/>
        <c:numFmt formatCode="General" sourceLinked="1"/>
        <c:majorTickMark val="out"/>
        <c:minorTickMark val="none"/>
        <c:tickLblPos val="nextTo"/>
        <c:crossAx val="1237320328"/>
        <c:crosses val="autoZero"/>
        <c:auto val="1"/>
        <c:lblAlgn val="ctr"/>
        <c:lblOffset val="100"/>
        <c:noMultiLvlLbl val="0"/>
      </c:catAx>
      <c:spPr>
        <a:noFill/>
        <a:ln w="6350">
          <a:solidFill>
            <a:schemeClr val="accent1"/>
          </a:solid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Vessels Required and Turbines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417250198291675E-2"/>
          <c:y val="7.5282334926584052E-2"/>
          <c:w val="0.82771678647263758"/>
          <c:h val="0.79270271721152119"/>
        </c:manualLayout>
      </c:layout>
      <c:barChart>
        <c:barDir val="col"/>
        <c:grouping val="stacked"/>
        <c:varyColors val="0"/>
        <c:ser>
          <c:idx val="0"/>
          <c:order val="0"/>
          <c:tx>
            <c:strRef>
              <c:f>'EC-known'!$B$86</c:f>
              <c:strCache>
                <c:ptCount val="1"/>
                <c:pt idx="0">
                  <c:v>12</c:v>
                </c:pt>
              </c:strCache>
            </c:strRef>
          </c:tx>
          <c:spPr>
            <a:solidFill>
              <a:srgbClr val="0079C2"/>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'EC-known'!$C$86:$Q$86</c:f>
              <c:numCache>
                <c:formatCode>0</c:formatCode>
                <c:ptCount val="15"/>
                <c:pt idx="1">
                  <c:v>0</c:v>
                </c:pt>
                <c:pt idx="2">
                  <c:v>42.769230769230774</c:v>
                </c:pt>
                <c:pt idx="3">
                  <c:v>261.79487179487182</c:v>
                </c:pt>
                <c:pt idx="4">
                  <c:v>187.5128205128205</c:v>
                </c:pt>
                <c:pt idx="5">
                  <c:v>60.666666666666664</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0-1BFA-449D-A462-B4859DE3F073}"/>
            </c:ext>
          </c:extLst>
        </c:ser>
        <c:ser>
          <c:idx val="5"/>
          <c:order val="5"/>
          <c:tx>
            <c:strRef>
              <c:f>'EC-known'!$B$87</c:f>
              <c:strCache>
                <c:ptCount val="1"/>
                <c:pt idx="0">
                  <c:v>15</c:v>
                </c:pt>
              </c:strCache>
            </c:strRef>
          </c:tx>
          <c:spPr>
            <a:solidFill>
              <a:srgbClr val="5E6A71"/>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'EC-known'!$C$87:$Q$87</c:f>
              <c:numCache>
                <c:formatCode>0</c:formatCode>
                <c:ptCount val="15"/>
                <c:pt idx="1">
                  <c:v>0</c:v>
                </c:pt>
                <c:pt idx="2">
                  <c:v>0</c:v>
                </c:pt>
                <c:pt idx="3">
                  <c:v>76.52100840336135</c:v>
                </c:pt>
                <c:pt idx="4">
                  <c:v>102.33333333333334</c:v>
                </c:pt>
                <c:pt idx="5">
                  <c:v>183.06666666666666</c:v>
                </c:pt>
                <c:pt idx="6">
                  <c:v>193.64</c:v>
                </c:pt>
                <c:pt idx="7">
                  <c:v>375.06625590388217</c:v>
                </c:pt>
                <c:pt idx="8">
                  <c:v>152.93333333333334</c:v>
                </c:pt>
                <c:pt idx="9">
                  <c:v>315.26251267836159</c:v>
                </c:pt>
                <c:pt idx="10">
                  <c:v>0</c:v>
                </c:pt>
                <c:pt idx="11">
                  <c:v>0</c:v>
                </c:pt>
                <c:pt idx="12">
                  <c:v>0</c:v>
                </c:pt>
                <c:pt idx="13">
                  <c:v>0</c:v>
                </c:pt>
                <c:pt idx="14">
                  <c:v>0</c:v>
                </c:pt>
              </c:numCache>
            </c:numRef>
          </c:val>
          <c:extLst>
            <c:ext xmlns:c16="http://schemas.microsoft.com/office/drawing/2014/chart" uri="{C3380CC4-5D6E-409C-BE32-E72D297353CC}">
              <c16:uniqueId val="{00000001-1BFA-449D-A462-B4859DE3F073}"/>
            </c:ext>
          </c:extLst>
        </c:ser>
        <c:ser>
          <c:idx val="6"/>
          <c:order val="6"/>
          <c:tx>
            <c:strRef>
              <c:f>'EC-known'!$B$88</c:f>
              <c:strCache>
                <c:ptCount val="1"/>
                <c:pt idx="0">
                  <c:v>18</c:v>
                </c:pt>
              </c:strCache>
            </c:strRef>
          </c:tx>
          <c:spPr>
            <a:solidFill>
              <a:srgbClr val="5D9732"/>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'EC-known'!$C$88:$Q$88</c:f>
              <c:numCache>
                <c:formatCode>0</c:formatCode>
                <c:ptCount val="15"/>
                <c:pt idx="1">
                  <c:v>0</c:v>
                </c:pt>
                <c:pt idx="2">
                  <c:v>0</c:v>
                </c:pt>
                <c:pt idx="3">
                  <c:v>0</c:v>
                </c:pt>
                <c:pt idx="4">
                  <c:v>0</c:v>
                </c:pt>
                <c:pt idx="5">
                  <c:v>0</c:v>
                </c:pt>
                <c:pt idx="6">
                  <c:v>0</c:v>
                </c:pt>
                <c:pt idx="7">
                  <c:v>0</c:v>
                </c:pt>
                <c:pt idx="8">
                  <c:v>0</c:v>
                </c:pt>
                <c:pt idx="9">
                  <c:v>0</c:v>
                </c:pt>
                <c:pt idx="10">
                  <c:v>83.452104386772191</c:v>
                </c:pt>
                <c:pt idx="11">
                  <c:v>189.51487939326151</c:v>
                </c:pt>
                <c:pt idx="12">
                  <c:v>59.277777777777779</c:v>
                </c:pt>
                <c:pt idx="13">
                  <c:v>80.082867813976321</c:v>
                </c:pt>
                <c:pt idx="14">
                  <c:v>51.333333333333336</c:v>
                </c:pt>
              </c:numCache>
            </c:numRef>
          </c:val>
          <c:extLst>
            <c:ext xmlns:c16="http://schemas.microsoft.com/office/drawing/2014/chart" uri="{C3380CC4-5D6E-409C-BE32-E72D297353CC}">
              <c16:uniqueId val="{00000002-1BFA-449D-A462-B4859DE3F073}"/>
            </c:ext>
          </c:extLst>
        </c:ser>
        <c:dLbls>
          <c:showLegendKey val="0"/>
          <c:showVal val="0"/>
          <c:showCatName val="0"/>
          <c:showSerName val="0"/>
          <c:showPercent val="0"/>
          <c:showBubbleSize val="0"/>
        </c:dLbls>
        <c:gapWidth val="200"/>
        <c:overlap val="100"/>
        <c:axId val="45334935"/>
        <c:axId val="45341167"/>
      </c:barChart>
      <c:lineChart>
        <c:grouping val="standard"/>
        <c:varyColors val="0"/>
        <c:ser>
          <c:idx val="1"/>
          <c:order val="1"/>
          <c:tx>
            <c:strRef>
              <c:f>'EC-known'!$B$130</c:f>
              <c:strCache>
                <c:ptCount val="1"/>
                <c:pt idx="0">
                  <c:v>CTV</c:v>
                </c:pt>
              </c:strCache>
            </c:strRef>
          </c:tx>
          <c:spPr>
            <a:ln w="28575" cap="rnd">
              <a:solidFill>
                <a:schemeClr val="accent2"/>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'EC-known'!$C$130:$Q$130</c:f>
              <c:numCache>
                <c:formatCode>0</c:formatCode>
                <c:ptCount val="15"/>
                <c:pt idx="1">
                  <c:v>0</c:v>
                </c:pt>
                <c:pt idx="2">
                  <c:v>6</c:v>
                </c:pt>
                <c:pt idx="3">
                  <c:v>18</c:v>
                </c:pt>
                <c:pt idx="4">
                  <c:v>26</c:v>
                </c:pt>
                <c:pt idx="5">
                  <c:v>32</c:v>
                </c:pt>
                <c:pt idx="6">
                  <c:v>33</c:v>
                </c:pt>
                <c:pt idx="7">
                  <c:v>41</c:v>
                </c:pt>
                <c:pt idx="8">
                  <c:v>44</c:v>
                </c:pt>
                <c:pt idx="9">
                  <c:v>49</c:v>
                </c:pt>
                <c:pt idx="10">
                  <c:v>50</c:v>
                </c:pt>
                <c:pt idx="11">
                  <c:v>50</c:v>
                </c:pt>
                <c:pt idx="12">
                  <c:v>50</c:v>
                </c:pt>
                <c:pt idx="13">
                  <c:v>51</c:v>
                </c:pt>
                <c:pt idx="14">
                  <c:v>52</c:v>
                </c:pt>
              </c:numCache>
            </c:numRef>
          </c:val>
          <c:smooth val="0"/>
          <c:extLst>
            <c:ext xmlns:c16="http://schemas.microsoft.com/office/drawing/2014/chart" uri="{C3380CC4-5D6E-409C-BE32-E72D297353CC}">
              <c16:uniqueId val="{00000003-1BFA-449D-A462-B4859DE3F073}"/>
            </c:ext>
          </c:extLst>
        </c:ser>
        <c:ser>
          <c:idx val="2"/>
          <c:order val="2"/>
          <c:tx>
            <c:strRef>
              <c:f>'EC-known'!$B$129</c:f>
              <c:strCache>
                <c:ptCount val="1"/>
                <c:pt idx="0">
                  <c:v>Feeder Barges</c:v>
                </c:pt>
              </c:strCache>
            </c:strRef>
          </c:tx>
          <c:spPr>
            <a:ln w="28575" cap="rnd">
              <a:solidFill>
                <a:schemeClr val="accent3"/>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'EC-known'!$C$129:$Q$129</c:f>
              <c:numCache>
                <c:formatCode>0</c:formatCode>
                <c:ptCount val="15"/>
                <c:pt idx="1">
                  <c:v>0</c:v>
                </c:pt>
                <c:pt idx="2">
                  <c:v>4</c:v>
                </c:pt>
                <c:pt idx="3">
                  <c:v>10</c:v>
                </c:pt>
                <c:pt idx="4">
                  <c:v>10</c:v>
                </c:pt>
                <c:pt idx="5">
                  <c:v>10</c:v>
                </c:pt>
                <c:pt idx="6">
                  <c:v>8</c:v>
                </c:pt>
                <c:pt idx="7">
                  <c:v>10</c:v>
                </c:pt>
                <c:pt idx="8">
                  <c:v>4</c:v>
                </c:pt>
                <c:pt idx="9">
                  <c:v>8</c:v>
                </c:pt>
                <c:pt idx="10">
                  <c:v>4</c:v>
                </c:pt>
                <c:pt idx="11">
                  <c:v>8</c:v>
                </c:pt>
                <c:pt idx="12">
                  <c:v>4</c:v>
                </c:pt>
                <c:pt idx="13">
                  <c:v>4</c:v>
                </c:pt>
                <c:pt idx="14">
                  <c:v>4</c:v>
                </c:pt>
              </c:numCache>
            </c:numRef>
          </c:val>
          <c:smooth val="0"/>
          <c:extLst>
            <c:ext xmlns:c16="http://schemas.microsoft.com/office/drawing/2014/chart" uri="{C3380CC4-5D6E-409C-BE32-E72D297353CC}">
              <c16:uniqueId val="{00000004-1BFA-449D-A462-B4859DE3F073}"/>
            </c:ext>
          </c:extLst>
        </c:ser>
        <c:ser>
          <c:idx val="3"/>
          <c:order val="3"/>
          <c:tx>
            <c:v>WTIV</c:v>
          </c:tx>
          <c:spPr>
            <a:ln w="28575" cap="rnd">
              <a:solidFill>
                <a:schemeClr val="accent4"/>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'EC-known'!$C$126:$Q$126</c:f>
              <c:numCache>
                <c:formatCode>0</c:formatCode>
                <c:ptCount val="15"/>
                <c:pt idx="1">
                  <c:v>0</c:v>
                </c:pt>
                <c:pt idx="2">
                  <c:v>2</c:v>
                </c:pt>
                <c:pt idx="3">
                  <c:v>5</c:v>
                </c:pt>
                <c:pt idx="4">
                  <c:v>5</c:v>
                </c:pt>
                <c:pt idx="5">
                  <c:v>5</c:v>
                </c:pt>
                <c:pt idx="6">
                  <c:v>4</c:v>
                </c:pt>
                <c:pt idx="7">
                  <c:v>5</c:v>
                </c:pt>
                <c:pt idx="8">
                  <c:v>2</c:v>
                </c:pt>
                <c:pt idx="9">
                  <c:v>4</c:v>
                </c:pt>
                <c:pt idx="10">
                  <c:v>2</c:v>
                </c:pt>
                <c:pt idx="11">
                  <c:v>4</c:v>
                </c:pt>
                <c:pt idx="12">
                  <c:v>2</c:v>
                </c:pt>
                <c:pt idx="13">
                  <c:v>2</c:v>
                </c:pt>
                <c:pt idx="14">
                  <c:v>2</c:v>
                </c:pt>
              </c:numCache>
            </c:numRef>
          </c:val>
          <c:smooth val="0"/>
          <c:extLst>
            <c:ext xmlns:c16="http://schemas.microsoft.com/office/drawing/2014/chart" uri="{C3380CC4-5D6E-409C-BE32-E72D297353CC}">
              <c16:uniqueId val="{00000005-1BFA-449D-A462-B4859DE3F073}"/>
            </c:ext>
          </c:extLst>
        </c:ser>
        <c:ser>
          <c:idx val="4"/>
          <c:order val="4"/>
          <c:tx>
            <c:strRef>
              <c:f>'EC-known'!$B$132</c:f>
              <c:strCache>
                <c:ptCount val="1"/>
                <c:pt idx="0">
                  <c:v>CLV</c:v>
                </c:pt>
              </c:strCache>
            </c:strRef>
          </c:tx>
          <c:spPr>
            <a:ln w="38100" cap="rnd">
              <a:solidFill>
                <a:schemeClr val="accent5"/>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'EC-known'!$C$132:$Q$132</c:f>
              <c:numCache>
                <c:formatCode>0</c:formatCode>
                <c:ptCount val="15"/>
                <c:pt idx="1">
                  <c:v>0</c:v>
                </c:pt>
                <c:pt idx="2">
                  <c:v>1</c:v>
                </c:pt>
                <c:pt idx="3">
                  <c:v>4</c:v>
                </c:pt>
                <c:pt idx="4">
                  <c:v>3</c:v>
                </c:pt>
                <c:pt idx="5">
                  <c:v>3</c:v>
                </c:pt>
                <c:pt idx="6">
                  <c:v>2</c:v>
                </c:pt>
                <c:pt idx="7">
                  <c:v>4</c:v>
                </c:pt>
                <c:pt idx="8">
                  <c:v>2</c:v>
                </c:pt>
                <c:pt idx="9">
                  <c:v>4</c:v>
                </c:pt>
                <c:pt idx="10">
                  <c:v>1</c:v>
                </c:pt>
                <c:pt idx="11">
                  <c:v>3</c:v>
                </c:pt>
                <c:pt idx="12">
                  <c:v>1</c:v>
                </c:pt>
                <c:pt idx="13">
                  <c:v>2</c:v>
                </c:pt>
                <c:pt idx="14">
                  <c:v>1</c:v>
                </c:pt>
              </c:numCache>
            </c:numRef>
          </c:val>
          <c:smooth val="0"/>
          <c:extLst>
            <c:ext xmlns:c16="http://schemas.microsoft.com/office/drawing/2014/chart" uri="{C3380CC4-5D6E-409C-BE32-E72D297353CC}">
              <c16:uniqueId val="{00000006-1BFA-449D-A462-B4859DE3F073}"/>
            </c:ext>
          </c:extLst>
        </c:ser>
        <c:ser>
          <c:idx val="7"/>
          <c:order val="7"/>
          <c:tx>
            <c:strRef>
              <c:f>'EC-known'!$B$131</c:f>
              <c:strCache>
                <c:ptCount val="1"/>
                <c:pt idx="0">
                  <c:v>SOV</c:v>
                </c:pt>
              </c:strCache>
            </c:strRef>
          </c:tx>
          <c:spPr>
            <a:ln w="28575" cap="rnd">
              <a:solidFill>
                <a:schemeClr val="accent2">
                  <a:lumMod val="60000"/>
                </a:schemeClr>
              </a:solidFill>
              <a:round/>
            </a:ln>
            <a:effectLst/>
          </c:spPr>
          <c:marker>
            <c:symbol val="none"/>
          </c:marker>
          <c:val>
            <c:numRef>
              <c:f>'EC-known'!$C$131:$Q$131</c:f>
              <c:numCache>
                <c:formatCode>0</c:formatCode>
                <c:ptCount val="15"/>
                <c:pt idx="1">
                  <c:v>0</c:v>
                </c:pt>
                <c:pt idx="2">
                  <c:v>1</c:v>
                </c:pt>
                <c:pt idx="3">
                  <c:v>2</c:v>
                </c:pt>
                <c:pt idx="4">
                  <c:v>4</c:v>
                </c:pt>
                <c:pt idx="5">
                  <c:v>5</c:v>
                </c:pt>
                <c:pt idx="6">
                  <c:v>6</c:v>
                </c:pt>
                <c:pt idx="7">
                  <c:v>8</c:v>
                </c:pt>
                <c:pt idx="8">
                  <c:v>9</c:v>
                </c:pt>
                <c:pt idx="9">
                  <c:v>10</c:v>
                </c:pt>
                <c:pt idx="10">
                  <c:v>11</c:v>
                </c:pt>
                <c:pt idx="11">
                  <c:v>12</c:v>
                </c:pt>
                <c:pt idx="12">
                  <c:v>12</c:v>
                </c:pt>
                <c:pt idx="13">
                  <c:v>12</c:v>
                </c:pt>
                <c:pt idx="14">
                  <c:v>13</c:v>
                </c:pt>
              </c:numCache>
            </c:numRef>
          </c:val>
          <c:smooth val="0"/>
          <c:extLst>
            <c:ext xmlns:c16="http://schemas.microsoft.com/office/drawing/2014/chart" uri="{C3380CC4-5D6E-409C-BE32-E72D297353CC}">
              <c16:uniqueId val="{00000016-FB7C-42F0-B9F9-1FC41980EF34}"/>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Vessels Required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minorUnit val="5"/>
      </c:valAx>
      <c:valAx>
        <c:axId val="45341167"/>
        <c:scaling>
          <c:orientation val="minMax"/>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 Turbines Installed </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5334935"/>
        <c:crosses val="max"/>
        <c:crossBetween val="between"/>
      </c:valAx>
      <c:catAx>
        <c:axId val="45334935"/>
        <c:scaling>
          <c:orientation val="minMax"/>
        </c:scaling>
        <c:delete val="1"/>
        <c:axPos val="b"/>
        <c:numFmt formatCode="General" sourceLinked="1"/>
        <c:majorTickMark val="out"/>
        <c:minorTickMark val="none"/>
        <c:tickLblPos val="nextTo"/>
        <c:crossAx val="45341167"/>
        <c:crosses val="autoZero"/>
        <c:auto val="1"/>
        <c:lblAlgn val="ctr"/>
        <c:lblOffset val="100"/>
        <c:noMultiLvlLbl val="0"/>
      </c:catAx>
      <c:spPr>
        <a:noFill/>
        <a:ln>
          <a:noFill/>
        </a:ln>
        <a:effectLst/>
      </c:spPr>
    </c:plotArea>
    <c:legend>
      <c:legendPos val="b"/>
      <c:layout>
        <c:manualLayout>
          <c:xMode val="edge"/>
          <c:yMode val="edge"/>
          <c:x val="0.10195364966059496"/>
          <c:y val="9.4921392701569532E-2"/>
          <c:w val="0.56009852335285482"/>
          <c:h val="4.1790349646219603E-2"/>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nchor="t" anchorCtr="1"/>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Total MW and Projects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462671550043816E-2"/>
          <c:y val="7.5282334926584052E-2"/>
          <c:w val="0.84749648151120716"/>
          <c:h val="0.76811631697945759"/>
        </c:manualLayout>
      </c:layout>
      <c:barChart>
        <c:barDir val="col"/>
        <c:grouping val="clustered"/>
        <c:varyColors val="0"/>
        <c:ser>
          <c:idx val="0"/>
          <c:order val="0"/>
          <c:tx>
            <c:strRef>
              <c:f>'EC-known'!$B$83</c:f>
              <c:strCache>
                <c:ptCount val="1"/>
                <c:pt idx="0">
                  <c:v>Fixed</c:v>
                </c:pt>
              </c:strCache>
            </c:strRef>
          </c:tx>
          <c:spPr>
            <a:solidFill>
              <a:srgbClr val="0079C2"/>
            </a:solidFill>
            <a:ln>
              <a:noFill/>
            </a:ln>
            <a:effectLst/>
          </c:spPr>
          <c:invertIfNegative val="0"/>
          <c:cat>
            <c:numRef>
              <c:f>'EC-known'!$C$6:$Q$6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'EC-known'!$C$83:$Q$83</c:f>
              <c:numCache>
                <c:formatCode>0</c:formatCode>
                <c:ptCount val="15"/>
                <c:pt idx="1">
                  <c:v>0</c:v>
                </c:pt>
                <c:pt idx="2">
                  <c:v>513.23076923076928</c:v>
                </c:pt>
                <c:pt idx="3">
                  <c:v>4289.353587588882</c:v>
                </c:pt>
                <c:pt idx="4">
                  <c:v>3785.1538461538457</c:v>
                </c:pt>
                <c:pt idx="5">
                  <c:v>3474</c:v>
                </c:pt>
                <c:pt idx="6">
                  <c:v>2904.6</c:v>
                </c:pt>
                <c:pt idx="7">
                  <c:v>5625.9938385582327</c:v>
                </c:pt>
                <c:pt idx="8">
                  <c:v>2294</c:v>
                </c:pt>
                <c:pt idx="9">
                  <c:v>4728.937690175424</c:v>
                </c:pt>
                <c:pt idx="10">
                  <c:v>1502.1378789618993</c:v>
                </c:pt>
                <c:pt idx="11">
                  <c:v>3411.2678290787071</c:v>
                </c:pt>
                <c:pt idx="12">
                  <c:v>1067</c:v>
                </c:pt>
                <c:pt idx="13">
                  <c:v>1441.4916206515738</c:v>
                </c:pt>
                <c:pt idx="14">
                  <c:v>924</c:v>
                </c:pt>
              </c:numCache>
            </c:numRef>
          </c:val>
          <c:extLst>
            <c:ext xmlns:c16="http://schemas.microsoft.com/office/drawing/2014/chart" uri="{C3380CC4-5D6E-409C-BE32-E72D297353CC}">
              <c16:uniqueId val="{00000000-A0A7-42C6-A49C-F9F5132B8945}"/>
            </c:ext>
          </c:extLst>
        </c:ser>
        <c:dLbls>
          <c:showLegendKey val="0"/>
          <c:showVal val="0"/>
          <c:showCatName val="0"/>
          <c:showSerName val="0"/>
          <c:showPercent val="0"/>
          <c:showBubbleSize val="0"/>
        </c:dLbls>
        <c:gapWidth val="200"/>
        <c:overlap val="100"/>
        <c:axId val="1105198224"/>
        <c:axId val="1105196256"/>
      </c:barChart>
      <c:lineChart>
        <c:grouping val="standard"/>
        <c:varyColors val="0"/>
        <c:ser>
          <c:idx val="4"/>
          <c:order val="1"/>
          <c:tx>
            <c:strRef>
              <c:f>'EC-known'!$B$84</c:f>
              <c:strCache>
                <c:ptCount val="1"/>
                <c:pt idx="0">
                  <c:v>Projects Constructed</c:v>
                </c:pt>
              </c:strCache>
            </c:strRef>
          </c:tx>
          <c:spPr>
            <a:ln w="38100" cap="rnd">
              <a:solidFill>
                <a:srgbClr val="933C06"/>
              </a:solidFill>
              <a:round/>
            </a:ln>
            <a:effectLst/>
          </c:spPr>
          <c:marker>
            <c:symbol val="none"/>
          </c:marker>
          <c:cat>
            <c:numRef>
              <c:f>'EC-known'!$C$6:$Q$6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'EC-known'!$C$84:$Q$84</c:f>
              <c:numCache>
                <c:formatCode>0</c:formatCode>
                <c:ptCount val="15"/>
                <c:pt idx="1">
                  <c:v>0</c:v>
                </c:pt>
                <c:pt idx="2">
                  <c:v>2</c:v>
                </c:pt>
                <c:pt idx="3">
                  <c:v>6</c:v>
                </c:pt>
                <c:pt idx="4">
                  <c:v>5</c:v>
                </c:pt>
                <c:pt idx="5">
                  <c:v>6</c:v>
                </c:pt>
                <c:pt idx="6">
                  <c:v>3</c:v>
                </c:pt>
                <c:pt idx="7">
                  <c:v>7</c:v>
                </c:pt>
                <c:pt idx="8">
                  <c:v>3</c:v>
                </c:pt>
                <c:pt idx="9">
                  <c:v>6</c:v>
                </c:pt>
                <c:pt idx="10">
                  <c:v>2</c:v>
                </c:pt>
                <c:pt idx="11">
                  <c:v>3</c:v>
                </c:pt>
                <c:pt idx="12">
                  <c:v>1</c:v>
                </c:pt>
                <c:pt idx="13">
                  <c:v>2</c:v>
                </c:pt>
                <c:pt idx="14">
                  <c:v>1</c:v>
                </c:pt>
              </c:numCache>
            </c:numRef>
          </c:val>
          <c:smooth val="0"/>
          <c:extLst>
            <c:ext xmlns:c16="http://schemas.microsoft.com/office/drawing/2014/chart" uri="{C3380CC4-5D6E-409C-BE32-E72D297353CC}">
              <c16:uniqueId val="{00000001-A0A7-42C6-A49C-F9F5132B8945}"/>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2"/>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Projects Constructed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105196256"/>
        <c:scaling>
          <c:orientation val="minMax"/>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MW per year</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05198224"/>
        <c:crosses val="max"/>
        <c:crossBetween val="between"/>
      </c:valAx>
      <c:catAx>
        <c:axId val="1105198224"/>
        <c:scaling>
          <c:orientation val="minMax"/>
        </c:scaling>
        <c:delete val="1"/>
        <c:axPos val="b"/>
        <c:numFmt formatCode="General" sourceLinked="1"/>
        <c:majorTickMark val="out"/>
        <c:minorTickMark val="none"/>
        <c:tickLblPos val="nextTo"/>
        <c:crossAx val="1105196256"/>
        <c:crosses val="autoZero"/>
        <c:auto val="1"/>
        <c:lblAlgn val="ctr"/>
        <c:lblOffset val="100"/>
        <c:noMultiLvlLbl val="0"/>
      </c:catAx>
      <c:spPr>
        <a:noFill/>
        <a:ln>
          <a:noFill/>
        </a:ln>
        <a:effectLst/>
      </c:spPr>
    </c:plotArea>
    <c:legend>
      <c:legendPos val="b"/>
      <c:layout>
        <c:manualLayout>
          <c:xMode val="edge"/>
          <c:yMode val="edge"/>
          <c:x val="9.9358774265480274E-2"/>
          <c:y val="9.9731239444338426E-2"/>
          <c:w val="0.16406096444866217"/>
          <c:h val="0.1893341143365127"/>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Turbines Transported/Stored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2623337265654374E-2"/>
          <c:y val="7.5282334926584052E-2"/>
          <c:w val="0.80910229985705562"/>
          <c:h val="0.75701402721993338"/>
        </c:manualLayout>
      </c:layout>
      <c:barChart>
        <c:barDir val="col"/>
        <c:grouping val="stacked"/>
        <c:varyColors val="0"/>
        <c:ser>
          <c:idx val="1"/>
          <c:order val="0"/>
          <c:tx>
            <c:strRef>
              <c:f>'EC-known'!$B$46</c:f>
              <c:strCache>
                <c:ptCount val="1"/>
                <c:pt idx="0">
                  <c:v>12</c:v>
                </c:pt>
              </c:strCache>
            </c:strRef>
          </c:tx>
          <c:spPr>
            <a:solidFill>
              <a:srgbClr val="0079C2"/>
            </a:solidFill>
            <a:ln>
              <a:noFill/>
            </a:ln>
            <a:effectLst/>
          </c:spPr>
          <c:invertIfNegative val="0"/>
          <c:cat>
            <c:numRef>
              <c:f>'EC-known'!$C$6:$Q$6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'EC-known'!$C$46:$Q$46</c:f>
              <c:numCache>
                <c:formatCode>0</c:formatCode>
                <c:ptCount val="15"/>
                <c:pt idx="0">
                  <c:v>0</c:v>
                </c:pt>
                <c:pt idx="1">
                  <c:v>42.769230769230774</c:v>
                </c:pt>
                <c:pt idx="2">
                  <c:v>261.79487179487182</c:v>
                </c:pt>
                <c:pt idx="3">
                  <c:v>187.5128205128205</c:v>
                </c:pt>
                <c:pt idx="4">
                  <c:v>60.666666666666664</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B04F-495E-AB8B-58DCF2AB72B4}"/>
            </c:ext>
          </c:extLst>
        </c:ser>
        <c:ser>
          <c:idx val="2"/>
          <c:order val="1"/>
          <c:tx>
            <c:strRef>
              <c:f>'EC-known'!$B$47</c:f>
              <c:strCache>
                <c:ptCount val="1"/>
                <c:pt idx="0">
                  <c:v>15</c:v>
                </c:pt>
              </c:strCache>
            </c:strRef>
          </c:tx>
          <c:spPr>
            <a:solidFill>
              <a:srgbClr val="5E6A71"/>
            </a:solidFill>
            <a:ln>
              <a:noFill/>
            </a:ln>
            <a:effectLst/>
          </c:spPr>
          <c:invertIfNegative val="0"/>
          <c:cat>
            <c:numRef>
              <c:f>'EC-known'!$C$6:$Q$6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'EC-known'!$C$47:$Q$47</c:f>
              <c:numCache>
                <c:formatCode>0</c:formatCode>
                <c:ptCount val="15"/>
                <c:pt idx="0">
                  <c:v>0</c:v>
                </c:pt>
                <c:pt idx="1">
                  <c:v>0</c:v>
                </c:pt>
                <c:pt idx="2">
                  <c:v>76.52100840336135</c:v>
                </c:pt>
                <c:pt idx="3">
                  <c:v>102.33333333333334</c:v>
                </c:pt>
                <c:pt idx="4">
                  <c:v>183.06666666666666</c:v>
                </c:pt>
                <c:pt idx="5">
                  <c:v>193.64</c:v>
                </c:pt>
                <c:pt idx="6">
                  <c:v>375.06625590388217</c:v>
                </c:pt>
                <c:pt idx="7">
                  <c:v>152.93333333333334</c:v>
                </c:pt>
                <c:pt idx="8">
                  <c:v>315.26251267836159</c:v>
                </c:pt>
                <c:pt idx="9">
                  <c:v>0</c:v>
                </c:pt>
                <c:pt idx="10">
                  <c:v>0</c:v>
                </c:pt>
                <c:pt idx="11">
                  <c:v>0</c:v>
                </c:pt>
                <c:pt idx="12">
                  <c:v>0</c:v>
                </c:pt>
                <c:pt idx="13">
                  <c:v>0</c:v>
                </c:pt>
              </c:numCache>
            </c:numRef>
          </c:val>
          <c:extLst>
            <c:ext xmlns:c16="http://schemas.microsoft.com/office/drawing/2014/chart" uri="{C3380CC4-5D6E-409C-BE32-E72D297353CC}">
              <c16:uniqueId val="{00000001-B04F-495E-AB8B-58DCF2AB72B4}"/>
            </c:ext>
          </c:extLst>
        </c:ser>
        <c:ser>
          <c:idx val="3"/>
          <c:order val="2"/>
          <c:tx>
            <c:strRef>
              <c:f>'EC-known'!$B$48</c:f>
              <c:strCache>
                <c:ptCount val="1"/>
                <c:pt idx="0">
                  <c:v>18</c:v>
                </c:pt>
              </c:strCache>
            </c:strRef>
          </c:tx>
          <c:spPr>
            <a:solidFill>
              <a:srgbClr val="5D9732"/>
            </a:solidFill>
            <a:ln>
              <a:noFill/>
            </a:ln>
            <a:effectLst/>
          </c:spPr>
          <c:invertIfNegative val="0"/>
          <c:cat>
            <c:numRef>
              <c:f>'EC-known'!$C$6:$Q$6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'EC-known'!$C$48:$Q$48</c:f>
              <c:numCache>
                <c:formatCode>0</c:formatCode>
                <c:ptCount val="15"/>
                <c:pt idx="0">
                  <c:v>0</c:v>
                </c:pt>
                <c:pt idx="1">
                  <c:v>0</c:v>
                </c:pt>
                <c:pt idx="2">
                  <c:v>0</c:v>
                </c:pt>
                <c:pt idx="3">
                  <c:v>0</c:v>
                </c:pt>
                <c:pt idx="4">
                  <c:v>0</c:v>
                </c:pt>
                <c:pt idx="5">
                  <c:v>0</c:v>
                </c:pt>
                <c:pt idx="6">
                  <c:v>0</c:v>
                </c:pt>
                <c:pt idx="7">
                  <c:v>0</c:v>
                </c:pt>
                <c:pt idx="8">
                  <c:v>0</c:v>
                </c:pt>
                <c:pt idx="9">
                  <c:v>83.452104386772191</c:v>
                </c:pt>
                <c:pt idx="10">
                  <c:v>189.51487939326151</c:v>
                </c:pt>
                <c:pt idx="11">
                  <c:v>59.277777777777779</c:v>
                </c:pt>
                <c:pt idx="12">
                  <c:v>80.082867813976321</c:v>
                </c:pt>
                <c:pt idx="13">
                  <c:v>51.333333333333336</c:v>
                </c:pt>
              </c:numCache>
            </c:numRef>
          </c:val>
          <c:extLst>
            <c:ext xmlns:c16="http://schemas.microsoft.com/office/drawing/2014/chart" uri="{C3380CC4-5D6E-409C-BE32-E72D297353CC}">
              <c16:uniqueId val="{00000002-B04F-495E-AB8B-58DCF2AB72B4}"/>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Transportation/Storage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Turbines Stored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w="9525">
          <a:solidFill>
            <a:srgbClr val="3D6321"/>
          </a:solid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a:t>Turbine</a:t>
            </a:r>
            <a:r>
              <a:rPr lang="en-US" baseline="0"/>
              <a:t> Orders</a:t>
            </a:r>
            <a:endParaRPr lang="en-US"/>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909255046736566E-2"/>
          <c:y val="7.5282334926584052E-2"/>
          <c:w val="0.8200706163901833"/>
          <c:h val="0.75439490302403034"/>
        </c:manualLayout>
      </c:layout>
      <c:barChart>
        <c:barDir val="col"/>
        <c:grouping val="stacked"/>
        <c:varyColors val="0"/>
        <c:ser>
          <c:idx val="1"/>
          <c:order val="0"/>
          <c:tx>
            <c:strRef>
              <c:f>'EC-known'!$B$10</c:f>
              <c:strCache>
                <c:ptCount val="1"/>
                <c:pt idx="0">
                  <c:v>12</c:v>
                </c:pt>
              </c:strCache>
            </c:strRef>
          </c:tx>
          <c:spPr>
            <a:solidFill>
              <a:srgbClr val="0079C2"/>
            </a:solidFill>
            <a:ln>
              <a:noFill/>
            </a:ln>
            <a:effectLst/>
          </c:spPr>
          <c:invertIfNegative val="0"/>
          <c:cat>
            <c:numRef>
              <c:f>'EC-known'!$C$6:$Q$6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'EC-known'!$C$10:$Q$10</c:f>
              <c:numCache>
                <c:formatCode>0</c:formatCode>
                <c:ptCount val="15"/>
                <c:pt idx="0">
                  <c:v>42.769230769230774</c:v>
                </c:pt>
                <c:pt idx="1">
                  <c:v>261.79487179487182</c:v>
                </c:pt>
                <c:pt idx="2">
                  <c:v>187.5128205128205</c:v>
                </c:pt>
                <c:pt idx="3">
                  <c:v>60.666666666666664</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A94F-489E-A717-B828B1E875F7}"/>
            </c:ext>
          </c:extLst>
        </c:ser>
        <c:ser>
          <c:idx val="2"/>
          <c:order val="1"/>
          <c:tx>
            <c:strRef>
              <c:f>'EC-known'!$B$11</c:f>
              <c:strCache>
                <c:ptCount val="1"/>
                <c:pt idx="0">
                  <c:v>15</c:v>
                </c:pt>
              </c:strCache>
            </c:strRef>
          </c:tx>
          <c:spPr>
            <a:solidFill>
              <a:srgbClr val="5E6A71"/>
            </a:solidFill>
            <a:ln>
              <a:noFill/>
            </a:ln>
            <a:effectLst/>
          </c:spPr>
          <c:invertIfNegative val="0"/>
          <c:cat>
            <c:numRef>
              <c:f>'EC-known'!$C$6:$Q$6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'EC-known'!$C$11:$Q$11</c:f>
              <c:numCache>
                <c:formatCode>0</c:formatCode>
                <c:ptCount val="15"/>
                <c:pt idx="0">
                  <c:v>0</c:v>
                </c:pt>
                <c:pt idx="1">
                  <c:v>76.52100840336135</c:v>
                </c:pt>
                <c:pt idx="2">
                  <c:v>102.33333333333334</c:v>
                </c:pt>
                <c:pt idx="3">
                  <c:v>183.06666666666666</c:v>
                </c:pt>
                <c:pt idx="4">
                  <c:v>193.64</c:v>
                </c:pt>
                <c:pt idx="5">
                  <c:v>375.06625590388217</c:v>
                </c:pt>
                <c:pt idx="6">
                  <c:v>152.93333333333334</c:v>
                </c:pt>
                <c:pt idx="7">
                  <c:v>315.26251267836159</c:v>
                </c:pt>
                <c:pt idx="8">
                  <c:v>0</c:v>
                </c:pt>
                <c:pt idx="9">
                  <c:v>0</c:v>
                </c:pt>
                <c:pt idx="10">
                  <c:v>0</c:v>
                </c:pt>
                <c:pt idx="11">
                  <c:v>0</c:v>
                </c:pt>
                <c:pt idx="12">
                  <c:v>0</c:v>
                </c:pt>
              </c:numCache>
            </c:numRef>
          </c:val>
          <c:extLst>
            <c:ext xmlns:c16="http://schemas.microsoft.com/office/drawing/2014/chart" uri="{C3380CC4-5D6E-409C-BE32-E72D297353CC}">
              <c16:uniqueId val="{00000001-A94F-489E-A717-B828B1E875F7}"/>
            </c:ext>
          </c:extLst>
        </c:ser>
        <c:ser>
          <c:idx val="3"/>
          <c:order val="2"/>
          <c:tx>
            <c:strRef>
              <c:f>'EC-known'!$B$12</c:f>
              <c:strCache>
                <c:ptCount val="1"/>
                <c:pt idx="0">
                  <c:v>18</c:v>
                </c:pt>
              </c:strCache>
            </c:strRef>
          </c:tx>
          <c:spPr>
            <a:solidFill>
              <a:srgbClr val="5D9732"/>
            </a:solidFill>
            <a:ln>
              <a:noFill/>
            </a:ln>
            <a:effectLst/>
          </c:spPr>
          <c:invertIfNegative val="0"/>
          <c:cat>
            <c:numRef>
              <c:f>'EC-known'!$C$6:$Q$6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'EC-known'!$C$12:$Q$12</c:f>
              <c:numCache>
                <c:formatCode>0</c:formatCode>
                <c:ptCount val="15"/>
                <c:pt idx="0">
                  <c:v>0</c:v>
                </c:pt>
                <c:pt idx="1">
                  <c:v>0</c:v>
                </c:pt>
                <c:pt idx="2">
                  <c:v>0</c:v>
                </c:pt>
                <c:pt idx="3">
                  <c:v>0</c:v>
                </c:pt>
                <c:pt idx="4">
                  <c:v>0</c:v>
                </c:pt>
                <c:pt idx="5">
                  <c:v>0</c:v>
                </c:pt>
                <c:pt idx="6">
                  <c:v>0</c:v>
                </c:pt>
                <c:pt idx="7">
                  <c:v>0</c:v>
                </c:pt>
                <c:pt idx="8">
                  <c:v>83.452104386772191</c:v>
                </c:pt>
                <c:pt idx="9">
                  <c:v>189.51487939326151</c:v>
                </c:pt>
                <c:pt idx="10">
                  <c:v>59.277777777777779</c:v>
                </c:pt>
                <c:pt idx="11">
                  <c:v>80.082867813976321</c:v>
                </c:pt>
                <c:pt idx="12">
                  <c:v>51.333333333333336</c:v>
                </c:pt>
              </c:numCache>
            </c:numRef>
          </c:val>
          <c:extLst>
            <c:ext xmlns:c16="http://schemas.microsoft.com/office/drawing/2014/chart" uri="{C3380CC4-5D6E-409C-BE32-E72D297353CC}">
              <c16:uniqueId val="{00000002-A94F-489E-A717-B828B1E875F7}"/>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Procurement/Manufacturing</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Turbines Ordered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baseline="0"/>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'EC-known'!$B$138</c:f>
              <c:strCache>
                <c:ptCount val="1"/>
                <c:pt idx="0">
                  <c:v>EC Lay-down Area (acres) </c:v>
                </c:pt>
              </c:strCache>
            </c:strRef>
          </c:tx>
          <c:spPr>
            <a:solidFill>
              <a:schemeClr val="accent1"/>
            </a:solidFill>
            <a:ln>
              <a:noFill/>
            </a:ln>
            <a:effectLst/>
          </c:spPr>
          <c:invertIfNegative val="0"/>
          <c:cat>
            <c:numRef>
              <c:f>'EC-known'!$C$136:$Q$136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'EC-known'!$C$138:$Q$138</c:f>
              <c:numCache>
                <c:formatCode>0</c:formatCode>
                <c:ptCount val="15"/>
                <c:pt idx="1">
                  <c:v>0</c:v>
                </c:pt>
                <c:pt idx="2">
                  <c:v>40</c:v>
                </c:pt>
                <c:pt idx="3">
                  <c:v>160</c:v>
                </c:pt>
                <c:pt idx="4">
                  <c:v>160</c:v>
                </c:pt>
                <c:pt idx="5">
                  <c:v>120</c:v>
                </c:pt>
                <c:pt idx="6">
                  <c:v>120</c:v>
                </c:pt>
                <c:pt idx="7">
                  <c:v>200</c:v>
                </c:pt>
                <c:pt idx="8">
                  <c:v>80</c:v>
                </c:pt>
                <c:pt idx="9">
                  <c:v>160</c:v>
                </c:pt>
                <c:pt idx="10">
                  <c:v>40</c:v>
                </c:pt>
                <c:pt idx="11">
                  <c:v>120</c:v>
                </c:pt>
                <c:pt idx="12">
                  <c:v>40</c:v>
                </c:pt>
                <c:pt idx="13">
                  <c:v>40</c:v>
                </c:pt>
                <c:pt idx="14">
                  <c:v>40</c:v>
                </c:pt>
              </c:numCache>
            </c:numRef>
          </c:val>
          <c:extLst>
            <c:ext xmlns:c16="http://schemas.microsoft.com/office/drawing/2014/chart" uri="{C3380CC4-5D6E-409C-BE32-E72D297353CC}">
              <c16:uniqueId val="{00000000-D40B-4D08-9DA2-DF8D2EBB0A41}"/>
            </c:ext>
          </c:extLst>
        </c:ser>
        <c:dLbls>
          <c:showLegendKey val="0"/>
          <c:showVal val="0"/>
          <c:showCatName val="0"/>
          <c:showSerName val="0"/>
          <c:showPercent val="0"/>
          <c:showBubbleSize val="0"/>
        </c:dLbls>
        <c:gapWidth val="150"/>
        <c:axId val="877430240"/>
        <c:axId val="877434832"/>
      </c:barChart>
      <c:catAx>
        <c:axId val="877430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7434832"/>
        <c:crosses val="autoZero"/>
        <c:auto val="1"/>
        <c:lblAlgn val="ctr"/>
        <c:lblOffset val="100"/>
        <c:noMultiLvlLbl val="0"/>
      </c:catAx>
      <c:valAx>
        <c:axId val="87743483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74302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Vessels Required and Turbines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417250198291675E-2"/>
          <c:y val="7.5282334926584052E-2"/>
          <c:w val="0.82771678647263758"/>
          <c:h val="0.79270271721152119"/>
        </c:manualLayout>
      </c:layout>
      <c:barChart>
        <c:barDir val="col"/>
        <c:grouping val="stacked"/>
        <c:varyColors val="0"/>
        <c:ser>
          <c:idx val="0"/>
          <c:order val="0"/>
          <c:tx>
            <c:strRef>
              <c:f>'WC-known'!$B$86</c:f>
              <c:strCache>
                <c:ptCount val="1"/>
                <c:pt idx="0">
                  <c:v>12</c:v>
                </c:pt>
              </c:strCache>
            </c:strRef>
          </c:tx>
          <c:spPr>
            <a:solidFill>
              <a:srgbClr val="0079C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'WC-known'!$C$86:$Q$86</c:f>
              <c:numCache>
                <c:formatCode>0</c:formatCode>
                <c:ptCount val="15"/>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0-C8FD-443A-BFA7-60CAFBD06377}"/>
            </c:ext>
          </c:extLst>
        </c:ser>
        <c:ser>
          <c:idx val="5"/>
          <c:order val="4"/>
          <c:tx>
            <c:strRef>
              <c:f>'WC-known'!$B$87</c:f>
              <c:strCache>
                <c:ptCount val="1"/>
                <c:pt idx="0">
                  <c:v>15</c:v>
                </c:pt>
              </c:strCache>
            </c:strRef>
          </c:tx>
          <c:spPr>
            <a:solidFill>
              <a:srgbClr val="5E6A71"/>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'WC-known'!$C$87:$Q$87</c:f>
              <c:numCache>
                <c:formatCode>0</c:formatCode>
                <c:ptCount val="15"/>
                <c:pt idx="1">
                  <c:v>0</c:v>
                </c:pt>
                <c:pt idx="2">
                  <c:v>0</c:v>
                </c:pt>
                <c:pt idx="3">
                  <c:v>0</c:v>
                </c:pt>
                <c:pt idx="4">
                  <c:v>0</c:v>
                </c:pt>
                <c:pt idx="5">
                  <c:v>0</c:v>
                </c:pt>
                <c:pt idx="6">
                  <c:v>0</c:v>
                </c:pt>
                <c:pt idx="7">
                  <c:v>33.345014087697692</c:v>
                </c:pt>
                <c:pt idx="8">
                  <c:v>66.679419262979792</c:v>
                </c:pt>
                <c:pt idx="9">
                  <c:v>66.679419262979792</c:v>
                </c:pt>
                <c:pt idx="10">
                  <c:v>0</c:v>
                </c:pt>
                <c:pt idx="11">
                  <c:v>0</c:v>
                </c:pt>
                <c:pt idx="12">
                  <c:v>0</c:v>
                </c:pt>
                <c:pt idx="13">
                  <c:v>0</c:v>
                </c:pt>
                <c:pt idx="14">
                  <c:v>0</c:v>
                </c:pt>
              </c:numCache>
            </c:numRef>
          </c:val>
          <c:extLst>
            <c:ext xmlns:c16="http://schemas.microsoft.com/office/drawing/2014/chart" uri="{C3380CC4-5D6E-409C-BE32-E72D297353CC}">
              <c16:uniqueId val="{00000001-C8FD-443A-BFA7-60CAFBD06377}"/>
            </c:ext>
          </c:extLst>
        </c:ser>
        <c:ser>
          <c:idx val="6"/>
          <c:order val="5"/>
          <c:tx>
            <c:strRef>
              <c:f>'WC-known'!$B$88</c:f>
              <c:strCache>
                <c:ptCount val="1"/>
                <c:pt idx="0">
                  <c:v>18</c:v>
                </c:pt>
              </c:strCache>
            </c:strRef>
          </c:tx>
          <c:spPr>
            <a:solidFill>
              <a:srgbClr val="5D973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'WC-known'!$C$88:$Q$88</c:f>
              <c:numCache>
                <c:formatCode>0</c:formatCode>
                <c:ptCount val="15"/>
                <c:pt idx="1">
                  <c:v>0</c:v>
                </c:pt>
                <c:pt idx="2">
                  <c:v>0</c:v>
                </c:pt>
                <c:pt idx="3">
                  <c:v>0</c:v>
                </c:pt>
                <c:pt idx="4">
                  <c:v>0</c:v>
                </c:pt>
                <c:pt idx="5">
                  <c:v>0</c:v>
                </c:pt>
                <c:pt idx="6">
                  <c:v>0</c:v>
                </c:pt>
                <c:pt idx="7">
                  <c:v>0</c:v>
                </c:pt>
                <c:pt idx="8">
                  <c:v>0</c:v>
                </c:pt>
                <c:pt idx="9">
                  <c:v>0</c:v>
                </c:pt>
                <c:pt idx="10">
                  <c:v>61.087673353013642</c:v>
                </c:pt>
                <c:pt idx="11">
                  <c:v>27.76302935055006</c:v>
                </c:pt>
                <c:pt idx="12">
                  <c:v>22.215775389712444</c:v>
                </c:pt>
                <c:pt idx="13">
                  <c:v>0</c:v>
                </c:pt>
                <c:pt idx="14">
                  <c:v>0</c:v>
                </c:pt>
              </c:numCache>
            </c:numRef>
          </c:val>
          <c:extLst>
            <c:ext xmlns:c16="http://schemas.microsoft.com/office/drawing/2014/chart" uri="{C3380CC4-5D6E-409C-BE32-E72D297353CC}">
              <c16:uniqueId val="{00000002-C8FD-443A-BFA7-60CAFBD06377}"/>
            </c:ext>
          </c:extLst>
        </c:ser>
        <c:dLbls>
          <c:showLegendKey val="0"/>
          <c:showVal val="0"/>
          <c:showCatName val="0"/>
          <c:showSerName val="0"/>
          <c:showPercent val="0"/>
          <c:showBubbleSize val="0"/>
        </c:dLbls>
        <c:gapWidth val="200"/>
        <c:overlap val="100"/>
        <c:axId val="45334935"/>
        <c:axId val="45341167"/>
      </c:barChart>
      <c:lineChart>
        <c:grouping val="standard"/>
        <c:varyColors val="0"/>
        <c:ser>
          <c:idx val="1"/>
          <c:order val="1"/>
          <c:tx>
            <c:strRef>
              <c:f>'WC-known'!$B$123</c:f>
              <c:strCache>
                <c:ptCount val="1"/>
                <c:pt idx="0">
                  <c:v>CTV</c:v>
                </c:pt>
              </c:strCache>
            </c:strRef>
          </c:tx>
          <c:spPr>
            <a:ln w="28575" cap="rnd">
              <a:solidFill>
                <a:schemeClr val="accent2"/>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'WC-known'!$C$123:$Q$123</c:f>
              <c:numCache>
                <c:formatCode>0</c:formatCode>
                <c:ptCount val="15"/>
                <c:pt idx="1">
                  <c:v>0</c:v>
                </c:pt>
                <c:pt idx="2">
                  <c:v>0</c:v>
                </c:pt>
                <c:pt idx="3">
                  <c:v>0</c:v>
                </c:pt>
                <c:pt idx="4">
                  <c:v>0</c:v>
                </c:pt>
                <c:pt idx="5">
                  <c:v>0</c:v>
                </c:pt>
                <c:pt idx="6">
                  <c:v>0</c:v>
                </c:pt>
                <c:pt idx="7">
                  <c:v>4</c:v>
                </c:pt>
                <c:pt idx="8">
                  <c:v>8</c:v>
                </c:pt>
                <c:pt idx="9">
                  <c:v>11</c:v>
                </c:pt>
                <c:pt idx="10">
                  <c:v>13</c:v>
                </c:pt>
                <c:pt idx="11">
                  <c:v>13</c:v>
                </c:pt>
                <c:pt idx="12">
                  <c:v>13</c:v>
                </c:pt>
                <c:pt idx="13">
                  <c:v>12</c:v>
                </c:pt>
                <c:pt idx="14">
                  <c:v>11</c:v>
                </c:pt>
              </c:numCache>
            </c:numRef>
          </c:val>
          <c:smooth val="0"/>
          <c:extLst>
            <c:ext xmlns:c16="http://schemas.microsoft.com/office/drawing/2014/chart" uri="{C3380CC4-5D6E-409C-BE32-E72D297353CC}">
              <c16:uniqueId val="{00000003-C8FD-443A-BFA7-60CAFBD06377}"/>
            </c:ext>
          </c:extLst>
        </c:ser>
        <c:ser>
          <c:idx val="3"/>
          <c:order val="2"/>
          <c:tx>
            <c:v>WTIV</c:v>
          </c:tx>
          <c:spPr>
            <a:ln w="28575" cap="rnd">
              <a:solidFill>
                <a:schemeClr val="accent4"/>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'WC-known'!$C$125:$Q$125</c:f>
              <c:numCache>
                <c:formatCode>0</c:formatCode>
                <c:ptCount val="15"/>
                <c:pt idx="1">
                  <c:v>0</c:v>
                </c:pt>
                <c:pt idx="2">
                  <c:v>0</c:v>
                </c:pt>
                <c:pt idx="3">
                  <c:v>0</c:v>
                </c:pt>
                <c:pt idx="4">
                  <c:v>0</c:v>
                </c:pt>
                <c:pt idx="5">
                  <c:v>0</c:v>
                </c:pt>
                <c:pt idx="6">
                  <c:v>0</c:v>
                </c:pt>
                <c:pt idx="7">
                  <c:v>1</c:v>
                </c:pt>
                <c:pt idx="8">
                  <c:v>1</c:v>
                </c:pt>
                <c:pt idx="9">
                  <c:v>1</c:v>
                </c:pt>
                <c:pt idx="10">
                  <c:v>1</c:v>
                </c:pt>
                <c:pt idx="11">
                  <c:v>1</c:v>
                </c:pt>
                <c:pt idx="12">
                  <c:v>1</c:v>
                </c:pt>
                <c:pt idx="13">
                  <c:v>0</c:v>
                </c:pt>
                <c:pt idx="14">
                  <c:v>0</c:v>
                </c:pt>
              </c:numCache>
            </c:numRef>
          </c:val>
          <c:smooth val="0"/>
          <c:extLst>
            <c:ext xmlns:c16="http://schemas.microsoft.com/office/drawing/2014/chart" uri="{C3380CC4-5D6E-409C-BE32-E72D297353CC}">
              <c16:uniqueId val="{00000005-C8FD-443A-BFA7-60CAFBD06377}"/>
            </c:ext>
          </c:extLst>
        </c:ser>
        <c:ser>
          <c:idx val="4"/>
          <c:order val="3"/>
          <c:tx>
            <c:strRef>
              <c:f>'WC-known'!$B$125</c:f>
              <c:strCache>
                <c:ptCount val="1"/>
                <c:pt idx="0">
                  <c:v>CLV</c:v>
                </c:pt>
              </c:strCache>
            </c:strRef>
          </c:tx>
          <c:spPr>
            <a:ln w="28575" cap="rnd">
              <a:solidFill>
                <a:schemeClr val="accent5"/>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'WC-known'!$C$125:$Q$125</c:f>
              <c:numCache>
                <c:formatCode>0</c:formatCode>
                <c:ptCount val="15"/>
                <c:pt idx="1">
                  <c:v>0</c:v>
                </c:pt>
                <c:pt idx="2">
                  <c:v>0</c:v>
                </c:pt>
                <c:pt idx="3">
                  <c:v>0</c:v>
                </c:pt>
                <c:pt idx="4">
                  <c:v>0</c:v>
                </c:pt>
                <c:pt idx="5">
                  <c:v>0</c:v>
                </c:pt>
                <c:pt idx="6">
                  <c:v>0</c:v>
                </c:pt>
                <c:pt idx="7">
                  <c:v>1</c:v>
                </c:pt>
                <c:pt idx="8">
                  <c:v>1</c:v>
                </c:pt>
                <c:pt idx="9">
                  <c:v>1</c:v>
                </c:pt>
                <c:pt idx="10">
                  <c:v>1</c:v>
                </c:pt>
                <c:pt idx="11">
                  <c:v>1</c:v>
                </c:pt>
                <c:pt idx="12">
                  <c:v>1</c:v>
                </c:pt>
                <c:pt idx="13">
                  <c:v>0</c:v>
                </c:pt>
                <c:pt idx="14">
                  <c:v>0</c:v>
                </c:pt>
              </c:numCache>
            </c:numRef>
          </c:val>
          <c:smooth val="0"/>
          <c:extLst>
            <c:ext xmlns:c16="http://schemas.microsoft.com/office/drawing/2014/chart" uri="{C3380CC4-5D6E-409C-BE32-E72D297353CC}">
              <c16:uniqueId val="{00000006-C8FD-443A-BFA7-60CAFBD06377}"/>
            </c:ext>
          </c:extLst>
        </c:ser>
        <c:ser>
          <c:idx val="2"/>
          <c:order val="6"/>
          <c:tx>
            <c:strRef>
              <c:f>'WC-known'!$B$124</c:f>
              <c:strCache>
                <c:ptCount val="1"/>
                <c:pt idx="0">
                  <c:v>SOV</c:v>
                </c:pt>
              </c:strCache>
            </c:strRef>
          </c:tx>
          <c:spPr>
            <a:ln w="28575" cap="rnd">
              <a:solidFill>
                <a:schemeClr val="accent3"/>
              </a:solidFill>
              <a:round/>
            </a:ln>
            <a:effectLst/>
          </c:spPr>
          <c:marker>
            <c:symbol val="none"/>
          </c:marker>
          <c:val>
            <c:numRef>
              <c:f>'WC-known'!$C$124:$Q$124</c:f>
              <c:numCache>
                <c:formatCode>0</c:formatCode>
                <c:ptCount val="15"/>
                <c:pt idx="1">
                  <c:v>0</c:v>
                </c:pt>
                <c:pt idx="2">
                  <c:v>0</c:v>
                </c:pt>
                <c:pt idx="3">
                  <c:v>0</c:v>
                </c:pt>
                <c:pt idx="4">
                  <c:v>0</c:v>
                </c:pt>
                <c:pt idx="5">
                  <c:v>0</c:v>
                </c:pt>
                <c:pt idx="6">
                  <c:v>0</c:v>
                </c:pt>
                <c:pt idx="7">
                  <c:v>1</c:v>
                </c:pt>
                <c:pt idx="8">
                  <c:v>1</c:v>
                </c:pt>
                <c:pt idx="9">
                  <c:v>1</c:v>
                </c:pt>
                <c:pt idx="10">
                  <c:v>2</c:v>
                </c:pt>
                <c:pt idx="11">
                  <c:v>2</c:v>
                </c:pt>
                <c:pt idx="12">
                  <c:v>2</c:v>
                </c:pt>
                <c:pt idx="13">
                  <c:v>2</c:v>
                </c:pt>
                <c:pt idx="14">
                  <c:v>2</c:v>
                </c:pt>
              </c:numCache>
            </c:numRef>
          </c:val>
          <c:smooth val="0"/>
          <c:extLst>
            <c:ext xmlns:c16="http://schemas.microsoft.com/office/drawing/2014/chart" uri="{C3380CC4-5D6E-409C-BE32-E72D297353CC}">
              <c16:uniqueId val="{00000002-F741-417C-980E-977ABB05AC4B}"/>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5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Vessels Required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minorUnit val="5"/>
      </c:valAx>
      <c:valAx>
        <c:axId val="45341167"/>
        <c:scaling>
          <c:orientation val="minMax"/>
          <c:max val="400"/>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 Turbines Installed </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5334935"/>
        <c:crosses val="max"/>
        <c:crossBetween val="between"/>
      </c:valAx>
      <c:catAx>
        <c:axId val="45334935"/>
        <c:scaling>
          <c:orientation val="minMax"/>
        </c:scaling>
        <c:delete val="1"/>
        <c:axPos val="b"/>
        <c:numFmt formatCode="General" sourceLinked="1"/>
        <c:majorTickMark val="out"/>
        <c:minorTickMark val="none"/>
        <c:tickLblPos val="nextTo"/>
        <c:crossAx val="45341167"/>
        <c:crosses val="autoZero"/>
        <c:auto val="1"/>
        <c:lblAlgn val="ctr"/>
        <c:lblOffset val="100"/>
        <c:noMultiLvlLbl val="0"/>
      </c:catAx>
      <c:spPr>
        <a:noFill/>
        <a:ln>
          <a:noFill/>
        </a:ln>
        <a:effectLst/>
      </c:spPr>
    </c:plotArea>
    <c:legend>
      <c:legendPos val="b"/>
      <c:layout>
        <c:manualLayout>
          <c:xMode val="edge"/>
          <c:yMode val="edge"/>
          <c:x val="0.10195364966059496"/>
          <c:y val="9.4921392701569532E-2"/>
          <c:w val="0.42953902633130125"/>
          <c:h val="6.1470659471974838E-2"/>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nchor="t" anchorCtr="1"/>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Total MW and Projects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462671550043816E-2"/>
          <c:y val="7.5282334926584052E-2"/>
          <c:w val="0.84749648151120716"/>
          <c:h val="0.76811631697945759"/>
        </c:manualLayout>
      </c:layout>
      <c:barChart>
        <c:barDir val="col"/>
        <c:grouping val="clustered"/>
        <c:varyColors val="0"/>
        <c:ser>
          <c:idx val="0"/>
          <c:order val="0"/>
          <c:tx>
            <c:strRef>
              <c:f>'WC-known'!$B$83</c:f>
              <c:strCache>
                <c:ptCount val="1"/>
                <c:pt idx="0">
                  <c:v>Floating</c:v>
                </c:pt>
              </c:strCache>
            </c:strRef>
          </c:tx>
          <c:spPr>
            <a:solidFill>
              <a:srgbClr val="0079C2"/>
            </a:solidFill>
            <a:ln>
              <a:noFill/>
            </a:ln>
            <a:effectLst/>
          </c:spPr>
          <c:invertIfNegative val="0"/>
          <c:cat>
            <c:numRef>
              <c:f>'WC-known'!$C$6:$Q$6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'WC-known'!$C$83:$Q$83</c:f>
              <c:numCache>
                <c:formatCode>0</c:formatCode>
                <c:ptCount val="15"/>
                <c:pt idx="1">
                  <c:v>0</c:v>
                </c:pt>
                <c:pt idx="2">
                  <c:v>0</c:v>
                </c:pt>
                <c:pt idx="3">
                  <c:v>0</c:v>
                </c:pt>
                <c:pt idx="4">
                  <c:v>0</c:v>
                </c:pt>
                <c:pt idx="5">
                  <c:v>0</c:v>
                </c:pt>
                <c:pt idx="6">
                  <c:v>0</c:v>
                </c:pt>
                <c:pt idx="7">
                  <c:v>500.17521131546539</c:v>
                </c:pt>
                <c:pt idx="8">
                  <c:v>1000.1912889446969</c:v>
                </c:pt>
                <c:pt idx="9">
                  <c:v>1000.1912889446969</c:v>
                </c:pt>
                <c:pt idx="10">
                  <c:v>1099.5781203542456</c:v>
                </c:pt>
                <c:pt idx="11">
                  <c:v>499.73452830990107</c:v>
                </c:pt>
                <c:pt idx="12">
                  <c:v>399.88395701482398</c:v>
                </c:pt>
                <c:pt idx="13">
                  <c:v>0</c:v>
                </c:pt>
                <c:pt idx="14">
                  <c:v>0</c:v>
                </c:pt>
              </c:numCache>
            </c:numRef>
          </c:val>
          <c:extLst>
            <c:ext xmlns:c16="http://schemas.microsoft.com/office/drawing/2014/chart" uri="{C3380CC4-5D6E-409C-BE32-E72D297353CC}">
              <c16:uniqueId val="{00000000-4099-43D0-934C-D4359C255FA1}"/>
            </c:ext>
          </c:extLst>
        </c:ser>
        <c:dLbls>
          <c:showLegendKey val="0"/>
          <c:showVal val="0"/>
          <c:showCatName val="0"/>
          <c:showSerName val="0"/>
          <c:showPercent val="0"/>
          <c:showBubbleSize val="0"/>
        </c:dLbls>
        <c:gapWidth val="200"/>
        <c:overlap val="100"/>
        <c:axId val="1105198224"/>
        <c:axId val="1105196256"/>
      </c:barChart>
      <c:lineChart>
        <c:grouping val="standard"/>
        <c:varyColors val="0"/>
        <c:ser>
          <c:idx val="4"/>
          <c:order val="1"/>
          <c:tx>
            <c:strRef>
              <c:f>'WC-known'!$B$84</c:f>
              <c:strCache>
                <c:ptCount val="1"/>
                <c:pt idx="0">
                  <c:v>Projects Constructed</c:v>
                </c:pt>
              </c:strCache>
            </c:strRef>
          </c:tx>
          <c:spPr>
            <a:ln w="38100" cap="rnd">
              <a:solidFill>
                <a:srgbClr val="933C06"/>
              </a:solidFill>
              <a:round/>
            </a:ln>
            <a:effectLst/>
          </c:spPr>
          <c:marker>
            <c:symbol val="none"/>
          </c:marker>
          <c:cat>
            <c:numRef>
              <c:f>'WC-known'!$C$6:$Q$6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'WC-known'!$C$84:$Q$84</c:f>
              <c:numCache>
                <c:formatCode>0</c:formatCode>
                <c:ptCount val="15"/>
                <c:pt idx="2">
                  <c:v>0</c:v>
                </c:pt>
                <c:pt idx="3">
                  <c:v>0</c:v>
                </c:pt>
                <c:pt idx="4">
                  <c:v>0</c:v>
                </c:pt>
                <c:pt idx="5">
                  <c:v>0</c:v>
                </c:pt>
                <c:pt idx="6">
                  <c:v>0</c:v>
                </c:pt>
                <c:pt idx="7">
                  <c:v>1</c:v>
                </c:pt>
                <c:pt idx="8">
                  <c:v>2</c:v>
                </c:pt>
                <c:pt idx="9">
                  <c:v>2</c:v>
                </c:pt>
                <c:pt idx="10">
                  <c:v>2</c:v>
                </c:pt>
                <c:pt idx="11">
                  <c:v>1</c:v>
                </c:pt>
                <c:pt idx="12">
                  <c:v>1</c:v>
                </c:pt>
                <c:pt idx="13">
                  <c:v>0</c:v>
                </c:pt>
                <c:pt idx="14">
                  <c:v>0</c:v>
                </c:pt>
              </c:numCache>
            </c:numRef>
          </c:val>
          <c:smooth val="0"/>
          <c:extLst>
            <c:ext xmlns:c16="http://schemas.microsoft.com/office/drawing/2014/chart" uri="{C3380CC4-5D6E-409C-BE32-E72D297353CC}">
              <c16:uniqueId val="{00000001-4099-43D0-934C-D4359C255FA1}"/>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Projects Constructed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105196256"/>
        <c:scaling>
          <c:orientation val="minMax"/>
          <c:max val="5000"/>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MW per year</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05198224"/>
        <c:crosses val="max"/>
        <c:crossBetween val="between"/>
      </c:valAx>
      <c:catAx>
        <c:axId val="1105198224"/>
        <c:scaling>
          <c:orientation val="minMax"/>
        </c:scaling>
        <c:delete val="1"/>
        <c:axPos val="b"/>
        <c:numFmt formatCode="General" sourceLinked="1"/>
        <c:majorTickMark val="out"/>
        <c:minorTickMark val="none"/>
        <c:tickLblPos val="nextTo"/>
        <c:crossAx val="1105196256"/>
        <c:crosses val="autoZero"/>
        <c:auto val="1"/>
        <c:lblAlgn val="ctr"/>
        <c:lblOffset val="100"/>
        <c:noMultiLvlLbl val="0"/>
      </c:catAx>
      <c:spPr>
        <a:noFill/>
        <a:ln>
          <a:noFill/>
        </a:ln>
        <a:effectLst/>
      </c:spPr>
    </c:plotArea>
    <c:legend>
      <c:legendPos val="b"/>
      <c:layout>
        <c:manualLayout>
          <c:xMode val="edge"/>
          <c:yMode val="edge"/>
          <c:x val="9.9358774265480274E-2"/>
          <c:y val="9.9731239444338426E-2"/>
          <c:w val="0.16406096444866217"/>
          <c:h val="0.1893341143365127"/>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Turbines Transported/Stored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2623337265654374E-2"/>
          <c:y val="7.5282334926584052E-2"/>
          <c:w val="0.80910229985705562"/>
          <c:h val="0.75701402721993338"/>
        </c:manualLayout>
      </c:layout>
      <c:barChart>
        <c:barDir val="col"/>
        <c:grouping val="stacked"/>
        <c:varyColors val="0"/>
        <c:ser>
          <c:idx val="1"/>
          <c:order val="0"/>
          <c:tx>
            <c:strRef>
              <c:f>'WC-known'!$B$46</c:f>
              <c:strCache>
                <c:ptCount val="1"/>
                <c:pt idx="0">
                  <c:v>12</c:v>
                </c:pt>
              </c:strCache>
            </c:strRef>
          </c:tx>
          <c:spPr>
            <a:solidFill>
              <a:srgbClr val="0079C2"/>
            </a:solidFill>
            <a:ln>
              <a:noFill/>
            </a:ln>
            <a:effectLst/>
          </c:spPr>
          <c:invertIfNegative val="0"/>
          <c:cat>
            <c:numRef>
              <c:f>'WC-known'!$C$6:$Q$6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'WC-known'!$C$46:$Q$46</c:f>
              <c:numCache>
                <c:formatCode>0</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D346-495C-8C60-6275035368C9}"/>
            </c:ext>
          </c:extLst>
        </c:ser>
        <c:ser>
          <c:idx val="2"/>
          <c:order val="1"/>
          <c:tx>
            <c:strRef>
              <c:f>'WC-known'!$B$47</c:f>
              <c:strCache>
                <c:ptCount val="1"/>
                <c:pt idx="0">
                  <c:v>15</c:v>
                </c:pt>
              </c:strCache>
            </c:strRef>
          </c:tx>
          <c:spPr>
            <a:solidFill>
              <a:srgbClr val="5E6A71"/>
            </a:solidFill>
            <a:ln>
              <a:noFill/>
            </a:ln>
            <a:effectLst/>
          </c:spPr>
          <c:invertIfNegative val="0"/>
          <c:cat>
            <c:numRef>
              <c:f>'WC-known'!$C$6:$Q$6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'WC-known'!$C$47:$Q$47</c:f>
              <c:numCache>
                <c:formatCode>0</c:formatCode>
                <c:ptCount val="15"/>
                <c:pt idx="0">
                  <c:v>0</c:v>
                </c:pt>
                <c:pt idx="1">
                  <c:v>0</c:v>
                </c:pt>
                <c:pt idx="2">
                  <c:v>0</c:v>
                </c:pt>
                <c:pt idx="3">
                  <c:v>0</c:v>
                </c:pt>
                <c:pt idx="4">
                  <c:v>0</c:v>
                </c:pt>
                <c:pt idx="5">
                  <c:v>0</c:v>
                </c:pt>
                <c:pt idx="6">
                  <c:v>33.345014087697692</c:v>
                </c:pt>
                <c:pt idx="7">
                  <c:v>66.679419262979792</c:v>
                </c:pt>
                <c:pt idx="8">
                  <c:v>66.679419262979792</c:v>
                </c:pt>
                <c:pt idx="9">
                  <c:v>0</c:v>
                </c:pt>
                <c:pt idx="10">
                  <c:v>0</c:v>
                </c:pt>
                <c:pt idx="11">
                  <c:v>0</c:v>
                </c:pt>
                <c:pt idx="12">
                  <c:v>0</c:v>
                </c:pt>
                <c:pt idx="13">
                  <c:v>0</c:v>
                </c:pt>
              </c:numCache>
            </c:numRef>
          </c:val>
          <c:extLst>
            <c:ext xmlns:c16="http://schemas.microsoft.com/office/drawing/2014/chart" uri="{C3380CC4-5D6E-409C-BE32-E72D297353CC}">
              <c16:uniqueId val="{00000001-D346-495C-8C60-6275035368C9}"/>
            </c:ext>
          </c:extLst>
        </c:ser>
        <c:ser>
          <c:idx val="3"/>
          <c:order val="2"/>
          <c:tx>
            <c:strRef>
              <c:f>'WC-known'!$B$48</c:f>
              <c:strCache>
                <c:ptCount val="1"/>
                <c:pt idx="0">
                  <c:v>18</c:v>
                </c:pt>
              </c:strCache>
            </c:strRef>
          </c:tx>
          <c:spPr>
            <a:solidFill>
              <a:srgbClr val="5D9732"/>
            </a:solidFill>
            <a:ln>
              <a:noFill/>
            </a:ln>
            <a:effectLst/>
          </c:spPr>
          <c:invertIfNegative val="0"/>
          <c:cat>
            <c:numRef>
              <c:f>'WC-known'!$C$6:$Q$6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'WC-known'!$C$48:$Q$48</c:f>
              <c:numCache>
                <c:formatCode>0</c:formatCode>
                <c:ptCount val="15"/>
                <c:pt idx="0">
                  <c:v>0</c:v>
                </c:pt>
                <c:pt idx="1">
                  <c:v>0</c:v>
                </c:pt>
                <c:pt idx="2">
                  <c:v>0</c:v>
                </c:pt>
                <c:pt idx="3">
                  <c:v>0</c:v>
                </c:pt>
                <c:pt idx="4">
                  <c:v>0</c:v>
                </c:pt>
                <c:pt idx="5">
                  <c:v>0</c:v>
                </c:pt>
                <c:pt idx="6">
                  <c:v>0</c:v>
                </c:pt>
                <c:pt idx="7">
                  <c:v>0</c:v>
                </c:pt>
                <c:pt idx="8">
                  <c:v>0</c:v>
                </c:pt>
                <c:pt idx="9">
                  <c:v>61.087673353013642</c:v>
                </c:pt>
                <c:pt idx="10">
                  <c:v>27.76302935055006</c:v>
                </c:pt>
                <c:pt idx="11">
                  <c:v>22.215775389712444</c:v>
                </c:pt>
                <c:pt idx="12">
                  <c:v>0</c:v>
                </c:pt>
                <c:pt idx="13">
                  <c:v>0</c:v>
                </c:pt>
              </c:numCache>
            </c:numRef>
          </c:val>
          <c:extLst>
            <c:ext xmlns:c16="http://schemas.microsoft.com/office/drawing/2014/chart" uri="{C3380CC4-5D6E-409C-BE32-E72D297353CC}">
              <c16:uniqueId val="{00000002-D346-495C-8C60-6275035368C9}"/>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Transportation/Storage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Turbines Stored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w="9525">
          <a:solidFill>
            <a:srgbClr val="3D6321"/>
          </a:solid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a:t>Turbine</a:t>
            </a:r>
            <a:r>
              <a:rPr lang="en-US" baseline="0"/>
              <a:t> Orders</a:t>
            </a:r>
            <a:endParaRPr lang="en-US"/>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909255046736566E-2"/>
          <c:y val="7.5282334926584052E-2"/>
          <c:w val="0.8200706163901833"/>
          <c:h val="0.75439490302403034"/>
        </c:manualLayout>
      </c:layout>
      <c:barChart>
        <c:barDir val="col"/>
        <c:grouping val="stacked"/>
        <c:varyColors val="0"/>
        <c:ser>
          <c:idx val="1"/>
          <c:order val="0"/>
          <c:tx>
            <c:strRef>
              <c:f>'WC-known'!$B$10</c:f>
              <c:strCache>
                <c:ptCount val="1"/>
                <c:pt idx="0">
                  <c:v>12</c:v>
                </c:pt>
              </c:strCache>
            </c:strRef>
          </c:tx>
          <c:spPr>
            <a:solidFill>
              <a:srgbClr val="0079C2"/>
            </a:solidFill>
            <a:ln>
              <a:noFill/>
            </a:ln>
            <a:effectLst/>
          </c:spPr>
          <c:invertIfNegative val="0"/>
          <c:cat>
            <c:numRef>
              <c:f>'WC-known'!$C$6:$Q$6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'WC-known'!$C$10:$Q$10</c:f>
              <c:numCache>
                <c:formatCode>0</c:formatCode>
                <c:ptCount val="15"/>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B7DF-41DD-851B-6AD1D7B9CE62}"/>
            </c:ext>
          </c:extLst>
        </c:ser>
        <c:ser>
          <c:idx val="2"/>
          <c:order val="1"/>
          <c:tx>
            <c:strRef>
              <c:f>'WC-known'!$B$11</c:f>
              <c:strCache>
                <c:ptCount val="1"/>
                <c:pt idx="0">
                  <c:v>15</c:v>
                </c:pt>
              </c:strCache>
            </c:strRef>
          </c:tx>
          <c:spPr>
            <a:solidFill>
              <a:srgbClr val="5E6A71"/>
            </a:solidFill>
            <a:ln>
              <a:noFill/>
            </a:ln>
            <a:effectLst/>
          </c:spPr>
          <c:invertIfNegative val="0"/>
          <c:cat>
            <c:numRef>
              <c:f>'WC-known'!$C$6:$Q$6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'WC-known'!$C$11:$Q$11</c:f>
              <c:numCache>
                <c:formatCode>0</c:formatCode>
                <c:ptCount val="15"/>
                <c:pt idx="0">
                  <c:v>0</c:v>
                </c:pt>
                <c:pt idx="1">
                  <c:v>0</c:v>
                </c:pt>
                <c:pt idx="2">
                  <c:v>0</c:v>
                </c:pt>
                <c:pt idx="3">
                  <c:v>0</c:v>
                </c:pt>
                <c:pt idx="4">
                  <c:v>0</c:v>
                </c:pt>
                <c:pt idx="5">
                  <c:v>33.345014087697692</c:v>
                </c:pt>
                <c:pt idx="6">
                  <c:v>66.679419262979792</c:v>
                </c:pt>
                <c:pt idx="7">
                  <c:v>66.679419262979792</c:v>
                </c:pt>
                <c:pt idx="8">
                  <c:v>0</c:v>
                </c:pt>
                <c:pt idx="9">
                  <c:v>0</c:v>
                </c:pt>
                <c:pt idx="10">
                  <c:v>0</c:v>
                </c:pt>
                <c:pt idx="11">
                  <c:v>0</c:v>
                </c:pt>
                <c:pt idx="12">
                  <c:v>0</c:v>
                </c:pt>
              </c:numCache>
            </c:numRef>
          </c:val>
          <c:extLst>
            <c:ext xmlns:c16="http://schemas.microsoft.com/office/drawing/2014/chart" uri="{C3380CC4-5D6E-409C-BE32-E72D297353CC}">
              <c16:uniqueId val="{00000001-B7DF-41DD-851B-6AD1D7B9CE62}"/>
            </c:ext>
          </c:extLst>
        </c:ser>
        <c:ser>
          <c:idx val="3"/>
          <c:order val="2"/>
          <c:tx>
            <c:strRef>
              <c:f>'WC-known'!$B$12</c:f>
              <c:strCache>
                <c:ptCount val="1"/>
                <c:pt idx="0">
                  <c:v>18</c:v>
                </c:pt>
              </c:strCache>
            </c:strRef>
          </c:tx>
          <c:spPr>
            <a:solidFill>
              <a:srgbClr val="5D9732"/>
            </a:solidFill>
            <a:ln>
              <a:noFill/>
            </a:ln>
            <a:effectLst/>
          </c:spPr>
          <c:invertIfNegative val="0"/>
          <c:cat>
            <c:numRef>
              <c:f>'WC-known'!$C$6:$Q$6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'WC-known'!$C$12:$Q$12</c:f>
              <c:numCache>
                <c:formatCode>0</c:formatCode>
                <c:ptCount val="15"/>
                <c:pt idx="0">
                  <c:v>0</c:v>
                </c:pt>
                <c:pt idx="1">
                  <c:v>0</c:v>
                </c:pt>
                <c:pt idx="2">
                  <c:v>0</c:v>
                </c:pt>
                <c:pt idx="3">
                  <c:v>0</c:v>
                </c:pt>
                <c:pt idx="4">
                  <c:v>0</c:v>
                </c:pt>
                <c:pt idx="5">
                  <c:v>0</c:v>
                </c:pt>
                <c:pt idx="6">
                  <c:v>0</c:v>
                </c:pt>
                <c:pt idx="7">
                  <c:v>0</c:v>
                </c:pt>
                <c:pt idx="8">
                  <c:v>61.087673353013642</c:v>
                </c:pt>
                <c:pt idx="9">
                  <c:v>27.76302935055006</c:v>
                </c:pt>
                <c:pt idx="10">
                  <c:v>22.215775389712444</c:v>
                </c:pt>
                <c:pt idx="11">
                  <c:v>0</c:v>
                </c:pt>
                <c:pt idx="12">
                  <c:v>0</c:v>
                </c:pt>
              </c:numCache>
            </c:numRef>
          </c:val>
          <c:extLst>
            <c:ext xmlns:c16="http://schemas.microsoft.com/office/drawing/2014/chart" uri="{C3380CC4-5D6E-409C-BE32-E72D297353CC}">
              <c16:uniqueId val="{00000002-B7DF-41DD-851B-6AD1D7B9CE62}"/>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Procurement/Manufacturing</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Turbines Ordered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baseline="0"/>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'WC-known'!$B$129</c:f>
              <c:strCache>
                <c:ptCount val="1"/>
                <c:pt idx="0">
                  <c:v>Berth (m)</c:v>
                </c:pt>
              </c:strCache>
            </c:strRef>
          </c:tx>
          <c:spPr>
            <a:ln w="28575" cap="rnd">
              <a:solidFill>
                <a:schemeClr val="accent1"/>
              </a:solidFill>
              <a:round/>
            </a:ln>
            <a:effectLst/>
          </c:spPr>
          <c:marker>
            <c:symbol val="none"/>
          </c:marker>
          <c:cat>
            <c:numRef>
              <c:f>'WC-known'!$C$128:$Q$128</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'WC-known'!$C$129:$Q$129</c:f>
              <c:numCache>
                <c:formatCode>0</c:formatCode>
                <c:ptCount val="15"/>
                <c:pt idx="1">
                  <c:v>0</c:v>
                </c:pt>
                <c:pt idx="2">
                  <c:v>0</c:v>
                </c:pt>
                <c:pt idx="3">
                  <c:v>0</c:v>
                </c:pt>
                <c:pt idx="4">
                  <c:v>0</c:v>
                </c:pt>
                <c:pt idx="5">
                  <c:v>0</c:v>
                </c:pt>
                <c:pt idx="6">
                  <c:v>0</c:v>
                </c:pt>
                <c:pt idx="7">
                  <c:v>6.6160742237495427</c:v>
                </c:pt>
                <c:pt idx="8">
                  <c:v>13.230043504559484</c:v>
                </c:pt>
                <c:pt idx="9">
                  <c:v>13.230043504559484</c:v>
                </c:pt>
                <c:pt idx="10">
                  <c:v>12.12057010972493</c:v>
                </c:pt>
                <c:pt idx="11">
                  <c:v>5.5085375695535834</c:v>
                </c:pt>
                <c:pt idx="12">
                  <c:v>4.4078919424032632</c:v>
                </c:pt>
                <c:pt idx="13">
                  <c:v>0</c:v>
                </c:pt>
                <c:pt idx="14">
                  <c:v>0</c:v>
                </c:pt>
              </c:numCache>
            </c:numRef>
          </c:val>
          <c:smooth val="0"/>
          <c:extLst>
            <c:ext xmlns:c16="http://schemas.microsoft.com/office/drawing/2014/chart" uri="{C3380CC4-5D6E-409C-BE32-E72D297353CC}">
              <c16:uniqueId val="{00000000-58CB-4A62-8AF6-2AF5D4078F59}"/>
            </c:ext>
          </c:extLst>
        </c:ser>
        <c:ser>
          <c:idx val="1"/>
          <c:order val="1"/>
          <c:tx>
            <c:strRef>
              <c:f>'WC-known'!$B$130</c:f>
              <c:strCache>
                <c:ptCount val="1"/>
                <c:pt idx="0">
                  <c:v>WC Lay-down Area (acres)</c:v>
                </c:pt>
              </c:strCache>
            </c:strRef>
          </c:tx>
          <c:spPr>
            <a:ln w="28575" cap="rnd">
              <a:solidFill>
                <a:schemeClr val="accent2"/>
              </a:solidFill>
              <a:round/>
            </a:ln>
            <a:effectLst/>
          </c:spPr>
          <c:marker>
            <c:symbol val="none"/>
          </c:marker>
          <c:cat>
            <c:numRef>
              <c:f>'WC-known'!$C$128:$Q$128</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'WC-known'!$C$130:$Q$130</c:f>
              <c:numCache>
                <c:formatCode>0</c:formatCode>
                <c:ptCount val="15"/>
                <c:pt idx="1">
                  <c:v>0</c:v>
                </c:pt>
                <c:pt idx="2">
                  <c:v>0</c:v>
                </c:pt>
                <c:pt idx="3">
                  <c:v>0</c:v>
                </c:pt>
                <c:pt idx="4">
                  <c:v>0</c:v>
                </c:pt>
                <c:pt idx="5">
                  <c:v>0</c:v>
                </c:pt>
                <c:pt idx="6">
                  <c:v>0</c:v>
                </c:pt>
                <c:pt idx="7">
                  <c:v>66.690028175395383</c:v>
                </c:pt>
                <c:pt idx="8">
                  <c:v>133.35883852595958</c:v>
                </c:pt>
                <c:pt idx="9">
                  <c:v>133.35883852595958</c:v>
                </c:pt>
                <c:pt idx="10">
                  <c:v>122.17534670602728</c:v>
                </c:pt>
                <c:pt idx="11">
                  <c:v>55.526058701100119</c:v>
                </c:pt>
                <c:pt idx="12">
                  <c:v>44.431550779424889</c:v>
                </c:pt>
                <c:pt idx="13">
                  <c:v>0</c:v>
                </c:pt>
                <c:pt idx="14">
                  <c:v>0</c:v>
                </c:pt>
              </c:numCache>
            </c:numRef>
          </c:val>
          <c:smooth val="0"/>
          <c:extLst>
            <c:ext xmlns:c16="http://schemas.microsoft.com/office/drawing/2014/chart" uri="{C3380CC4-5D6E-409C-BE32-E72D297353CC}">
              <c16:uniqueId val="{00000001-58CB-4A62-8AF6-2AF5D4078F59}"/>
            </c:ext>
          </c:extLst>
        </c:ser>
        <c:dLbls>
          <c:showLegendKey val="0"/>
          <c:showVal val="0"/>
          <c:showCatName val="0"/>
          <c:showSerName val="0"/>
          <c:showPercent val="0"/>
          <c:showBubbleSize val="0"/>
        </c:dLbls>
        <c:smooth val="0"/>
        <c:axId val="346166887"/>
        <c:axId val="346168199"/>
      </c:lineChart>
      <c:catAx>
        <c:axId val="3461668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6168199"/>
        <c:crosses val="autoZero"/>
        <c:auto val="1"/>
        <c:lblAlgn val="ctr"/>
        <c:lblOffset val="100"/>
        <c:noMultiLvlLbl val="0"/>
      </c:catAx>
      <c:valAx>
        <c:axId val="34616819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616688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Vessels Required and Turbines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417250198291675E-2"/>
          <c:y val="7.5282334926584052E-2"/>
          <c:w val="0.82771678647263758"/>
          <c:h val="0.79270271721152119"/>
        </c:manualLayout>
      </c:layout>
      <c:barChart>
        <c:barDir val="col"/>
        <c:grouping val="stacked"/>
        <c:varyColors val="0"/>
        <c:ser>
          <c:idx val="0"/>
          <c:order val="0"/>
          <c:tx>
            <c:strRef>
              <c:f>'FIX-EX'!$B$86</c:f>
              <c:strCache>
                <c:ptCount val="1"/>
                <c:pt idx="0">
                  <c:v>12</c:v>
                </c:pt>
              </c:strCache>
            </c:strRef>
          </c:tx>
          <c:spPr>
            <a:solidFill>
              <a:srgbClr val="0079C2"/>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'FIX-EX'!$C$86:$Q$86</c:f>
              <c:numCache>
                <c:formatCode>0</c:formatCode>
                <c:ptCount val="15"/>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0-9752-4317-993E-8D02B32798CD}"/>
            </c:ext>
          </c:extLst>
        </c:ser>
        <c:ser>
          <c:idx val="5"/>
          <c:order val="5"/>
          <c:tx>
            <c:strRef>
              <c:f>'FIX-EX'!$B$87</c:f>
              <c:strCache>
                <c:ptCount val="1"/>
                <c:pt idx="0">
                  <c:v>15</c:v>
                </c:pt>
              </c:strCache>
            </c:strRef>
          </c:tx>
          <c:spPr>
            <a:solidFill>
              <a:srgbClr val="5E6A71"/>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'FIX-EX'!$C$87:$Q$87</c:f>
              <c:numCache>
                <c:formatCode>0</c:formatCode>
                <c:ptCount val="15"/>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1-9752-4317-993E-8D02B32798CD}"/>
            </c:ext>
          </c:extLst>
        </c:ser>
        <c:ser>
          <c:idx val="6"/>
          <c:order val="6"/>
          <c:tx>
            <c:strRef>
              <c:f>'FIX-EX'!$B$88</c:f>
              <c:strCache>
                <c:ptCount val="1"/>
                <c:pt idx="0">
                  <c:v>18</c:v>
                </c:pt>
              </c:strCache>
            </c:strRef>
          </c:tx>
          <c:spPr>
            <a:solidFill>
              <a:srgbClr val="5D9732"/>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'FIX-EX'!$C$88:$Q$88</c:f>
              <c:numCache>
                <c:formatCode>0</c:formatCode>
                <c:ptCount val="15"/>
                <c:pt idx="1">
                  <c:v>0</c:v>
                </c:pt>
                <c:pt idx="2">
                  <c:v>0</c:v>
                </c:pt>
                <c:pt idx="3">
                  <c:v>0</c:v>
                </c:pt>
                <c:pt idx="4">
                  <c:v>0</c:v>
                </c:pt>
                <c:pt idx="5">
                  <c:v>0</c:v>
                </c:pt>
                <c:pt idx="6">
                  <c:v>0</c:v>
                </c:pt>
                <c:pt idx="7">
                  <c:v>0</c:v>
                </c:pt>
                <c:pt idx="8">
                  <c:v>0</c:v>
                </c:pt>
                <c:pt idx="9">
                  <c:v>0</c:v>
                </c:pt>
                <c:pt idx="10">
                  <c:v>83.333333333333329</c:v>
                </c:pt>
                <c:pt idx="11">
                  <c:v>111.11111111111111</c:v>
                </c:pt>
                <c:pt idx="12">
                  <c:v>138.88888888888889</c:v>
                </c:pt>
                <c:pt idx="13">
                  <c:v>55.555555555555557</c:v>
                </c:pt>
                <c:pt idx="14">
                  <c:v>0</c:v>
                </c:pt>
              </c:numCache>
            </c:numRef>
          </c:val>
          <c:extLst>
            <c:ext xmlns:c16="http://schemas.microsoft.com/office/drawing/2014/chart" uri="{C3380CC4-5D6E-409C-BE32-E72D297353CC}">
              <c16:uniqueId val="{00000002-9752-4317-993E-8D02B32798CD}"/>
            </c:ext>
          </c:extLst>
        </c:ser>
        <c:dLbls>
          <c:showLegendKey val="0"/>
          <c:showVal val="0"/>
          <c:showCatName val="0"/>
          <c:showSerName val="0"/>
          <c:showPercent val="0"/>
          <c:showBubbleSize val="0"/>
        </c:dLbls>
        <c:gapWidth val="200"/>
        <c:overlap val="100"/>
        <c:axId val="45334935"/>
        <c:axId val="45341167"/>
      </c:barChart>
      <c:lineChart>
        <c:grouping val="standard"/>
        <c:varyColors val="0"/>
        <c:ser>
          <c:idx val="1"/>
          <c:order val="1"/>
          <c:tx>
            <c:strRef>
              <c:f>'FIX-EX'!$B$130</c:f>
              <c:strCache>
                <c:ptCount val="1"/>
                <c:pt idx="0">
                  <c:v>CTV</c:v>
                </c:pt>
              </c:strCache>
            </c:strRef>
          </c:tx>
          <c:spPr>
            <a:ln w="28575" cap="rnd">
              <a:solidFill>
                <a:schemeClr val="accent2"/>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'FIX-EX'!$C$130:$Q$130</c:f>
              <c:numCache>
                <c:formatCode>0</c:formatCode>
                <c:ptCount val="15"/>
                <c:pt idx="1">
                  <c:v>0</c:v>
                </c:pt>
                <c:pt idx="2">
                  <c:v>0</c:v>
                </c:pt>
                <c:pt idx="3">
                  <c:v>0</c:v>
                </c:pt>
                <c:pt idx="4">
                  <c:v>0</c:v>
                </c:pt>
                <c:pt idx="5">
                  <c:v>0</c:v>
                </c:pt>
                <c:pt idx="6">
                  <c:v>0</c:v>
                </c:pt>
                <c:pt idx="7">
                  <c:v>0</c:v>
                </c:pt>
                <c:pt idx="8">
                  <c:v>0</c:v>
                </c:pt>
                <c:pt idx="9">
                  <c:v>0</c:v>
                </c:pt>
                <c:pt idx="10">
                  <c:v>4</c:v>
                </c:pt>
                <c:pt idx="11">
                  <c:v>8</c:v>
                </c:pt>
                <c:pt idx="12">
                  <c:v>11</c:v>
                </c:pt>
                <c:pt idx="13">
                  <c:v>11</c:v>
                </c:pt>
                <c:pt idx="14">
                  <c:v>9</c:v>
                </c:pt>
              </c:numCache>
            </c:numRef>
          </c:val>
          <c:smooth val="0"/>
          <c:extLst>
            <c:ext xmlns:c16="http://schemas.microsoft.com/office/drawing/2014/chart" uri="{C3380CC4-5D6E-409C-BE32-E72D297353CC}">
              <c16:uniqueId val="{00000003-9752-4317-993E-8D02B32798CD}"/>
            </c:ext>
          </c:extLst>
        </c:ser>
        <c:ser>
          <c:idx val="2"/>
          <c:order val="2"/>
          <c:tx>
            <c:strRef>
              <c:f>'FIX-EX'!$B$129</c:f>
              <c:strCache>
                <c:ptCount val="1"/>
                <c:pt idx="0">
                  <c:v>Feeder Barges</c:v>
                </c:pt>
              </c:strCache>
            </c:strRef>
          </c:tx>
          <c:spPr>
            <a:ln w="28575" cap="rnd">
              <a:solidFill>
                <a:schemeClr val="accent3"/>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'FIX-EX'!$C$129:$Q$129</c:f>
              <c:numCache>
                <c:formatCode>0</c:formatCode>
                <c:ptCount val="15"/>
                <c:pt idx="1">
                  <c:v>0</c:v>
                </c:pt>
                <c:pt idx="2">
                  <c:v>0</c:v>
                </c:pt>
                <c:pt idx="3">
                  <c:v>0</c:v>
                </c:pt>
                <c:pt idx="4">
                  <c:v>0</c:v>
                </c:pt>
                <c:pt idx="5">
                  <c:v>0</c:v>
                </c:pt>
                <c:pt idx="6">
                  <c:v>0</c:v>
                </c:pt>
                <c:pt idx="7">
                  <c:v>0</c:v>
                </c:pt>
                <c:pt idx="8">
                  <c:v>0</c:v>
                </c:pt>
                <c:pt idx="9">
                  <c:v>0</c:v>
                </c:pt>
                <c:pt idx="10">
                  <c:v>4</c:v>
                </c:pt>
                <c:pt idx="11">
                  <c:v>4</c:v>
                </c:pt>
                <c:pt idx="12">
                  <c:v>4</c:v>
                </c:pt>
                <c:pt idx="13">
                  <c:v>4</c:v>
                </c:pt>
                <c:pt idx="14">
                  <c:v>0</c:v>
                </c:pt>
              </c:numCache>
            </c:numRef>
          </c:val>
          <c:smooth val="0"/>
          <c:extLst>
            <c:ext xmlns:c16="http://schemas.microsoft.com/office/drawing/2014/chart" uri="{C3380CC4-5D6E-409C-BE32-E72D297353CC}">
              <c16:uniqueId val="{00000004-9752-4317-993E-8D02B32798CD}"/>
            </c:ext>
          </c:extLst>
        </c:ser>
        <c:ser>
          <c:idx val="3"/>
          <c:order val="3"/>
          <c:tx>
            <c:v>WTIV</c:v>
          </c:tx>
          <c:spPr>
            <a:ln w="28575" cap="rnd">
              <a:solidFill>
                <a:schemeClr val="accent4"/>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'FIX-EX'!$C$126:$Q$126</c:f>
              <c:numCache>
                <c:formatCode>0</c:formatCode>
                <c:ptCount val="15"/>
                <c:pt idx="1">
                  <c:v>0</c:v>
                </c:pt>
                <c:pt idx="2">
                  <c:v>0</c:v>
                </c:pt>
                <c:pt idx="3">
                  <c:v>0</c:v>
                </c:pt>
                <c:pt idx="4">
                  <c:v>0</c:v>
                </c:pt>
                <c:pt idx="5">
                  <c:v>0</c:v>
                </c:pt>
                <c:pt idx="6">
                  <c:v>0</c:v>
                </c:pt>
                <c:pt idx="7">
                  <c:v>0</c:v>
                </c:pt>
                <c:pt idx="8">
                  <c:v>0</c:v>
                </c:pt>
                <c:pt idx="9">
                  <c:v>0</c:v>
                </c:pt>
                <c:pt idx="10">
                  <c:v>2</c:v>
                </c:pt>
                <c:pt idx="11">
                  <c:v>2</c:v>
                </c:pt>
                <c:pt idx="12">
                  <c:v>2</c:v>
                </c:pt>
                <c:pt idx="13">
                  <c:v>2</c:v>
                </c:pt>
                <c:pt idx="14">
                  <c:v>0</c:v>
                </c:pt>
              </c:numCache>
            </c:numRef>
          </c:val>
          <c:smooth val="0"/>
          <c:extLst>
            <c:ext xmlns:c16="http://schemas.microsoft.com/office/drawing/2014/chart" uri="{C3380CC4-5D6E-409C-BE32-E72D297353CC}">
              <c16:uniqueId val="{00000005-9752-4317-993E-8D02B32798CD}"/>
            </c:ext>
          </c:extLst>
        </c:ser>
        <c:ser>
          <c:idx val="4"/>
          <c:order val="4"/>
          <c:tx>
            <c:strRef>
              <c:f>'FIX-EX'!$B$132</c:f>
              <c:strCache>
                <c:ptCount val="1"/>
                <c:pt idx="0">
                  <c:v>CLV</c:v>
                </c:pt>
              </c:strCache>
            </c:strRef>
          </c:tx>
          <c:spPr>
            <a:ln w="38100" cap="rnd">
              <a:solidFill>
                <a:schemeClr val="accent5"/>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'FIX-EX'!$C$132:$Q$132</c:f>
              <c:numCache>
                <c:formatCode>0</c:formatCode>
                <c:ptCount val="15"/>
                <c:pt idx="1">
                  <c:v>0</c:v>
                </c:pt>
                <c:pt idx="2">
                  <c:v>0</c:v>
                </c:pt>
                <c:pt idx="3">
                  <c:v>0</c:v>
                </c:pt>
                <c:pt idx="4">
                  <c:v>0</c:v>
                </c:pt>
                <c:pt idx="5">
                  <c:v>0</c:v>
                </c:pt>
                <c:pt idx="6">
                  <c:v>0</c:v>
                </c:pt>
                <c:pt idx="7">
                  <c:v>0</c:v>
                </c:pt>
                <c:pt idx="8">
                  <c:v>0</c:v>
                </c:pt>
                <c:pt idx="9">
                  <c:v>0</c:v>
                </c:pt>
                <c:pt idx="10">
                  <c:v>1</c:v>
                </c:pt>
                <c:pt idx="11">
                  <c:v>2</c:v>
                </c:pt>
                <c:pt idx="12">
                  <c:v>2</c:v>
                </c:pt>
                <c:pt idx="13">
                  <c:v>1</c:v>
                </c:pt>
                <c:pt idx="14">
                  <c:v>0</c:v>
                </c:pt>
              </c:numCache>
            </c:numRef>
          </c:val>
          <c:smooth val="0"/>
          <c:extLst>
            <c:ext xmlns:c16="http://schemas.microsoft.com/office/drawing/2014/chart" uri="{C3380CC4-5D6E-409C-BE32-E72D297353CC}">
              <c16:uniqueId val="{00000006-9752-4317-993E-8D02B32798CD}"/>
            </c:ext>
          </c:extLst>
        </c:ser>
        <c:ser>
          <c:idx val="7"/>
          <c:order val="7"/>
          <c:tx>
            <c:strRef>
              <c:f>'FIX-EX'!$B$131</c:f>
              <c:strCache>
                <c:ptCount val="1"/>
                <c:pt idx="0">
                  <c:v>SOV</c:v>
                </c:pt>
              </c:strCache>
            </c:strRef>
          </c:tx>
          <c:spPr>
            <a:ln w="28575" cap="rnd">
              <a:solidFill>
                <a:schemeClr val="accent2">
                  <a:lumMod val="60000"/>
                </a:schemeClr>
              </a:solidFill>
              <a:round/>
            </a:ln>
            <a:effectLst/>
          </c:spPr>
          <c:marker>
            <c:symbol val="none"/>
          </c:marker>
          <c:val>
            <c:numRef>
              <c:f>'FIX-EX'!$C$131:$Q$131</c:f>
              <c:numCache>
                <c:formatCode>0</c:formatCode>
                <c:ptCount val="15"/>
                <c:pt idx="1">
                  <c:v>0</c:v>
                </c:pt>
                <c:pt idx="2">
                  <c:v>0</c:v>
                </c:pt>
                <c:pt idx="3">
                  <c:v>0</c:v>
                </c:pt>
                <c:pt idx="4">
                  <c:v>0</c:v>
                </c:pt>
                <c:pt idx="5">
                  <c:v>0</c:v>
                </c:pt>
                <c:pt idx="6">
                  <c:v>0</c:v>
                </c:pt>
                <c:pt idx="7">
                  <c:v>0</c:v>
                </c:pt>
                <c:pt idx="8">
                  <c:v>0</c:v>
                </c:pt>
                <c:pt idx="9">
                  <c:v>0</c:v>
                </c:pt>
                <c:pt idx="10">
                  <c:v>1</c:v>
                </c:pt>
                <c:pt idx="11">
                  <c:v>1</c:v>
                </c:pt>
                <c:pt idx="12">
                  <c:v>2</c:v>
                </c:pt>
                <c:pt idx="13">
                  <c:v>2</c:v>
                </c:pt>
                <c:pt idx="14">
                  <c:v>2</c:v>
                </c:pt>
              </c:numCache>
            </c:numRef>
          </c:val>
          <c:smooth val="0"/>
          <c:extLst>
            <c:ext xmlns:c16="http://schemas.microsoft.com/office/drawing/2014/chart" uri="{C3380CC4-5D6E-409C-BE32-E72D297353CC}">
              <c16:uniqueId val="{00000007-9752-4317-993E-8D02B32798CD}"/>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Vessels Required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majorUnit val="2"/>
      </c:valAx>
      <c:valAx>
        <c:axId val="45341167"/>
        <c:scaling>
          <c:orientation val="minMax"/>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 Turbines Installed </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5334935"/>
        <c:crosses val="max"/>
        <c:crossBetween val="between"/>
      </c:valAx>
      <c:catAx>
        <c:axId val="45334935"/>
        <c:scaling>
          <c:orientation val="minMax"/>
        </c:scaling>
        <c:delete val="1"/>
        <c:axPos val="b"/>
        <c:numFmt formatCode="General" sourceLinked="1"/>
        <c:majorTickMark val="out"/>
        <c:minorTickMark val="none"/>
        <c:tickLblPos val="nextTo"/>
        <c:crossAx val="45341167"/>
        <c:crosses val="autoZero"/>
        <c:auto val="1"/>
        <c:lblAlgn val="ctr"/>
        <c:lblOffset val="100"/>
        <c:noMultiLvlLbl val="0"/>
      </c:catAx>
      <c:spPr>
        <a:noFill/>
        <a:ln>
          <a:noFill/>
        </a:ln>
        <a:effectLst/>
      </c:spPr>
    </c:plotArea>
    <c:legend>
      <c:legendPos val="b"/>
      <c:layout>
        <c:manualLayout>
          <c:xMode val="edge"/>
          <c:yMode val="edge"/>
          <c:x val="0.10195364966059496"/>
          <c:y val="9.4921392701569532E-2"/>
          <c:w val="0.56009852335285482"/>
          <c:h val="4.1790349646219603E-2"/>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nchor="t" anchorCtr="1"/>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Total MW and Projects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462671550043816E-2"/>
          <c:y val="7.5282334926584052E-2"/>
          <c:w val="0.84749648151120716"/>
          <c:h val="0.76811631697945759"/>
        </c:manualLayout>
      </c:layout>
      <c:barChart>
        <c:barDir val="col"/>
        <c:grouping val="clustered"/>
        <c:varyColors val="0"/>
        <c:ser>
          <c:idx val="0"/>
          <c:order val="0"/>
          <c:tx>
            <c:strRef>
              <c:f>'FIX-EX'!$B$83</c:f>
              <c:strCache>
                <c:ptCount val="1"/>
                <c:pt idx="0">
                  <c:v>Fixed-EXPANDED</c:v>
                </c:pt>
              </c:strCache>
            </c:strRef>
          </c:tx>
          <c:spPr>
            <a:solidFill>
              <a:srgbClr val="0079C2"/>
            </a:solidFill>
            <a:ln>
              <a:noFill/>
            </a:ln>
            <a:effectLst/>
          </c:spPr>
          <c:invertIfNegative val="0"/>
          <c:cat>
            <c:numRef>
              <c:f>'FIX-EX'!$C$6:$Q$6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'FIX-EX'!$C$83:$Q$83</c:f>
              <c:numCache>
                <c:formatCode>0</c:formatCode>
                <c:ptCount val="15"/>
                <c:pt idx="1">
                  <c:v>0</c:v>
                </c:pt>
                <c:pt idx="2">
                  <c:v>0</c:v>
                </c:pt>
                <c:pt idx="3">
                  <c:v>0</c:v>
                </c:pt>
                <c:pt idx="4">
                  <c:v>0</c:v>
                </c:pt>
                <c:pt idx="5">
                  <c:v>0</c:v>
                </c:pt>
                <c:pt idx="6">
                  <c:v>0</c:v>
                </c:pt>
                <c:pt idx="7">
                  <c:v>0</c:v>
                </c:pt>
                <c:pt idx="8">
                  <c:v>0</c:v>
                </c:pt>
                <c:pt idx="9">
                  <c:v>0</c:v>
                </c:pt>
                <c:pt idx="10">
                  <c:v>1500</c:v>
                </c:pt>
                <c:pt idx="11">
                  <c:v>2000</c:v>
                </c:pt>
                <c:pt idx="12">
                  <c:v>2500</c:v>
                </c:pt>
                <c:pt idx="13">
                  <c:v>1000</c:v>
                </c:pt>
                <c:pt idx="14">
                  <c:v>0</c:v>
                </c:pt>
              </c:numCache>
            </c:numRef>
          </c:val>
          <c:extLst>
            <c:ext xmlns:c16="http://schemas.microsoft.com/office/drawing/2014/chart" uri="{C3380CC4-5D6E-409C-BE32-E72D297353CC}">
              <c16:uniqueId val="{00000000-BCAD-493E-91C5-FE576B08EBC8}"/>
            </c:ext>
          </c:extLst>
        </c:ser>
        <c:dLbls>
          <c:showLegendKey val="0"/>
          <c:showVal val="0"/>
          <c:showCatName val="0"/>
          <c:showSerName val="0"/>
          <c:showPercent val="0"/>
          <c:showBubbleSize val="0"/>
        </c:dLbls>
        <c:gapWidth val="200"/>
        <c:overlap val="100"/>
        <c:axId val="1105198224"/>
        <c:axId val="1105196256"/>
      </c:barChart>
      <c:lineChart>
        <c:grouping val="standard"/>
        <c:varyColors val="0"/>
        <c:ser>
          <c:idx val="4"/>
          <c:order val="1"/>
          <c:tx>
            <c:strRef>
              <c:f>'FIX-EX'!$B$84</c:f>
              <c:strCache>
                <c:ptCount val="1"/>
                <c:pt idx="0">
                  <c:v>Projects Constructed</c:v>
                </c:pt>
              </c:strCache>
            </c:strRef>
          </c:tx>
          <c:spPr>
            <a:ln w="38100" cap="rnd">
              <a:solidFill>
                <a:srgbClr val="933C06"/>
              </a:solidFill>
              <a:round/>
            </a:ln>
            <a:effectLst/>
          </c:spPr>
          <c:marker>
            <c:symbol val="none"/>
          </c:marker>
          <c:cat>
            <c:numRef>
              <c:f>'FIX-EX'!$C$6:$Q$6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'FIX-EX'!$C$84:$Q$84</c:f>
              <c:numCache>
                <c:formatCode>0</c:formatCode>
                <c:ptCount val="15"/>
                <c:pt idx="1">
                  <c:v>0</c:v>
                </c:pt>
                <c:pt idx="2">
                  <c:v>0</c:v>
                </c:pt>
                <c:pt idx="3">
                  <c:v>0</c:v>
                </c:pt>
                <c:pt idx="4">
                  <c:v>0</c:v>
                </c:pt>
                <c:pt idx="5">
                  <c:v>0</c:v>
                </c:pt>
                <c:pt idx="6">
                  <c:v>0</c:v>
                </c:pt>
                <c:pt idx="7">
                  <c:v>0</c:v>
                </c:pt>
                <c:pt idx="8">
                  <c:v>0</c:v>
                </c:pt>
                <c:pt idx="9">
                  <c:v>0</c:v>
                </c:pt>
                <c:pt idx="10">
                  <c:v>1</c:v>
                </c:pt>
                <c:pt idx="11">
                  <c:v>2</c:v>
                </c:pt>
                <c:pt idx="12">
                  <c:v>2</c:v>
                </c:pt>
                <c:pt idx="13">
                  <c:v>1</c:v>
                </c:pt>
                <c:pt idx="14">
                  <c:v>0</c:v>
                </c:pt>
              </c:numCache>
            </c:numRef>
          </c:val>
          <c:smooth val="0"/>
          <c:extLst>
            <c:ext xmlns:c16="http://schemas.microsoft.com/office/drawing/2014/chart" uri="{C3380CC4-5D6E-409C-BE32-E72D297353CC}">
              <c16:uniqueId val="{00000001-BCAD-493E-91C5-FE576B08EBC8}"/>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2"/>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Projects Constructed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105196256"/>
        <c:scaling>
          <c:orientation val="minMax"/>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MW per year</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05198224"/>
        <c:crosses val="max"/>
        <c:crossBetween val="between"/>
      </c:valAx>
      <c:catAx>
        <c:axId val="1105198224"/>
        <c:scaling>
          <c:orientation val="minMax"/>
        </c:scaling>
        <c:delete val="1"/>
        <c:axPos val="b"/>
        <c:numFmt formatCode="General" sourceLinked="1"/>
        <c:majorTickMark val="out"/>
        <c:minorTickMark val="none"/>
        <c:tickLblPos val="nextTo"/>
        <c:crossAx val="1105196256"/>
        <c:crosses val="autoZero"/>
        <c:auto val="1"/>
        <c:lblAlgn val="ctr"/>
        <c:lblOffset val="100"/>
        <c:noMultiLvlLbl val="0"/>
      </c:catAx>
      <c:spPr>
        <a:noFill/>
        <a:ln>
          <a:noFill/>
        </a:ln>
        <a:effectLst/>
      </c:spPr>
    </c:plotArea>
    <c:legend>
      <c:legendPos val="b"/>
      <c:layout>
        <c:manualLayout>
          <c:xMode val="edge"/>
          <c:yMode val="edge"/>
          <c:x val="9.9358774265480274E-2"/>
          <c:y val="9.9731239444338426E-2"/>
          <c:w val="0.16406096444866217"/>
          <c:h val="0.1893341143365127"/>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Turbines Transported/Stored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2623337265654374E-2"/>
          <c:y val="7.5282334926584052E-2"/>
          <c:w val="0.80910229985705562"/>
          <c:h val="0.75701402721993338"/>
        </c:manualLayout>
      </c:layout>
      <c:barChart>
        <c:barDir val="col"/>
        <c:grouping val="stacked"/>
        <c:varyColors val="0"/>
        <c:ser>
          <c:idx val="1"/>
          <c:order val="0"/>
          <c:tx>
            <c:strRef>
              <c:f>'FIX-EX'!$B$46</c:f>
              <c:strCache>
                <c:ptCount val="1"/>
                <c:pt idx="0">
                  <c:v>12</c:v>
                </c:pt>
              </c:strCache>
            </c:strRef>
          </c:tx>
          <c:spPr>
            <a:solidFill>
              <a:srgbClr val="0079C2"/>
            </a:solidFill>
            <a:ln>
              <a:noFill/>
            </a:ln>
            <a:effectLst/>
          </c:spPr>
          <c:invertIfNegative val="0"/>
          <c:cat>
            <c:numRef>
              <c:f>'FIX-EX'!$C$6:$Q$6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'FIX-EX'!$C$46:$Q$46</c:f>
              <c:numCache>
                <c:formatCode>0</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05D7-4656-8818-FCFAE9F2F3EE}"/>
            </c:ext>
          </c:extLst>
        </c:ser>
        <c:ser>
          <c:idx val="2"/>
          <c:order val="1"/>
          <c:tx>
            <c:strRef>
              <c:f>'FIX-EX'!$B$47</c:f>
              <c:strCache>
                <c:ptCount val="1"/>
                <c:pt idx="0">
                  <c:v>15</c:v>
                </c:pt>
              </c:strCache>
            </c:strRef>
          </c:tx>
          <c:spPr>
            <a:solidFill>
              <a:srgbClr val="5E6A71"/>
            </a:solidFill>
            <a:ln>
              <a:noFill/>
            </a:ln>
            <a:effectLst/>
          </c:spPr>
          <c:invertIfNegative val="0"/>
          <c:cat>
            <c:numRef>
              <c:f>'FIX-EX'!$C$6:$Q$6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'FIX-EX'!$C$47:$Q$47</c:f>
              <c:numCache>
                <c:formatCode>0</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1-05D7-4656-8818-FCFAE9F2F3EE}"/>
            </c:ext>
          </c:extLst>
        </c:ser>
        <c:ser>
          <c:idx val="3"/>
          <c:order val="2"/>
          <c:tx>
            <c:strRef>
              <c:f>'FIX-EX'!$B$48</c:f>
              <c:strCache>
                <c:ptCount val="1"/>
                <c:pt idx="0">
                  <c:v>18</c:v>
                </c:pt>
              </c:strCache>
            </c:strRef>
          </c:tx>
          <c:spPr>
            <a:solidFill>
              <a:srgbClr val="5D9732"/>
            </a:solidFill>
            <a:ln>
              <a:noFill/>
            </a:ln>
            <a:effectLst/>
          </c:spPr>
          <c:invertIfNegative val="0"/>
          <c:cat>
            <c:numRef>
              <c:f>'FIX-EX'!$C$6:$Q$6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'FIX-EX'!$C$48:$Q$48</c:f>
              <c:numCache>
                <c:formatCode>0</c:formatCode>
                <c:ptCount val="15"/>
                <c:pt idx="0">
                  <c:v>0</c:v>
                </c:pt>
                <c:pt idx="1">
                  <c:v>0</c:v>
                </c:pt>
                <c:pt idx="2">
                  <c:v>0</c:v>
                </c:pt>
                <c:pt idx="3">
                  <c:v>0</c:v>
                </c:pt>
                <c:pt idx="4">
                  <c:v>0</c:v>
                </c:pt>
                <c:pt idx="5">
                  <c:v>0</c:v>
                </c:pt>
                <c:pt idx="6">
                  <c:v>0</c:v>
                </c:pt>
                <c:pt idx="7">
                  <c:v>0</c:v>
                </c:pt>
                <c:pt idx="8">
                  <c:v>0</c:v>
                </c:pt>
                <c:pt idx="9">
                  <c:v>83.333333333333329</c:v>
                </c:pt>
                <c:pt idx="10">
                  <c:v>111.11111111111111</c:v>
                </c:pt>
                <c:pt idx="11">
                  <c:v>138.88888888888889</c:v>
                </c:pt>
                <c:pt idx="12">
                  <c:v>55.555555555555557</c:v>
                </c:pt>
                <c:pt idx="13">
                  <c:v>0</c:v>
                </c:pt>
              </c:numCache>
            </c:numRef>
          </c:val>
          <c:extLst>
            <c:ext xmlns:c16="http://schemas.microsoft.com/office/drawing/2014/chart" uri="{C3380CC4-5D6E-409C-BE32-E72D297353CC}">
              <c16:uniqueId val="{00000002-05D7-4656-8818-FCFAE9F2F3EE}"/>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Transportation/Storage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Turbines Stored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w="9525">
          <a:solidFill>
            <a:srgbClr val="3D6321"/>
          </a:solid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a:t>Turbine</a:t>
            </a:r>
            <a:r>
              <a:rPr lang="en-US" baseline="0"/>
              <a:t> Orders</a:t>
            </a:r>
            <a:endParaRPr lang="en-US"/>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909255046736566E-2"/>
          <c:y val="7.5282334926584052E-2"/>
          <c:w val="0.8200706163901833"/>
          <c:h val="0.75439490302403034"/>
        </c:manualLayout>
      </c:layout>
      <c:barChart>
        <c:barDir val="col"/>
        <c:grouping val="stacked"/>
        <c:varyColors val="0"/>
        <c:ser>
          <c:idx val="1"/>
          <c:order val="0"/>
          <c:tx>
            <c:strRef>
              <c:f>'FIX-EX'!$B$10</c:f>
              <c:strCache>
                <c:ptCount val="1"/>
                <c:pt idx="0">
                  <c:v>12</c:v>
                </c:pt>
              </c:strCache>
            </c:strRef>
          </c:tx>
          <c:spPr>
            <a:solidFill>
              <a:srgbClr val="0079C2"/>
            </a:solidFill>
            <a:ln>
              <a:noFill/>
            </a:ln>
            <a:effectLst/>
          </c:spPr>
          <c:invertIfNegative val="0"/>
          <c:cat>
            <c:numRef>
              <c:f>'FIX-EX'!$C$6:$Q$6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'FIX-EX'!$C$10:$Q$10</c:f>
              <c:numCache>
                <c:formatCode>0</c:formatCode>
                <c:ptCount val="15"/>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3184-45E0-B6ED-F4088D50EDB9}"/>
            </c:ext>
          </c:extLst>
        </c:ser>
        <c:ser>
          <c:idx val="2"/>
          <c:order val="1"/>
          <c:tx>
            <c:strRef>
              <c:f>'FIX-EX'!$B$11</c:f>
              <c:strCache>
                <c:ptCount val="1"/>
                <c:pt idx="0">
                  <c:v>15</c:v>
                </c:pt>
              </c:strCache>
            </c:strRef>
          </c:tx>
          <c:spPr>
            <a:solidFill>
              <a:srgbClr val="5E6A71"/>
            </a:solidFill>
            <a:ln>
              <a:noFill/>
            </a:ln>
            <a:effectLst/>
          </c:spPr>
          <c:invertIfNegative val="0"/>
          <c:cat>
            <c:numRef>
              <c:f>'FIX-EX'!$C$6:$Q$6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'FIX-EX'!$C$11:$Q$11</c:f>
              <c:numCache>
                <c:formatCode>0</c:formatCode>
                <c:ptCount val="15"/>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3184-45E0-B6ED-F4088D50EDB9}"/>
            </c:ext>
          </c:extLst>
        </c:ser>
        <c:ser>
          <c:idx val="3"/>
          <c:order val="2"/>
          <c:tx>
            <c:strRef>
              <c:f>'FIX-EX'!$B$12</c:f>
              <c:strCache>
                <c:ptCount val="1"/>
                <c:pt idx="0">
                  <c:v>18</c:v>
                </c:pt>
              </c:strCache>
            </c:strRef>
          </c:tx>
          <c:spPr>
            <a:solidFill>
              <a:srgbClr val="5D9732"/>
            </a:solidFill>
            <a:ln>
              <a:noFill/>
            </a:ln>
            <a:effectLst/>
          </c:spPr>
          <c:invertIfNegative val="0"/>
          <c:cat>
            <c:numRef>
              <c:f>'FIX-EX'!$C$6:$Q$6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'FIX-EX'!$C$12:$Q$12</c:f>
              <c:numCache>
                <c:formatCode>0</c:formatCode>
                <c:ptCount val="15"/>
                <c:pt idx="0">
                  <c:v>0</c:v>
                </c:pt>
                <c:pt idx="1">
                  <c:v>0</c:v>
                </c:pt>
                <c:pt idx="2">
                  <c:v>0</c:v>
                </c:pt>
                <c:pt idx="3">
                  <c:v>0</c:v>
                </c:pt>
                <c:pt idx="4">
                  <c:v>0</c:v>
                </c:pt>
                <c:pt idx="5">
                  <c:v>0</c:v>
                </c:pt>
                <c:pt idx="6">
                  <c:v>0</c:v>
                </c:pt>
                <c:pt idx="7">
                  <c:v>0</c:v>
                </c:pt>
                <c:pt idx="8">
                  <c:v>83.333333333333329</c:v>
                </c:pt>
                <c:pt idx="9">
                  <c:v>111.11111111111111</c:v>
                </c:pt>
                <c:pt idx="10">
                  <c:v>138.88888888888889</c:v>
                </c:pt>
                <c:pt idx="11">
                  <c:v>55.555555555555557</c:v>
                </c:pt>
                <c:pt idx="12">
                  <c:v>0</c:v>
                </c:pt>
              </c:numCache>
            </c:numRef>
          </c:val>
          <c:extLst>
            <c:ext xmlns:c16="http://schemas.microsoft.com/office/drawing/2014/chart" uri="{C3380CC4-5D6E-409C-BE32-E72D297353CC}">
              <c16:uniqueId val="{00000002-3184-45E0-B6ED-F4088D50EDB9}"/>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Procurement/Manufacturing</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Turbines Ordered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baseline="0"/>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'EC-known'!$B$138</c:f>
              <c:strCache>
                <c:ptCount val="1"/>
                <c:pt idx="0">
                  <c:v>EC Lay-down Area (acres) </c:v>
                </c:pt>
              </c:strCache>
            </c:strRef>
          </c:tx>
          <c:spPr>
            <a:solidFill>
              <a:schemeClr val="accent1"/>
            </a:solidFill>
            <a:ln>
              <a:noFill/>
            </a:ln>
            <a:effectLst/>
          </c:spPr>
          <c:invertIfNegative val="0"/>
          <c:cat>
            <c:numRef>
              <c:f>'EC-known'!$C$136:$Q$136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'EC-known'!$C$138:$Q$138</c:f>
              <c:numCache>
                <c:formatCode>0</c:formatCode>
                <c:ptCount val="15"/>
                <c:pt idx="1">
                  <c:v>0</c:v>
                </c:pt>
                <c:pt idx="2">
                  <c:v>40</c:v>
                </c:pt>
                <c:pt idx="3">
                  <c:v>160</c:v>
                </c:pt>
                <c:pt idx="4">
                  <c:v>160</c:v>
                </c:pt>
                <c:pt idx="5">
                  <c:v>120</c:v>
                </c:pt>
                <c:pt idx="6">
                  <c:v>120</c:v>
                </c:pt>
                <c:pt idx="7">
                  <c:v>200</c:v>
                </c:pt>
                <c:pt idx="8">
                  <c:v>80</c:v>
                </c:pt>
                <c:pt idx="9">
                  <c:v>160</c:v>
                </c:pt>
                <c:pt idx="10">
                  <c:v>40</c:v>
                </c:pt>
                <c:pt idx="11">
                  <c:v>120</c:v>
                </c:pt>
                <c:pt idx="12">
                  <c:v>40</c:v>
                </c:pt>
                <c:pt idx="13">
                  <c:v>40</c:v>
                </c:pt>
                <c:pt idx="14">
                  <c:v>40</c:v>
                </c:pt>
              </c:numCache>
            </c:numRef>
          </c:val>
          <c:extLst>
            <c:ext xmlns:c16="http://schemas.microsoft.com/office/drawing/2014/chart" uri="{C3380CC4-5D6E-409C-BE32-E72D297353CC}">
              <c16:uniqueId val="{00000000-DE99-4A44-8BC1-5425A97BDB55}"/>
            </c:ext>
          </c:extLst>
        </c:ser>
        <c:dLbls>
          <c:showLegendKey val="0"/>
          <c:showVal val="0"/>
          <c:showCatName val="0"/>
          <c:showSerName val="0"/>
          <c:showPercent val="0"/>
          <c:showBubbleSize val="0"/>
        </c:dLbls>
        <c:gapWidth val="150"/>
        <c:axId val="877430240"/>
        <c:axId val="877434832"/>
      </c:barChart>
      <c:catAx>
        <c:axId val="877430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7434832"/>
        <c:crosses val="autoZero"/>
        <c:auto val="1"/>
        <c:lblAlgn val="ctr"/>
        <c:lblOffset val="100"/>
        <c:noMultiLvlLbl val="0"/>
      </c:catAx>
      <c:valAx>
        <c:axId val="87743483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74302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Vessels Required and Turbines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417250198291675E-2"/>
          <c:y val="7.5282334926584052E-2"/>
          <c:w val="0.82771678647263758"/>
          <c:h val="0.79270271721152119"/>
        </c:manualLayout>
      </c:layout>
      <c:barChart>
        <c:barDir val="col"/>
        <c:grouping val="stacked"/>
        <c:varyColors val="0"/>
        <c:ser>
          <c:idx val="0"/>
          <c:order val="0"/>
          <c:tx>
            <c:strRef>
              <c:f>'FLOAT-EX'!$B$86</c:f>
              <c:strCache>
                <c:ptCount val="1"/>
                <c:pt idx="0">
                  <c:v>12</c:v>
                </c:pt>
              </c:strCache>
            </c:strRef>
          </c:tx>
          <c:spPr>
            <a:solidFill>
              <a:srgbClr val="0079C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'FLOAT-EX'!$C$86:$Q$86</c:f>
              <c:numCache>
                <c:formatCode>0</c:formatCode>
                <c:ptCount val="15"/>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0-FCAC-43B8-9878-CEA5A809E891}"/>
            </c:ext>
          </c:extLst>
        </c:ser>
        <c:ser>
          <c:idx val="5"/>
          <c:order val="4"/>
          <c:tx>
            <c:strRef>
              <c:f>'FLOAT-EX'!$B$87</c:f>
              <c:strCache>
                <c:ptCount val="1"/>
                <c:pt idx="0">
                  <c:v>15</c:v>
                </c:pt>
              </c:strCache>
            </c:strRef>
          </c:tx>
          <c:spPr>
            <a:solidFill>
              <a:srgbClr val="5E6A71"/>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'FLOAT-EX'!$C$87:$Q$87</c:f>
              <c:numCache>
                <c:formatCode>0</c:formatCode>
                <c:ptCount val="15"/>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1-FCAC-43B8-9878-CEA5A809E891}"/>
            </c:ext>
          </c:extLst>
        </c:ser>
        <c:ser>
          <c:idx val="6"/>
          <c:order val="5"/>
          <c:tx>
            <c:strRef>
              <c:f>'FLOAT-EX'!$B$88</c:f>
              <c:strCache>
                <c:ptCount val="1"/>
                <c:pt idx="0">
                  <c:v>18</c:v>
                </c:pt>
              </c:strCache>
            </c:strRef>
          </c:tx>
          <c:spPr>
            <a:solidFill>
              <a:srgbClr val="5D973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'FLOAT-EX'!$C$88:$Q$88</c:f>
              <c:numCache>
                <c:formatCode>0</c:formatCode>
                <c:ptCount val="15"/>
                <c:pt idx="1">
                  <c:v>0</c:v>
                </c:pt>
                <c:pt idx="2">
                  <c:v>0</c:v>
                </c:pt>
                <c:pt idx="3">
                  <c:v>0</c:v>
                </c:pt>
                <c:pt idx="4">
                  <c:v>0</c:v>
                </c:pt>
                <c:pt idx="5">
                  <c:v>0</c:v>
                </c:pt>
                <c:pt idx="6">
                  <c:v>0</c:v>
                </c:pt>
                <c:pt idx="7">
                  <c:v>0</c:v>
                </c:pt>
                <c:pt idx="8">
                  <c:v>0</c:v>
                </c:pt>
                <c:pt idx="9">
                  <c:v>0</c:v>
                </c:pt>
                <c:pt idx="10">
                  <c:v>91.333333333333329</c:v>
                </c:pt>
                <c:pt idx="11">
                  <c:v>27.777777777777779</c:v>
                </c:pt>
                <c:pt idx="12">
                  <c:v>177.77777777777777</c:v>
                </c:pt>
                <c:pt idx="13">
                  <c:v>138.88888888888889</c:v>
                </c:pt>
                <c:pt idx="14">
                  <c:v>250</c:v>
                </c:pt>
              </c:numCache>
            </c:numRef>
          </c:val>
          <c:extLst>
            <c:ext xmlns:c16="http://schemas.microsoft.com/office/drawing/2014/chart" uri="{C3380CC4-5D6E-409C-BE32-E72D297353CC}">
              <c16:uniqueId val="{00000002-FCAC-43B8-9878-CEA5A809E891}"/>
            </c:ext>
          </c:extLst>
        </c:ser>
        <c:dLbls>
          <c:showLegendKey val="0"/>
          <c:showVal val="0"/>
          <c:showCatName val="0"/>
          <c:showSerName val="0"/>
          <c:showPercent val="0"/>
          <c:showBubbleSize val="0"/>
        </c:dLbls>
        <c:gapWidth val="200"/>
        <c:overlap val="100"/>
        <c:axId val="45334935"/>
        <c:axId val="45341167"/>
      </c:barChart>
      <c:lineChart>
        <c:grouping val="standard"/>
        <c:varyColors val="0"/>
        <c:ser>
          <c:idx val="1"/>
          <c:order val="1"/>
          <c:tx>
            <c:strRef>
              <c:f>'FLOAT-EX'!$B$123</c:f>
              <c:strCache>
                <c:ptCount val="1"/>
                <c:pt idx="0">
                  <c:v>CTV</c:v>
                </c:pt>
              </c:strCache>
            </c:strRef>
          </c:tx>
          <c:spPr>
            <a:ln w="28575" cap="rnd">
              <a:solidFill>
                <a:schemeClr val="accent2"/>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'FLOAT-EX'!$C$123:$Q$123</c:f>
              <c:numCache>
                <c:formatCode>0</c:formatCode>
                <c:ptCount val="15"/>
                <c:pt idx="1">
                  <c:v>0</c:v>
                </c:pt>
                <c:pt idx="2">
                  <c:v>0</c:v>
                </c:pt>
                <c:pt idx="3">
                  <c:v>0</c:v>
                </c:pt>
                <c:pt idx="4">
                  <c:v>0</c:v>
                </c:pt>
                <c:pt idx="5">
                  <c:v>0</c:v>
                </c:pt>
                <c:pt idx="6">
                  <c:v>0</c:v>
                </c:pt>
                <c:pt idx="7">
                  <c:v>0</c:v>
                </c:pt>
                <c:pt idx="8">
                  <c:v>0</c:v>
                </c:pt>
                <c:pt idx="9">
                  <c:v>0</c:v>
                </c:pt>
                <c:pt idx="10">
                  <c:v>6</c:v>
                </c:pt>
                <c:pt idx="11">
                  <c:v>8</c:v>
                </c:pt>
                <c:pt idx="12">
                  <c:v>12</c:v>
                </c:pt>
                <c:pt idx="13">
                  <c:v>15</c:v>
                </c:pt>
                <c:pt idx="14">
                  <c:v>20</c:v>
                </c:pt>
              </c:numCache>
            </c:numRef>
          </c:val>
          <c:smooth val="0"/>
          <c:extLst>
            <c:ext xmlns:c16="http://schemas.microsoft.com/office/drawing/2014/chart" uri="{C3380CC4-5D6E-409C-BE32-E72D297353CC}">
              <c16:uniqueId val="{00000003-FCAC-43B8-9878-CEA5A809E891}"/>
            </c:ext>
          </c:extLst>
        </c:ser>
        <c:ser>
          <c:idx val="3"/>
          <c:order val="2"/>
          <c:tx>
            <c:v>WTIV</c:v>
          </c:tx>
          <c:spPr>
            <a:ln w="28575" cap="rnd">
              <a:solidFill>
                <a:schemeClr val="accent4"/>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'FLOAT-EX'!$C$125:$Q$125</c:f>
              <c:numCache>
                <c:formatCode>0</c:formatCode>
                <c:ptCount val="15"/>
                <c:pt idx="1">
                  <c:v>0</c:v>
                </c:pt>
                <c:pt idx="2">
                  <c:v>0</c:v>
                </c:pt>
                <c:pt idx="3">
                  <c:v>0</c:v>
                </c:pt>
                <c:pt idx="4">
                  <c:v>0</c:v>
                </c:pt>
                <c:pt idx="5">
                  <c:v>0</c:v>
                </c:pt>
                <c:pt idx="6">
                  <c:v>0</c:v>
                </c:pt>
                <c:pt idx="7">
                  <c:v>0</c:v>
                </c:pt>
                <c:pt idx="8">
                  <c:v>0</c:v>
                </c:pt>
                <c:pt idx="9">
                  <c:v>0</c:v>
                </c:pt>
                <c:pt idx="10">
                  <c:v>2</c:v>
                </c:pt>
                <c:pt idx="11">
                  <c:v>1</c:v>
                </c:pt>
                <c:pt idx="12">
                  <c:v>3</c:v>
                </c:pt>
                <c:pt idx="13">
                  <c:v>2</c:v>
                </c:pt>
                <c:pt idx="14">
                  <c:v>4</c:v>
                </c:pt>
              </c:numCache>
            </c:numRef>
          </c:val>
          <c:smooth val="0"/>
          <c:extLst>
            <c:ext xmlns:c16="http://schemas.microsoft.com/office/drawing/2014/chart" uri="{C3380CC4-5D6E-409C-BE32-E72D297353CC}">
              <c16:uniqueId val="{00000004-FCAC-43B8-9878-CEA5A809E891}"/>
            </c:ext>
          </c:extLst>
        </c:ser>
        <c:ser>
          <c:idx val="4"/>
          <c:order val="3"/>
          <c:tx>
            <c:strRef>
              <c:f>'FLOAT-EX'!$B$125</c:f>
              <c:strCache>
                <c:ptCount val="1"/>
                <c:pt idx="0">
                  <c:v>CLV</c:v>
                </c:pt>
              </c:strCache>
            </c:strRef>
          </c:tx>
          <c:spPr>
            <a:ln w="28575" cap="rnd">
              <a:solidFill>
                <a:schemeClr val="accent5"/>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'FLOAT-EX'!$C$125:$Q$125</c:f>
              <c:numCache>
                <c:formatCode>0</c:formatCode>
                <c:ptCount val="15"/>
                <c:pt idx="1">
                  <c:v>0</c:v>
                </c:pt>
                <c:pt idx="2">
                  <c:v>0</c:v>
                </c:pt>
                <c:pt idx="3">
                  <c:v>0</c:v>
                </c:pt>
                <c:pt idx="4">
                  <c:v>0</c:v>
                </c:pt>
                <c:pt idx="5">
                  <c:v>0</c:v>
                </c:pt>
                <c:pt idx="6">
                  <c:v>0</c:v>
                </c:pt>
                <c:pt idx="7">
                  <c:v>0</c:v>
                </c:pt>
                <c:pt idx="8">
                  <c:v>0</c:v>
                </c:pt>
                <c:pt idx="9">
                  <c:v>0</c:v>
                </c:pt>
                <c:pt idx="10">
                  <c:v>2</c:v>
                </c:pt>
                <c:pt idx="11">
                  <c:v>1</c:v>
                </c:pt>
                <c:pt idx="12">
                  <c:v>3</c:v>
                </c:pt>
                <c:pt idx="13">
                  <c:v>2</c:v>
                </c:pt>
                <c:pt idx="14">
                  <c:v>4</c:v>
                </c:pt>
              </c:numCache>
            </c:numRef>
          </c:val>
          <c:smooth val="0"/>
          <c:extLst>
            <c:ext xmlns:c16="http://schemas.microsoft.com/office/drawing/2014/chart" uri="{C3380CC4-5D6E-409C-BE32-E72D297353CC}">
              <c16:uniqueId val="{00000005-FCAC-43B8-9878-CEA5A809E891}"/>
            </c:ext>
          </c:extLst>
        </c:ser>
        <c:ser>
          <c:idx val="2"/>
          <c:order val="6"/>
          <c:tx>
            <c:strRef>
              <c:f>'FLOAT-EX'!$B$124</c:f>
              <c:strCache>
                <c:ptCount val="1"/>
                <c:pt idx="0">
                  <c:v>SOV</c:v>
                </c:pt>
              </c:strCache>
            </c:strRef>
          </c:tx>
          <c:spPr>
            <a:ln w="28575" cap="rnd">
              <a:solidFill>
                <a:schemeClr val="accent3"/>
              </a:solidFill>
              <a:round/>
            </a:ln>
            <a:effectLst/>
          </c:spPr>
          <c:marker>
            <c:symbol val="none"/>
          </c:marker>
          <c:val>
            <c:numRef>
              <c:f>'FLOAT-EX'!$C$124:$Q$124</c:f>
              <c:numCache>
                <c:formatCode>0</c:formatCode>
                <c:ptCount val="15"/>
                <c:pt idx="1">
                  <c:v>0</c:v>
                </c:pt>
                <c:pt idx="2">
                  <c:v>0</c:v>
                </c:pt>
                <c:pt idx="3">
                  <c:v>0</c:v>
                </c:pt>
                <c:pt idx="4">
                  <c:v>0</c:v>
                </c:pt>
                <c:pt idx="5">
                  <c:v>0</c:v>
                </c:pt>
                <c:pt idx="6">
                  <c:v>0</c:v>
                </c:pt>
                <c:pt idx="7">
                  <c:v>0</c:v>
                </c:pt>
                <c:pt idx="8">
                  <c:v>0</c:v>
                </c:pt>
                <c:pt idx="9">
                  <c:v>0</c:v>
                </c:pt>
                <c:pt idx="10">
                  <c:v>1</c:v>
                </c:pt>
                <c:pt idx="11">
                  <c:v>1</c:v>
                </c:pt>
                <c:pt idx="12">
                  <c:v>2</c:v>
                </c:pt>
                <c:pt idx="13">
                  <c:v>3</c:v>
                </c:pt>
                <c:pt idx="14">
                  <c:v>4</c:v>
                </c:pt>
              </c:numCache>
            </c:numRef>
          </c:val>
          <c:smooth val="0"/>
          <c:extLst>
            <c:ext xmlns:c16="http://schemas.microsoft.com/office/drawing/2014/chart" uri="{C3380CC4-5D6E-409C-BE32-E72D297353CC}">
              <c16:uniqueId val="{00000006-FCAC-43B8-9878-CEA5A809E891}"/>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2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Vessels Required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majorUnit val="2"/>
      </c:valAx>
      <c:valAx>
        <c:axId val="45341167"/>
        <c:scaling>
          <c:orientation val="minMax"/>
          <c:max val="200"/>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 Turbines Installed </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5334935"/>
        <c:crosses val="max"/>
        <c:crossBetween val="between"/>
      </c:valAx>
      <c:catAx>
        <c:axId val="45334935"/>
        <c:scaling>
          <c:orientation val="minMax"/>
        </c:scaling>
        <c:delete val="1"/>
        <c:axPos val="b"/>
        <c:numFmt formatCode="General" sourceLinked="1"/>
        <c:majorTickMark val="out"/>
        <c:minorTickMark val="none"/>
        <c:tickLblPos val="nextTo"/>
        <c:crossAx val="45341167"/>
        <c:crosses val="autoZero"/>
        <c:auto val="1"/>
        <c:lblAlgn val="ctr"/>
        <c:lblOffset val="100"/>
        <c:noMultiLvlLbl val="0"/>
      </c:catAx>
      <c:spPr>
        <a:noFill/>
        <a:ln>
          <a:noFill/>
        </a:ln>
        <a:effectLst/>
      </c:spPr>
    </c:plotArea>
    <c:legend>
      <c:legendPos val="b"/>
      <c:layout>
        <c:manualLayout>
          <c:xMode val="edge"/>
          <c:yMode val="edge"/>
          <c:x val="0.10195364966059496"/>
          <c:y val="9.4921392701569532E-2"/>
          <c:w val="0.42953902633130125"/>
          <c:h val="6.1470659471974838E-2"/>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nchor="t" anchorCtr="1"/>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Total MW and Projects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462671550043816E-2"/>
          <c:y val="7.5282334926584052E-2"/>
          <c:w val="0.84749648151120716"/>
          <c:h val="0.76811631697945759"/>
        </c:manualLayout>
      </c:layout>
      <c:barChart>
        <c:barDir val="col"/>
        <c:grouping val="clustered"/>
        <c:varyColors val="0"/>
        <c:ser>
          <c:idx val="0"/>
          <c:order val="0"/>
          <c:tx>
            <c:strRef>
              <c:f>'FLOAT-EX'!$B$83</c:f>
              <c:strCache>
                <c:ptCount val="1"/>
                <c:pt idx="0">
                  <c:v>Floating-EXPANDED</c:v>
                </c:pt>
              </c:strCache>
            </c:strRef>
          </c:tx>
          <c:spPr>
            <a:solidFill>
              <a:srgbClr val="0079C2"/>
            </a:solidFill>
            <a:ln>
              <a:noFill/>
            </a:ln>
            <a:effectLst/>
          </c:spPr>
          <c:invertIfNegative val="0"/>
          <c:cat>
            <c:numRef>
              <c:f>'FLOAT-EX'!$C$6:$Q$6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'FLOAT-EX'!$C$83:$Q$83</c:f>
              <c:numCache>
                <c:formatCode>0</c:formatCode>
                <c:ptCount val="15"/>
                <c:pt idx="1">
                  <c:v>0</c:v>
                </c:pt>
                <c:pt idx="2">
                  <c:v>0</c:v>
                </c:pt>
                <c:pt idx="3">
                  <c:v>0</c:v>
                </c:pt>
                <c:pt idx="4">
                  <c:v>0</c:v>
                </c:pt>
                <c:pt idx="5">
                  <c:v>0</c:v>
                </c:pt>
                <c:pt idx="6">
                  <c:v>0</c:v>
                </c:pt>
                <c:pt idx="7">
                  <c:v>0</c:v>
                </c:pt>
                <c:pt idx="8">
                  <c:v>0</c:v>
                </c:pt>
                <c:pt idx="9">
                  <c:v>0</c:v>
                </c:pt>
                <c:pt idx="10">
                  <c:v>1644</c:v>
                </c:pt>
                <c:pt idx="11">
                  <c:v>500</c:v>
                </c:pt>
                <c:pt idx="12">
                  <c:v>3200</c:v>
                </c:pt>
                <c:pt idx="13">
                  <c:v>2500</c:v>
                </c:pt>
                <c:pt idx="14">
                  <c:v>4500</c:v>
                </c:pt>
              </c:numCache>
            </c:numRef>
          </c:val>
          <c:extLst>
            <c:ext xmlns:c16="http://schemas.microsoft.com/office/drawing/2014/chart" uri="{C3380CC4-5D6E-409C-BE32-E72D297353CC}">
              <c16:uniqueId val="{00000000-A8A9-4019-9649-368FAA0EA8FF}"/>
            </c:ext>
          </c:extLst>
        </c:ser>
        <c:dLbls>
          <c:showLegendKey val="0"/>
          <c:showVal val="0"/>
          <c:showCatName val="0"/>
          <c:showSerName val="0"/>
          <c:showPercent val="0"/>
          <c:showBubbleSize val="0"/>
        </c:dLbls>
        <c:gapWidth val="200"/>
        <c:overlap val="100"/>
        <c:axId val="1105198224"/>
        <c:axId val="1105196256"/>
      </c:barChart>
      <c:lineChart>
        <c:grouping val="standard"/>
        <c:varyColors val="0"/>
        <c:ser>
          <c:idx val="4"/>
          <c:order val="1"/>
          <c:tx>
            <c:strRef>
              <c:f>'FLOAT-EX'!$B$84</c:f>
              <c:strCache>
                <c:ptCount val="1"/>
                <c:pt idx="0">
                  <c:v>Projects Constructed</c:v>
                </c:pt>
              </c:strCache>
            </c:strRef>
          </c:tx>
          <c:spPr>
            <a:ln w="38100" cap="rnd">
              <a:solidFill>
                <a:srgbClr val="933C06"/>
              </a:solidFill>
              <a:round/>
            </a:ln>
            <a:effectLst/>
          </c:spPr>
          <c:marker>
            <c:symbol val="none"/>
          </c:marker>
          <c:cat>
            <c:numRef>
              <c:f>'FLOAT-EX'!$C$6:$Q$6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'FLOAT-EX'!$C$84:$Q$84</c:f>
              <c:numCache>
                <c:formatCode>0</c:formatCode>
                <c:ptCount val="15"/>
                <c:pt idx="2">
                  <c:v>0</c:v>
                </c:pt>
                <c:pt idx="3">
                  <c:v>0</c:v>
                </c:pt>
                <c:pt idx="4">
                  <c:v>0</c:v>
                </c:pt>
                <c:pt idx="5">
                  <c:v>0</c:v>
                </c:pt>
                <c:pt idx="6">
                  <c:v>0</c:v>
                </c:pt>
                <c:pt idx="7">
                  <c:v>0</c:v>
                </c:pt>
                <c:pt idx="8">
                  <c:v>0</c:v>
                </c:pt>
                <c:pt idx="9">
                  <c:v>0</c:v>
                </c:pt>
                <c:pt idx="10">
                  <c:v>2</c:v>
                </c:pt>
                <c:pt idx="11">
                  <c:v>1</c:v>
                </c:pt>
                <c:pt idx="12">
                  <c:v>3</c:v>
                </c:pt>
                <c:pt idx="13">
                  <c:v>2</c:v>
                </c:pt>
                <c:pt idx="14">
                  <c:v>4</c:v>
                </c:pt>
              </c:numCache>
            </c:numRef>
          </c:val>
          <c:smooth val="0"/>
          <c:extLst>
            <c:ext xmlns:c16="http://schemas.microsoft.com/office/drawing/2014/chart" uri="{C3380CC4-5D6E-409C-BE32-E72D297353CC}">
              <c16:uniqueId val="{00000001-A8A9-4019-9649-368FAA0EA8FF}"/>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5"/>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Projects Constructed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105196256"/>
        <c:scaling>
          <c:orientation val="minMax"/>
          <c:max val="5000"/>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MW per year</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05198224"/>
        <c:crosses val="max"/>
        <c:crossBetween val="between"/>
      </c:valAx>
      <c:catAx>
        <c:axId val="1105198224"/>
        <c:scaling>
          <c:orientation val="minMax"/>
        </c:scaling>
        <c:delete val="1"/>
        <c:axPos val="b"/>
        <c:numFmt formatCode="General" sourceLinked="1"/>
        <c:majorTickMark val="out"/>
        <c:minorTickMark val="none"/>
        <c:tickLblPos val="nextTo"/>
        <c:crossAx val="1105196256"/>
        <c:crosses val="autoZero"/>
        <c:auto val="1"/>
        <c:lblAlgn val="ctr"/>
        <c:lblOffset val="100"/>
        <c:noMultiLvlLbl val="0"/>
      </c:catAx>
      <c:spPr>
        <a:noFill/>
        <a:ln>
          <a:noFill/>
        </a:ln>
        <a:effectLst/>
      </c:spPr>
    </c:plotArea>
    <c:legend>
      <c:legendPos val="b"/>
      <c:layout>
        <c:manualLayout>
          <c:xMode val="edge"/>
          <c:yMode val="edge"/>
          <c:x val="9.9358774265480274E-2"/>
          <c:y val="9.9731239444338426E-2"/>
          <c:w val="0.16406096444866217"/>
          <c:h val="0.1893341143365127"/>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Turbines Transported/Stored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2623337265654374E-2"/>
          <c:y val="7.5282334926584052E-2"/>
          <c:w val="0.80910229985705562"/>
          <c:h val="0.75701402721993338"/>
        </c:manualLayout>
      </c:layout>
      <c:barChart>
        <c:barDir val="col"/>
        <c:grouping val="stacked"/>
        <c:varyColors val="0"/>
        <c:ser>
          <c:idx val="1"/>
          <c:order val="0"/>
          <c:tx>
            <c:strRef>
              <c:f>'WC-known'!$B$46</c:f>
              <c:strCache>
                <c:ptCount val="1"/>
                <c:pt idx="0">
                  <c:v>12</c:v>
                </c:pt>
              </c:strCache>
            </c:strRef>
          </c:tx>
          <c:spPr>
            <a:solidFill>
              <a:srgbClr val="0079C2"/>
            </a:solidFill>
            <a:ln>
              <a:noFill/>
            </a:ln>
            <a:effectLst/>
          </c:spPr>
          <c:invertIfNegative val="0"/>
          <c:cat>
            <c:numRef>
              <c:f>'WC-known'!$C$6:$Q$6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'WC-known'!$C$46:$Q$46</c:f>
              <c:numCache>
                <c:formatCode>0</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01B9-495D-8C7F-5541EB397365}"/>
            </c:ext>
          </c:extLst>
        </c:ser>
        <c:ser>
          <c:idx val="2"/>
          <c:order val="1"/>
          <c:tx>
            <c:strRef>
              <c:f>'WC-known'!$B$47</c:f>
              <c:strCache>
                <c:ptCount val="1"/>
                <c:pt idx="0">
                  <c:v>15</c:v>
                </c:pt>
              </c:strCache>
            </c:strRef>
          </c:tx>
          <c:spPr>
            <a:solidFill>
              <a:srgbClr val="5E6A71"/>
            </a:solidFill>
            <a:ln>
              <a:noFill/>
            </a:ln>
            <a:effectLst/>
          </c:spPr>
          <c:invertIfNegative val="0"/>
          <c:cat>
            <c:numRef>
              <c:f>'WC-known'!$C$6:$Q$6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'WC-known'!$C$47:$Q$47</c:f>
              <c:numCache>
                <c:formatCode>0</c:formatCode>
                <c:ptCount val="15"/>
                <c:pt idx="0">
                  <c:v>0</c:v>
                </c:pt>
                <c:pt idx="1">
                  <c:v>0</c:v>
                </c:pt>
                <c:pt idx="2">
                  <c:v>0</c:v>
                </c:pt>
                <c:pt idx="3">
                  <c:v>0</c:v>
                </c:pt>
                <c:pt idx="4">
                  <c:v>0</c:v>
                </c:pt>
                <c:pt idx="5">
                  <c:v>0</c:v>
                </c:pt>
                <c:pt idx="6">
                  <c:v>33.345014087697692</c:v>
                </c:pt>
                <c:pt idx="7">
                  <c:v>66.679419262979792</c:v>
                </c:pt>
                <c:pt idx="8">
                  <c:v>66.679419262979792</c:v>
                </c:pt>
                <c:pt idx="9">
                  <c:v>0</c:v>
                </c:pt>
                <c:pt idx="10">
                  <c:v>0</c:v>
                </c:pt>
                <c:pt idx="11">
                  <c:v>0</c:v>
                </c:pt>
                <c:pt idx="12">
                  <c:v>0</c:v>
                </c:pt>
                <c:pt idx="13">
                  <c:v>0</c:v>
                </c:pt>
              </c:numCache>
            </c:numRef>
          </c:val>
          <c:extLst>
            <c:ext xmlns:c16="http://schemas.microsoft.com/office/drawing/2014/chart" uri="{C3380CC4-5D6E-409C-BE32-E72D297353CC}">
              <c16:uniqueId val="{00000001-01B9-495D-8C7F-5541EB397365}"/>
            </c:ext>
          </c:extLst>
        </c:ser>
        <c:ser>
          <c:idx val="3"/>
          <c:order val="2"/>
          <c:tx>
            <c:strRef>
              <c:f>'WC-known'!$B$48</c:f>
              <c:strCache>
                <c:ptCount val="1"/>
                <c:pt idx="0">
                  <c:v>18</c:v>
                </c:pt>
              </c:strCache>
            </c:strRef>
          </c:tx>
          <c:spPr>
            <a:solidFill>
              <a:srgbClr val="5D9732"/>
            </a:solidFill>
            <a:ln>
              <a:noFill/>
            </a:ln>
            <a:effectLst/>
          </c:spPr>
          <c:invertIfNegative val="0"/>
          <c:cat>
            <c:numRef>
              <c:f>'WC-known'!$C$6:$Q$6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'WC-known'!$C$48:$Q$48</c:f>
              <c:numCache>
                <c:formatCode>0</c:formatCode>
                <c:ptCount val="15"/>
                <c:pt idx="0">
                  <c:v>0</c:v>
                </c:pt>
                <c:pt idx="1">
                  <c:v>0</c:v>
                </c:pt>
                <c:pt idx="2">
                  <c:v>0</c:v>
                </c:pt>
                <c:pt idx="3">
                  <c:v>0</c:v>
                </c:pt>
                <c:pt idx="4">
                  <c:v>0</c:v>
                </c:pt>
                <c:pt idx="5">
                  <c:v>0</c:v>
                </c:pt>
                <c:pt idx="6">
                  <c:v>0</c:v>
                </c:pt>
                <c:pt idx="7">
                  <c:v>0</c:v>
                </c:pt>
                <c:pt idx="8">
                  <c:v>0</c:v>
                </c:pt>
                <c:pt idx="9">
                  <c:v>61.087673353013642</c:v>
                </c:pt>
                <c:pt idx="10">
                  <c:v>27.76302935055006</c:v>
                </c:pt>
                <c:pt idx="11">
                  <c:v>22.215775389712444</c:v>
                </c:pt>
                <c:pt idx="12">
                  <c:v>0</c:v>
                </c:pt>
                <c:pt idx="13">
                  <c:v>0</c:v>
                </c:pt>
              </c:numCache>
            </c:numRef>
          </c:val>
          <c:extLst>
            <c:ext xmlns:c16="http://schemas.microsoft.com/office/drawing/2014/chart" uri="{C3380CC4-5D6E-409C-BE32-E72D297353CC}">
              <c16:uniqueId val="{00000002-01B9-495D-8C7F-5541EB397365}"/>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Transportation/Storage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Turbines Stored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w="9525">
          <a:solidFill>
            <a:srgbClr val="3D6321"/>
          </a:solid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a:t>Turbine</a:t>
            </a:r>
            <a:r>
              <a:rPr lang="en-US" baseline="0"/>
              <a:t> Orders</a:t>
            </a:r>
            <a:endParaRPr lang="en-US"/>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909255046736566E-2"/>
          <c:y val="7.5282334926584052E-2"/>
          <c:w val="0.8200706163901833"/>
          <c:h val="0.75439490302403034"/>
        </c:manualLayout>
      </c:layout>
      <c:barChart>
        <c:barDir val="col"/>
        <c:grouping val="stacked"/>
        <c:varyColors val="0"/>
        <c:ser>
          <c:idx val="1"/>
          <c:order val="0"/>
          <c:tx>
            <c:strRef>
              <c:f>'WC-known'!$B$10</c:f>
              <c:strCache>
                <c:ptCount val="1"/>
                <c:pt idx="0">
                  <c:v>12</c:v>
                </c:pt>
              </c:strCache>
            </c:strRef>
          </c:tx>
          <c:spPr>
            <a:solidFill>
              <a:srgbClr val="0079C2"/>
            </a:solidFill>
            <a:ln>
              <a:noFill/>
            </a:ln>
            <a:effectLst/>
          </c:spPr>
          <c:invertIfNegative val="0"/>
          <c:cat>
            <c:numRef>
              <c:f>'WC-known'!$C$6:$Q$6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'WC-known'!$C$10:$Q$10</c:f>
              <c:numCache>
                <c:formatCode>0</c:formatCode>
                <c:ptCount val="15"/>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8629-4277-AF44-1240560D5BFA}"/>
            </c:ext>
          </c:extLst>
        </c:ser>
        <c:ser>
          <c:idx val="2"/>
          <c:order val="1"/>
          <c:tx>
            <c:strRef>
              <c:f>'WC-known'!$B$11</c:f>
              <c:strCache>
                <c:ptCount val="1"/>
                <c:pt idx="0">
                  <c:v>15</c:v>
                </c:pt>
              </c:strCache>
            </c:strRef>
          </c:tx>
          <c:spPr>
            <a:solidFill>
              <a:srgbClr val="5E6A71"/>
            </a:solidFill>
            <a:ln>
              <a:noFill/>
            </a:ln>
            <a:effectLst/>
          </c:spPr>
          <c:invertIfNegative val="0"/>
          <c:cat>
            <c:numRef>
              <c:f>'WC-known'!$C$6:$Q$6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'WC-known'!$C$11:$Q$11</c:f>
              <c:numCache>
                <c:formatCode>0</c:formatCode>
                <c:ptCount val="15"/>
                <c:pt idx="0">
                  <c:v>0</c:v>
                </c:pt>
                <c:pt idx="1">
                  <c:v>0</c:v>
                </c:pt>
                <c:pt idx="2">
                  <c:v>0</c:v>
                </c:pt>
                <c:pt idx="3">
                  <c:v>0</c:v>
                </c:pt>
                <c:pt idx="4">
                  <c:v>0</c:v>
                </c:pt>
                <c:pt idx="5">
                  <c:v>33.345014087697692</c:v>
                </c:pt>
                <c:pt idx="6">
                  <c:v>66.679419262979792</c:v>
                </c:pt>
                <c:pt idx="7">
                  <c:v>66.679419262979792</c:v>
                </c:pt>
                <c:pt idx="8">
                  <c:v>0</c:v>
                </c:pt>
                <c:pt idx="9">
                  <c:v>0</c:v>
                </c:pt>
                <c:pt idx="10">
                  <c:v>0</c:v>
                </c:pt>
                <c:pt idx="11">
                  <c:v>0</c:v>
                </c:pt>
                <c:pt idx="12">
                  <c:v>0</c:v>
                </c:pt>
              </c:numCache>
            </c:numRef>
          </c:val>
          <c:extLst>
            <c:ext xmlns:c16="http://schemas.microsoft.com/office/drawing/2014/chart" uri="{C3380CC4-5D6E-409C-BE32-E72D297353CC}">
              <c16:uniqueId val="{00000001-8629-4277-AF44-1240560D5BFA}"/>
            </c:ext>
          </c:extLst>
        </c:ser>
        <c:ser>
          <c:idx val="3"/>
          <c:order val="2"/>
          <c:tx>
            <c:strRef>
              <c:f>'WC-known'!$B$12</c:f>
              <c:strCache>
                <c:ptCount val="1"/>
                <c:pt idx="0">
                  <c:v>18</c:v>
                </c:pt>
              </c:strCache>
            </c:strRef>
          </c:tx>
          <c:spPr>
            <a:solidFill>
              <a:srgbClr val="5D9732"/>
            </a:solidFill>
            <a:ln>
              <a:noFill/>
            </a:ln>
            <a:effectLst/>
          </c:spPr>
          <c:invertIfNegative val="0"/>
          <c:cat>
            <c:numRef>
              <c:f>'WC-known'!$C$6:$Q$6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'WC-known'!$C$12:$Q$12</c:f>
              <c:numCache>
                <c:formatCode>0</c:formatCode>
                <c:ptCount val="15"/>
                <c:pt idx="0">
                  <c:v>0</c:v>
                </c:pt>
                <c:pt idx="1">
                  <c:v>0</c:v>
                </c:pt>
                <c:pt idx="2">
                  <c:v>0</c:v>
                </c:pt>
                <c:pt idx="3">
                  <c:v>0</c:v>
                </c:pt>
                <c:pt idx="4">
                  <c:v>0</c:v>
                </c:pt>
                <c:pt idx="5">
                  <c:v>0</c:v>
                </c:pt>
                <c:pt idx="6">
                  <c:v>0</c:v>
                </c:pt>
                <c:pt idx="7">
                  <c:v>0</c:v>
                </c:pt>
                <c:pt idx="8">
                  <c:v>61.087673353013642</c:v>
                </c:pt>
                <c:pt idx="9">
                  <c:v>27.76302935055006</c:v>
                </c:pt>
                <c:pt idx="10">
                  <c:v>22.215775389712444</c:v>
                </c:pt>
                <c:pt idx="11">
                  <c:v>0</c:v>
                </c:pt>
                <c:pt idx="12">
                  <c:v>0</c:v>
                </c:pt>
              </c:numCache>
            </c:numRef>
          </c:val>
          <c:extLst>
            <c:ext xmlns:c16="http://schemas.microsoft.com/office/drawing/2014/chart" uri="{C3380CC4-5D6E-409C-BE32-E72D297353CC}">
              <c16:uniqueId val="{00000002-8629-4277-AF44-1240560D5BFA}"/>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Procurement/Manufacturing</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Turbines Ordered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baseline="0"/>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Port</a:t>
            </a:r>
            <a:r>
              <a:rPr lang="en-US" baseline="0"/>
              <a:t> Requirements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'FLOAT-EX'!$B$129</c:f>
              <c:strCache>
                <c:ptCount val="1"/>
                <c:pt idx="0">
                  <c:v>Berth (m)</c:v>
                </c:pt>
              </c:strCache>
            </c:strRef>
          </c:tx>
          <c:spPr>
            <a:ln w="28575" cap="rnd">
              <a:solidFill>
                <a:schemeClr val="accent1"/>
              </a:solidFill>
              <a:round/>
            </a:ln>
            <a:effectLst/>
          </c:spPr>
          <c:marker>
            <c:symbol val="none"/>
          </c:marker>
          <c:cat>
            <c:numRef>
              <c:f>'FLOAT-EX'!$C$128:$Q$128</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'FLOAT-EX'!$C$129:$Q$129</c:f>
              <c:numCache>
                <c:formatCode>0</c:formatCode>
                <c:ptCount val="15"/>
                <c:pt idx="1">
                  <c:v>0</c:v>
                </c:pt>
                <c:pt idx="2">
                  <c:v>0</c:v>
                </c:pt>
                <c:pt idx="3">
                  <c:v>0</c:v>
                </c:pt>
                <c:pt idx="4">
                  <c:v>0</c:v>
                </c:pt>
                <c:pt idx="5">
                  <c:v>0</c:v>
                </c:pt>
                <c:pt idx="6">
                  <c:v>0</c:v>
                </c:pt>
                <c:pt idx="7">
                  <c:v>0</c:v>
                </c:pt>
                <c:pt idx="8">
                  <c:v>0</c:v>
                </c:pt>
                <c:pt idx="9">
                  <c:v>0</c:v>
                </c:pt>
                <c:pt idx="10">
                  <c:v>18.121693121693124</c:v>
                </c:pt>
                <c:pt idx="11">
                  <c:v>5.5114638447971789</c:v>
                </c:pt>
                <c:pt idx="12">
                  <c:v>35.273368606701943</c:v>
                </c:pt>
                <c:pt idx="13">
                  <c:v>27.557319223985893</c:v>
                </c:pt>
                <c:pt idx="14">
                  <c:v>49.603174603174608</c:v>
                </c:pt>
              </c:numCache>
            </c:numRef>
          </c:val>
          <c:smooth val="0"/>
          <c:extLst>
            <c:ext xmlns:c16="http://schemas.microsoft.com/office/drawing/2014/chart" uri="{C3380CC4-5D6E-409C-BE32-E72D297353CC}">
              <c16:uniqueId val="{00000000-861C-461C-BD12-170E58BBD181}"/>
            </c:ext>
          </c:extLst>
        </c:ser>
        <c:ser>
          <c:idx val="1"/>
          <c:order val="1"/>
          <c:tx>
            <c:strRef>
              <c:f>'FLOAT-EX'!$B$130</c:f>
              <c:strCache>
                <c:ptCount val="1"/>
                <c:pt idx="0">
                  <c:v>WC Lay-down Area (acres)</c:v>
                </c:pt>
              </c:strCache>
            </c:strRef>
          </c:tx>
          <c:spPr>
            <a:ln w="28575" cap="rnd">
              <a:solidFill>
                <a:schemeClr val="accent2"/>
              </a:solidFill>
              <a:round/>
            </a:ln>
            <a:effectLst/>
          </c:spPr>
          <c:marker>
            <c:symbol val="none"/>
          </c:marker>
          <c:cat>
            <c:numRef>
              <c:f>'FLOAT-EX'!$C$128:$Q$128</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'FLOAT-EX'!$C$130:$Q$130</c:f>
              <c:numCache>
                <c:formatCode>0</c:formatCode>
                <c:ptCount val="15"/>
                <c:pt idx="1">
                  <c:v>0</c:v>
                </c:pt>
                <c:pt idx="2">
                  <c:v>0</c:v>
                </c:pt>
                <c:pt idx="3">
                  <c:v>0</c:v>
                </c:pt>
                <c:pt idx="4">
                  <c:v>0</c:v>
                </c:pt>
                <c:pt idx="5">
                  <c:v>0</c:v>
                </c:pt>
                <c:pt idx="6">
                  <c:v>0</c:v>
                </c:pt>
                <c:pt idx="7">
                  <c:v>0</c:v>
                </c:pt>
                <c:pt idx="8">
                  <c:v>0</c:v>
                </c:pt>
                <c:pt idx="9">
                  <c:v>0</c:v>
                </c:pt>
                <c:pt idx="10">
                  <c:v>182.66666666666666</c:v>
                </c:pt>
                <c:pt idx="11">
                  <c:v>55.555555555555557</c:v>
                </c:pt>
                <c:pt idx="12">
                  <c:v>355.55555555555554</c:v>
                </c:pt>
                <c:pt idx="13">
                  <c:v>277.77777777777777</c:v>
                </c:pt>
                <c:pt idx="14">
                  <c:v>500</c:v>
                </c:pt>
              </c:numCache>
            </c:numRef>
          </c:val>
          <c:smooth val="0"/>
          <c:extLst>
            <c:ext xmlns:c16="http://schemas.microsoft.com/office/drawing/2014/chart" uri="{C3380CC4-5D6E-409C-BE32-E72D297353CC}">
              <c16:uniqueId val="{00000001-861C-461C-BD12-170E58BBD181}"/>
            </c:ext>
          </c:extLst>
        </c:ser>
        <c:dLbls>
          <c:showLegendKey val="0"/>
          <c:showVal val="0"/>
          <c:showCatName val="0"/>
          <c:showSerName val="0"/>
          <c:showPercent val="0"/>
          <c:showBubbleSize val="0"/>
        </c:dLbls>
        <c:smooth val="0"/>
        <c:axId val="346166887"/>
        <c:axId val="346168199"/>
      </c:lineChart>
      <c:catAx>
        <c:axId val="3461668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6168199"/>
        <c:crosses val="autoZero"/>
        <c:auto val="1"/>
        <c:lblAlgn val="ctr"/>
        <c:lblOffset val="100"/>
        <c:noMultiLvlLbl val="0"/>
      </c:catAx>
      <c:valAx>
        <c:axId val="34616819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616688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Vessels Required and Turbines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417250198291675E-2"/>
          <c:y val="7.5282334926584052E-2"/>
          <c:w val="0.82771678647263758"/>
          <c:h val="0.79270271721152119"/>
        </c:manualLayout>
      </c:layout>
      <c:barChart>
        <c:barDir val="col"/>
        <c:grouping val="stacked"/>
        <c:varyColors val="0"/>
        <c:ser>
          <c:idx val="0"/>
          <c:order val="0"/>
          <c:tx>
            <c:strRef>
              <c:f>'EC-UNC'!$B$86</c:f>
              <c:strCache>
                <c:ptCount val="1"/>
                <c:pt idx="0">
                  <c:v>12</c:v>
                </c:pt>
              </c:strCache>
            </c:strRef>
          </c:tx>
          <c:spPr>
            <a:solidFill>
              <a:srgbClr val="0079C2"/>
            </a:solidFill>
            <a:ln>
              <a:noFill/>
            </a:ln>
            <a:effectLst/>
          </c:spPr>
          <c:invertIfNegative val="0"/>
          <c:cat>
            <c:numRef>
              <c:f>'EC-UNC'!$C$6:$Q$6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'EC-UNC'!$C$86:$Q$86</c:f>
              <c:numCache>
                <c:formatCode>0</c:formatCode>
                <c:ptCount val="15"/>
                <c:pt idx="1">
                  <c:v>0</c:v>
                </c:pt>
                <c:pt idx="2">
                  <c:v>42.769230769230774</c:v>
                </c:pt>
                <c:pt idx="3">
                  <c:v>261.79487179487182</c:v>
                </c:pt>
                <c:pt idx="4">
                  <c:v>187.5128205128205</c:v>
                </c:pt>
                <c:pt idx="5">
                  <c:v>60.666666666666664</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0-6AEC-4496-9703-63CAD46E01F5}"/>
            </c:ext>
          </c:extLst>
        </c:ser>
        <c:ser>
          <c:idx val="5"/>
          <c:order val="5"/>
          <c:tx>
            <c:strRef>
              <c:f>'EC-UNC'!$B$87</c:f>
              <c:strCache>
                <c:ptCount val="1"/>
                <c:pt idx="0">
                  <c:v>15</c:v>
                </c:pt>
              </c:strCache>
            </c:strRef>
          </c:tx>
          <c:spPr>
            <a:solidFill>
              <a:srgbClr val="5E6A71"/>
            </a:solidFill>
            <a:ln>
              <a:noFill/>
            </a:ln>
            <a:effectLst/>
          </c:spPr>
          <c:invertIfNegative val="0"/>
          <c:cat>
            <c:numRef>
              <c:f>'EC-UNC'!$C$6:$Q$6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'EC-UNC'!$C$87:$Q$87</c:f>
              <c:numCache>
                <c:formatCode>0</c:formatCode>
                <c:ptCount val="15"/>
                <c:pt idx="1">
                  <c:v>0</c:v>
                </c:pt>
                <c:pt idx="2">
                  <c:v>0</c:v>
                </c:pt>
                <c:pt idx="3">
                  <c:v>76.52100840336135</c:v>
                </c:pt>
                <c:pt idx="4">
                  <c:v>102.33333333333334</c:v>
                </c:pt>
                <c:pt idx="5">
                  <c:v>183.06666666666666</c:v>
                </c:pt>
                <c:pt idx="6">
                  <c:v>193.64</c:v>
                </c:pt>
                <c:pt idx="7">
                  <c:v>375.06625590388217</c:v>
                </c:pt>
                <c:pt idx="8">
                  <c:v>152.93333333333334</c:v>
                </c:pt>
                <c:pt idx="9">
                  <c:v>315.26251267836159</c:v>
                </c:pt>
                <c:pt idx="10">
                  <c:v>0</c:v>
                </c:pt>
                <c:pt idx="11">
                  <c:v>0</c:v>
                </c:pt>
                <c:pt idx="12">
                  <c:v>0</c:v>
                </c:pt>
                <c:pt idx="13">
                  <c:v>0</c:v>
                </c:pt>
                <c:pt idx="14">
                  <c:v>0</c:v>
                </c:pt>
              </c:numCache>
            </c:numRef>
          </c:val>
          <c:extLst>
            <c:ext xmlns:c16="http://schemas.microsoft.com/office/drawing/2014/chart" uri="{C3380CC4-5D6E-409C-BE32-E72D297353CC}">
              <c16:uniqueId val="{00000001-6AEC-4496-9703-63CAD46E01F5}"/>
            </c:ext>
          </c:extLst>
        </c:ser>
        <c:ser>
          <c:idx val="6"/>
          <c:order val="6"/>
          <c:tx>
            <c:strRef>
              <c:f>'EC-UNC'!$B$88</c:f>
              <c:strCache>
                <c:ptCount val="1"/>
                <c:pt idx="0">
                  <c:v>18</c:v>
                </c:pt>
              </c:strCache>
            </c:strRef>
          </c:tx>
          <c:spPr>
            <a:solidFill>
              <a:srgbClr val="5D9732"/>
            </a:solidFill>
            <a:ln>
              <a:noFill/>
            </a:ln>
            <a:effectLst/>
          </c:spPr>
          <c:invertIfNegative val="0"/>
          <c:cat>
            <c:numRef>
              <c:f>'EC-UNC'!$C$6:$Q$6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'EC-UNC'!$C$88:$Q$88</c:f>
              <c:numCache>
                <c:formatCode>0</c:formatCode>
                <c:ptCount val="15"/>
                <c:pt idx="1">
                  <c:v>0</c:v>
                </c:pt>
                <c:pt idx="2">
                  <c:v>0</c:v>
                </c:pt>
                <c:pt idx="3">
                  <c:v>0</c:v>
                </c:pt>
                <c:pt idx="4">
                  <c:v>0</c:v>
                </c:pt>
                <c:pt idx="5">
                  <c:v>0</c:v>
                </c:pt>
                <c:pt idx="6">
                  <c:v>0</c:v>
                </c:pt>
                <c:pt idx="7">
                  <c:v>0</c:v>
                </c:pt>
                <c:pt idx="8">
                  <c:v>0</c:v>
                </c:pt>
                <c:pt idx="9">
                  <c:v>0</c:v>
                </c:pt>
                <c:pt idx="10">
                  <c:v>166.78543772010551</c:v>
                </c:pt>
                <c:pt idx="11">
                  <c:v>300.62599050437262</c:v>
                </c:pt>
                <c:pt idx="12">
                  <c:v>198.16666666666666</c:v>
                </c:pt>
                <c:pt idx="13">
                  <c:v>135.63842336953189</c:v>
                </c:pt>
                <c:pt idx="14">
                  <c:v>51.333333333333336</c:v>
                </c:pt>
              </c:numCache>
            </c:numRef>
          </c:val>
          <c:extLst>
            <c:ext xmlns:c16="http://schemas.microsoft.com/office/drawing/2014/chart" uri="{C3380CC4-5D6E-409C-BE32-E72D297353CC}">
              <c16:uniqueId val="{00000002-6AEC-4496-9703-63CAD46E01F5}"/>
            </c:ext>
          </c:extLst>
        </c:ser>
        <c:dLbls>
          <c:showLegendKey val="0"/>
          <c:showVal val="0"/>
          <c:showCatName val="0"/>
          <c:showSerName val="0"/>
          <c:showPercent val="0"/>
          <c:showBubbleSize val="0"/>
        </c:dLbls>
        <c:gapWidth val="200"/>
        <c:overlap val="100"/>
        <c:axId val="45334935"/>
        <c:axId val="45341167"/>
      </c:barChart>
      <c:lineChart>
        <c:grouping val="standard"/>
        <c:varyColors val="0"/>
        <c:ser>
          <c:idx val="1"/>
          <c:order val="1"/>
          <c:tx>
            <c:strRef>
              <c:f>'EC-UNC'!$B$130</c:f>
              <c:strCache>
                <c:ptCount val="1"/>
                <c:pt idx="0">
                  <c:v>CTV</c:v>
                </c:pt>
              </c:strCache>
            </c:strRef>
          </c:tx>
          <c:spPr>
            <a:ln w="28575" cap="rnd">
              <a:solidFill>
                <a:schemeClr val="accent2"/>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'EC-UNC'!$C$130:$Q$130</c:f>
              <c:numCache>
                <c:formatCode>0</c:formatCode>
                <c:ptCount val="15"/>
                <c:pt idx="1">
                  <c:v>0</c:v>
                </c:pt>
                <c:pt idx="2">
                  <c:v>6</c:v>
                </c:pt>
                <c:pt idx="3">
                  <c:v>18</c:v>
                </c:pt>
                <c:pt idx="4">
                  <c:v>26</c:v>
                </c:pt>
                <c:pt idx="5">
                  <c:v>32</c:v>
                </c:pt>
                <c:pt idx="6">
                  <c:v>33</c:v>
                </c:pt>
                <c:pt idx="7">
                  <c:v>41</c:v>
                </c:pt>
                <c:pt idx="8">
                  <c:v>44</c:v>
                </c:pt>
                <c:pt idx="9">
                  <c:v>49</c:v>
                </c:pt>
                <c:pt idx="10">
                  <c:v>50</c:v>
                </c:pt>
                <c:pt idx="11">
                  <c:v>50</c:v>
                </c:pt>
                <c:pt idx="12">
                  <c:v>50</c:v>
                </c:pt>
                <c:pt idx="13">
                  <c:v>51</c:v>
                </c:pt>
                <c:pt idx="14">
                  <c:v>52</c:v>
                </c:pt>
              </c:numCache>
            </c:numRef>
          </c:val>
          <c:smooth val="0"/>
          <c:extLst>
            <c:ext xmlns:c16="http://schemas.microsoft.com/office/drawing/2014/chart" uri="{C3380CC4-5D6E-409C-BE32-E72D297353CC}">
              <c16:uniqueId val="{00000003-6AEC-4496-9703-63CAD46E01F5}"/>
            </c:ext>
          </c:extLst>
        </c:ser>
        <c:ser>
          <c:idx val="2"/>
          <c:order val="2"/>
          <c:tx>
            <c:strRef>
              <c:f>'EC-UNC'!$B$129</c:f>
              <c:strCache>
                <c:ptCount val="1"/>
                <c:pt idx="0">
                  <c:v>Feeder Barges</c:v>
                </c:pt>
              </c:strCache>
            </c:strRef>
          </c:tx>
          <c:spPr>
            <a:ln w="28575" cap="rnd">
              <a:solidFill>
                <a:schemeClr val="accent3"/>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'EC-UNC'!$C$129:$Q$129</c:f>
              <c:numCache>
                <c:formatCode>0</c:formatCode>
                <c:ptCount val="15"/>
                <c:pt idx="1">
                  <c:v>0</c:v>
                </c:pt>
                <c:pt idx="2">
                  <c:v>4</c:v>
                </c:pt>
                <c:pt idx="3">
                  <c:v>10</c:v>
                </c:pt>
                <c:pt idx="4">
                  <c:v>10</c:v>
                </c:pt>
                <c:pt idx="5">
                  <c:v>10</c:v>
                </c:pt>
                <c:pt idx="6">
                  <c:v>8</c:v>
                </c:pt>
                <c:pt idx="7">
                  <c:v>10</c:v>
                </c:pt>
                <c:pt idx="8">
                  <c:v>4</c:v>
                </c:pt>
                <c:pt idx="9">
                  <c:v>8</c:v>
                </c:pt>
                <c:pt idx="10">
                  <c:v>6</c:v>
                </c:pt>
                <c:pt idx="11">
                  <c:v>8</c:v>
                </c:pt>
                <c:pt idx="12">
                  <c:v>8</c:v>
                </c:pt>
                <c:pt idx="13">
                  <c:v>4</c:v>
                </c:pt>
                <c:pt idx="14">
                  <c:v>4</c:v>
                </c:pt>
              </c:numCache>
            </c:numRef>
          </c:val>
          <c:smooth val="0"/>
          <c:extLst>
            <c:ext xmlns:c16="http://schemas.microsoft.com/office/drawing/2014/chart" uri="{C3380CC4-5D6E-409C-BE32-E72D297353CC}">
              <c16:uniqueId val="{00000004-6AEC-4496-9703-63CAD46E01F5}"/>
            </c:ext>
          </c:extLst>
        </c:ser>
        <c:ser>
          <c:idx val="3"/>
          <c:order val="3"/>
          <c:tx>
            <c:v>WTIV</c:v>
          </c:tx>
          <c:spPr>
            <a:ln w="28575" cap="rnd">
              <a:solidFill>
                <a:schemeClr val="accent4"/>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'EC-UNC'!$C$126:$Q$126</c:f>
              <c:numCache>
                <c:formatCode>0</c:formatCode>
                <c:ptCount val="15"/>
                <c:pt idx="1">
                  <c:v>0</c:v>
                </c:pt>
                <c:pt idx="2">
                  <c:v>2</c:v>
                </c:pt>
                <c:pt idx="3">
                  <c:v>5</c:v>
                </c:pt>
                <c:pt idx="4">
                  <c:v>5</c:v>
                </c:pt>
                <c:pt idx="5">
                  <c:v>5</c:v>
                </c:pt>
                <c:pt idx="6">
                  <c:v>4</c:v>
                </c:pt>
                <c:pt idx="7">
                  <c:v>5</c:v>
                </c:pt>
                <c:pt idx="8">
                  <c:v>2</c:v>
                </c:pt>
                <c:pt idx="9">
                  <c:v>4</c:v>
                </c:pt>
                <c:pt idx="10">
                  <c:v>3</c:v>
                </c:pt>
                <c:pt idx="11">
                  <c:v>4</c:v>
                </c:pt>
                <c:pt idx="12">
                  <c:v>4</c:v>
                </c:pt>
                <c:pt idx="13">
                  <c:v>2</c:v>
                </c:pt>
                <c:pt idx="14">
                  <c:v>2</c:v>
                </c:pt>
              </c:numCache>
            </c:numRef>
          </c:val>
          <c:smooth val="0"/>
          <c:extLst>
            <c:ext xmlns:c16="http://schemas.microsoft.com/office/drawing/2014/chart" uri="{C3380CC4-5D6E-409C-BE32-E72D297353CC}">
              <c16:uniqueId val="{00000005-6AEC-4496-9703-63CAD46E01F5}"/>
            </c:ext>
          </c:extLst>
        </c:ser>
        <c:ser>
          <c:idx val="4"/>
          <c:order val="4"/>
          <c:tx>
            <c:strRef>
              <c:f>'EC-UNC'!$B$132</c:f>
              <c:strCache>
                <c:ptCount val="1"/>
                <c:pt idx="0">
                  <c:v>CLV</c:v>
                </c:pt>
              </c:strCache>
            </c:strRef>
          </c:tx>
          <c:spPr>
            <a:ln w="38100" cap="rnd">
              <a:solidFill>
                <a:schemeClr val="accent5"/>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'EC-UNC'!$C$132:$Q$132</c:f>
              <c:numCache>
                <c:formatCode>0</c:formatCode>
                <c:ptCount val="15"/>
                <c:pt idx="1">
                  <c:v>0</c:v>
                </c:pt>
                <c:pt idx="2">
                  <c:v>1</c:v>
                </c:pt>
                <c:pt idx="3">
                  <c:v>4</c:v>
                </c:pt>
                <c:pt idx="4">
                  <c:v>3</c:v>
                </c:pt>
                <c:pt idx="5">
                  <c:v>3</c:v>
                </c:pt>
                <c:pt idx="6">
                  <c:v>2</c:v>
                </c:pt>
                <c:pt idx="7">
                  <c:v>4</c:v>
                </c:pt>
                <c:pt idx="8">
                  <c:v>2</c:v>
                </c:pt>
                <c:pt idx="9">
                  <c:v>4</c:v>
                </c:pt>
                <c:pt idx="10">
                  <c:v>2</c:v>
                </c:pt>
                <c:pt idx="11">
                  <c:v>4</c:v>
                </c:pt>
                <c:pt idx="12">
                  <c:v>3</c:v>
                </c:pt>
                <c:pt idx="13">
                  <c:v>2</c:v>
                </c:pt>
                <c:pt idx="14">
                  <c:v>1</c:v>
                </c:pt>
              </c:numCache>
            </c:numRef>
          </c:val>
          <c:smooth val="0"/>
          <c:extLst>
            <c:ext xmlns:c16="http://schemas.microsoft.com/office/drawing/2014/chart" uri="{C3380CC4-5D6E-409C-BE32-E72D297353CC}">
              <c16:uniqueId val="{00000006-6AEC-4496-9703-63CAD46E01F5}"/>
            </c:ext>
          </c:extLst>
        </c:ser>
        <c:ser>
          <c:idx val="7"/>
          <c:order val="7"/>
          <c:tx>
            <c:strRef>
              <c:f>'EC-UNC'!$B$131</c:f>
              <c:strCache>
                <c:ptCount val="1"/>
                <c:pt idx="0">
                  <c:v>SOV</c:v>
                </c:pt>
              </c:strCache>
            </c:strRef>
          </c:tx>
          <c:spPr>
            <a:ln w="28575" cap="rnd">
              <a:solidFill>
                <a:schemeClr val="accent2">
                  <a:lumMod val="60000"/>
                </a:schemeClr>
              </a:solidFill>
              <a:round/>
            </a:ln>
            <a:effectLst/>
          </c:spPr>
          <c:marker>
            <c:symbol val="none"/>
          </c:marker>
          <c:val>
            <c:numRef>
              <c:f>'EC-UNC'!$C$131:$Q$131</c:f>
              <c:numCache>
                <c:formatCode>0</c:formatCode>
                <c:ptCount val="15"/>
                <c:pt idx="1">
                  <c:v>0</c:v>
                </c:pt>
                <c:pt idx="2">
                  <c:v>1</c:v>
                </c:pt>
                <c:pt idx="3">
                  <c:v>2</c:v>
                </c:pt>
                <c:pt idx="4">
                  <c:v>4</c:v>
                </c:pt>
                <c:pt idx="5">
                  <c:v>5</c:v>
                </c:pt>
                <c:pt idx="6">
                  <c:v>6</c:v>
                </c:pt>
                <c:pt idx="7">
                  <c:v>8</c:v>
                </c:pt>
                <c:pt idx="8">
                  <c:v>9</c:v>
                </c:pt>
                <c:pt idx="9">
                  <c:v>10</c:v>
                </c:pt>
                <c:pt idx="10">
                  <c:v>11</c:v>
                </c:pt>
                <c:pt idx="11">
                  <c:v>13</c:v>
                </c:pt>
                <c:pt idx="12">
                  <c:v>14</c:v>
                </c:pt>
                <c:pt idx="13">
                  <c:v>14</c:v>
                </c:pt>
                <c:pt idx="14">
                  <c:v>15</c:v>
                </c:pt>
              </c:numCache>
            </c:numRef>
          </c:val>
          <c:smooth val="0"/>
          <c:extLst>
            <c:ext xmlns:c16="http://schemas.microsoft.com/office/drawing/2014/chart" uri="{C3380CC4-5D6E-409C-BE32-E72D297353CC}">
              <c16:uniqueId val="{00000007-6AEC-4496-9703-63CAD46E01F5}"/>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Vessels Required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minorUnit val="5"/>
      </c:valAx>
      <c:valAx>
        <c:axId val="45341167"/>
        <c:scaling>
          <c:orientation val="minMax"/>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 Turbines Installed </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5334935"/>
        <c:crosses val="max"/>
        <c:crossBetween val="between"/>
      </c:valAx>
      <c:catAx>
        <c:axId val="45334935"/>
        <c:scaling>
          <c:orientation val="minMax"/>
        </c:scaling>
        <c:delete val="1"/>
        <c:axPos val="b"/>
        <c:numFmt formatCode="General" sourceLinked="1"/>
        <c:majorTickMark val="out"/>
        <c:minorTickMark val="none"/>
        <c:tickLblPos val="nextTo"/>
        <c:crossAx val="45341167"/>
        <c:crosses val="autoZero"/>
        <c:auto val="1"/>
        <c:lblAlgn val="ctr"/>
        <c:lblOffset val="100"/>
        <c:noMultiLvlLbl val="0"/>
      </c:catAx>
      <c:spPr>
        <a:noFill/>
        <a:ln>
          <a:noFill/>
        </a:ln>
        <a:effectLst/>
      </c:spPr>
    </c:plotArea>
    <c:legend>
      <c:legendPos val="b"/>
      <c:layout>
        <c:manualLayout>
          <c:xMode val="edge"/>
          <c:yMode val="edge"/>
          <c:x val="0.10195364966059496"/>
          <c:y val="9.4921392701569532E-2"/>
          <c:w val="0.56009852335285482"/>
          <c:h val="4.1790349646219603E-2"/>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nchor="t" anchorCtr="1"/>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Total MW and Projects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462671550043816E-2"/>
          <c:y val="7.5282334926584052E-2"/>
          <c:w val="0.84749648151120716"/>
          <c:h val="0.76811631697945759"/>
        </c:manualLayout>
      </c:layout>
      <c:barChart>
        <c:barDir val="col"/>
        <c:grouping val="clustered"/>
        <c:varyColors val="0"/>
        <c:ser>
          <c:idx val="0"/>
          <c:order val="0"/>
          <c:tx>
            <c:strRef>
              <c:f>'EC-UNC'!$B$83</c:f>
              <c:strCache>
                <c:ptCount val="1"/>
                <c:pt idx="0">
                  <c:v>Fixed</c:v>
                </c:pt>
              </c:strCache>
            </c:strRef>
          </c:tx>
          <c:spPr>
            <a:solidFill>
              <a:srgbClr val="0079C2"/>
            </a:solidFill>
            <a:ln>
              <a:noFill/>
            </a:ln>
            <a:effectLst/>
          </c:spPr>
          <c:invertIfNegative val="0"/>
          <c:cat>
            <c:numRef>
              <c:f>'EC-known'!$C$6:$Q$6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'EC-UNC'!$C$83:$Q$83</c:f>
              <c:numCache>
                <c:formatCode>0</c:formatCode>
                <c:ptCount val="15"/>
                <c:pt idx="1">
                  <c:v>0</c:v>
                </c:pt>
                <c:pt idx="2">
                  <c:v>513.23076923076928</c:v>
                </c:pt>
                <c:pt idx="3">
                  <c:v>4289.353587588882</c:v>
                </c:pt>
                <c:pt idx="4">
                  <c:v>3785.1538461538457</c:v>
                </c:pt>
                <c:pt idx="5">
                  <c:v>3474</c:v>
                </c:pt>
                <c:pt idx="6">
                  <c:v>2904.6</c:v>
                </c:pt>
                <c:pt idx="7">
                  <c:v>5625.9938385582327</c:v>
                </c:pt>
                <c:pt idx="8">
                  <c:v>2294</c:v>
                </c:pt>
                <c:pt idx="9">
                  <c:v>4728.937690175424</c:v>
                </c:pt>
                <c:pt idx="10">
                  <c:v>3002.1378789618993</c:v>
                </c:pt>
                <c:pt idx="11">
                  <c:v>5411.2678290787071</c:v>
                </c:pt>
                <c:pt idx="12">
                  <c:v>3567</c:v>
                </c:pt>
                <c:pt idx="13">
                  <c:v>2441.4916206515741</c:v>
                </c:pt>
                <c:pt idx="14">
                  <c:v>924</c:v>
                </c:pt>
              </c:numCache>
            </c:numRef>
          </c:val>
          <c:extLst>
            <c:ext xmlns:c16="http://schemas.microsoft.com/office/drawing/2014/chart" uri="{C3380CC4-5D6E-409C-BE32-E72D297353CC}">
              <c16:uniqueId val="{00000000-84B3-455A-861B-BAFC150A3D0C}"/>
            </c:ext>
          </c:extLst>
        </c:ser>
        <c:dLbls>
          <c:showLegendKey val="0"/>
          <c:showVal val="0"/>
          <c:showCatName val="0"/>
          <c:showSerName val="0"/>
          <c:showPercent val="0"/>
          <c:showBubbleSize val="0"/>
        </c:dLbls>
        <c:gapWidth val="200"/>
        <c:overlap val="100"/>
        <c:axId val="1105198224"/>
        <c:axId val="1105196256"/>
      </c:barChart>
      <c:lineChart>
        <c:grouping val="standard"/>
        <c:varyColors val="0"/>
        <c:ser>
          <c:idx val="4"/>
          <c:order val="1"/>
          <c:tx>
            <c:strRef>
              <c:f>'EC-UNC'!$B$84</c:f>
              <c:strCache>
                <c:ptCount val="1"/>
                <c:pt idx="0">
                  <c:v>Projects Constructed</c:v>
                </c:pt>
              </c:strCache>
            </c:strRef>
          </c:tx>
          <c:spPr>
            <a:ln w="38100" cap="rnd">
              <a:solidFill>
                <a:srgbClr val="933C06"/>
              </a:solidFill>
              <a:round/>
            </a:ln>
            <a:effectLst/>
          </c:spPr>
          <c:marker>
            <c:symbol val="none"/>
          </c:marker>
          <c:cat>
            <c:numRef>
              <c:f>'EC-UNC'!$C$6:$Q$6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'EC-UNC'!$C$84:$Q$84</c:f>
              <c:numCache>
                <c:formatCode>0</c:formatCode>
                <c:ptCount val="15"/>
                <c:pt idx="1">
                  <c:v>0</c:v>
                </c:pt>
                <c:pt idx="2">
                  <c:v>2</c:v>
                </c:pt>
                <c:pt idx="3">
                  <c:v>6</c:v>
                </c:pt>
                <c:pt idx="4">
                  <c:v>5</c:v>
                </c:pt>
                <c:pt idx="5">
                  <c:v>6</c:v>
                </c:pt>
                <c:pt idx="6">
                  <c:v>3</c:v>
                </c:pt>
                <c:pt idx="7">
                  <c:v>7</c:v>
                </c:pt>
                <c:pt idx="8">
                  <c:v>3</c:v>
                </c:pt>
                <c:pt idx="9">
                  <c:v>6</c:v>
                </c:pt>
                <c:pt idx="10">
                  <c:v>2</c:v>
                </c:pt>
                <c:pt idx="11">
                  <c:v>3</c:v>
                </c:pt>
                <c:pt idx="12">
                  <c:v>1</c:v>
                </c:pt>
                <c:pt idx="13">
                  <c:v>2</c:v>
                </c:pt>
                <c:pt idx="14">
                  <c:v>1</c:v>
                </c:pt>
              </c:numCache>
            </c:numRef>
          </c:val>
          <c:smooth val="0"/>
          <c:extLst>
            <c:ext xmlns:c16="http://schemas.microsoft.com/office/drawing/2014/chart" uri="{C3380CC4-5D6E-409C-BE32-E72D297353CC}">
              <c16:uniqueId val="{00000001-84B3-455A-861B-BAFC150A3D0C}"/>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2"/>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Projects Constructed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105196256"/>
        <c:scaling>
          <c:orientation val="minMax"/>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MW per year</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05198224"/>
        <c:crosses val="max"/>
        <c:crossBetween val="between"/>
      </c:valAx>
      <c:catAx>
        <c:axId val="1105198224"/>
        <c:scaling>
          <c:orientation val="minMax"/>
        </c:scaling>
        <c:delete val="1"/>
        <c:axPos val="b"/>
        <c:numFmt formatCode="General" sourceLinked="1"/>
        <c:majorTickMark val="out"/>
        <c:minorTickMark val="none"/>
        <c:tickLblPos val="nextTo"/>
        <c:crossAx val="1105196256"/>
        <c:crosses val="autoZero"/>
        <c:auto val="1"/>
        <c:lblAlgn val="ctr"/>
        <c:lblOffset val="100"/>
        <c:noMultiLvlLbl val="0"/>
      </c:catAx>
      <c:spPr>
        <a:noFill/>
        <a:ln>
          <a:noFill/>
        </a:ln>
        <a:effectLst/>
      </c:spPr>
    </c:plotArea>
    <c:legend>
      <c:legendPos val="b"/>
      <c:layout>
        <c:manualLayout>
          <c:xMode val="edge"/>
          <c:yMode val="edge"/>
          <c:x val="9.9358774265480274E-2"/>
          <c:y val="9.9731239444338426E-2"/>
          <c:w val="0.16406096444866217"/>
          <c:h val="0.1893341143365127"/>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Turbines Transported/Stored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2623337265654374E-2"/>
          <c:y val="7.5282334926584052E-2"/>
          <c:w val="0.80910229985705562"/>
          <c:h val="0.75701402721993338"/>
        </c:manualLayout>
      </c:layout>
      <c:barChart>
        <c:barDir val="col"/>
        <c:grouping val="stacked"/>
        <c:varyColors val="0"/>
        <c:ser>
          <c:idx val="1"/>
          <c:order val="0"/>
          <c:tx>
            <c:strRef>
              <c:f>'EC-UNC'!$B$46</c:f>
              <c:strCache>
                <c:ptCount val="1"/>
                <c:pt idx="0">
                  <c:v>12</c:v>
                </c:pt>
              </c:strCache>
            </c:strRef>
          </c:tx>
          <c:spPr>
            <a:solidFill>
              <a:srgbClr val="0079C2"/>
            </a:solidFill>
            <a:ln>
              <a:noFill/>
            </a:ln>
            <a:effectLst/>
          </c:spPr>
          <c:invertIfNegative val="0"/>
          <c:cat>
            <c:numRef>
              <c:f>'EC-UNC'!$C$6:$Q$6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'EC-UNC'!$C$46:$Q$46</c:f>
              <c:numCache>
                <c:formatCode>0</c:formatCode>
                <c:ptCount val="15"/>
                <c:pt idx="0">
                  <c:v>0</c:v>
                </c:pt>
                <c:pt idx="1">
                  <c:v>42.769230769230774</c:v>
                </c:pt>
                <c:pt idx="2">
                  <c:v>261.79487179487182</c:v>
                </c:pt>
                <c:pt idx="3">
                  <c:v>187.5128205128205</c:v>
                </c:pt>
                <c:pt idx="4">
                  <c:v>60.666666666666664</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B615-4370-A5A4-6B9397AD5E80}"/>
            </c:ext>
          </c:extLst>
        </c:ser>
        <c:ser>
          <c:idx val="2"/>
          <c:order val="1"/>
          <c:tx>
            <c:strRef>
              <c:f>'EC-UNC'!$B$47</c:f>
              <c:strCache>
                <c:ptCount val="1"/>
                <c:pt idx="0">
                  <c:v>15</c:v>
                </c:pt>
              </c:strCache>
            </c:strRef>
          </c:tx>
          <c:spPr>
            <a:solidFill>
              <a:srgbClr val="5E6A71"/>
            </a:solidFill>
            <a:ln>
              <a:noFill/>
            </a:ln>
            <a:effectLst/>
          </c:spPr>
          <c:invertIfNegative val="0"/>
          <c:cat>
            <c:numRef>
              <c:f>'EC-UNC'!$C$6:$Q$6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'EC-UNC'!$C$47:$Q$47</c:f>
              <c:numCache>
                <c:formatCode>0</c:formatCode>
                <c:ptCount val="15"/>
                <c:pt idx="0">
                  <c:v>0</c:v>
                </c:pt>
                <c:pt idx="1">
                  <c:v>0</c:v>
                </c:pt>
                <c:pt idx="2">
                  <c:v>76.52100840336135</c:v>
                </c:pt>
                <c:pt idx="3">
                  <c:v>102.33333333333334</c:v>
                </c:pt>
                <c:pt idx="4">
                  <c:v>183.06666666666666</c:v>
                </c:pt>
                <c:pt idx="5">
                  <c:v>193.64</c:v>
                </c:pt>
                <c:pt idx="6">
                  <c:v>375.06625590388217</c:v>
                </c:pt>
                <c:pt idx="7">
                  <c:v>152.93333333333334</c:v>
                </c:pt>
                <c:pt idx="8">
                  <c:v>315.26251267836159</c:v>
                </c:pt>
                <c:pt idx="9">
                  <c:v>0</c:v>
                </c:pt>
                <c:pt idx="10">
                  <c:v>0</c:v>
                </c:pt>
                <c:pt idx="11">
                  <c:v>0</c:v>
                </c:pt>
                <c:pt idx="12">
                  <c:v>0</c:v>
                </c:pt>
                <c:pt idx="13">
                  <c:v>0</c:v>
                </c:pt>
              </c:numCache>
            </c:numRef>
          </c:val>
          <c:extLst>
            <c:ext xmlns:c16="http://schemas.microsoft.com/office/drawing/2014/chart" uri="{C3380CC4-5D6E-409C-BE32-E72D297353CC}">
              <c16:uniqueId val="{00000001-B615-4370-A5A4-6B9397AD5E80}"/>
            </c:ext>
          </c:extLst>
        </c:ser>
        <c:ser>
          <c:idx val="3"/>
          <c:order val="2"/>
          <c:tx>
            <c:strRef>
              <c:f>'EC-UNC'!$B$48</c:f>
              <c:strCache>
                <c:ptCount val="1"/>
                <c:pt idx="0">
                  <c:v>18</c:v>
                </c:pt>
              </c:strCache>
            </c:strRef>
          </c:tx>
          <c:spPr>
            <a:solidFill>
              <a:srgbClr val="5D9732"/>
            </a:solidFill>
            <a:ln>
              <a:noFill/>
            </a:ln>
            <a:effectLst/>
          </c:spPr>
          <c:invertIfNegative val="0"/>
          <c:cat>
            <c:numRef>
              <c:f>'EC-UNC'!$C$6:$Q$6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'EC-UNC'!$C$48:$Q$48</c:f>
              <c:numCache>
                <c:formatCode>0</c:formatCode>
                <c:ptCount val="15"/>
                <c:pt idx="0">
                  <c:v>0</c:v>
                </c:pt>
                <c:pt idx="1">
                  <c:v>0</c:v>
                </c:pt>
                <c:pt idx="2">
                  <c:v>0</c:v>
                </c:pt>
                <c:pt idx="3">
                  <c:v>0</c:v>
                </c:pt>
                <c:pt idx="4">
                  <c:v>0</c:v>
                </c:pt>
                <c:pt idx="5">
                  <c:v>0</c:v>
                </c:pt>
                <c:pt idx="6">
                  <c:v>0</c:v>
                </c:pt>
                <c:pt idx="7">
                  <c:v>0</c:v>
                </c:pt>
                <c:pt idx="8">
                  <c:v>0</c:v>
                </c:pt>
                <c:pt idx="9">
                  <c:v>166.78543772010551</c:v>
                </c:pt>
                <c:pt idx="10">
                  <c:v>300.62599050437262</c:v>
                </c:pt>
                <c:pt idx="11">
                  <c:v>198.16666666666666</c:v>
                </c:pt>
                <c:pt idx="12">
                  <c:v>135.63842336953189</c:v>
                </c:pt>
                <c:pt idx="13">
                  <c:v>51.333333333333336</c:v>
                </c:pt>
              </c:numCache>
            </c:numRef>
          </c:val>
          <c:extLst>
            <c:ext xmlns:c16="http://schemas.microsoft.com/office/drawing/2014/chart" uri="{C3380CC4-5D6E-409C-BE32-E72D297353CC}">
              <c16:uniqueId val="{00000002-B615-4370-A5A4-6B9397AD5E80}"/>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Transportation/Storage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Turbines Stored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w="9525">
          <a:solidFill>
            <a:srgbClr val="3D6321"/>
          </a:solid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a:t>Turbine</a:t>
            </a:r>
            <a:r>
              <a:rPr lang="en-US" baseline="0"/>
              <a:t> Orders</a:t>
            </a:r>
            <a:endParaRPr lang="en-US"/>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909255046736566E-2"/>
          <c:y val="7.5282334926584052E-2"/>
          <c:w val="0.8200706163901833"/>
          <c:h val="0.75439490302403034"/>
        </c:manualLayout>
      </c:layout>
      <c:barChart>
        <c:barDir val="col"/>
        <c:grouping val="stacked"/>
        <c:varyColors val="0"/>
        <c:ser>
          <c:idx val="1"/>
          <c:order val="0"/>
          <c:tx>
            <c:strRef>
              <c:f>'EC-UNC'!$B$10</c:f>
              <c:strCache>
                <c:ptCount val="1"/>
                <c:pt idx="0">
                  <c:v>12</c:v>
                </c:pt>
              </c:strCache>
            </c:strRef>
          </c:tx>
          <c:spPr>
            <a:solidFill>
              <a:srgbClr val="0079C2"/>
            </a:solidFill>
            <a:ln>
              <a:noFill/>
            </a:ln>
            <a:effectLst/>
          </c:spPr>
          <c:invertIfNegative val="0"/>
          <c:cat>
            <c:numRef>
              <c:f>'EC-UNC'!$C$6:$Q$6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'EC-UNC'!$C$10:$Q$10</c:f>
              <c:numCache>
                <c:formatCode>0</c:formatCode>
                <c:ptCount val="15"/>
                <c:pt idx="0">
                  <c:v>42.769230769230774</c:v>
                </c:pt>
                <c:pt idx="1">
                  <c:v>261.79487179487182</c:v>
                </c:pt>
                <c:pt idx="2">
                  <c:v>187.5128205128205</c:v>
                </c:pt>
                <c:pt idx="3">
                  <c:v>60.666666666666664</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3B66-495D-92EE-CBD4C3B83641}"/>
            </c:ext>
          </c:extLst>
        </c:ser>
        <c:ser>
          <c:idx val="2"/>
          <c:order val="1"/>
          <c:tx>
            <c:strRef>
              <c:f>'EC-UNC'!$B$11</c:f>
              <c:strCache>
                <c:ptCount val="1"/>
                <c:pt idx="0">
                  <c:v>15</c:v>
                </c:pt>
              </c:strCache>
            </c:strRef>
          </c:tx>
          <c:spPr>
            <a:solidFill>
              <a:srgbClr val="5E6A71"/>
            </a:solidFill>
            <a:ln>
              <a:noFill/>
            </a:ln>
            <a:effectLst/>
          </c:spPr>
          <c:invertIfNegative val="0"/>
          <c:cat>
            <c:numRef>
              <c:f>'EC-UNC'!$C$6:$Q$6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'EC-UNC'!$C$11:$Q$11</c:f>
              <c:numCache>
                <c:formatCode>0</c:formatCode>
                <c:ptCount val="15"/>
                <c:pt idx="0">
                  <c:v>0</c:v>
                </c:pt>
                <c:pt idx="1">
                  <c:v>76.52100840336135</c:v>
                </c:pt>
                <c:pt idx="2">
                  <c:v>102.33333333333334</c:v>
                </c:pt>
                <c:pt idx="3">
                  <c:v>183.06666666666666</c:v>
                </c:pt>
                <c:pt idx="4">
                  <c:v>193.64</c:v>
                </c:pt>
                <c:pt idx="5">
                  <c:v>375.06625590388217</c:v>
                </c:pt>
                <c:pt idx="6">
                  <c:v>152.93333333333334</c:v>
                </c:pt>
                <c:pt idx="7">
                  <c:v>315.26251267836159</c:v>
                </c:pt>
                <c:pt idx="8">
                  <c:v>0</c:v>
                </c:pt>
                <c:pt idx="9">
                  <c:v>0</c:v>
                </c:pt>
                <c:pt idx="10">
                  <c:v>0</c:v>
                </c:pt>
                <c:pt idx="11">
                  <c:v>0</c:v>
                </c:pt>
                <c:pt idx="12">
                  <c:v>0</c:v>
                </c:pt>
              </c:numCache>
            </c:numRef>
          </c:val>
          <c:extLst>
            <c:ext xmlns:c16="http://schemas.microsoft.com/office/drawing/2014/chart" uri="{C3380CC4-5D6E-409C-BE32-E72D297353CC}">
              <c16:uniqueId val="{00000001-3B66-495D-92EE-CBD4C3B83641}"/>
            </c:ext>
          </c:extLst>
        </c:ser>
        <c:ser>
          <c:idx val="3"/>
          <c:order val="2"/>
          <c:tx>
            <c:strRef>
              <c:f>'EC-UNC'!$B$12</c:f>
              <c:strCache>
                <c:ptCount val="1"/>
                <c:pt idx="0">
                  <c:v>18</c:v>
                </c:pt>
              </c:strCache>
            </c:strRef>
          </c:tx>
          <c:spPr>
            <a:solidFill>
              <a:srgbClr val="5D9732"/>
            </a:solidFill>
            <a:ln>
              <a:noFill/>
            </a:ln>
            <a:effectLst/>
          </c:spPr>
          <c:invertIfNegative val="0"/>
          <c:cat>
            <c:numRef>
              <c:f>'EC-UNC'!$C$6:$Q$6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'EC-UNC'!$C$12:$Q$12</c:f>
              <c:numCache>
                <c:formatCode>0</c:formatCode>
                <c:ptCount val="15"/>
                <c:pt idx="0">
                  <c:v>0</c:v>
                </c:pt>
                <c:pt idx="1">
                  <c:v>0</c:v>
                </c:pt>
                <c:pt idx="2">
                  <c:v>0</c:v>
                </c:pt>
                <c:pt idx="3">
                  <c:v>0</c:v>
                </c:pt>
                <c:pt idx="4">
                  <c:v>0</c:v>
                </c:pt>
                <c:pt idx="5">
                  <c:v>0</c:v>
                </c:pt>
                <c:pt idx="6">
                  <c:v>0</c:v>
                </c:pt>
                <c:pt idx="7">
                  <c:v>0</c:v>
                </c:pt>
                <c:pt idx="8">
                  <c:v>166.78543772010551</c:v>
                </c:pt>
                <c:pt idx="9">
                  <c:v>300.62599050437262</c:v>
                </c:pt>
                <c:pt idx="10">
                  <c:v>198.16666666666666</c:v>
                </c:pt>
                <c:pt idx="11">
                  <c:v>135.63842336953189</c:v>
                </c:pt>
                <c:pt idx="12">
                  <c:v>51.333333333333336</c:v>
                </c:pt>
              </c:numCache>
            </c:numRef>
          </c:val>
          <c:extLst>
            <c:ext xmlns:c16="http://schemas.microsoft.com/office/drawing/2014/chart" uri="{C3380CC4-5D6E-409C-BE32-E72D297353CC}">
              <c16:uniqueId val="{00000002-3B66-495D-92EE-CBD4C3B83641}"/>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Procurement/Manufacturing</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Turbines Ordered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baseline="0"/>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'EC-known'!$B$138</c:f>
              <c:strCache>
                <c:ptCount val="1"/>
                <c:pt idx="0">
                  <c:v>EC Lay-down Area (acres) </c:v>
                </c:pt>
              </c:strCache>
            </c:strRef>
          </c:tx>
          <c:spPr>
            <a:solidFill>
              <a:schemeClr val="accent1"/>
            </a:solidFill>
            <a:ln>
              <a:noFill/>
            </a:ln>
            <a:effectLst/>
          </c:spPr>
          <c:invertIfNegative val="0"/>
          <c:cat>
            <c:numRef>
              <c:f>'EC-known'!$C$136:$Q$136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'EC-known'!$C$138:$Q$138</c:f>
              <c:numCache>
                <c:formatCode>0</c:formatCode>
                <c:ptCount val="15"/>
                <c:pt idx="1">
                  <c:v>0</c:v>
                </c:pt>
                <c:pt idx="2">
                  <c:v>40</c:v>
                </c:pt>
                <c:pt idx="3">
                  <c:v>160</c:v>
                </c:pt>
                <c:pt idx="4">
                  <c:v>160</c:v>
                </c:pt>
                <c:pt idx="5">
                  <c:v>120</c:v>
                </c:pt>
                <c:pt idx="6">
                  <c:v>120</c:v>
                </c:pt>
                <c:pt idx="7">
                  <c:v>200</c:v>
                </c:pt>
                <c:pt idx="8">
                  <c:v>80</c:v>
                </c:pt>
                <c:pt idx="9">
                  <c:v>160</c:v>
                </c:pt>
                <c:pt idx="10">
                  <c:v>40</c:v>
                </c:pt>
                <c:pt idx="11">
                  <c:v>120</c:v>
                </c:pt>
                <c:pt idx="12">
                  <c:v>40</c:v>
                </c:pt>
                <c:pt idx="13">
                  <c:v>40</c:v>
                </c:pt>
                <c:pt idx="14">
                  <c:v>40</c:v>
                </c:pt>
              </c:numCache>
            </c:numRef>
          </c:val>
          <c:extLst>
            <c:ext xmlns:c16="http://schemas.microsoft.com/office/drawing/2014/chart" uri="{C3380CC4-5D6E-409C-BE32-E72D297353CC}">
              <c16:uniqueId val="{00000000-1836-46C3-BD2B-93B91FE3191E}"/>
            </c:ext>
          </c:extLst>
        </c:ser>
        <c:dLbls>
          <c:showLegendKey val="0"/>
          <c:showVal val="0"/>
          <c:showCatName val="0"/>
          <c:showSerName val="0"/>
          <c:showPercent val="0"/>
          <c:showBubbleSize val="0"/>
        </c:dLbls>
        <c:gapWidth val="150"/>
        <c:axId val="877430240"/>
        <c:axId val="877434832"/>
      </c:barChart>
      <c:catAx>
        <c:axId val="877430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7434832"/>
        <c:crosses val="autoZero"/>
        <c:auto val="1"/>
        <c:lblAlgn val="ctr"/>
        <c:lblOffset val="100"/>
        <c:noMultiLvlLbl val="0"/>
      </c:catAx>
      <c:valAx>
        <c:axId val="87743483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74302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Vessels Required and Turbines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417250198291675E-2"/>
          <c:y val="7.5282334926584052E-2"/>
          <c:w val="0.82771678647263758"/>
          <c:h val="0.79270271721152119"/>
        </c:manualLayout>
      </c:layout>
      <c:barChart>
        <c:barDir val="col"/>
        <c:grouping val="stacked"/>
        <c:varyColors val="0"/>
        <c:ser>
          <c:idx val="0"/>
          <c:order val="0"/>
          <c:tx>
            <c:strRef>
              <c:f>'EC-LOW'!$B$86</c:f>
              <c:strCache>
                <c:ptCount val="1"/>
                <c:pt idx="0">
                  <c:v>12</c:v>
                </c:pt>
              </c:strCache>
            </c:strRef>
          </c:tx>
          <c:spPr>
            <a:solidFill>
              <a:srgbClr val="0079C2"/>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'EC-LOW'!$C$86:$Q$86</c:f>
              <c:numCache>
                <c:formatCode>0</c:formatCode>
                <c:ptCount val="14"/>
                <c:pt idx="0">
                  <c:v>0</c:v>
                </c:pt>
                <c:pt idx="1">
                  <c:v>42.769230769230774</c:v>
                </c:pt>
                <c:pt idx="2">
                  <c:v>110</c:v>
                </c:pt>
                <c:pt idx="3">
                  <c:v>166.66666666666666</c:v>
                </c:pt>
                <c:pt idx="4">
                  <c:v>166.66666666666666</c:v>
                </c:pt>
                <c:pt idx="5">
                  <c:v>66.641025641025635</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EF47-46F8-AAC6-9394A3EAE059}"/>
            </c:ext>
          </c:extLst>
        </c:ser>
        <c:ser>
          <c:idx val="5"/>
          <c:order val="5"/>
          <c:tx>
            <c:strRef>
              <c:f>'EC-LOW'!$B$87</c:f>
              <c:strCache>
                <c:ptCount val="1"/>
                <c:pt idx="0">
                  <c:v>15</c:v>
                </c:pt>
              </c:strCache>
            </c:strRef>
          </c:tx>
          <c:spPr>
            <a:solidFill>
              <a:srgbClr val="5E6A71"/>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'EC-LOW'!$C$87:$Q$87</c:f>
              <c:numCache>
                <c:formatCode>0</c:formatCode>
                <c:ptCount val="14"/>
                <c:pt idx="0">
                  <c:v>0</c:v>
                </c:pt>
                <c:pt idx="1">
                  <c:v>0</c:v>
                </c:pt>
                <c:pt idx="2">
                  <c:v>44.000000000000007</c:v>
                </c:pt>
                <c:pt idx="3">
                  <c:v>88.000000000000014</c:v>
                </c:pt>
                <c:pt idx="4">
                  <c:v>133.33333333333334</c:v>
                </c:pt>
                <c:pt idx="5">
                  <c:v>133.33333333333334</c:v>
                </c:pt>
                <c:pt idx="6">
                  <c:v>266.66666666666669</c:v>
                </c:pt>
                <c:pt idx="7">
                  <c:v>266.66666666666669</c:v>
                </c:pt>
                <c:pt idx="8">
                  <c:v>266.66666666666669</c:v>
                </c:pt>
                <c:pt idx="9">
                  <c:v>133.33333333333334</c:v>
                </c:pt>
                <c:pt idx="10">
                  <c:v>66.823110318938234</c:v>
                </c:pt>
                <c:pt idx="11">
                  <c:v>0</c:v>
                </c:pt>
                <c:pt idx="12">
                  <c:v>0</c:v>
                </c:pt>
                <c:pt idx="13">
                  <c:v>0</c:v>
                </c:pt>
              </c:numCache>
            </c:numRef>
          </c:val>
          <c:extLst>
            <c:ext xmlns:c16="http://schemas.microsoft.com/office/drawing/2014/chart" uri="{C3380CC4-5D6E-409C-BE32-E72D297353CC}">
              <c16:uniqueId val="{00000001-EF47-46F8-AAC6-9394A3EAE059}"/>
            </c:ext>
          </c:extLst>
        </c:ser>
        <c:ser>
          <c:idx val="6"/>
          <c:order val="6"/>
          <c:tx>
            <c:strRef>
              <c:f>'EC-LOW'!$B$88</c:f>
              <c:strCache>
                <c:ptCount val="1"/>
                <c:pt idx="0">
                  <c:v>18</c:v>
                </c:pt>
              </c:strCache>
            </c:strRef>
          </c:tx>
          <c:spPr>
            <a:solidFill>
              <a:srgbClr val="5D9732"/>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'EC-LOW'!$C$88:$Q$88</c:f>
              <c:numCache>
                <c:formatCode>0</c:formatCode>
                <c:ptCount val="14"/>
                <c:pt idx="0">
                  <c:v>0</c:v>
                </c:pt>
                <c:pt idx="1">
                  <c:v>0</c:v>
                </c:pt>
                <c:pt idx="2">
                  <c:v>0</c:v>
                </c:pt>
                <c:pt idx="3">
                  <c:v>0</c:v>
                </c:pt>
                <c:pt idx="4">
                  <c:v>0</c:v>
                </c:pt>
                <c:pt idx="5">
                  <c:v>0</c:v>
                </c:pt>
                <c:pt idx="6">
                  <c:v>0</c:v>
                </c:pt>
                <c:pt idx="7">
                  <c:v>0</c:v>
                </c:pt>
                <c:pt idx="8">
                  <c:v>0</c:v>
                </c:pt>
                <c:pt idx="9">
                  <c:v>48.888888888888893</c:v>
                </c:pt>
                <c:pt idx="10">
                  <c:v>111.11111111111111</c:v>
                </c:pt>
                <c:pt idx="11">
                  <c:v>111.11111111111111</c:v>
                </c:pt>
                <c:pt idx="12">
                  <c:v>111.11111111111111</c:v>
                </c:pt>
                <c:pt idx="13">
                  <c:v>111.11111111111111</c:v>
                </c:pt>
              </c:numCache>
            </c:numRef>
          </c:val>
          <c:extLst>
            <c:ext xmlns:c16="http://schemas.microsoft.com/office/drawing/2014/chart" uri="{C3380CC4-5D6E-409C-BE32-E72D297353CC}">
              <c16:uniqueId val="{00000002-EF47-46F8-AAC6-9394A3EAE059}"/>
            </c:ext>
          </c:extLst>
        </c:ser>
        <c:dLbls>
          <c:showLegendKey val="0"/>
          <c:showVal val="0"/>
          <c:showCatName val="0"/>
          <c:showSerName val="0"/>
          <c:showPercent val="0"/>
          <c:showBubbleSize val="0"/>
        </c:dLbls>
        <c:gapWidth val="200"/>
        <c:overlap val="100"/>
        <c:axId val="45334935"/>
        <c:axId val="45341167"/>
      </c:barChart>
      <c:lineChart>
        <c:grouping val="standard"/>
        <c:varyColors val="0"/>
        <c:ser>
          <c:idx val="1"/>
          <c:order val="1"/>
          <c:tx>
            <c:strRef>
              <c:f>'EC-LOW'!$B$130</c:f>
              <c:strCache>
                <c:ptCount val="1"/>
                <c:pt idx="0">
                  <c:v>CTV</c:v>
                </c:pt>
              </c:strCache>
            </c:strRef>
          </c:tx>
          <c:spPr>
            <a:ln w="28575" cap="rnd">
              <a:solidFill>
                <a:schemeClr val="accent2"/>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'EC-LOW'!$C$130:$Q$130</c:f>
              <c:numCache>
                <c:formatCode>0</c:formatCode>
                <c:ptCount val="14"/>
                <c:pt idx="0">
                  <c:v>0</c:v>
                </c:pt>
                <c:pt idx="1">
                  <c:v>6</c:v>
                </c:pt>
                <c:pt idx="2">
                  <c:v>12</c:v>
                </c:pt>
                <c:pt idx="3">
                  <c:v>20</c:v>
                </c:pt>
                <c:pt idx="4">
                  <c:v>27</c:v>
                </c:pt>
                <c:pt idx="5">
                  <c:v>30</c:v>
                </c:pt>
                <c:pt idx="6">
                  <c:v>35</c:v>
                </c:pt>
                <c:pt idx="7">
                  <c:v>41</c:v>
                </c:pt>
                <c:pt idx="8">
                  <c:v>46</c:v>
                </c:pt>
                <c:pt idx="9">
                  <c:v>49</c:v>
                </c:pt>
                <c:pt idx="10">
                  <c:v>52</c:v>
                </c:pt>
                <c:pt idx="11">
                  <c:v>54</c:v>
                </c:pt>
                <c:pt idx="12">
                  <c:v>56</c:v>
                </c:pt>
                <c:pt idx="13">
                  <c:v>59</c:v>
                </c:pt>
              </c:numCache>
            </c:numRef>
          </c:val>
          <c:smooth val="0"/>
          <c:extLst>
            <c:ext xmlns:c16="http://schemas.microsoft.com/office/drawing/2014/chart" uri="{C3380CC4-5D6E-409C-BE32-E72D297353CC}">
              <c16:uniqueId val="{00000003-EF47-46F8-AAC6-9394A3EAE059}"/>
            </c:ext>
          </c:extLst>
        </c:ser>
        <c:ser>
          <c:idx val="2"/>
          <c:order val="2"/>
          <c:tx>
            <c:strRef>
              <c:f>'EC-LOW'!$B$129</c:f>
              <c:strCache>
                <c:ptCount val="1"/>
                <c:pt idx="0">
                  <c:v>feeder Barges</c:v>
                </c:pt>
              </c:strCache>
            </c:strRef>
          </c:tx>
          <c:spPr>
            <a:ln w="28575" cap="rnd">
              <a:solidFill>
                <a:schemeClr val="accent3"/>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'EC-LOW'!$C$129:$Q$129</c:f>
              <c:numCache>
                <c:formatCode>0</c:formatCode>
                <c:ptCount val="14"/>
                <c:pt idx="0">
                  <c:v>0</c:v>
                </c:pt>
                <c:pt idx="1">
                  <c:v>4</c:v>
                </c:pt>
                <c:pt idx="2">
                  <c:v>6</c:v>
                </c:pt>
                <c:pt idx="3">
                  <c:v>10</c:v>
                </c:pt>
                <c:pt idx="4">
                  <c:v>10</c:v>
                </c:pt>
                <c:pt idx="5">
                  <c:v>8</c:v>
                </c:pt>
                <c:pt idx="6">
                  <c:v>8</c:v>
                </c:pt>
                <c:pt idx="7">
                  <c:v>8</c:v>
                </c:pt>
                <c:pt idx="8">
                  <c:v>8</c:v>
                </c:pt>
                <c:pt idx="9">
                  <c:v>6</c:v>
                </c:pt>
                <c:pt idx="10">
                  <c:v>6</c:v>
                </c:pt>
                <c:pt idx="11">
                  <c:v>4</c:v>
                </c:pt>
                <c:pt idx="12">
                  <c:v>4</c:v>
                </c:pt>
                <c:pt idx="13">
                  <c:v>4</c:v>
                </c:pt>
              </c:numCache>
            </c:numRef>
          </c:val>
          <c:smooth val="0"/>
          <c:extLst>
            <c:ext xmlns:c16="http://schemas.microsoft.com/office/drawing/2014/chart" uri="{C3380CC4-5D6E-409C-BE32-E72D297353CC}">
              <c16:uniqueId val="{00000004-EF47-46F8-AAC6-9394A3EAE059}"/>
            </c:ext>
          </c:extLst>
        </c:ser>
        <c:ser>
          <c:idx val="3"/>
          <c:order val="3"/>
          <c:tx>
            <c:v>WTIV</c:v>
          </c:tx>
          <c:spPr>
            <a:ln w="28575" cap="rnd">
              <a:solidFill>
                <a:schemeClr val="accent4"/>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'EC-LOW'!$C$126:$Q$126</c:f>
              <c:numCache>
                <c:formatCode>0</c:formatCode>
                <c:ptCount val="14"/>
                <c:pt idx="0">
                  <c:v>0</c:v>
                </c:pt>
                <c:pt idx="1">
                  <c:v>2</c:v>
                </c:pt>
                <c:pt idx="2">
                  <c:v>3</c:v>
                </c:pt>
                <c:pt idx="3">
                  <c:v>5</c:v>
                </c:pt>
                <c:pt idx="4">
                  <c:v>5</c:v>
                </c:pt>
                <c:pt idx="5">
                  <c:v>4</c:v>
                </c:pt>
                <c:pt idx="6">
                  <c:v>4</c:v>
                </c:pt>
                <c:pt idx="7">
                  <c:v>4</c:v>
                </c:pt>
                <c:pt idx="8">
                  <c:v>4</c:v>
                </c:pt>
                <c:pt idx="9">
                  <c:v>3</c:v>
                </c:pt>
                <c:pt idx="10">
                  <c:v>3</c:v>
                </c:pt>
                <c:pt idx="11">
                  <c:v>2</c:v>
                </c:pt>
                <c:pt idx="12">
                  <c:v>2</c:v>
                </c:pt>
                <c:pt idx="13">
                  <c:v>2</c:v>
                </c:pt>
              </c:numCache>
            </c:numRef>
          </c:val>
          <c:smooth val="0"/>
          <c:extLst>
            <c:ext xmlns:c16="http://schemas.microsoft.com/office/drawing/2014/chart" uri="{C3380CC4-5D6E-409C-BE32-E72D297353CC}">
              <c16:uniqueId val="{00000005-EF47-46F8-AAC6-9394A3EAE059}"/>
            </c:ext>
          </c:extLst>
        </c:ser>
        <c:ser>
          <c:idx val="4"/>
          <c:order val="4"/>
          <c:tx>
            <c:strRef>
              <c:f>'EC-LOW'!$B$132</c:f>
              <c:strCache>
                <c:ptCount val="1"/>
                <c:pt idx="0">
                  <c:v>CLV</c:v>
                </c:pt>
              </c:strCache>
            </c:strRef>
          </c:tx>
          <c:spPr>
            <a:ln w="38100" cap="rnd">
              <a:solidFill>
                <a:schemeClr val="accent5"/>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'EC-LOW'!$C$132:$Q$132</c:f>
              <c:numCache>
                <c:formatCode>0</c:formatCode>
                <c:ptCount val="14"/>
                <c:pt idx="0">
                  <c:v>0</c:v>
                </c:pt>
                <c:pt idx="1">
                  <c:v>1</c:v>
                </c:pt>
                <c:pt idx="2">
                  <c:v>2</c:v>
                </c:pt>
                <c:pt idx="3">
                  <c:v>3</c:v>
                </c:pt>
                <c:pt idx="4">
                  <c:v>3</c:v>
                </c:pt>
                <c:pt idx="5">
                  <c:v>2</c:v>
                </c:pt>
                <c:pt idx="6">
                  <c:v>3</c:v>
                </c:pt>
                <c:pt idx="7">
                  <c:v>4</c:v>
                </c:pt>
                <c:pt idx="8">
                  <c:v>3</c:v>
                </c:pt>
                <c:pt idx="9">
                  <c:v>2</c:v>
                </c:pt>
                <c:pt idx="10">
                  <c:v>3</c:v>
                </c:pt>
                <c:pt idx="11">
                  <c:v>2</c:v>
                </c:pt>
                <c:pt idx="12">
                  <c:v>2</c:v>
                </c:pt>
                <c:pt idx="13">
                  <c:v>2</c:v>
                </c:pt>
              </c:numCache>
            </c:numRef>
          </c:val>
          <c:smooth val="0"/>
          <c:extLst>
            <c:ext xmlns:c16="http://schemas.microsoft.com/office/drawing/2014/chart" uri="{C3380CC4-5D6E-409C-BE32-E72D297353CC}">
              <c16:uniqueId val="{00000006-EF47-46F8-AAC6-9394A3EAE059}"/>
            </c:ext>
          </c:extLst>
        </c:ser>
        <c:ser>
          <c:idx val="7"/>
          <c:order val="7"/>
          <c:tx>
            <c:strRef>
              <c:f>'EC-LOW'!$B$131</c:f>
              <c:strCache>
                <c:ptCount val="1"/>
                <c:pt idx="0">
                  <c:v>SOV</c:v>
                </c:pt>
              </c:strCache>
            </c:strRef>
          </c:tx>
          <c:spPr>
            <a:ln w="28575" cap="rnd">
              <a:solidFill>
                <a:schemeClr val="accent2">
                  <a:lumMod val="60000"/>
                </a:schemeClr>
              </a:solidFill>
              <a:round/>
            </a:ln>
            <a:effectLst/>
          </c:spPr>
          <c:marker>
            <c:symbol val="none"/>
          </c:marker>
          <c:val>
            <c:numRef>
              <c:f>'EC-LOW'!$C$131:$Q$131</c:f>
              <c:numCache>
                <c:formatCode>0</c:formatCode>
                <c:ptCount val="14"/>
                <c:pt idx="0">
                  <c:v>0</c:v>
                </c:pt>
                <c:pt idx="1">
                  <c:v>1</c:v>
                </c:pt>
                <c:pt idx="2">
                  <c:v>1</c:v>
                </c:pt>
                <c:pt idx="3">
                  <c:v>3</c:v>
                </c:pt>
                <c:pt idx="4">
                  <c:v>4</c:v>
                </c:pt>
                <c:pt idx="5">
                  <c:v>5</c:v>
                </c:pt>
                <c:pt idx="6">
                  <c:v>7</c:v>
                </c:pt>
                <c:pt idx="7">
                  <c:v>8</c:v>
                </c:pt>
                <c:pt idx="8">
                  <c:v>9</c:v>
                </c:pt>
                <c:pt idx="9">
                  <c:v>10</c:v>
                </c:pt>
                <c:pt idx="10">
                  <c:v>11</c:v>
                </c:pt>
                <c:pt idx="11">
                  <c:v>12</c:v>
                </c:pt>
                <c:pt idx="12">
                  <c:v>12</c:v>
                </c:pt>
                <c:pt idx="13">
                  <c:v>13</c:v>
                </c:pt>
              </c:numCache>
            </c:numRef>
          </c:val>
          <c:smooth val="0"/>
          <c:extLst>
            <c:ext xmlns:c16="http://schemas.microsoft.com/office/drawing/2014/chart" uri="{C3380CC4-5D6E-409C-BE32-E72D297353CC}">
              <c16:uniqueId val="{00000001-FD24-4CDC-87E5-6D12F6400EBF}"/>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Vessels Required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minorUnit val="5"/>
      </c:valAx>
      <c:valAx>
        <c:axId val="45341167"/>
        <c:scaling>
          <c:orientation val="minMax"/>
          <c:max val="400"/>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 Turbines Installed </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5334935"/>
        <c:crosses val="max"/>
        <c:crossBetween val="between"/>
      </c:valAx>
      <c:catAx>
        <c:axId val="45334935"/>
        <c:scaling>
          <c:orientation val="minMax"/>
        </c:scaling>
        <c:delete val="1"/>
        <c:axPos val="b"/>
        <c:numFmt formatCode="General" sourceLinked="1"/>
        <c:majorTickMark val="out"/>
        <c:minorTickMark val="none"/>
        <c:tickLblPos val="nextTo"/>
        <c:crossAx val="45341167"/>
        <c:crosses val="autoZero"/>
        <c:auto val="1"/>
        <c:lblAlgn val="ctr"/>
        <c:lblOffset val="100"/>
        <c:noMultiLvlLbl val="0"/>
      </c:catAx>
      <c:spPr>
        <a:noFill/>
        <a:ln>
          <a:noFill/>
        </a:ln>
        <a:effectLst/>
      </c:spPr>
    </c:plotArea>
    <c:legend>
      <c:legendPos val="b"/>
      <c:layout>
        <c:manualLayout>
          <c:xMode val="edge"/>
          <c:yMode val="edge"/>
          <c:x val="0.10195364966059496"/>
          <c:y val="9.4921392701569532E-2"/>
          <c:w val="0.55717306225930829"/>
          <c:h val="4.5517895746284953E-2"/>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nchor="t" anchorCtr="1"/>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Turbines Transported/Stored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2623337265654374E-2"/>
          <c:y val="7.5282334926584052E-2"/>
          <c:w val="0.80910229985705562"/>
          <c:h val="0.75701402721993338"/>
        </c:manualLayout>
      </c:layout>
      <c:barChart>
        <c:barDir val="col"/>
        <c:grouping val="stacked"/>
        <c:varyColors val="0"/>
        <c:ser>
          <c:idx val="1"/>
          <c:order val="0"/>
          <c:tx>
            <c:strRef>
              <c:f>'EC-LOW'!$B$46</c:f>
              <c:strCache>
                <c:ptCount val="1"/>
                <c:pt idx="0">
                  <c:v>12</c:v>
                </c:pt>
              </c:strCache>
            </c:strRef>
          </c:tx>
          <c:spPr>
            <a:solidFill>
              <a:srgbClr val="0079C2"/>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'EC-LOW'!$C$46:$Q$46</c:f>
              <c:numCache>
                <c:formatCode>0</c:formatCode>
                <c:ptCount val="14"/>
                <c:pt idx="0">
                  <c:v>42.769230769230774</c:v>
                </c:pt>
                <c:pt idx="1">
                  <c:v>110</c:v>
                </c:pt>
                <c:pt idx="2">
                  <c:v>166.66666666666666</c:v>
                </c:pt>
                <c:pt idx="3">
                  <c:v>166.66666666666666</c:v>
                </c:pt>
                <c:pt idx="4">
                  <c:v>66.641025641025635</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8950-4726-984B-B634853A228F}"/>
            </c:ext>
          </c:extLst>
        </c:ser>
        <c:ser>
          <c:idx val="2"/>
          <c:order val="1"/>
          <c:tx>
            <c:strRef>
              <c:f>'EC-LOW'!$B$47</c:f>
              <c:strCache>
                <c:ptCount val="1"/>
                <c:pt idx="0">
                  <c:v>15</c:v>
                </c:pt>
              </c:strCache>
            </c:strRef>
          </c:tx>
          <c:spPr>
            <a:solidFill>
              <a:srgbClr val="5E6A71"/>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'EC-LOW'!$C$47:$Q$47</c:f>
              <c:numCache>
                <c:formatCode>0</c:formatCode>
                <c:ptCount val="14"/>
                <c:pt idx="0">
                  <c:v>0</c:v>
                </c:pt>
                <c:pt idx="1">
                  <c:v>44.000000000000007</c:v>
                </c:pt>
                <c:pt idx="2">
                  <c:v>88.000000000000014</c:v>
                </c:pt>
                <c:pt idx="3">
                  <c:v>133.33333333333334</c:v>
                </c:pt>
                <c:pt idx="4">
                  <c:v>133.33333333333334</c:v>
                </c:pt>
                <c:pt idx="5">
                  <c:v>266.66666666666669</c:v>
                </c:pt>
                <c:pt idx="6">
                  <c:v>266.66666666666669</c:v>
                </c:pt>
                <c:pt idx="7">
                  <c:v>266.66666666666669</c:v>
                </c:pt>
                <c:pt idx="8">
                  <c:v>133.33333333333334</c:v>
                </c:pt>
                <c:pt idx="9">
                  <c:v>66.823110318938234</c:v>
                </c:pt>
                <c:pt idx="10">
                  <c:v>0</c:v>
                </c:pt>
                <c:pt idx="11">
                  <c:v>0</c:v>
                </c:pt>
                <c:pt idx="12">
                  <c:v>0</c:v>
                </c:pt>
              </c:numCache>
            </c:numRef>
          </c:val>
          <c:extLst>
            <c:ext xmlns:c16="http://schemas.microsoft.com/office/drawing/2014/chart" uri="{C3380CC4-5D6E-409C-BE32-E72D297353CC}">
              <c16:uniqueId val="{00000001-8950-4726-984B-B634853A228F}"/>
            </c:ext>
          </c:extLst>
        </c:ser>
        <c:ser>
          <c:idx val="3"/>
          <c:order val="2"/>
          <c:tx>
            <c:strRef>
              <c:f>'EC-LOW'!$B$48</c:f>
              <c:strCache>
                <c:ptCount val="1"/>
                <c:pt idx="0">
                  <c:v>18</c:v>
                </c:pt>
              </c:strCache>
            </c:strRef>
          </c:tx>
          <c:spPr>
            <a:solidFill>
              <a:srgbClr val="5D9732"/>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'EC-LOW'!$C$48:$Q$48</c:f>
              <c:numCache>
                <c:formatCode>0</c:formatCode>
                <c:ptCount val="14"/>
                <c:pt idx="0">
                  <c:v>0</c:v>
                </c:pt>
                <c:pt idx="1">
                  <c:v>0</c:v>
                </c:pt>
                <c:pt idx="2">
                  <c:v>0</c:v>
                </c:pt>
                <c:pt idx="3">
                  <c:v>0</c:v>
                </c:pt>
                <c:pt idx="4">
                  <c:v>0</c:v>
                </c:pt>
                <c:pt idx="5">
                  <c:v>0</c:v>
                </c:pt>
                <c:pt idx="6">
                  <c:v>0</c:v>
                </c:pt>
                <c:pt idx="7">
                  <c:v>0</c:v>
                </c:pt>
                <c:pt idx="8">
                  <c:v>48.888888888888893</c:v>
                </c:pt>
                <c:pt idx="9">
                  <c:v>111.11111111111111</c:v>
                </c:pt>
                <c:pt idx="10">
                  <c:v>111.11111111111111</c:v>
                </c:pt>
                <c:pt idx="11">
                  <c:v>111.11111111111111</c:v>
                </c:pt>
                <c:pt idx="12">
                  <c:v>111.11111111111111</c:v>
                </c:pt>
              </c:numCache>
            </c:numRef>
          </c:val>
          <c:extLst>
            <c:ext xmlns:c16="http://schemas.microsoft.com/office/drawing/2014/chart" uri="{C3380CC4-5D6E-409C-BE32-E72D297353CC}">
              <c16:uniqueId val="{00000002-8950-4726-984B-B634853A228F}"/>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Transportation/Storage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Turbines Stored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w="9525">
          <a:solidFill>
            <a:srgbClr val="3D6321"/>
          </a:solid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Total MW and Projects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462671550043816E-2"/>
          <c:y val="7.5282334926584052E-2"/>
          <c:w val="0.84749648151120716"/>
          <c:h val="0.76811631697945759"/>
        </c:manualLayout>
      </c:layout>
      <c:barChart>
        <c:barDir val="col"/>
        <c:grouping val="clustered"/>
        <c:varyColors val="0"/>
        <c:ser>
          <c:idx val="0"/>
          <c:order val="0"/>
          <c:tx>
            <c:strRef>
              <c:f>'EC-LOW'!$B$83</c:f>
              <c:strCache>
                <c:ptCount val="1"/>
                <c:pt idx="0">
                  <c:v>Installed MW</c:v>
                </c:pt>
              </c:strCache>
            </c:strRef>
          </c:tx>
          <c:spPr>
            <a:solidFill>
              <a:srgbClr val="0079C2"/>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'EC-LOW'!$C$83:$Q$83</c:f>
              <c:numCache>
                <c:formatCode>0</c:formatCode>
                <c:ptCount val="14"/>
                <c:pt idx="0">
                  <c:v>0</c:v>
                </c:pt>
                <c:pt idx="1">
                  <c:v>513.23076923076928</c:v>
                </c:pt>
                <c:pt idx="2">
                  <c:v>1980</c:v>
                </c:pt>
                <c:pt idx="3">
                  <c:v>3320</c:v>
                </c:pt>
                <c:pt idx="4">
                  <c:v>4000</c:v>
                </c:pt>
                <c:pt idx="5">
                  <c:v>2799.6923076923076</c:v>
                </c:pt>
                <c:pt idx="6">
                  <c:v>4000.0000000000005</c:v>
                </c:pt>
                <c:pt idx="7">
                  <c:v>4000.0000000000005</c:v>
                </c:pt>
                <c:pt idx="8">
                  <c:v>4000.0000000000005</c:v>
                </c:pt>
                <c:pt idx="9">
                  <c:v>2880.0000000000005</c:v>
                </c:pt>
                <c:pt idx="10">
                  <c:v>3002.3466547840735</c:v>
                </c:pt>
                <c:pt idx="11">
                  <c:v>2000</c:v>
                </c:pt>
                <c:pt idx="12">
                  <c:v>2000</c:v>
                </c:pt>
                <c:pt idx="13">
                  <c:v>2000</c:v>
                </c:pt>
              </c:numCache>
            </c:numRef>
          </c:val>
          <c:extLst>
            <c:ext xmlns:c16="http://schemas.microsoft.com/office/drawing/2014/chart" uri="{C3380CC4-5D6E-409C-BE32-E72D297353CC}">
              <c16:uniqueId val="{00000000-EF72-42F7-AE98-CFB614F3308B}"/>
            </c:ext>
          </c:extLst>
        </c:ser>
        <c:dLbls>
          <c:showLegendKey val="0"/>
          <c:showVal val="0"/>
          <c:showCatName val="0"/>
          <c:showSerName val="0"/>
          <c:showPercent val="0"/>
          <c:showBubbleSize val="0"/>
        </c:dLbls>
        <c:gapWidth val="200"/>
        <c:overlap val="100"/>
        <c:axId val="1105198224"/>
        <c:axId val="1105196256"/>
      </c:barChart>
      <c:lineChart>
        <c:grouping val="standard"/>
        <c:varyColors val="0"/>
        <c:ser>
          <c:idx val="4"/>
          <c:order val="1"/>
          <c:tx>
            <c:strRef>
              <c:f>'EC-LOW'!$B$84</c:f>
              <c:strCache>
                <c:ptCount val="1"/>
                <c:pt idx="0">
                  <c:v>Number of Projects</c:v>
                </c:pt>
              </c:strCache>
            </c:strRef>
          </c:tx>
          <c:spPr>
            <a:ln w="38100" cap="rnd">
              <a:solidFill>
                <a:srgbClr val="933C06"/>
              </a:solidFill>
              <a:round/>
            </a:ln>
            <a:effectLst/>
          </c:spPr>
          <c:marker>
            <c:symbol val="none"/>
          </c:marker>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'EC-LOW'!$C$84:$Q$84</c:f>
              <c:numCache>
                <c:formatCode>0</c:formatCode>
                <c:ptCount val="14"/>
                <c:pt idx="0">
                  <c:v>0</c:v>
                </c:pt>
                <c:pt idx="1">
                  <c:v>2</c:v>
                </c:pt>
                <c:pt idx="2">
                  <c:v>3</c:v>
                </c:pt>
                <c:pt idx="3">
                  <c:v>5</c:v>
                </c:pt>
                <c:pt idx="4">
                  <c:v>5</c:v>
                </c:pt>
                <c:pt idx="5">
                  <c:v>4</c:v>
                </c:pt>
                <c:pt idx="6">
                  <c:v>5</c:v>
                </c:pt>
                <c:pt idx="7">
                  <c:v>5</c:v>
                </c:pt>
                <c:pt idx="8">
                  <c:v>5</c:v>
                </c:pt>
                <c:pt idx="9">
                  <c:v>4</c:v>
                </c:pt>
                <c:pt idx="10">
                  <c:v>4</c:v>
                </c:pt>
                <c:pt idx="11">
                  <c:v>3</c:v>
                </c:pt>
                <c:pt idx="12">
                  <c:v>3</c:v>
                </c:pt>
                <c:pt idx="13">
                  <c:v>3</c:v>
                </c:pt>
              </c:numCache>
            </c:numRef>
          </c:val>
          <c:smooth val="0"/>
          <c:extLst>
            <c:ext xmlns:c16="http://schemas.microsoft.com/office/drawing/2014/chart" uri="{C3380CC4-5D6E-409C-BE32-E72D297353CC}">
              <c16:uniqueId val="{00000001-EF72-42F7-AE98-CFB614F3308B}"/>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2"/>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Projects Constructed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105196256"/>
        <c:scaling>
          <c:orientation val="minMax"/>
          <c:max val="6000"/>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MW per year</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05198224"/>
        <c:crosses val="max"/>
        <c:crossBetween val="between"/>
      </c:valAx>
      <c:catAx>
        <c:axId val="1105198224"/>
        <c:scaling>
          <c:orientation val="minMax"/>
        </c:scaling>
        <c:delete val="1"/>
        <c:axPos val="b"/>
        <c:numFmt formatCode="General" sourceLinked="1"/>
        <c:majorTickMark val="out"/>
        <c:minorTickMark val="none"/>
        <c:tickLblPos val="nextTo"/>
        <c:crossAx val="1105196256"/>
        <c:crosses val="autoZero"/>
        <c:auto val="1"/>
        <c:lblAlgn val="ctr"/>
        <c:lblOffset val="100"/>
        <c:noMultiLvlLbl val="0"/>
      </c:catAx>
      <c:spPr>
        <a:noFill/>
        <a:ln>
          <a:noFill/>
        </a:ln>
        <a:effectLst/>
      </c:spPr>
    </c:plotArea>
    <c:legend>
      <c:legendPos val="b"/>
      <c:layout>
        <c:manualLayout>
          <c:xMode val="edge"/>
          <c:yMode val="edge"/>
          <c:x val="9.9358774265480274E-2"/>
          <c:y val="9.9731239444338426E-2"/>
          <c:w val="0.16406096444866217"/>
          <c:h val="0.1893341143365127"/>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a:t>Turbine</a:t>
            </a:r>
            <a:r>
              <a:rPr lang="en-US" baseline="0"/>
              <a:t> Orders</a:t>
            </a:r>
            <a:endParaRPr lang="en-US"/>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909255046736566E-2"/>
          <c:y val="7.5282334926584052E-2"/>
          <c:w val="0.8200706163901833"/>
          <c:h val="0.75439490302403034"/>
        </c:manualLayout>
      </c:layout>
      <c:barChart>
        <c:barDir val="col"/>
        <c:grouping val="stacked"/>
        <c:varyColors val="0"/>
        <c:ser>
          <c:idx val="1"/>
          <c:order val="0"/>
          <c:tx>
            <c:strRef>
              <c:f>'EC-LOW'!$B$10</c:f>
              <c:strCache>
                <c:ptCount val="1"/>
                <c:pt idx="0">
                  <c:v>12</c:v>
                </c:pt>
              </c:strCache>
            </c:strRef>
          </c:tx>
          <c:spPr>
            <a:solidFill>
              <a:srgbClr val="0079C2"/>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'EC-LOW'!$C$10:$Q$10</c:f>
              <c:numCache>
                <c:formatCode>0</c:formatCode>
                <c:ptCount val="14"/>
                <c:pt idx="0">
                  <c:v>110</c:v>
                </c:pt>
                <c:pt idx="1">
                  <c:v>166.66666666666666</c:v>
                </c:pt>
                <c:pt idx="2">
                  <c:v>166.66666666666666</c:v>
                </c:pt>
                <c:pt idx="3">
                  <c:v>66.641025641025635</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68C0-45D9-9494-5A4EF321C3E4}"/>
            </c:ext>
          </c:extLst>
        </c:ser>
        <c:ser>
          <c:idx val="2"/>
          <c:order val="1"/>
          <c:tx>
            <c:strRef>
              <c:f>'EC-LOW'!$B$11</c:f>
              <c:strCache>
                <c:ptCount val="1"/>
                <c:pt idx="0">
                  <c:v>15</c:v>
                </c:pt>
              </c:strCache>
            </c:strRef>
          </c:tx>
          <c:spPr>
            <a:solidFill>
              <a:srgbClr val="5E6A71"/>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'EC-LOW'!$C$11:$Q$11</c:f>
              <c:numCache>
                <c:formatCode>0</c:formatCode>
                <c:ptCount val="14"/>
                <c:pt idx="0">
                  <c:v>44.000000000000007</c:v>
                </c:pt>
                <c:pt idx="1">
                  <c:v>88.000000000000014</c:v>
                </c:pt>
                <c:pt idx="2">
                  <c:v>133.33333333333334</c:v>
                </c:pt>
                <c:pt idx="3">
                  <c:v>133.33333333333334</c:v>
                </c:pt>
                <c:pt idx="4">
                  <c:v>266.66666666666669</c:v>
                </c:pt>
                <c:pt idx="5">
                  <c:v>266.66666666666669</c:v>
                </c:pt>
                <c:pt idx="6">
                  <c:v>266.66666666666669</c:v>
                </c:pt>
                <c:pt idx="7">
                  <c:v>133.33333333333334</c:v>
                </c:pt>
                <c:pt idx="8">
                  <c:v>66.823110318938234</c:v>
                </c:pt>
                <c:pt idx="9">
                  <c:v>0</c:v>
                </c:pt>
                <c:pt idx="10">
                  <c:v>0</c:v>
                </c:pt>
                <c:pt idx="11">
                  <c:v>0</c:v>
                </c:pt>
              </c:numCache>
            </c:numRef>
          </c:val>
          <c:extLst>
            <c:ext xmlns:c16="http://schemas.microsoft.com/office/drawing/2014/chart" uri="{C3380CC4-5D6E-409C-BE32-E72D297353CC}">
              <c16:uniqueId val="{00000001-68C0-45D9-9494-5A4EF321C3E4}"/>
            </c:ext>
          </c:extLst>
        </c:ser>
        <c:ser>
          <c:idx val="3"/>
          <c:order val="2"/>
          <c:tx>
            <c:strRef>
              <c:f>'EC-LOW'!$B$12</c:f>
              <c:strCache>
                <c:ptCount val="1"/>
                <c:pt idx="0">
                  <c:v>18</c:v>
                </c:pt>
              </c:strCache>
            </c:strRef>
          </c:tx>
          <c:spPr>
            <a:solidFill>
              <a:srgbClr val="5D9732"/>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'EC-LOW'!$C$12:$Q$12</c:f>
              <c:numCache>
                <c:formatCode>0</c:formatCode>
                <c:ptCount val="14"/>
                <c:pt idx="0">
                  <c:v>0</c:v>
                </c:pt>
                <c:pt idx="1">
                  <c:v>0</c:v>
                </c:pt>
                <c:pt idx="2">
                  <c:v>0</c:v>
                </c:pt>
                <c:pt idx="3">
                  <c:v>0</c:v>
                </c:pt>
                <c:pt idx="4">
                  <c:v>0</c:v>
                </c:pt>
                <c:pt idx="5">
                  <c:v>0</c:v>
                </c:pt>
                <c:pt idx="6">
                  <c:v>0</c:v>
                </c:pt>
                <c:pt idx="7">
                  <c:v>48.888888888888893</c:v>
                </c:pt>
                <c:pt idx="8">
                  <c:v>111.11111111111111</c:v>
                </c:pt>
                <c:pt idx="9">
                  <c:v>111.11111111111111</c:v>
                </c:pt>
                <c:pt idx="10">
                  <c:v>111.11111111111111</c:v>
                </c:pt>
                <c:pt idx="11">
                  <c:v>111.11111111111111</c:v>
                </c:pt>
              </c:numCache>
            </c:numRef>
          </c:val>
          <c:extLst>
            <c:ext xmlns:c16="http://schemas.microsoft.com/office/drawing/2014/chart" uri="{C3380CC4-5D6E-409C-BE32-E72D297353CC}">
              <c16:uniqueId val="{00000002-68C0-45D9-9494-5A4EF321C3E4}"/>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Procurement/Manufacturing</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Turbines Ordered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baseline="0"/>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Vessels Required and Turbines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417250198291675E-2"/>
          <c:y val="7.5282334926584052E-2"/>
          <c:w val="0.82771678647263758"/>
          <c:h val="0.79270271721152119"/>
        </c:manualLayout>
      </c:layout>
      <c:barChart>
        <c:barDir val="col"/>
        <c:grouping val="stacked"/>
        <c:varyColors val="0"/>
        <c:ser>
          <c:idx val="0"/>
          <c:order val="0"/>
          <c:tx>
            <c:strRef>
              <c:f>'EC-MED'!$B$86</c:f>
              <c:strCache>
                <c:ptCount val="1"/>
                <c:pt idx="0">
                  <c:v>12</c:v>
                </c:pt>
              </c:strCache>
            </c:strRef>
          </c:tx>
          <c:spPr>
            <a:solidFill>
              <a:srgbClr val="0079C2"/>
            </a:solidFill>
            <a:ln>
              <a:noFill/>
            </a:ln>
            <a:effectLst/>
          </c:spPr>
          <c:invertIfNegative val="0"/>
          <c:cat>
            <c:numRef>
              <c:f>'EC-MED'!$C$6:$Q$6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'EC-MED'!$C$86:$Q$86</c:f>
              <c:numCache>
                <c:formatCode>0</c:formatCode>
                <c:ptCount val="14"/>
                <c:pt idx="0">
                  <c:v>0</c:v>
                </c:pt>
                <c:pt idx="1">
                  <c:v>42.769230769230774</c:v>
                </c:pt>
                <c:pt idx="2">
                  <c:v>110</c:v>
                </c:pt>
                <c:pt idx="3">
                  <c:v>125</c:v>
                </c:pt>
                <c:pt idx="4">
                  <c:v>125</c:v>
                </c:pt>
                <c:pt idx="5">
                  <c:v>125</c:v>
                </c:pt>
                <c:pt idx="6">
                  <c:v>24.974358974359006</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5E72-45E2-9F43-C3969CC9AE2F}"/>
            </c:ext>
          </c:extLst>
        </c:ser>
        <c:ser>
          <c:idx val="5"/>
          <c:order val="5"/>
          <c:tx>
            <c:strRef>
              <c:f>'EC-MED'!$B$87</c:f>
              <c:strCache>
                <c:ptCount val="1"/>
                <c:pt idx="0">
                  <c:v>15</c:v>
                </c:pt>
              </c:strCache>
            </c:strRef>
          </c:tx>
          <c:spPr>
            <a:solidFill>
              <a:srgbClr val="5E6A71"/>
            </a:solidFill>
            <a:ln>
              <a:noFill/>
            </a:ln>
            <a:effectLst/>
          </c:spPr>
          <c:invertIfNegative val="0"/>
          <c:cat>
            <c:numRef>
              <c:f>'EC-MED'!$C$6:$Q$6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'EC-MED'!$C$87:$Q$87</c:f>
              <c:numCache>
                <c:formatCode>0</c:formatCode>
                <c:ptCount val="14"/>
                <c:pt idx="0">
                  <c:v>0</c:v>
                </c:pt>
                <c:pt idx="1">
                  <c:v>0</c:v>
                </c:pt>
                <c:pt idx="2">
                  <c:v>33</c:v>
                </c:pt>
                <c:pt idx="3">
                  <c:v>66</c:v>
                </c:pt>
                <c:pt idx="4">
                  <c:v>100</c:v>
                </c:pt>
                <c:pt idx="5">
                  <c:v>100</c:v>
                </c:pt>
                <c:pt idx="6">
                  <c:v>100</c:v>
                </c:pt>
                <c:pt idx="7">
                  <c:v>200</c:v>
                </c:pt>
                <c:pt idx="8">
                  <c:v>200</c:v>
                </c:pt>
                <c:pt idx="9">
                  <c:v>100</c:v>
                </c:pt>
                <c:pt idx="10">
                  <c:v>100</c:v>
                </c:pt>
                <c:pt idx="11">
                  <c:v>100</c:v>
                </c:pt>
                <c:pt idx="12">
                  <c:v>100</c:v>
                </c:pt>
                <c:pt idx="13">
                  <c:v>100</c:v>
                </c:pt>
              </c:numCache>
            </c:numRef>
          </c:val>
          <c:extLst>
            <c:ext xmlns:c16="http://schemas.microsoft.com/office/drawing/2014/chart" uri="{C3380CC4-5D6E-409C-BE32-E72D297353CC}">
              <c16:uniqueId val="{00000001-5E72-45E2-9F43-C3969CC9AE2F}"/>
            </c:ext>
          </c:extLst>
        </c:ser>
        <c:ser>
          <c:idx val="6"/>
          <c:order val="6"/>
          <c:tx>
            <c:strRef>
              <c:f>'EC-MED'!$B$88</c:f>
              <c:strCache>
                <c:ptCount val="1"/>
                <c:pt idx="0">
                  <c:v>18</c:v>
                </c:pt>
              </c:strCache>
            </c:strRef>
          </c:tx>
          <c:spPr>
            <a:solidFill>
              <a:srgbClr val="5D9732"/>
            </a:solidFill>
            <a:ln>
              <a:noFill/>
            </a:ln>
            <a:effectLst/>
          </c:spPr>
          <c:invertIfNegative val="0"/>
          <c:cat>
            <c:numRef>
              <c:f>'EC-MED'!$C$6:$Q$6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'EC-MED'!$C$88:$Q$88</c:f>
              <c:numCache>
                <c:formatCode>0</c:formatCode>
                <c:ptCount val="14"/>
                <c:pt idx="0">
                  <c:v>0</c:v>
                </c:pt>
                <c:pt idx="1">
                  <c:v>0</c:v>
                </c:pt>
                <c:pt idx="2">
                  <c:v>0</c:v>
                </c:pt>
                <c:pt idx="3">
                  <c:v>0</c:v>
                </c:pt>
                <c:pt idx="4">
                  <c:v>0</c:v>
                </c:pt>
                <c:pt idx="5">
                  <c:v>0</c:v>
                </c:pt>
                <c:pt idx="6">
                  <c:v>0</c:v>
                </c:pt>
                <c:pt idx="7">
                  <c:v>0</c:v>
                </c:pt>
                <c:pt idx="8">
                  <c:v>0</c:v>
                </c:pt>
                <c:pt idx="9">
                  <c:v>83.333333333333329</c:v>
                </c:pt>
                <c:pt idx="10">
                  <c:v>83.333333333333329</c:v>
                </c:pt>
                <c:pt idx="11">
                  <c:v>83.333333333333329</c:v>
                </c:pt>
                <c:pt idx="12">
                  <c:v>83.333333333333329</c:v>
                </c:pt>
                <c:pt idx="13">
                  <c:v>83.333333333333329</c:v>
                </c:pt>
              </c:numCache>
            </c:numRef>
          </c:val>
          <c:extLst>
            <c:ext xmlns:c16="http://schemas.microsoft.com/office/drawing/2014/chart" uri="{C3380CC4-5D6E-409C-BE32-E72D297353CC}">
              <c16:uniqueId val="{00000002-5E72-45E2-9F43-C3969CC9AE2F}"/>
            </c:ext>
          </c:extLst>
        </c:ser>
        <c:dLbls>
          <c:showLegendKey val="0"/>
          <c:showVal val="0"/>
          <c:showCatName val="0"/>
          <c:showSerName val="0"/>
          <c:showPercent val="0"/>
          <c:showBubbleSize val="0"/>
        </c:dLbls>
        <c:gapWidth val="200"/>
        <c:overlap val="100"/>
        <c:axId val="45334935"/>
        <c:axId val="45341167"/>
      </c:barChart>
      <c:lineChart>
        <c:grouping val="standard"/>
        <c:varyColors val="0"/>
        <c:ser>
          <c:idx val="1"/>
          <c:order val="1"/>
          <c:tx>
            <c:strRef>
              <c:f>'EC-MED'!$B$130</c:f>
              <c:strCache>
                <c:ptCount val="1"/>
                <c:pt idx="0">
                  <c:v>CTV</c:v>
                </c:pt>
              </c:strCache>
            </c:strRef>
          </c:tx>
          <c:spPr>
            <a:ln w="28575" cap="rnd">
              <a:solidFill>
                <a:schemeClr val="accent2"/>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'EC-MED'!$C$130:$Q$130</c:f>
              <c:numCache>
                <c:formatCode>0</c:formatCode>
                <c:ptCount val="14"/>
                <c:pt idx="0">
                  <c:v>0</c:v>
                </c:pt>
                <c:pt idx="1">
                  <c:v>6</c:v>
                </c:pt>
                <c:pt idx="2">
                  <c:v>12</c:v>
                </c:pt>
                <c:pt idx="3">
                  <c:v>18</c:v>
                </c:pt>
                <c:pt idx="4">
                  <c:v>23</c:v>
                </c:pt>
                <c:pt idx="5">
                  <c:v>27</c:v>
                </c:pt>
                <c:pt idx="6">
                  <c:v>29</c:v>
                </c:pt>
                <c:pt idx="7">
                  <c:v>33</c:v>
                </c:pt>
                <c:pt idx="8">
                  <c:v>38</c:v>
                </c:pt>
                <c:pt idx="9">
                  <c:v>42</c:v>
                </c:pt>
                <c:pt idx="10">
                  <c:v>46</c:v>
                </c:pt>
                <c:pt idx="11">
                  <c:v>50</c:v>
                </c:pt>
                <c:pt idx="12">
                  <c:v>54</c:v>
                </c:pt>
                <c:pt idx="13">
                  <c:v>58</c:v>
                </c:pt>
              </c:numCache>
            </c:numRef>
          </c:val>
          <c:smooth val="0"/>
          <c:extLst>
            <c:ext xmlns:c16="http://schemas.microsoft.com/office/drawing/2014/chart" uri="{C3380CC4-5D6E-409C-BE32-E72D297353CC}">
              <c16:uniqueId val="{00000003-5E72-45E2-9F43-C3969CC9AE2F}"/>
            </c:ext>
          </c:extLst>
        </c:ser>
        <c:ser>
          <c:idx val="2"/>
          <c:order val="2"/>
          <c:tx>
            <c:strRef>
              <c:f>'EC-MED'!$B$129</c:f>
              <c:strCache>
                <c:ptCount val="1"/>
                <c:pt idx="0">
                  <c:v>feeder Barges</c:v>
                </c:pt>
              </c:strCache>
            </c:strRef>
          </c:tx>
          <c:spPr>
            <a:ln w="28575" cap="rnd">
              <a:solidFill>
                <a:schemeClr val="accent3"/>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'EC-MED'!$C$129:$Q$129</c:f>
              <c:numCache>
                <c:formatCode>0</c:formatCode>
                <c:ptCount val="14"/>
                <c:pt idx="0">
                  <c:v>0</c:v>
                </c:pt>
                <c:pt idx="1">
                  <c:v>4</c:v>
                </c:pt>
                <c:pt idx="2">
                  <c:v>6</c:v>
                </c:pt>
                <c:pt idx="3">
                  <c:v>8</c:v>
                </c:pt>
                <c:pt idx="4">
                  <c:v>8</c:v>
                </c:pt>
                <c:pt idx="5">
                  <c:v>8</c:v>
                </c:pt>
                <c:pt idx="6">
                  <c:v>6</c:v>
                </c:pt>
                <c:pt idx="7">
                  <c:v>8</c:v>
                </c:pt>
                <c:pt idx="8">
                  <c:v>8</c:v>
                </c:pt>
                <c:pt idx="9">
                  <c:v>6</c:v>
                </c:pt>
                <c:pt idx="10">
                  <c:v>6</c:v>
                </c:pt>
                <c:pt idx="11">
                  <c:v>6</c:v>
                </c:pt>
                <c:pt idx="12">
                  <c:v>6</c:v>
                </c:pt>
                <c:pt idx="13">
                  <c:v>6</c:v>
                </c:pt>
              </c:numCache>
            </c:numRef>
          </c:val>
          <c:smooth val="0"/>
          <c:extLst>
            <c:ext xmlns:c16="http://schemas.microsoft.com/office/drawing/2014/chart" uri="{C3380CC4-5D6E-409C-BE32-E72D297353CC}">
              <c16:uniqueId val="{00000004-5E72-45E2-9F43-C3969CC9AE2F}"/>
            </c:ext>
          </c:extLst>
        </c:ser>
        <c:ser>
          <c:idx val="3"/>
          <c:order val="3"/>
          <c:tx>
            <c:v>WTIV</c:v>
          </c:tx>
          <c:spPr>
            <a:ln w="28575" cap="rnd">
              <a:solidFill>
                <a:schemeClr val="accent4"/>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'EC-MED'!$C$126:$Q$126</c:f>
              <c:numCache>
                <c:formatCode>0</c:formatCode>
                <c:ptCount val="14"/>
                <c:pt idx="0">
                  <c:v>0</c:v>
                </c:pt>
                <c:pt idx="1">
                  <c:v>2</c:v>
                </c:pt>
                <c:pt idx="2">
                  <c:v>3</c:v>
                </c:pt>
                <c:pt idx="3">
                  <c:v>4</c:v>
                </c:pt>
                <c:pt idx="4">
                  <c:v>4</c:v>
                </c:pt>
                <c:pt idx="5">
                  <c:v>4</c:v>
                </c:pt>
                <c:pt idx="6">
                  <c:v>3</c:v>
                </c:pt>
                <c:pt idx="7">
                  <c:v>4</c:v>
                </c:pt>
                <c:pt idx="8">
                  <c:v>4</c:v>
                </c:pt>
                <c:pt idx="9">
                  <c:v>3</c:v>
                </c:pt>
                <c:pt idx="10">
                  <c:v>3</c:v>
                </c:pt>
                <c:pt idx="11">
                  <c:v>3</c:v>
                </c:pt>
                <c:pt idx="12">
                  <c:v>3</c:v>
                </c:pt>
                <c:pt idx="13">
                  <c:v>3</c:v>
                </c:pt>
              </c:numCache>
            </c:numRef>
          </c:val>
          <c:smooth val="0"/>
          <c:extLst>
            <c:ext xmlns:c16="http://schemas.microsoft.com/office/drawing/2014/chart" uri="{C3380CC4-5D6E-409C-BE32-E72D297353CC}">
              <c16:uniqueId val="{00000005-5E72-45E2-9F43-C3969CC9AE2F}"/>
            </c:ext>
          </c:extLst>
        </c:ser>
        <c:ser>
          <c:idx val="4"/>
          <c:order val="4"/>
          <c:tx>
            <c:strRef>
              <c:f>'EC-MED'!$B$132</c:f>
              <c:strCache>
                <c:ptCount val="1"/>
                <c:pt idx="0">
                  <c:v>CLV</c:v>
                </c:pt>
              </c:strCache>
            </c:strRef>
          </c:tx>
          <c:spPr>
            <a:ln w="38100" cap="rnd">
              <a:solidFill>
                <a:schemeClr val="accent5"/>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'EC-MED'!$C$132:$Q$132</c:f>
              <c:numCache>
                <c:formatCode>0</c:formatCode>
                <c:ptCount val="14"/>
                <c:pt idx="0">
                  <c:v>0</c:v>
                </c:pt>
                <c:pt idx="1">
                  <c:v>1</c:v>
                </c:pt>
                <c:pt idx="2">
                  <c:v>2</c:v>
                </c:pt>
                <c:pt idx="3">
                  <c:v>2</c:v>
                </c:pt>
                <c:pt idx="4">
                  <c:v>2</c:v>
                </c:pt>
                <c:pt idx="5">
                  <c:v>2</c:v>
                </c:pt>
                <c:pt idx="6">
                  <c:v>2</c:v>
                </c:pt>
                <c:pt idx="7">
                  <c:v>3</c:v>
                </c:pt>
                <c:pt idx="8">
                  <c:v>3</c:v>
                </c:pt>
                <c:pt idx="9">
                  <c:v>2</c:v>
                </c:pt>
                <c:pt idx="10">
                  <c:v>3</c:v>
                </c:pt>
                <c:pt idx="11">
                  <c:v>3</c:v>
                </c:pt>
                <c:pt idx="12">
                  <c:v>3</c:v>
                </c:pt>
                <c:pt idx="13">
                  <c:v>3</c:v>
                </c:pt>
              </c:numCache>
            </c:numRef>
          </c:val>
          <c:smooth val="0"/>
          <c:extLst>
            <c:ext xmlns:c16="http://schemas.microsoft.com/office/drawing/2014/chart" uri="{C3380CC4-5D6E-409C-BE32-E72D297353CC}">
              <c16:uniqueId val="{00000006-5E72-45E2-9F43-C3969CC9AE2F}"/>
            </c:ext>
          </c:extLst>
        </c:ser>
        <c:ser>
          <c:idx val="7"/>
          <c:order val="7"/>
          <c:tx>
            <c:strRef>
              <c:f>'EC-MED'!$B$131</c:f>
              <c:strCache>
                <c:ptCount val="1"/>
                <c:pt idx="0">
                  <c:v>SOV</c:v>
                </c:pt>
              </c:strCache>
            </c:strRef>
          </c:tx>
          <c:spPr>
            <a:ln w="28575" cap="rnd">
              <a:solidFill>
                <a:schemeClr val="accent2">
                  <a:lumMod val="60000"/>
                </a:schemeClr>
              </a:solidFill>
              <a:round/>
            </a:ln>
            <a:effectLst/>
          </c:spPr>
          <c:marker>
            <c:symbol val="none"/>
          </c:marker>
          <c:val>
            <c:numRef>
              <c:f>'EC-MED'!$C$131:$Q$131</c:f>
              <c:numCache>
                <c:formatCode>0</c:formatCode>
                <c:ptCount val="14"/>
                <c:pt idx="0">
                  <c:v>0</c:v>
                </c:pt>
                <c:pt idx="1">
                  <c:v>1</c:v>
                </c:pt>
                <c:pt idx="2">
                  <c:v>1</c:v>
                </c:pt>
                <c:pt idx="3">
                  <c:v>2</c:v>
                </c:pt>
                <c:pt idx="4">
                  <c:v>4</c:v>
                </c:pt>
                <c:pt idx="5">
                  <c:v>5</c:v>
                </c:pt>
                <c:pt idx="6">
                  <c:v>5</c:v>
                </c:pt>
                <c:pt idx="7">
                  <c:v>6</c:v>
                </c:pt>
                <c:pt idx="8">
                  <c:v>7</c:v>
                </c:pt>
                <c:pt idx="9">
                  <c:v>8</c:v>
                </c:pt>
                <c:pt idx="10">
                  <c:v>9</c:v>
                </c:pt>
                <c:pt idx="11">
                  <c:v>10</c:v>
                </c:pt>
                <c:pt idx="12">
                  <c:v>11</c:v>
                </c:pt>
                <c:pt idx="13">
                  <c:v>12</c:v>
                </c:pt>
              </c:numCache>
            </c:numRef>
          </c:val>
          <c:smooth val="0"/>
          <c:extLst>
            <c:ext xmlns:c16="http://schemas.microsoft.com/office/drawing/2014/chart" uri="{C3380CC4-5D6E-409C-BE32-E72D297353CC}">
              <c16:uniqueId val="{00000001-1A80-4E17-B1A3-D0D495F23211}"/>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Vessels Required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minorUnit val="5"/>
      </c:valAx>
      <c:valAx>
        <c:axId val="45341167"/>
        <c:scaling>
          <c:orientation val="minMax"/>
          <c:max val="400"/>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 Turbines Installed </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5334935"/>
        <c:crosses val="max"/>
        <c:crossBetween val="between"/>
      </c:valAx>
      <c:catAx>
        <c:axId val="45334935"/>
        <c:scaling>
          <c:orientation val="minMax"/>
        </c:scaling>
        <c:delete val="1"/>
        <c:axPos val="b"/>
        <c:numFmt formatCode="General" sourceLinked="1"/>
        <c:majorTickMark val="out"/>
        <c:minorTickMark val="none"/>
        <c:tickLblPos val="nextTo"/>
        <c:crossAx val="45341167"/>
        <c:crosses val="autoZero"/>
        <c:auto val="1"/>
        <c:lblAlgn val="ctr"/>
        <c:lblOffset val="100"/>
        <c:noMultiLvlLbl val="0"/>
      </c:catAx>
      <c:spPr>
        <a:noFill/>
        <a:ln>
          <a:noFill/>
        </a:ln>
        <a:effectLst/>
      </c:spPr>
    </c:plotArea>
    <c:legend>
      <c:legendPos val="b"/>
      <c:layout>
        <c:manualLayout>
          <c:xMode val="edge"/>
          <c:yMode val="edge"/>
          <c:x val="0.10195364966059496"/>
          <c:y val="9.4921392701569532E-2"/>
          <c:w val="0.55737744207709883"/>
          <c:h val="4.5856025516444916E-2"/>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nchor="t" anchorCtr="1"/>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Total MW and Projects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462671550043816E-2"/>
          <c:y val="7.5282334926584052E-2"/>
          <c:w val="0.84749648151120716"/>
          <c:h val="0.76811631697945759"/>
        </c:manualLayout>
      </c:layout>
      <c:barChart>
        <c:barDir val="col"/>
        <c:grouping val="clustered"/>
        <c:varyColors val="0"/>
        <c:ser>
          <c:idx val="0"/>
          <c:order val="0"/>
          <c:tx>
            <c:strRef>
              <c:f>'EC-MED'!$B$83</c:f>
              <c:strCache>
                <c:ptCount val="1"/>
                <c:pt idx="0">
                  <c:v>Installed MW</c:v>
                </c:pt>
              </c:strCache>
            </c:strRef>
          </c:tx>
          <c:spPr>
            <a:solidFill>
              <a:srgbClr val="0079C2"/>
            </a:solidFill>
            <a:ln>
              <a:noFill/>
            </a:ln>
            <a:effectLst/>
          </c:spPr>
          <c:invertIfNegative val="0"/>
          <c:cat>
            <c:numRef>
              <c:f>'EC-MED'!$C$6:$Q$6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'EC-MED'!$C$83:$Q$83</c:f>
              <c:numCache>
                <c:formatCode>0</c:formatCode>
                <c:ptCount val="14"/>
                <c:pt idx="0">
                  <c:v>0</c:v>
                </c:pt>
                <c:pt idx="1">
                  <c:v>513.23076923076928</c:v>
                </c:pt>
                <c:pt idx="2">
                  <c:v>1815</c:v>
                </c:pt>
                <c:pt idx="3">
                  <c:v>2490</c:v>
                </c:pt>
                <c:pt idx="4">
                  <c:v>3000</c:v>
                </c:pt>
                <c:pt idx="5">
                  <c:v>3000</c:v>
                </c:pt>
                <c:pt idx="6">
                  <c:v>1799.6923076923081</c:v>
                </c:pt>
                <c:pt idx="7">
                  <c:v>3000</c:v>
                </c:pt>
                <c:pt idx="8">
                  <c:v>3000</c:v>
                </c:pt>
                <c:pt idx="9">
                  <c:v>3000</c:v>
                </c:pt>
                <c:pt idx="10">
                  <c:v>3000</c:v>
                </c:pt>
                <c:pt idx="11">
                  <c:v>3000</c:v>
                </c:pt>
                <c:pt idx="12">
                  <c:v>3000</c:v>
                </c:pt>
                <c:pt idx="13">
                  <c:v>3000</c:v>
                </c:pt>
              </c:numCache>
            </c:numRef>
          </c:val>
          <c:extLst>
            <c:ext xmlns:c16="http://schemas.microsoft.com/office/drawing/2014/chart" uri="{C3380CC4-5D6E-409C-BE32-E72D297353CC}">
              <c16:uniqueId val="{00000000-C51D-48C9-874B-7CE1C7D517D3}"/>
            </c:ext>
          </c:extLst>
        </c:ser>
        <c:dLbls>
          <c:showLegendKey val="0"/>
          <c:showVal val="0"/>
          <c:showCatName val="0"/>
          <c:showSerName val="0"/>
          <c:showPercent val="0"/>
          <c:showBubbleSize val="0"/>
        </c:dLbls>
        <c:gapWidth val="200"/>
        <c:overlap val="100"/>
        <c:axId val="1105198224"/>
        <c:axId val="1105196256"/>
      </c:barChart>
      <c:lineChart>
        <c:grouping val="standard"/>
        <c:varyColors val="0"/>
        <c:ser>
          <c:idx val="4"/>
          <c:order val="1"/>
          <c:tx>
            <c:strRef>
              <c:f>'EC-MED'!$B$84</c:f>
              <c:strCache>
                <c:ptCount val="1"/>
                <c:pt idx="0">
                  <c:v>Number of Projects</c:v>
                </c:pt>
              </c:strCache>
            </c:strRef>
          </c:tx>
          <c:spPr>
            <a:ln w="38100" cap="rnd">
              <a:solidFill>
                <a:srgbClr val="933C06"/>
              </a:solidFill>
              <a:round/>
            </a:ln>
            <a:effectLst/>
          </c:spPr>
          <c:marker>
            <c:symbol val="none"/>
          </c:marker>
          <c:cat>
            <c:numRef>
              <c:f>'EC-MED'!$C$6:$Q$6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'EC-MED'!$C$84:$Q$84</c:f>
              <c:numCache>
                <c:formatCode>0</c:formatCode>
                <c:ptCount val="14"/>
                <c:pt idx="0">
                  <c:v>0</c:v>
                </c:pt>
                <c:pt idx="1">
                  <c:v>2</c:v>
                </c:pt>
                <c:pt idx="2">
                  <c:v>3</c:v>
                </c:pt>
                <c:pt idx="3">
                  <c:v>4</c:v>
                </c:pt>
                <c:pt idx="4">
                  <c:v>4</c:v>
                </c:pt>
                <c:pt idx="5">
                  <c:v>4</c:v>
                </c:pt>
                <c:pt idx="6">
                  <c:v>3</c:v>
                </c:pt>
                <c:pt idx="7">
                  <c:v>4</c:v>
                </c:pt>
                <c:pt idx="8">
                  <c:v>4</c:v>
                </c:pt>
                <c:pt idx="9">
                  <c:v>4</c:v>
                </c:pt>
                <c:pt idx="10">
                  <c:v>4</c:v>
                </c:pt>
                <c:pt idx="11">
                  <c:v>4</c:v>
                </c:pt>
                <c:pt idx="12">
                  <c:v>4</c:v>
                </c:pt>
                <c:pt idx="13">
                  <c:v>4</c:v>
                </c:pt>
              </c:numCache>
            </c:numRef>
          </c:val>
          <c:smooth val="0"/>
          <c:extLst>
            <c:ext xmlns:c16="http://schemas.microsoft.com/office/drawing/2014/chart" uri="{C3380CC4-5D6E-409C-BE32-E72D297353CC}">
              <c16:uniqueId val="{00000001-C51D-48C9-874B-7CE1C7D517D3}"/>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2"/>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Projects Constructed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105196256"/>
        <c:scaling>
          <c:orientation val="minMax"/>
          <c:max val="6000"/>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MW per year</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05198224"/>
        <c:crosses val="max"/>
        <c:crossBetween val="between"/>
      </c:valAx>
      <c:catAx>
        <c:axId val="1105198224"/>
        <c:scaling>
          <c:orientation val="minMax"/>
        </c:scaling>
        <c:delete val="1"/>
        <c:axPos val="b"/>
        <c:numFmt formatCode="General" sourceLinked="1"/>
        <c:majorTickMark val="out"/>
        <c:minorTickMark val="none"/>
        <c:tickLblPos val="nextTo"/>
        <c:crossAx val="1105196256"/>
        <c:crosses val="autoZero"/>
        <c:auto val="1"/>
        <c:lblAlgn val="ctr"/>
        <c:lblOffset val="100"/>
        <c:noMultiLvlLbl val="0"/>
      </c:catAx>
      <c:spPr>
        <a:noFill/>
        <a:ln>
          <a:noFill/>
        </a:ln>
        <a:effectLst/>
      </c:spPr>
    </c:plotArea>
    <c:legend>
      <c:legendPos val="b"/>
      <c:layout>
        <c:manualLayout>
          <c:xMode val="edge"/>
          <c:yMode val="edge"/>
          <c:x val="9.9358774265480274E-2"/>
          <c:y val="9.9731239444338426E-2"/>
          <c:w val="0.16406096444866217"/>
          <c:h val="0.1893341143365127"/>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Turbines Transported/Stored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2623337265654374E-2"/>
          <c:y val="7.5282334926584052E-2"/>
          <c:w val="0.80910229985705562"/>
          <c:h val="0.75701402721993338"/>
        </c:manualLayout>
      </c:layout>
      <c:barChart>
        <c:barDir val="col"/>
        <c:grouping val="stacked"/>
        <c:varyColors val="0"/>
        <c:ser>
          <c:idx val="1"/>
          <c:order val="0"/>
          <c:tx>
            <c:strRef>
              <c:f>'EC-MED'!$B$46</c:f>
              <c:strCache>
                <c:ptCount val="1"/>
                <c:pt idx="0">
                  <c:v>12</c:v>
                </c:pt>
              </c:strCache>
            </c:strRef>
          </c:tx>
          <c:spPr>
            <a:solidFill>
              <a:srgbClr val="0079C2"/>
            </a:solidFill>
            <a:ln>
              <a:noFill/>
            </a:ln>
            <a:effectLst/>
          </c:spPr>
          <c:invertIfNegative val="0"/>
          <c:cat>
            <c:numRef>
              <c:f>'EC-MED'!$C$6:$Q$6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'EC-MED'!$C$46:$Q$46</c:f>
              <c:numCache>
                <c:formatCode>0</c:formatCode>
                <c:ptCount val="14"/>
                <c:pt idx="0">
                  <c:v>42.769230769230774</c:v>
                </c:pt>
                <c:pt idx="1">
                  <c:v>110</c:v>
                </c:pt>
                <c:pt idx="2">
                  <c:v>125</c:v>
                </c:pt>
                <c:pt idx="3">
                  <c:v>125</c:v>
                </c:pt>
                <c:pt idx="4">
                  <c:v>125</c:v>
                </c:pt>
                <c:pt idx="5">
                  <c:v>24.974358974359006</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A311-4D4B-8BF0-324568E5FC0B}"/>
            </c:ext>
          </c:extLst>
        </c:ser>
        <c:ser>
          <c:idx val="2"/>
          <c:order val="1"/>
          <c:tx>
            <c:strRef>
              <c:f>'EC-MED'!$B$47</c:f>
              <c:strCache>
                <c:ptCount val="1"/>
                <c:pt idx="0">
                  <c:v>15</c:v>
                </c:pt>
              </c:strCache>
            </c:strRef>
          </c:tx>
          <c:spPr>
            <a:solidFill>
              <a:srgbClr val="5E6A71"/>
            </a:solidFill>
            <a:ln>
              <a:noFill/>
            </a:ln>
            <a:effectLst/>
          </c:spPr>
          <c:invertIfNegative val="0"/>
          <c:cat>
            <c:numRef>
              <c:f>'EC-MED'!$C$6:$Q$6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'EC-MED'!$C$47:$Q$47</c:f>
              <c:numCache>
                <c:formatCode>0</c:formatCode>
                <c:ptCount val="14"/>
                <c:pt idx="0">
                  <c:v>0</c:v>
                </c:pt>
                <c:pt idx="1">
                  <c:v>33</c:v>
                </c:pt>
                <c:pt idx="2">
                  <c:v>66</c:v>
                </c:pt>
                <c:pt idx="3">
                  <c:v>100</c:v>
                </c:pt>
                <c:pt idx="4">
                  <c:v>100</c:v>
                </c:pt>
                <c:pt idx="5">
                  <c:v>100</c:v>
                </c:pt>
                <c:pt idx="6">
                  <c:v>200</c:v>
                </c:pt>
                <c:pt idx="7">
                  <c:v>200</c:v>
                </c:pt>
                <c:pt idx="8">
                  <c:v>100</c:v>
                </c:pt>
                <c:pt idx="9">
                  <c:v>100</c:v>
                </c:pt>
                <c:pt idx="10">
                  <c:v>100</c:v>
                </c:pt>
                <c:pt idx="11">
                  <c:v>100</c:v>
                </c:pt>
                <c:pt idx="12">
                  <c:v>100</c:v>
                </c:pt>
              </c:numCache>
            </c:numRef>
          </c:val>
          <c:extLst>
            <c:ext xmlns:c16="http://schemas.microsoft.com/office/drawing/2014/chart" uri="{C3380CC4-5D6E-409C-BE32-E72D297353CC}">
              <c16:uniqueId val="{00000001-A311-4D4B-8BF0-324568E5FC0B}"/>
            </c:ext>
          </c:extLst>
        </c:ser>
        <c:ser>
          <c:idx val="3"/>
          <c:order val="2"/>
          <c:tx>
            <c:strRef>
              <c:f>'EC-MED'!$B$48</c:f>
              <c:strCache>
                <c:ptCount val="1"/>
                <c:pt idx="0">
                  <c:v>18</c:v>
                </c:pt>
              </c:strCache>
            </c:strRef>
          </c:tx>
          <c:spPr>
            <a:solidFill>
              <a:srgbClr val="5D9732"/>
            </a:solidFill>
            <a:ln>
              <a:noFill/>
            </a:ln>
            <a:effectLst/>
          </c:spPr>
          <c:invertIfNegative val="0"/>
          <c:cat>
            <c:numRef>
              <c:f>'EC-MED'!$C$6:$Q$6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'EC-MED'!$C$48:$Q$48</c:f>
              <c:numCache>
                <c:formatCode>0</c:formatCode>
                <c:ptCount val="14"/>
                <c:pt idx="0">
                  <c:v>0</c:v>
                </c:pt>
                <c:pt idx="1">
                  <c:v>0</c:v>
                </c:pt>
                <c:pt idx="2">
                  <c:v>0</c:v>
                </c:pt>
                <c:pt idx="3">
                  <c:v>0</c:v>
                </c:pt>
                <c:pt idx="4">
                  <c:v>0</c:v>
                </c:pt>
                <c:pt idx="5">
                  <c:v>0</c:v>
                </c:pt>
                <c:pt idx="6">
                  <c:v>0</c:v>
                </c:pt>
                <c:pt idx="7">
                  <c:v>0</c:v>
                </c:pt>
                <c:pt idx="8">
                  <c:v>83.333333333333329</c:v>
                </c:pt>
                <c:pt idx="9">
                  <c:v>83.333333333333329</c:v>
                </c:pt>
                <c:pt idx="10">
                  <c:v>83.333333333333329</c:v>
                </c:pt>
                <c:pt idx="11">
                  <c:v>83.333333333333329</c:v>
                </c:pt>
                <c:pt idx="12">
                  <c:v>83.333333333333329</c:v>
                </c:pt>
              </c:numCache>
            </c:numRef>
          </c:val>
          <c:extLst>
            <c:ext xmlns:c16="http://schemas.microsoft.com/office/drawing/2014/chart" uri="{C3380CC4-5D6E-409C-BE32-E72D297353CC}">
              <c16:uniqueId val="{00000002-A311-4D4B-8BF0-324568E5FC0B}"/>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Transportation/Storage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Turbines Stored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w="9525">
          <a:solidFill>
            <a:srgbClr val="3D6321"/>
          </a:solid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a:t>Turbine</a:t>
            </a:r>
            <a:r>
              <a:rPr lang="en-US" baseline="0"/>
              <a:t> Orders</a:t>
            </a:r>
            <a:endParaRPr lang="en-US"/>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909255046736566E-2"/>
          <c:y val="7.5282334926584052E-2"/>
          <c:w val="0.8200706163901833"/>
          <c:h val="0.75439490302403034"/>
        </c:manualLayout>
      </c:layout>
      <c:barChart>
        <c:barDir val="col"/>
        <c:grouping val="stacked"/>
        <c:varyColors val="0"/>
        <c:ser>
          <c:idx val="1"/>
          <c:order val="0"/>
          <c:tx>
            <c:strRef>
              <c:f>'EC-MED'!$B$10</c:f>
              <c:strCache>
                <c:ptCount val="1"/>
                <c:pt idx="0">
                  <c:v>12</c:v>
                </c:pt>
              </c:strCache>
            </c:strRef>
          </c:tx>
          <c:spPr>
            <a:solidFill>
              <a:srgbClr val="0079C2"/>
            </a:solidFill>
            <a:ln>
              <a:noFill/>
            </a:ln>
            <a:effectLst/>
          </c:spPr>
          <c:invertIfNegative val="0"/>
          <c:cat>
            <c:numRef>
              <c:f>'EC-MED'!$C$6:$Q$6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'EC-MED'!$C$10:$Q$10</c:f>
              <c:numCache>
                <c:formatCode>0</c:formatCode>
                <c:ptCount val="14"/>
                <c:pt idx="0">
                  <c:v>110</c:v>
                </c:pt>
                <c:pt idx="1">
                  <c:v>125</c:v>
                </c:pt>
                <c:pt idx="2">
                  <c:v>125</c:v>
                </c:pt>
                <c:pt idx="3">
                  <c:v>125</c:v>
                </c:pt>
                <c:pt idx="4">
                  <c:v>24.974358974359006</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D385-40D4-B709-E988051B2EF2}"/>
            </c:ext>
          </c:extLst>
        </c:ser>
        <c:ser>
          <c:idx val="2"/>
          <c:order val="1"/>
          <c:tx>
            <c:strRef>
              <c:f>'EC-MED'!$B$11</c:f>
              <c:strCache>
                <c:ptCount val="1"/>
                <c:pt idx="0">
                  <c:v>15</c:v>
                </c:pt>
              </c:strCache>
            </c:strRef>
          </c:tx>
          <c:spPr>
            <a:solidFill>
              <a:srgbClr val="5E6A71"/>
            </a:solidFill>
            <a:ln>
              <a:noFill/>
            </a:ln>
            <a:effectLst/>
          </c:spPr>
          <c:invertIfNegative val="0"/>
          <c:cat>
            <c:numRef>
              <c:f>'EC-MED'!$C$6:$Q$6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'EC-MED'!$C$11:$Q$11</c:f>
              <c:numCache>
                <c:formatCode>0</c:formatCode>
                <c:ptCount val="14"/>
                <c:pt idx="0">
                  <c:v>33</c:v>
                </c:pt>
                <c:pt idx="1">
                  <c:v>66</c:v>
                </c:pt>
                <c:pt idx="2">
                  <c:v>100</c:v>
                </c:pt>
                <c:pt idx="3">
                  <c:v>100</c:v>
                </c:pt>
                <c:pt idx="4">
                  <c:v>100</c:v>
                </c:pt>
                <c:pt idx="5">
                  <c:v>200</c:v>
                </c:pt>
                <c:pt idx="6">
                  <c:v>200</c:v>
                </c:pt>
                <c:pt idx="7">
                  <c:v>100</c:v>
                </c:pt>
                <c:pt idx="8">
                  <c:v>100</c:v>
                </c:pt>
                <c:pt idx="9">
                  <c:v>100</c:v>
                </c:pt>
                <c:pt idx="10">
                  <c:v>100</c:v>
                </c:pt>
                <c:pt idx="11">
                  <c:v>100</c:v>
                </c:pt>
              </c:numCache>
            </c:numRef>
          </c:val>
          <c:extLst>
            <c:ext xmlns:c16="http://schemas.microsoft.com/office/drawing/2014/chart" uri="{C3380CC4-5D6E-409C-BE32-E72D297353CC}">
              <c16:uniqueId val="{00000001-D385-40D4-B709-E988051B2EF2}"/>
            </c:ext>
          </c:extLst>
        </c:ser>
        <c:ser>
          <c:idx val="3"/>
          <c:order val="2"/>
          <c:tx>
            <c:strRef>
              <c:f>'EC-MED'!$B$12</c:f>
              <c:strCache>
                <c:ptCount val="1"/>
                <c:pt idx="0">
                  <c:v>18</c:v>
                </c:pt>
              </c:strCache>
            </c:strRef>
          </c:tx>
          <c:spPr>
            <a:solidFill>
              <a:srgbClr val="5D9732"/>
            </a:solidFill>
            <a:ln>
              <a:noFill/>
            </a:ln>
            <a:effectLst/>
          </c:spPr>
          <c:invertIfNegative val="0"/>
          <c:cat>
            <c:numRef>
              <c:f>'EC-MED'!$C$6:$Q$6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'EC-MED'!$C$12:$Q$12</c:f>
              <c:numCache>
                <c:formatCode>0</c:formatCode>
                <c:ptCount val="14"/>
                <c:pt idx="0">
                  <c:v>0</c:v>
                </c:pt>
                <c:pt idx="1">
                  <c:v>0</c:v>
                </c:pt>
                <c:pt idx="2">
                  <c:v>0</c:v>
                </c:pt>
                <c:pt idx="3">
                  <c:v>0</c:v>
                </c:pt>
                <c:pt idx="4">
                  <c:v>0</c:v>
                </c:pt>
                <c:pt idx="5">
                  <c:v>0</c:v>
                </c:pt>
                <c:pt idx="6">
                  <c:v>0</c:v>
                </c:pt>
                <c:pt idx="7">
                  <c:v>83.333333333333329</c:v>
                </c:pt>
                <c:pt idx="8">
                  <c:v>83.333333333333329</c:v>
                </c:pt>
                <c:pt idx="9">
                  <c:v>83.333333333333329</c:v>
                </c:pt>
                <c:pt idx="10">
                  <c:v>83.333333333333329</c:v>
                </c:pt>
                <c:pt idx="11">
                  <c:v>83.333333333333329</c:v>
                </c:pt>
              </c:numCache>
            </c:numRef>
          </c:val>
          <c:extLst>
            <c:ext xmlns:c16="http://schemas.microsoft.com/office/drawing/2014/chart" uri="{C3380CC4-5D6E-409C-BE32-E72D297353CC}">
              <c16:uniqueId val="{00000002-D385-40D4-B709-E988051B2EF2}"/>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Procurement/Manufacturing</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Turbines Ordered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baseline="0"/>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Vessels Required and Turbines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417250198291675E-2"/>
          <c:y val="7.5282334926584052E-2"/>
          <c:w val="0.82771678647263758"/>
          <c:h val="0.79270271721152119"/>
        </c:manualLayout>
      </c:layout>
      <c:barChart>
        <c:barDir val="col"/>
        <c:grouping val="stacked"/>
        <c:varyColors val="0"/>
        <c:ser>
          <c:idx val="0"/>
          <c:order val="0"/>
          <c:tx>
            <c:strRef>
              <c:f>'EC-HIGH'!$B$86</c:f>
              <c:strCache>
                <c:ptCount val="1"/>
                <c:pt idx="0">
                  <c:v>12</c:v>
                </c:pt>
              </c:strCache>
            </c:strRef>
          </c:tx>
          <c:spPr>
            <a:solidFill>
              <a:srgbClr val="0079C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'EC-HIGH'!$C$86:$Q$86</c:f>
              <c:numCache>
                <c:formatCode>0</c:formatCode>
                <c:ptCount val="14"/>
                <c:pt idx="0">
                  <c:v>0</c:v>
                </c:pt>
                <c:pt idx="1">
                  <c:v>42.769230769230774</c:v>
                </c:pt>
                <c:pt idx="2">
                  <c:v>55</c:v>
                </c:pt>
                <c:pt idx="3">
                  <c:v>83.333333333333329</c:v>
                </c:pt>
                <c:pt idx="4">
                  <c:v>83.333333333333329</c:v>
                </c:pt>
                <c:pt idx="5">
                  <c:v>83.333333333333329</c:v>
                </c:pt>
                <c:pt idx="6">
                  <c:v>83.333333333333329</c:v>
                </c:pt>
                <c:pt idx="7">
                  <c:v>83.333333333333329</c:v>
                </c:pt>
                <c:pt idx="8">
                  <c:v>38.307692307692378</c:v>
                </c:pt>
                <c:pt idx="9">
                  <c:v>0</c:v>
                </c:pt>
                <c:pt idx="10">
                  <c:v>0</c:v>
                </c:pt>
                <c:pt idx="11">
                  <c:v>0</c:v>
                </c:pt>
                <c:pt idx="12">
                  <c:v>0</c:v>
                </c:pt>
                <c:pt idx="13">
                  <c:v>0</c:v>
                </c:pt>
              </c:numCache>
            </c:numRef>
          </c:val>
          <c:extLst>
            <c:ext xmlns:c16="http://schemas.microsoft.com/office/drawing/2014/chart" uri="{C3380CC4-5D6E-409C-BE32-E72D297353CC}">
              <c16:uniqueId val="{00000000-712E-4E2B-9A08-289284884A6F}"/>
            </c:ext>
          </c:extLst>
        </c:ser>
        <c:ser>
          <c:idx val="5"/>
          <c:order val="5"/>
          <c:tx>
            <c:strRef>
              <c:f>'EC-HIGH'!$B$87</c:f>
              <c:strCache>
                <c:ptCount val="1"/>
                <c:pt idx="0">
                  <c:v>15</c:v>
                </c:pt>
              </c:strCache>
            </c:strRef>
          </c:tx>
          <c:spPr>
            <a:solidFill>
              <a:srgbClr val="5E6A71"/>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'EC-HIGH'!$C$87:$Q$87</c:f>
              <c:numCache>
                <c:formatCode>0</c:formatCode>
                <c:ptCount val="14"/>
                <c:pt idx="0">
                  <c:v>0</c:v>
                </c:pt>
                <c:pt idx="1">
                  <c:v>0</c:v>
                </c:pt>
                <c:pt idx="2">
                  <c:v>66.666666666666671</c:v>
                </c:pt>
                <c:pt idx="3">
                  <c:v>66.666666666666671</c:v>
                </c:pt>
                <c:pt idx="4">
                  <c:v>66.666666666666671</c:v>
                </c:pt>
                <c:pt idx="5">
                  <c:v>66.666666666666671</c:v>
                </c:pt>
                <c:pt idx="6">
                  <c:v>66.666666666666671</c:v>
                </c:pt>
                <c:pt idx="7">
                  <c:v>66.666666666666671</c:v>
                </c:pt>
                <c:pt idx="8">
                  <c:v>66.666666666666671</c:v>
                </c:pt>
                <c:pt idx="9">
                  <c:v>66.666666666666671</c:v>
                </c:pt>
                <c:pt idx="10">
                  <c:v>66.666666666666671</c:v>
                </c:pt>
                <c:pt idx="11">
                  <c:v>66.666666666666671</c:v>
                </c:pt>
                <c:pt idx="12">
                  <c:v>66.666666666666671</c:v>
                </c:pt>
                <c:pt idx="13">
                  <c:v>66.666666666666671</c:v>
                </c:pt>
              </c:numCache>
            </c:numRef>
          </c:val>
          <c:extLst>
            <c:ext xmlns:c16="http://schemas.microsoft.com/office/drawing/2014/chart" uri="{C3380CC4-5D6E-409C-BE32-E72D297353CC}">
              <c16:uniqueId val="{00000001-712E-4E2B-9A08-289284884A6F}"/>
            </c:ext>
          </c:extLst>
        </c:ser>
        <c:ser>
          <c:idx val="6"/>
          <c:order val="6"/>
          <c:tx>
            <c:strRef>
              <c:f>'EC-HIGH'!$B$88</c:f>
              <c:strCache>
                <c:ptCount val="1"/>
                <c:pt idx="0">
                  <c:v>18</c:v>
                </c:pt>
              </c:strCache>
            </c:strRef>
          </c:tx>
          <c:spPr>
            <a:solidFill>
              <a:srgbClr val="5D973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'EC-HIGH'!$C$88:$Q$88</c:f>
              <c:numCache>
                <c:formatCode>0</c:formatCode>
                <c:ptCount val="14"/>
                <c:pt idx="0">
                  <c:v>0</c:v>
                </c:pt>
                <c:pt idx="1">
                  <c:v>0</c:v>
                </c:pt>
                <c:pt idx="2">
                  <c:v>0</c:v>
                </c:pt>
                <c:pt idx="3">
                  <c:v>0</c:v>
                </c:pt>
                <c:pt idx="4">
                  <c:v>0</c:v>
                </c:pt>
                <c:pt idx="5">
                  <c:v>0</c:v>
                </c:pt>
                <c:pt idx="6">
                  <c:v>0</c:v>
                </c:pt>
                <c:pt idx="7">
                  <c:v>0</c:v>
                </c:pt>
                <c:pt idx="8">
                  <c:v>0</c:v>
                </c:pt>
                <c:pt idx="9">
                  <c:v>55.555555555555557</c:v>
                </c:pt>
                <c:pt idx="10">
                  <c:v>55.555555555555557</c:v>
                </c:pt>
                <c:pt idx="11">
                  <c:v>55.555555555555557</c:v>
                </c:pt>
                <c:pt idx="12">
                  <c:v>55.555555555555557</c:v>
                </c:pt>
                <c:pt idx="13">
                  <c:v>55.555555555555557</c:v>
                </c:pt>
              </c:numCache>
            </c:numRef>
          </c:val>
          <c:extLst>
            <c:ext xmlns:c16="http://schemas.microsoft.com/office/drawing/2014/chart" uri="{C3380CC4-5D6E-409C-BE32-E72D297353CC}">
              <c16:uniqueId val="{00000002-712E-4E2B-9A08-289284884A6F}"/>
            </c:ext>
          </c:extLst>
        </c:ser>
        <c:dLbls>
          <c:showLegendKey val="0"/>
          <c:showVal val="0"/>
          <c:showCatName val="0"/>
          <c:showSerName val="0"/>
          <c:showPercent val="0"/>
          <c:showBubbleSize val="0"/>
        </c:dLbls>
        <c:gapWidth val="200"/>
        <c:overlap val="100"/>
        <c:axId val="45334935"/>
        <c:axId val="45341167"/>
      </c:barChart>
      <c:lineChart>
        <c:grouping val="standard"/>
        <c:varyColors val="0"/>
        <c:ser>
          <c:idx val="1"/>
          <c:order val="1"/>
          <c:tx>
            <c:strRef>
              <c:f>'EC-HIGH'!$B$130</c:f>
              <c:strCache>
                <c:ptCount val="1"/>
                <c:pt idx="0">
                  <c:v>CTV</c:v>
                </c:pt>
              </c:strCache>
            </c:strRef>
          </c:tx>
          <c:spPr>
            <a:ln w="28575" cap="rnd">
              <a:solidFill>
                <a:schemeClr val="accent2"/>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'EC-HIGH'!$C$130:$Q$130</c:f>
              <c:numCache>
                <c:formatCode>0</c:formatCode>
                <c:ptCount val="14"/>
                <c:pt idx="0">
                  <c:v>0</c:v>
                </c:pt>
                <c:pt idx="1">
                  <c:v>6</c:v>
                </c:pt>
                <c:pt idx="2">
                  <c:v>12</c:v>
                </c:pt>
                <c:pt idx="3">
                  <c:v>16</c:v>
                </c:pt>
                <c:pt idx="4">
                  <c:v>19</c:v>
                </c:pt>
                <c:pt idx="5">
                  <c:v>22</c:v>
                </c:pt>
                <c:pt idx="6">
                  <c:v>25</c:v>
                </c:pt>
                <c:pt idx="7">
                  <c:v>28</c:v>
                </c:pt>
                <c:pt idx="8">
                  <c:v>29</c:v>
                </c:pt>
                <c:pt idx="9">
                  <c:v>32</c:v>
                </c:pt>
                <c:pt idx="10">
                  <c:v>36</c:v>
                </c:pt>
                <c:pt idx="11">
                  <c:v>39</c:v>
                </c:pt>
                <c:pt idx="12">
                  <c:v>42</c:v>
                </c:pt>
                <c:pt idx="13">
                  <c:v>45</c:v>
                </c:pt>
              </c:numCache>
            </c:numRef>
          </c:val>
          <c:smooth val="0"/>
          <c:extLst>
            <c:ext xmlns:c16="http://schemas.microsoft.com/office/drawing/2014/chart" uri="{C3380CC4-5D6E-409C-BE32-E72D297353CC}">
              <c16:uniqueId val="{00000003-712E-4E2B-9A08-289284884A6F}"/>
            </c:ext>
          </c:extLst>
        </c:ser>
        <c:ser>
          <c:idx val="2"/>
          <c:order val="2"/>
          <c:tx>
            <c:strRef>
              <c:f>'EC-HIGH'!$B$129</c:f>
              <c:strCache>
                <c:ptCount val="1"/>
                <c:pt idx="0">
                  <c:v>feeder Barges</c:v>
                </c:pt>
              </c:strCache>
            </c:strRef>
          </c:tx>
          <c:spPr>
            <a:ln w="28575" cap="rnd">
              <a:solidFill>
                <a:schemeClr val="accent3"/>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'EC-HIGH'!$C$129:$Q$129</c:f>
              <c:numCache>
                <c:formatCode>0</c:formatCode>
                <c:ptCount val="14"/>
                <c:pt idx="0">
                  <c:v>0</c:v>
                </c:pt>
                <c:pt idx="1">
                  <c:v>4</c:v>
                </c:pt>
                <c:pt idx="2">
                  <c:v>6</c:v>
                </c:pt>
                <c:pt idx="3">
                  <c:v>6</c:v>
                </c:pt>
                <c:pt idx="4">
                  <c:v>6</c:v>
                </c:pt>
                <c:pt idx="5">
                  <c:v>6</c:v>
                </c:pt>
                <c:pt idx="6">
                  <c:v>6</c:v>
                </c:pt>
                <c:pt idx="7">
                  <c:v>6</c:v>
                </c:pt>
                <c:pt idx="8">
                  <c:v>6</c:v>
                </c:pt>
                <c:pt idx="9">
                  <c:v>6</c:v>
                </c:pt>
                <c:pt idx="10">
                  <c:v>6</c:v>
                </c:pt>
                <c:pt idx="11">
                  <c:v>6</c:v>
                </c:pt>
                <c:pt idx="12">
                  <c:v>6</c:v>
                </c:pt>
                <c:pt idx="13">
                  <c:v>6</c:v>
                </c:pt>
              </c:numCache>
            </c:numRef>
          </c:val>
          <c:smooth val="0"/>
          <c:extLst>
            <c:ext xmlns:c16="http://schemas.microsoft.com/office/drawing/2014/chart" uri="{C3380CC4-5D6E-409C-BE32-E72D297353CC}">
              <c16:uniqueId val="{00000004-712E-4E2B-9A08-289284884A6F}"/>
            </c:ext>
          </c:extLst>
        </c:ser>
        <c:ser>
          <c:idx val="3"/>
          <c:order val="3"/>
          <c:tx>
            <c:v>WTIV</c:v>
          </c:tx>
          <c:spPr>
            <a:ln w="28575" cap="rnd">
              <a:solidFill>
                <a:schemeClr val="accent4"/>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'EC-HIGH'!$C$126:$Q$126</c:f>
              <c:numCache>
                <c:formatCode>0</c:formatCode>
                <c:ptCount val="14"/>
                <c:pt idx="0">
                  <c:v>0</c:v>
                </c:pt>
                <c:pt idx="1">
                  <c:v>2</c:v>
                </c:pt>
                <c:pt idx="2">
                  <c:v>3</c:v>
                </c:pt>
                <c:pt idx="3">
                  <c:v>3</c:v>
                </c:pt>
                <c:pt idx="4">
                  <c:v>3</c:v>
                </c:pt>
                <c:pt idx="5">
                  <c:v>3</c:v>
                </c:pt>
                <c:pt idx="6">
                  <c:v>3</c:v>
                </c:pt>
                <c:pt idx="7">
                  <c:v>3</c:v>
                </c:pt>
                <c:pt idx="8">
                  <c:v>3</c:v>
                </c:pt>
                <c:pt idx="9">
                  <c:v>3</c:v>
                </c:pt>
                <c:pt idx="10">
                  <c:v>3</c:v>
                </c:pt>
                <c:pt idx="11">
                  <c:v>3</c:v>
                </c:pt>
                <c:pt idx="12">
                  <c:v>3</c:v>
                </c:pt>
                <c:pt idx="13">
                  <c:v>3</c:v>
                </c:pt>
              </c:numCache>
            </c:numRef>
          </c:val>
          <c:smooth val="0"/>
          <c:extLst>
            <c:ext xmlns:c16="http://schemas.microsoft.com/office/drawing/2014/chart" uri="{C3380CC4-5D6E-409C-BE32-E72D297353CC}">
              <c16:uniqueId val="{00000005-712E-4E2B-9A08-289284884A6F}"/>
            </c:ext>
          </c:extLst>
        </c:ser>
        <c:ser>
          <c:idx val="4"/>
          <c:order val="4"/>
          <c:tx>
            <c:strRef>
              <c:f>'EC-HIGH'!$B$132</c:f>
              <c:strCache>
                <c:ptCount val="1"/>
                <c:pt idx="0">
                  <c:v>CLV</c:v>
                </c:pt>
              </c:strCache>
            </c:strRef>
          </c:tx>
          <c:spPr>
            <a:ln w="38100" cap="rnd">
              <a:solidFill>
                <a:schemeClr val="accent5"/>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'EC-HIGH'!$C$132:$Q$132</c:f>
              <c:numCache>
                <c:formatCode>0</c:formatCode>
                <c:ptCount val="14"/>
                <c:pt idx="0">
                  <c:v>0</c:v>
                </c:pt>
                <c:pt idx="1">
                  <c:v>1</c:v>
                </c:pt>
                <c:pt idx="2">
                  <c:v>2</c:v>
                </c:pt>
                <c:pt idx="3">
                  <c:v>2</c:v>
                </c:pt>
                <c:pt idx="4">
                  <c:v>2</c:v>
                </c:pt>
                <c:pt idx="5">
                  <c:v>2</c:v>
                </c:pt>
                <c:pt idx="6">
                  <c:v>2</c:v>
                </c:pt>
                <c:pt idx="7">
                  <c:v>2</c:v>
                </c:pt>
                <c:pt idx="8">
                  <c:v>1</c:v>
                </c:pt>
                <c:pt idx="9">
                  <c:v>1</c:v>
                </c:pt>
                <c:pt idx="10">
                  <c:v>2</c:v>
                </c:pt>
                <c:pt idx="11">
                  <c:v>2</c:v>
                </c:pt>
                <c:pt idx="12">
                  <c:v>2</c:v>
                </c:pt>
                <c:pt idx="13">
                  <c:v>2</c:v>
                </c:pt>
              </c:numCache>
            </c:numRef>
          </c:val>
          <c:smooth val="0"/>
          <c:extLst>
            <c:ext xmlns:c16="http://schemas.microsoft.com/office/drawing/2014/chart" uri="{C3380CC4-5D6E-409C-BE32-E72D297353CC}">
              <c16:uniqueId val="{00000006-712E-4E2B-9A08-289284884A6F}"/>
            </c:ext>
          </c:extLst>
        </c:ser>
        <c:ser>
          <c:idx val="7"/>
          <c:order val="7"/>
          <c:tx>
            <c:strRef>
              <c:f>'EC-HIGH'!$B$131</c:f>
              <c:strCache>
                <c:ptCount val="1"/>
                <c:pt idx="0">
                  <c:v>SOV</c:v>
                </c:pt>
              </c:strCache>
            </c:strRef>
          </c:tx>
          <c:spPr>
            <a:ln w="28575" cap="rnd">
              <a:solidFill>
                <a:schemeClr val="accent2">
                  <a:lumMod val="60000"/>
                </a:schemeClr>
              </a:solidFill>
              <a:round/>
            </a:ln>
            <a:effectLst/>
          </c:spPr>
          <c:marker>
            <c:symbol val="none"/>
          </c:marker>
          <c:val>
            <c:numRef>
              <c:f>'EC-HIGH'!$C$131:$Q$131</c:f>
              <c:numCache>
                <c:formatCode>0</c:formatCode>
                <c:ptCount val="14"/>
                <c:pt idx="0">
                  <c:v>0</c:v>
                </c:pt>
                <c:pt idx="1">
                  <c:v>1</c:v>
                </c:pt>
                <c:pt idx="2">
                  <c:v>1</c:v>
                </c:pt>
                <c:pt idx="3">
                  <c:v>2</c:v>
                </c:pt>
                <c:pt idx="4">
                  <c:v>3</c:v>
                </c:pt>
                <c:pt idx="5">
                  <c:v>4</c:v>
                </c:pt>
                <c:pt idx="6">
                  <c:v>4</c:v>
                </c:pt>
                <c:pt idx="7">
                  <c:v>5</c:v>
                </c:pt>
                <c:pt idx="8">
                  <c:v>6</c:v>
                </c:pt>
                <c:pt idx="9">
                  <c:v>6</c:v>
                </c:pt>
                <c:pt idx="10">
                  <c:v>7</c:v>
                </c:pt>
                <c:pt idx="11">
                  <c:v>7</c:v>
                </c:pt>
                <c:pt idx="12">
                  <c:v>8</c:v>
                </c:pt>
                <c:pt idx="13">
                  <c:v>9</c:v>
                </c:pt>
              </c:numCache>
            </c:numRef>
          </c:val>
          <c:smooth val="0"/>
          <c:extLst>
            <c:ext xmlns:c16="http://schemas.microsoft.com/office/drawing/2014/chart" uri="{C3380CC4-5D6E-409C-BE32-E72D297353CC}">
              <c16:uniqueId val="{00000002-AA12-4569-9242-030576F73D19}"/>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Vessels Required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minorUnit val="5"/>
      </c:valAx>
      <c:valAx>
        <c:axId val="45341167"/>
        <c:scaling>
          <c:orientation val="minMax"/>
          <c:max val="400"/>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 Turbines Installed </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5334935"/>
        <c:crosses val="max"/>
        <c:crossBetween val="between"/>
      </c:valAx>
      <c:catAx>
        <c:axId val="45334935"/>
        <c:scaling>
          <c:orientation val="minMax"/>
        </c:scaling>
        <c:delete val="1"/>
        <c:axPos val="b"/>
        <c:numFmt formatCode="General" sourceLinked="1"/>
        <c:majorTickMark val="out"/>
        <c:minorTickMark val="none"/>
        <c:tickLblPos val="nextTo"/>
        <c:crossAx val="45341167"/>
        <c:crosses val="autoZero"/>
        <c:auto val="1"/>
        <c:lblAlgn val="ctr"/>
        <c:lblOffset val="100"/>
        <c:noMultiLvlLbl val="0"/>
      </c:catAx>
      <c:spPr>
        <a:noFill/>
        <a:ln>
          <a:noFill/>
        </a:ln>
        <a:effectLst/>
      </c:spPr>
    </c:plotArea>
    <c:legend>
      <c:legendPos val="b"/>
      <c:layout>
        <c:manualLayout>
          <c:xMode val="edge"/>
          <c:yMode val="edge"/>
          <c:x val="0.10195364966059496"/>
          <c:y val="9.4921392701569532E-2"/>
          <c:w val="0.55717306225930829"/>
          <c:h val="4.3096649733859835E-2"/>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nchor="t" anchorCtr="1"/>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Total MW and Projects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462671550043816E-2"/>
          <c:y val="7.5282334926584052E-2"/>
          <c:w val="0.84749648151120716"/>
          <c:h val="0.76811631697945759"/>
        </c:manualLayout>
      </c:layout>
      <c:barChart>
        <c:barDir val="col"/>
        <c:grouping val="clustered"/>
        <c:varyColors val="0"/>
        <c:ser>
          <c:idx val="0"/>
          <c:order val="0"/>
          <c:tx>
            <c:strRef>
              <c:f>'EC-HIGH'!$B$83</c:f>
              <c:strCache>
                <c:ptCount val="1"/>
                <c:pt idx="0">
                  <c:v>Installed MW</c:v>
                </c:pt>
              </c:strCache>
            </c:strRef>
          </c:tx>
          <c:spPr>
            <a:solidFill>
              <a:srgbClr val="0079C2"/>
            </a:solidFill>
            <a:ln>
              <a:noFill/>
            </a:ln>
            <a:effectLst/>
          </c:spPr>
          <c:invertIfNegative val="0"/>
          <c:cat>
            <c:numRef>
              <c:f>'EC-HIGH'!$C$6:$Q$6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'EC-HIGH'!$C$83:$Q$83</c:f>
              <c:numCache>
                <c:formatCode>0</c:formatCode>
                <c:ptCount val="14"/>
                <c:pt idx="0">
                  <c:v>0</c:v>
                </c:pt>
                <c:pt idx="1">
                  <c:v>513.23076923076928</c:v>
                </c:pt>
                <c:pt idx="2">
                  <c:v>1660</c:v>
                </c:pt>
                <c:pt idx="3">
                  <c:v>2000</c:v>
                </c:pt>
                <c:pt idx="4">
                  <c:v>2000</c:v>
                </c:pt>
                <c:pt idx="5">
                  <c:v>2000</c:v>
                </c:pt>
                <c:pt idx="6">
                  <c:v>2000</c:v>
                </c:pt>
                <c:pt idx="7">
                  <c:v>2000</c:v>
                </c:pt>
                <c:pt idx="8">
                  <c:v>1459.6923076923085</c:v>
                </c:pt>
                <c:pt idx="9">
                  <c:v>2000</c:v>
                </c:pt>
                <c:pt idx="10">
                  <c:v>2000</c:v>
                </c:pt>
                <c:pt idx="11">
                  <c:v>2000</c:v>
                </c:pt>
                <c:pt idx="12">
                  <c:v>2000</c:v>
                </c:pt>
                <c:pt idx="13">
                  <c:v>2000</c:v>
                </c:pt>
              </c:numCache>
            </c:numRef>
          </c:val>
          <c:extLst>
            <c:ext xmlns:c16="http://schemas.microsoft.com/office/drawing/2014/chart" uri="{C3380CC4-5D6E-409C-BE32-E72D297353CC}">
              <c16:uniqueId val="{00000000-0E2F-49E2-977D-827F2CFA295E}"/>
            </c:ext>
          </c:extLst>
        </c:ser>
        <c:dLbls>
          <c:showLegendKey val="0"/>
          <c:showVal val="0"/>
          <c:showCatName val="0"/>
          <c:showSerName val="0"/>
          <c:showPercent val="0"/>
          <c:showBubbleSize val="0"/>
        </c:dLbls>
        <c:gapWidth val="200"/>
        <c:overlap val="100"/>
        <c:axId val="1105198224"/>
        <c:axId val="1105196256"/>
      </c:barChart>
      <c:lineChart>
        <c:grouping val="standard"/>
        <c:varyColors val="0"/>
        <c:ser>
          <c:idx val="4"/>
          <c:order val="1"/>
          <c:tx>
            <c:strRef>
              <c:f>'EC-HIGH'!$B$84</c:f>
              <c:strCache>
                <c:ptCount val="1"/>
                <c:pt idx="0">
                  <c:v>Number of Projects</c:v>
                </c:pt>
              </c:strCache>
            </c:strRef>
          </c:tx>
          <c:spPr>
            <a:ln w="38100" cap="rnd">
              <a:solidFill>
                <a:srgbClr val="933C06"/>
              </a:solidFill>
              <a:round/>
            </a:ln>
            <a:effectLst/>
          </c:spPr>
          <c:marker>
            <c:symbol val="none"/>
          </c:marker>
          <c:cat>
            <c:numRef>
              <c:f>'EC-HIGH'!$C$6:$Q$6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'EC-HIGH'!$C$84:$Q$84</c:f>
              <c:numCache>
                <c:formatCode>0</c:formatCode>
                <c:ptCount val="14"/>
                <c:pt idx="0">
                  <c:v>0</c:v>
                </c:pt>
                <c:pt idx="1">
                  <c:v>2</c:v>
                </c:pt>
                <c:pt idx="2">
                  <c:v>3</c:v>
                </c:pt>
                <c:pt idx="3">
                  <c:v>3</c:v>
                </c:pt>
                <c:pt idx="4">
                  <c:v>3</c:v>
                </c:pt>
                <c:pt idx="5">
                  <c:v>3</c:v>
                </c:pt>
                <c:pt idx="6">
                  <c:v>3</c:v>
                </c:pt>
                <c:pt idx="7">
                  <c:v>3</c:v>
                </c:pt>
                <c:pt idx="8">
                  <c:v>2</c:v>
                </c:pt>
                <c:pt idx="9">
                  <c:v>3</c:v>
                </c:pt>
                <c:pt idx="10">
                  <c:v>3</c:v>
                </c:pt>
                <c:pt idx="11">
                  <c:v>3</c:v>
                </c:pt>
                <c:pt idx="12">
                  <c:v>3</c:v>
                </c:pt>
                <c:pt idx="13">
                  <c:v>3</c:v>
                </c:pt>
              </c:numCache>
            </c:numRef>
          </c:val>
          <c:smooth val="0"/>
          <c:extLst>
            <c:ext xmlns:c16="http://schemas.microsoft.com/office/drawing/2014/chart" uri="{C3380CC4-5D6E-409C-BE32-E72D297353CC}">
              <c16:uniqueId val="{00000001-0E2F-49E2-977D-827F2CFA295E}"/>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2"/>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Projects Constructed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105196256"/>
        <c:scaling>
          <c:orientation val="minMax"/>
          <c:max val="6000"/>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MW per year</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05198224"/>
        <c:crosses val="max"/>
        <c:crossBetween val="between"/>
      </c:valAx>
      <c:catAx>
        <c:axId val="1105198224"/>
        <c:scaling>
          <c:orientation val="minMax"/>
        </c:scaling>
        <c:delete val="1"/>
        <c:axPos val="b"/>
        <c:numFmt formatCode="General" sourceLinked="1"/>
        <c:majorTickMark val="out"/>
        <c:minorTickMark val="none"/>
        <c:tickLblPos val="nextTo"/>
        <c:crossAx val="1105196256"/>
        <c:crosses val="autoZero"/>
        <c:auto val="1"/>
        <c:lblAlgn val="ctr"/>
        <c:lblOffset val="100"/>
        <c:noMultiLvlLbl val="0"/>
      </c:catAx>
      <c:spPr>
        <a:noFill/>
        <a:ln>
          <a:noFill/>
        </a:ln>
        <a:effectLst/>
      </c:spPr>
    </c:plotArea>
    <c:legend>
      <c:legendPos val="b"/>
      <c:layout>
        <c:manualLayout>
          <c:xMode val="edge"/>
          <c:yMode val="edge"/>
          <c:x val="9.9358774265480274E-2"/>
          <c:y val="9.9731239444338426E-2"/>
          <c:w val="0.16406096444866217"/>
          <c:h val="0.1893341143365127"/>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a:t>Turbine</a:t>
            </a:r>
            <a:r>
              <a:rPr lang="en-US" baseline="0"/>
              <a:t> Orders</a:t>
            </a:r>
            <a:endParaRPr lang="en-US"/>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909255046736566E-2"/>
          <c:y val="7.5282334926584052E-2"/>
          <c:w val="0.8200706163901833"/>
          <c:h val="0.75439490302403034"/>
        </c:manualLayout>
      </c:layout>
      <c:barChart>
        <c:barDir val="col"/>
        <c:grouping val="stacked"/>
        <c:varyColors val="0"/>
        <c:ser>
          <c:idx val="1"/>
          <c:order val="0"/>
          <c:tx>
            <c:strRef>
              <c:f>'EC-HIGH'!$B$10</c:f>
              <c:strCache>
                <c:ptCount val="1"/>
                <c:pt idx="0">
                  <c:v>12</c:v>
                </c:pt>
              </c:strCache>
            </c:strRef>
          </c:tx>
          <c:spPr>
            <a:solidFill>
              <a:srgbClr val="0079C2"/>
            </a:solidFill>
            <a:ln>
              <a:noFill/>
            </a:ln>
            <a:effectLst/>
          </c:spPr>
          <c:invertIfNegative val="0"/>
          <c:cat>
            <c:numRef>
              <c:f>'EC-HIGH'!$C$6:$Q$6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'EC-HIGH'!$C$10:$Q$10</c:f>
              <c:numCache>
                <c:formatCode>0</c:formatCode>
                <c:ptCount val="14"/>
                <c:pt idx="0">
                  <c:v>55</c:v>
                </c:pt>
                <c:pt idx="1">
                  <c:v>83.333333333333329</c:v>
                </c:pt>
                <c:pt idx="2">
                  <c:v>83.333333333333329</c:v>
                </c:pt>
                <c:pt idx="3">
                  <c:v>83.333333333333329</c:v>
                </c:pt>
                <c:pt idx="4">
                  <c:v>83.333333333333329</c:v>
                </c:pt>
                <c:pt idx="5">
                  <c:v>83.333333333333329</c:v>
                </c:pt>
                <c:pt idx="6">
                  <c:v>38.307692307692378</c:v>
                </c:pt>
                <c:pt idx="7">
                  <c:v>0</c:v>
                </c:pt>
                <c:pt idx="8">
                  <c:v>0</c:v>
                </c:pt>
                <c:pt idx="9">
                  <c:v>0</c:v>
                </c:pt>
                <c:pt idx="10">
                  <c:v>0</c:v>
                </c:pt>
                <c:pt idx="11">
                  <c:v>0</c:v>
                </c:pt>
              </c:numCache>
            </c:numRef>
          </c:val>
          <c:extLst>
            <c:ext xmlns:c16="http://schemas.microsoft.com/office/drawing/2014/chart" uri="{C3380CC4-5D6E-409C-BE32-E72D297353CC}">
              <c16:uniqueId val="{00000000-18B3-41A9-B4C7-9CA17AC66A5D}"/>
            </c:ext>
          </c:extLst>
        </c:ser>
        <c:ser>
          <c:idx val="2"/>
          <c:order val="1"/>
          <c:tx>
            <c:strRef>
              <c:f>'EC-HIGH'!$B$11</c:f>
              <c:strCache>
                <c:ptCount val="1"/>
                <c:pt idx="0">
                  <c:v>15</c:v>
                </c:pt>
              </c:strCache>
            </c:strRef>
          </c:tx>
          <c:spPr>
            <a:solidFill>
              <a:srgbClr val="5E6A71"/>
            </a:solidFill>
            <a:ln>
              <a:noFill/>
            </a:ln>
            <a:effectLst/>
          </c:spPr>
          <c:invertIfNegative val="0"/>
          <c:cat>
            <c:numRef>
              <c:f>'EC-HIGH'!$C$6:$Q$6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'EC-HIGH'!$C$11:$Q$11</c:f>
              <c:numCache>
                <c:formatCode>0</c:formatCode>
                <c:ptCount val="14"/>
                <c:pt idx="0">
                  <c:v>66.666666666666671</c:v>
                </c:pt>
                <c:pt idx="1">
                  <c:v>66.666666666666671</c:v>
                </c:pt>
                <c:pt idx="2">
                  <c:v>66.666666666666671</c:v>
                </c:pt>
                <c:pt idx="3">
                  <c:v>66.666666666666671</c:v>
                </c:pt>
                <c:pt idx="4">
                  <c:v>66.666666666666671</c:v>
                </c:pt>
                <c:pt idx="5">
                  <c:v>66.666666666666671</c:v>
                </c:pt>
                <c:pt idx="6">
                  <c:v>66.666666666666671</c:v>
                </c:pt>
                <c:pt idx="7">
                  <c:v>66.666666666666671</c:v>
                </c:pt>
                <c:pt idx="8">
                  <c:v>66.666666666666671</c:v>
                </c:pt>
                <c:pt idx="9">
                  <c:v>66.666666666666671</c:v>
                </c:pt>
                <c:pt idx="10">
                  <c:v>66.666666666666671</c:v>
                </c:pt>
                <c:pt idx="11">
                  <c:v>66.666666666666671</c:v>
                </c:pt>
              </c:numCache>
            </c:numRef>
          </c:val>
          <c:extLst>
            <c:ext xmlns:c16="http://schemas.microsoft.com/office/drawing/2014/chart" uri="{C3380CC4-5D6E-409C-BE32-E72D297353CC}">
              <c16:uniqueId val="{00000001-18B3-41A9-B4C7-9CA17AC66A5D}"/>
            </c:ext>
          </c:extLst>
        </c:ser>
        <c:ser>
          <c:idx val="3"/>
          <c:order val="2"/>
          <c:tx>
            <c:strRef>
              <c:f>'EC-HIGH'!$B$12</c:f>
              <c:strCache>
                <c:ptCount val="1"/>
                <c:pt idx="0">
                  <c:v>18</c:v>
                </c:pt>
              </c:strCache>
            </c:strRef>
          </c:tx>
          <c:spPr>
            <a:solidFill>
              <a:srgbClr val="5D9732"/>
            </a:solidFill>
            <a:ln>
              <a:noFill/>
            </a:ln>
            <a:effectLst/>
          </c:spPr>
          <c:invertIfNegative val="0"/>
          <c:cat>
            <c:numRef>
              <c:f>'EC-HIGH'!$C$6:$Q$6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'EC-HIGH'!$C$12:$Q$12</c:f>
              <c:numCache>
                <c:formatCode>0</c:formatCode>
                <c:ptCount val="14"/>
                <c:pt idx="0">
                  <c:v>0</c:v>
                </c:pt>
                <c:pt idx="1">
                  <c:v>0</c:v>
                </c:pt>
                <c:pt idx="2">
                  <c:v>0</c:v>
                </c:pt>
                <c:pt idx="3">
                  <c:v>0</c:v>
                </c:pt>
                <c:pt idx="4">
                  <c:v>0</c:v>
                </c:pt>
                <c:pt idx="5">
                  <c:v>0</c:v>
                </c:pt>
                <c:pt idx="6">
                  <c:v>0</c:v>
                </c:pt>
                <c:pt idx="7">
                  <c:v>55.555555555555557</c:v>
                </c:pt>
                <c:pt idx="8">
                  <c:v>55.555555555555557</c:v>
                </c:pt>
                <c:pt idx="9">
                  <c:v>55.555555555555557</c:v>
                </c:pt>
                <c:pt idx="10">
                  <c:v>55.555555555555557</c:v>
                </c:pt>
                <c:pt idx="11">
                  <c:v>55.555555555555557</c:v>
                </c:pt>
              </c:numCache>
            </c:numRef>
          </c:val>
          <c:extLst>
            <c:ext xmlns:c16="http://schemas.microsoft.com/office/drawing/2014/chart" uri="{C3380CC4-5D6E-409C-BE32-E72D297353CC}">
              <c16:uniqueId val="{00000002-18B3-41A9-B4C7-9CA17AC66A5D}"/>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Procurement/Manufacturing</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Turbines Ordered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baseline="0"/>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Turbines Transported/Stored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2623337265654374E-2"/>
          <c:y val="7.5282334926584052E-2"/>
          <c:w val="0.80910229985705562"/>
          <c:h val="0.75701402721993338"/>
        </c:manualLayout>
      </c:layout>
      <c:barChart>
        <c:barDir val="col"/>
        <c:grouping val="stacked"/>
        <c:varyColors val="0"/>
        <c:ser>
          <c:idx val="1"/>
          <c:order val="0"/>
          <c:tx>
            <c:strRef>
              <c:f>'EC-HIGH'!$B$46</c:f>
              <c:strCache>
                <c:ptCount val="1"/>
                <c:pt idx="0">
                  <c:v>12</c:v>
                </c:pt>
              </c:strCache>
            </c:strRef>
          </c:tx>
          <c:spPr>
            <a:solidFill>
              <a:srgbClr val="0079C2"/>
            </a:solidFill>
            <a:ln>
              <a:noFill/>
            </a:ln>
            <a:effectLst/>
          </c:spPr>
          <c:invertIfNegative val="0"/>
          <c:cat>
            <c:numRef>
              <c:f>'EC-HIGH'!$C$6:$Q$6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'EC-HIGH'!$C$46:$Q$46</c:f>
              <c:numCache>
                <c:formatCode>0</c:formatCode>
                <c:ptCount val="14"/>
                <c:pt idx="0">
                  <c:v>42.769230769230774</c:v>
                </c:pt>
                <c:pt idx="1">
                  <c:v>55</c:v>
                </c:pt>
                <c:pt idx="2">
                  <c:v>83.333333333333329</c:v>
                </c:pt>
                <c:pt idx="3">
                  <c:v>83.333333333333329</c:v>
                </c:pt>
                <c:pt idx="4">
                  <c:v>83.333333333333329</c:v>
                </c:pt>
                <c:pt idx="5">
                  <c:v>83.333333333333329</c:v>
                </c:pt>
                <c:pt idx="6">
                  <c:v>83.333333333333329</c:v>
                </c:pt>
                <c:pt idx="7">
                  <c:v>38.307692307692378</c:v>
                </c:pt>
                <c:pt idx="8">
                  <c:v>0</c:v>
                </c:pt>
                <c:pt idx="9">
                  <c:v>0</c:v>
                </c:pt>
                <c:pt idx="10">
                  <c:v>0</c:v>
                </c:pt>
                <c:pt idx="11">
                  <c:v>0</c:v>
                </c:pt>
                <c:pt idx="12">
                  <c:v>0</c:v>
                </c:pt>
              </c:numCache>
            </c:numRef>
          </c:val>
          <c:extLst>
            <c:ext xmlns:c16="http://schemas.microsoft.com/office/drawing/2014/chart" uri="{C3380CC4-5D6E-409C-BE32-E72D297353CC}">
              <c16:uniqueId val="{00000000-51EC-4257-8D88-8CDAC4E6AE29}"/>
            </c:ext>
          </c:extLst>
        </c:ser>
        <c:ser>
          <c:idx val="2"/>
          <c:order val="1"/>
          <c:tx>
            <c:strRef>
              <c:f>'EC-HIGH'!$B$47</c:f>
              <c:strCache>
                <c:ptCount val="1"/>
                <c:pt idx="0">
                  <c:v>15</c:v>
                </c:pt>
              </c:strCache>
            </c:strRef>
          </c:tx>
          <c:spPr>
            <a:solidFill>
              <a:srgbClr val="5E6A71"/>
            </a:solidFill>
            <a:ln>
              <a:noFill/>
            </a:ln>
            <a:effectLst/>
          </c:spPr>
          <c:invertIfNegative val="0"/>
          <c:cat>
            <c:numRef>
              <c:f>'EC-HIGH'!$C$6:$Q$6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'EC-HIGH'!$C$47:$Q$47</c:f>
              <c:numCache>
                <c:formatCode>0</c:formatCode>
                <c:ptCount val="14"/>
                <c:pt idx="0">
                  <c:v>0</c:v>
                </c:pt>
                <c:pt idx="1">
                  <c:v>66.666666666666671</c:v>
                </c:pt>
                <c:pt idx="2">
                  <c:v>66.666666666666671</c:v>
                </c:pt>
                <c:pt idx="3">
                  <c:v>66.666666666666671</c:v>
                </c:pt>
                <c:pt idx="4">
                  <c:v>66.666666666666671</c:v>
                </c:pt>
                <c:pt idx="5">
                  <c:v>66.666666666666671</c:v>
                </c:pt>
                <c:pt idx="6">
                  <c:v>66.666666666666671</c:v>
                </c:pt>
                <c:pt idx="7">
                  <c:v>66.666666666666671</c:v>
                </c:pt>
                <c:pt idx="8">
                  <c:v>66.666666666666671</c:v>
                </c:pt>
                <c:pt idx="9">
                  <c:v>66.666666666666671</c:v>
                </c:pt>
                <c:pt idx="10">
                  <c:v>66.666666666666671</c:v>
                </c:pt>
                <c:pt idx="11">
                  <c:v>66.666666666666671</c:v>
                </c:pt>
                <c:pt idx="12">
                  <c:v>66.666666666666671</c:v>
                </c:pt>
              </c:numCache>
            </c:numRef>
          </c:val>
          <c:extLst>
            <c:ext xmlns:c16="http://schemas.microsoft.com/office/drawing/2014/chart" uri="{C3380CC4-5D6E-409C-BE32-E72D297353CC}">
              <c16:uniqueId val="{00000001-51EC-4257-8D88-8CDAC4E6AE29}"/>
            </c:ext>
          </c:extLst>
        </c:ser>
        <c:ser>
          <c:idx val="3"/>
          <c:order val="2"/>
          <c:tx>
            <c:strRef>
              <c:f>'EC-HIGH'!$B$48</c:f>
              <c:strCache>
                <c:ptCount val="1"/>
                <c:pt idx="0">
                  <c:v>18</c:v>
                </c:pt>
              </c:strCache>
            </c:strRef>
          </c:tx>
          <c:spPr>
            <a:solidFill>
              <a:srgbClr val="5D9732"/>
            </a:solidFill>
            <a:ln>
              <a:noFill/>
            </a:ln>
            <a:effectLst/>
          </c:spPr>
          <c:invertIfNegative val="0"/>
          <c:cat>
            <c:numRef>
              <c:f>'EC-HIGH'!$C$6:$Q$6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'EC-HIGH'!$C$48:$Q$48</c:f>
              <c:numCache>
                <c:formatCode>0</c:formatCode>
                <c:ptCount val="14"/>
                <c:pt idx="0">
                  <c:v>0</c:v>
                </c:pt>
                <c:pt idx="1">
                  <c:v>0</c:v>
                </c:pt>
                <c:pt idx="2">
                  <c:v>0</c:v>
                </c:pt>
                <c:pt idx="3">
                  <c:v>0</c:v>
                </c:pt>
                <c:pt idx="4">
                  <c:v>0</c:v>
                </c:pt>
                <c:pt idx="5">
                  <c:v>0</c:v>
                </c:pt>
                <c:pt idx="6">
                  <c:v>0</c:v>
                </c:pt>
                <c:pt idx="7">
                  <c:v>0</c:v>
                </c:pt>
                <c:pt idx="8">
                  <c:v>55.555555555555557</c:v>
                </c:pt>
                <c:pt idx="9">
                  <c:v>55.555555555555557</c:v>
                </c:pt>
                <c:pt idx="10">
                  <c:v>55.555555555555557</c:v>
                </c:pt>
                <c:pt idx="11">
                  <c:v>55.555555555555557</c:v>
                </c:pt>
                <c:pt idx="12">
                  <c:v>55.555555555555557</c:v>
                </c:pt>
              </c:numCache>
            </c:numRef>
          </c:val>
          <c:extLst>
            <c:ext xmlns:c16="http://schemas.microsoft.com/office/drawing/2014/chart" uri="{C3380CC4-5D6E-409C-BE32-E72D297353CC}">
              <c16:uniqueId val="{00000002-51EC-4257-8D88-8CDAC4E6AE29}"/>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Transportation/Storage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Turbines Stored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w="9525">
          <a:solidFill>
            <a:srgbClr val="3D6321"/>
          </a:solid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Installed Turbines and Total MW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9705421654862835E-2"/>
          <c:y val="7.5282334926584052E-2"/>
          <c:w val="0.96029457834513721"/>
          <c:h val="0.75536002467782815"/>
        </c:manualLayout>
      </c:layout>
      <c:barChart>
        <c:barDir val="col"/>
        <c:grouping val="clustered"/>
        <c:varyColors val="0"/>
        <c:ser>
          <c:idx val="0"/>
          <c:order val="0"/>
          <c:tx>
            <c:strRef>
              <c:f>'EC-MED'!$B$83</c:f>
              <c:strCache>
                <c:ptCount val="1"/>
                <c:pt idx="0">
                  <c:v>Installed MW</c:v>
                </c:pt>
              </c:strCache>
            </c:strRef>
          </c:tx>
          <c:spPr>
            <a:solidFill>
              <a:schemeClr val="accent1"/>
            </a:solidFill>
            <a:ln>
              <a:noFill/>
            </a:ln>
            <a:effectLst/>
          </c:spPr>
          <c:invertIfNegative val="0"/>
          <c:cat>
            <c:numRef>
              <c:f>'EC-known'!$C$6:$Q$6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'EC-MED'!$C$83:$Q$83</c:f>
              <c:numCache>
                <c:formatCode>0</c:formatCode>
                <c:ptCount val="14"/>
                <c:pt idx="0">
                  <c:v>0</c:v>
                </c:pt>
                <c:pt idx="1">
                  <c:v>513.23076923076928</c:v>
                </c:pt>
                <c:pt idx="2">
                  <c:v>1815</c:v>
                </c:pt>
                <c:pt idx="3">
                  <c:v>2490</c:v>
                </c:pt>
                <c:pt idx="4">
                  <c:v>3000</c:v>
                </c:pt>
                <c:pt idx="5">
                  <c:v>3000</c:v>
                </c:pt>
                <c:pt idx="6">
                  <c:v>1799.6923076923081</c:v>
                </c:pt>
                <c:pt idx="7">
                  <c:v>3000</c:v>
                </c:pt>
                <c:pt idx="8">
                  <c:v>3000</c:v>
                </c:pt>
                <c:pt idx="9">
                  <c:v>3000</c:v>
                </c:pt>
                <c:pt idx="10">
                  <c:v>3000</c:v>
                </c:pt>
                <c:pt idx="11">
                  <c:v>3000</c:v>
                </c:pt>
                <c:pt idx="12">
                  <c:v>3000</c:v>
                </c:pt>
                <c:pt idx="13">
                  <c:v>3000</c:v>
                </c:pt>
              </c:numCache>
            </c:numRef>
          </c:val>
          <c:extLst>
            <c:ext xmlns:c16="http://schemas.microsoft.com/office/drawing/2014/chart" uri="{C3380CC4-5D6E-409C-BE32-E72D297353CC}">
              <c16:uniqueId val="{00000000-EB8E-460D-B3E2-BC713600CE4C}"/>
            </c:ext>
          </c:extLst>
        </c:ser>
        <c:dLbls>
          <c:showLegendKey val="0"/>
          <c:showVal val="0"/>
          <c:showCatName val="0"/>
          <c:showSerName val="0"/>
          <c:showPercent val="0"/>
          <c:showBubbleSize val="0"/>
        </c:dLbls>
        <c:gapWidth val="219"/>
        <c:overlap val="-27"/>
        <c:axId val="1105198224"/>
        <c:axId val="1105196256"/>
      </c:barChart>
      <c:lineChart>
        <c:grouping val="standard"/>
        <c:varyColors val="0"/>
        <c:ser>
          <c:idx val="1"/>
          <c:order val="1"/>
          <c:tx>
            <c:strRef>
              <c:f>'EC-MED'!$B$86</c:f>
              <c:strCache>
                <c:ptCount val="1"/>
                <c:pt idx="0">
                  <c:v>12</c:v>
                </c:pt>
              </c:strCache>
            </c:strRef>
          </c:tx>
          <c:spPr>
            <a:ln w="28575" cap="rnd">
              <a:solidFill>
                <a:schemeClr val="accent2"/>
              </a:solidFill>
              <a:round/>
            </a:ln>
            <a:effectLst/>
          </c:spPr>
          <c:marker>
            <c:symbol val="none"/>
          </c:marker>
          <c:cat>
            <c:numRef>
              <c:f>'EC-known'!$C$6:$Q$6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'EC-MED'!$C$86:$Q$86</c:f>
              <c:numCache>
                <c:formatCode>0</c:formatCode>
                <c:ptCount val="14"/>
                <c:pt idx="0">
                  <c:v>0</c:v>
                </c:pt>
                <c:pt idx="1">
                  <c:v>42.769230769230774</c:v>
                </c:pt>
                <c:pt idx="2">
                  <c:v>110</c:v>
                </c:pt>
                <c:pt idx="3">
                  <c:v>125</c:v>
                </c:pt>
                <c:pt idx="4">
                  <c:v>125</c:v>
                </c:pt>
                <c:pt idx="5">
                  <c:v>125</c:v>
                </c:pt>
                <c:pt idx="6">
                  <c:v>24.974358974359006</c:v>
                </c:pt>
                <c:pt idx="7">
                  <c:v>0</c:v>
                </c:pt>
                <c:pt idx="8">
                  <c:v>0</c:v>
                </c:pt>
                <c:pt idx="9">
                  <c:v>0</c:v>
                </c:pt>
                <c:pt idx="10">
                  <c:v>0</c:v>
                </c:pt>
                <c:pt idx="11">
                  <c:v>0</c:v>
                </c:pt>
                <c:pt idx="12">
                  <c:v>0</c:v>
                </c:pt>
                <c:pt idx="13">
                  <c:v>0</c:v>
                </c:pt>
              </c:numCache>
            </c:numRef>
          </c:val>
          <c:smooth val="0"/>
          <c:extLst>
            <c:ext xmlns:c16="http://schemas.microsoft.com/office/drawing/2014/chart" uri="{C3380CC4-5D6E-409C-BE32-E72D297353CC}">
              <c16:uniqueId val="{00000001-EB8E-460D-B3E2-BC713600CE4C}"/>
            </c:ext>
          </c:extLst>
        </c:ser>
        <c:ser>
          <c:idx val="2"/>
          <c:order val="2"/>
          <c:tx>
            <c:strRef>
              <c:f>'EC-MED'!$B$87</c:f>
              <c:strCache>
                <c:ptCount val="1"/>
                <c:pt idx="0">
                  <c:v>15</c:v>
                </c:pt>
              </c:strCache>
            </c:strRef>
          </c:tx>
          <c:spPr>
            <a:ln w="28575" cap="rnd">
              <a:solidFill>
                <a:schemeClr val="accent3"/>
              </a:solidFill>
              <a:round/>
            </a:ln>
            <a:effectLst/>
          </c:spPr>
          <c:marker>
            <c:symbol val="none"/>
          </c:marker>
          <c:val>
            <c:numRef>
              <c:f>'EC-MED'!$C$87:$Q$87</c:f>
              <c:numCache>
                <c:formatCode>0</c:formatCode>
                <c:ptCount val="14"/>
                <c:pt idx="0">
                  <c:v>0</c:v>
                </c:pt>
                <c:pt idx="1">
                  <c:v>0</c:v>
                </c:pt>
                <c:pt idx="2">
                  <c:v>33</c:v>
                </c:pt>
                <c:pt idx="3">
                  <c:v>66</c:v>
                </c:pt>
                <c:pt idx="4">
                  <c:v>100</c:v>
                </c:pt>
                <c:pt idx="5">
                  <c:v>100</c:v>
                </c:pt>
                <c:pt idx="6">
                  <c:v>100</c:v>
                </c:pt>
                <c:pt idx="7">
                  <c:v>200</c:v>
                </c:pt>
                <c:pt idx="8">
                  <c:v>200</c:v>
                </c:pt>
                <c:pt idx="9">
                  <c:v>100</c:v>
                </c:pt>
                <c:pt idx="10">
                  <c:v>100</c:v>
                </c:pt>
                <c:pt idx="11">
                  <c:v>100</c:v>
                </c:pt>
                <c:pt idx="12">
                  <c:v>100</c:v>
                </c:pt>
                <c:pt idx="13">
                  <c:v>100</c:v>
                </c:pt>
              </c:numCache>
            </c:numRef>
          </c:val>
          <c:smooth val="0"/>
          <c:extLst>
            <c:ext xmlns:c16="http://schemas.microsoft.com/office/drawing/2014/chart" uri="{C3380CC4-5D6E-409C-BE32-E72D297353CC}">
              <c16:uniqueId val="{00000002-EB8E-460D-B3E2-BC713600CE4C}"/>
            </c:ext>
          </c:extLst>
        </c:ser>
        <c:ser>
          <c:idx val="3"/>
          <c:order val="3"/>
          <c:tx>
            <c:strRef>
              <c:f>'EC-MED'!$B$88</c:f>
              <c:strCache>
                <c:ptCount val="1"/>
                <c:pt idx="0">
                  <c:v>18</c:v>
                </c:pt>
              </c:strCache>
            </c:strRef>
          </c:tx>
          <c:spPr>
            <a:ln w="28575" cap="rnd">
              <a:solidFill>
                <a:schemeClr val="accent4"/>
              </a:solidFill>
              <a:round/>
            </a:ln>
            <a:effectLst/>
          </c:spPr>
          <c:marker>
            <c:symbol val="none"/>
          </c:marker>
          <c:val>
            <c:numRef>
              <c:f>'EC-MED'!$C$88:$Q$88</c:f>
              <c:numCache>
                <c:formatCode>0</c:formatCode>
                <c:ptCount val="14"/>
                <c:pt idx="0">
                  <c:v>0</c:v>
                </c:pt>
                <c:pt idx="1">
                  <c:v>0</c:v>
                </c:pt>
                <c:pt idx="2">
                  <c:v>0</c:v>
                </c:pt>
                <c:pt idx="3">
                  <c:v>0</c:v>
                </c:pt>
                <c:pt idx="4">
                  <c:v>0</c:v>
                </c:pt>
                <c:pt idx="5">
                  <c:v>0</c:v>
                </c:pt>
                <c:pt idx="6">
                  <c:v>0</c:v>
                </c:pt>
                <c:pt idx="7">
                  <c:v>0</c:v>
                </c:pt>
                <c:pt idx="8">
                  <c:v>0</c:v>
                </c:pt>
                <c:pt idx="9">
                  <c:v>83.333333333333329</c:v>
                </c:pt>
                <c:pt idx="10">
                  <c:v>83.333333333333329</c:v>
                </c:pt>
                <c:pt idx="11">
                  <c:v>83.333333333333329</c:v>
                </c:pt>
                <c:pt idx="12">
                  <c:v>83.333333333333329</c:v>
                </c:pt>
                <c:pt idx="13">
                  <c:v>83.333333333333329</c:v>
                </c:pt>
              </c:numCache>
            </c:numRef>
          </c:val>
          <c:smooth val="0"/>
          <c:extLst>
            <c:ext xmlns:c16="http://schemas.microsoft.com/office/drawing/2014/chart" uri="{C3380CC4-5D6E-409C-BE32-E72D297353CC}">
              <c16:uniqueId val="{00000003-EB8E-460D-B3E2-BC713600CE4C}"/>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35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105196256"/>
        <c:scaling>
          <c:orientation val="minMax"/>
          <c:max val="9000"/>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05198224"/>
        <c:crosses val="max"/>
        <c:crossBetween val="between"/>
      </c:valAx>
      <c:catAx>
        <c:axId val="1105198224"/>
        <c:scaling>
          <c:orientation val="minMax"/>
        </c:scaling>
        <c:delete val="1"/>
        <c:axPos val="b"/>
        <c:numFmt formatCode="General" sourceLinked="1"/>
        <c:majorTickMark val="out"/>
        <c:minorTickMark val="none"/>
        <c:tickLblPos val="nextTo"/>
        <c:crossAx val="1105196256"/>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Vessels Required and Turbines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417250198291675E-2"/>
          <c:y val="7.5282334926584052E-2"/>
          <c:w val="0.82771678647263758"/>
          <c:h val="0.79270271721152119"/>
        </c:manualLayout>
      </c:layout>
      <c:barChart>
        <c:barDir val="col"/>
        <c:grouping val="stacked"/>
        <c:varyColors val="0"/>
        <c:ser>
          <c:idx val="0"/>
          <c:order val="0"/>
          <c:tx>
            <c:strRef>
              <c:f>'GBF-UNC'!$B$86</c:f>
              <c:strCache>
                <c:ptCount val="1"/>
                <c:pt idx="0">
                  <c:v>12</c:v>
                </c:pt>
              </c:strCache>
            </c:strRef>
          </c:tx>
          <c:spPr>
            <a:solidFill>
              <a:srgbClr val="0079C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'GBF-UNC'!$C$86:$Q$86</c:f>
              <c:numCache>
                <c:formatCode>0</c:formatCode>
                <c:ptCount val="14"/>
                <c:pt idx="0">
                  <c:v>0</c:v>
                </c:pt>
                <c:pt idx="1">
                  <c:v>42.769230769230774</c:v>
                </c:pt>
                <c:pt idx="2">
                  <c:v>261.79487179487182</c:v>
                </c:pt>
                <c:pt idx="3">
                  <c:v>187.5128205128205</c:v>
                </c:pt>
                <c:pt idx="4">
                  <c:v>60.666666666666664</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1AF5-4EA9-B94B-3431268AA446}"/>
            </c:ext>
          </c:extLst>
        </c:ser>
        <c:ser>
          <c:idx val="5"/>
          <c:order val="5"/>
          <c:tx>
            <c:strRef>
              <c:f>'GBF-UNC'!$B$87</c:f>
              <c:strCache>
                <c:ptCount val="1"/>
                <c:pt idx="0">
                  <c:v>15</c:v>
                </c:pt>
              </c:strCache>
            </c:strRef>
          </c:tx>
          <c:spPr>
            <a:solidFill>
              <a:srgbClr val="5E6A71"/>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'GBF-UNC'!$C$87:$Q$87</c:f>
              <c:numCache>
                <c:formatCode>0</c:formatCode>
                <c:ptCount val="14"/>
                <c:pt idx="0">
                  <c:v>0</c:v>
                </c:pt>
                <c:pt idx="1">
                  <c:v>0</c:v>
                </c:pt>
                <c:pt idx="2">
                  <c:v>76.52100840336135</c:v>
                </c:pt>
                <c:pt idx="3">
                  <c:v>102.33333333333334</c:v>
                </c:pt>
                <c:pt idx="4">
                  <c:v>183.06666666666666</c:v>
                </c:pt>
                <c:pt idx="5">
                  <c:v>193.64</c:v>
                </c:pt>
                <c:pt idx="6">
                  <c:v>375.06625590388217</c:v>
                </c:pt>
                <c:pt idx="7">
                  <c:v>152.93333333333334</c:v>
                </c:pt>
                <c:pt idx="8">
                  <c:v>315.26251267836159</c:v>
                </c:pt>
                <c:pt idx="9">
                  <c:v>0</c:v>
                </c:pt>
                <c:pt idx="10">
                  <c:v>0</c:v>
                </c:pt>
                <c:pt idx="11">
                  <c:v>0</c:v>
                </c:pt>
                <c:pt idx="12">
                  <c:v>0</c:v>
                </c:pt>
                <c:pt idx="13">
                  <c:v>0</c:v>
                </c:pt>
              </c:numCache>
            </c:numRef>
          </c:val>
          <c:extLst>
            <c:ext xmlns:c16="http://schemas.microsoft.com/office/drawing/2014/chart" uri="{C3380CC4-5D6E-409C-BE32-E72D297353CC}">
              <c16:uniqueId val="{00000001-1AF5-4EA9-B94B-3431268AA446}"/>
            </c:ext>
          </c:extLst>
        </c:ser>
        <c:ser>
          <c:idx val="6"/>
          <c:order val="6"/>
          <c:tx>
            <c:strRef>
              <c:f>'GBF-UNC'!$B$88</c:f>
              <c:strCache>
                <c:ptCount val="1"/>
                <c:pt idx="0">
                  <c:v>18</c:v>
                </c:pt>
              </c:strCache>
            </c:strRef>
          </c:tx>
          <c:spPr>
            <a:solidFill>
              <a:srgbClr val="5D973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'GBF-UNC'!$C$88:$Q$88</c:f>
              <c:numCache>
                <c:formatCode>0</c:formatCode>
                <c:ptCount val="14"/>
                <c:pt idx="0">
                  <c:v>0</c:v>
                </c:pt>
                <c:pt idx="1">
                  <c:v>0</c:v>
                </c:pt>
                <c:pt idx="2">
                  <c:v>0</c:v>
                </c:pt>
                <c:pt idx="3">
                  <c:v>0</c:v>
                </c:pt>
                <c:pt idx="4">
                  <c:v>0</c:v>
                </c:pt>
                <c:pt idx="5">
                  <c:v>0</c:v>
                </c:pt>
                <c:pt idx="6">
                  <c:v>0</c:v>
                </c:pt>
                <c:pt idx="7">
                  <c:v>0</c:v>
                </c:pt>
                <c:pt idx="8">
                  <c:v>0</c:v>
                </c:pt>
                <c:pt idx="9">
                  <c:v>166.78543772010551</c:v>
                </c:pt>
                <c:pt idx="10">
                  <c:v>300.62599050437262</c:v>
                </c:pt>
                <c:pt idx="11">
                  <c:v>198.16666666666666</c:v>
                </c:pt>
                <c:pt idx="12">
                  <c:v>135.63842336953189</c:v>
                </c:pt>
                <c:pt idx="13">
                  <c:v>51.333333333333336</c:v>
                </c:pt>
              </c:numCache>
            </c:numRef>
          </c:val>
          <c:extLst>
            <c:ext xmlns:c16="http://schemas.microsoft.com/office/drawing/2014/chart" uri="{C3380CC4-5D6E-409C-BE32-E72D297353CC}">
              <c16:uniqueId val="{00000002-1AF5-4EA9-B94B-3431268AA446}"/>
            </c:ext>
          </c:extLst>
        </c:ser>
        <c:dLbls>
          <c:showLegendKey val="0"/>
          <c:showVal val="0"/>
          <c:showCatName val="0"/>
          <c:showSerName val="0"/>
          <c:showPercent val="0"/>
          <c:showBubbleSize val="0"/>
        </c:dLbls>
        <c:gapWidth val="200"/>
        <c:overlap val="100"/>
        <c:axId val="45334935"/>
        <c:axId val="45341167"/>
      </c:barChart>
      <c:lineChart>
        <c:grouping val="standard"/>
        <c:varyColors val="0"/>
        <c:ser>
          <c:idx val="1"/>
          <c:order val="1"/>
          <c:tx>
            <c:strRef>
              <c:f>'GBF-UNC'!$B$130</c:f>
              <c:strCache>
                <c:ptCount val="1"/>
                <c:pt idx="0">
                  <c:v>CTV</c:v>
                </c:pt>
              </c:strCache>
            </c:strRef>
          </c:tx>
          <c:spPr>
            <a:ln w="28575" cap="rnd">
              <a:solidFill>
                <a:schemeClr val="accent2"/>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'GBF-UNC'!$C$130:$Q$130</c:f>
              <c:numCache>
                <c:formatCode>0</c:formatCode>
                <c:ptCount val="14"/>
                <c:pt idx="0">
                  <c:v>0</c:v>
                </c:pt>
                <c:pt idx="1">
                  <c:v>6</c:v>
                </c:pt>
                <c:pt idx="2">
                  <c:v>18</c:v>
                </c:pt>
                <c:pt idx="3">
                  <c:v>26</c:v>
                </c:pt>
                <c:pt idx="4">
                  <c:v>32</c:v>
                </c:pt>
                <c:pt idx="5">
                  <c:v>33</c:v>
                </c:pt>
                <c:pt idx="6">
                  <c:v>41</c:v>
                </c:pt>
                <c:pt idx="7">
                  <c:v>44</c:v>
                </c:pt>
                <c:pt idx="8">
                  <c:v>49</c:v>
                </c:pt>
                <c:pt idx="9">
                  <c:v>50</c:v>
                </c:pt>
                <c:pt idx="10">
                  <c:v>50</c:v>
                </c:pt>
                <c:pt idx="11">
                  <c:v>50</c:v>
                </c:pt>
                <c:pt idx="12">
                  <c:v>51</c:v>
                </c:pt>
                <c:pt idx="13">
                  <c:v>52</c:v>
                </c:pt>
              </c:numCache>
            </c:numRef>
          </c:val>
          <c:smooth val="0"/>
          <c:extLst>
            <c:ext xmlns:c16="http://schemas.microsoft.com/office/drawing/2014/chart" uri="{C3380CC4-5D6E-409C-BE32-E72D297353CC}">
              <c16:uniqueId val="{00000003-1AF5-4EA9-B94B-3431268AA446}"/>
            </c:ext>
          </c:extLst>
        </c:ser>
        <c:ser>
          <c:idx val="2"/>
          <c:order val="2"/>
          <c:tx>
            <c:strRef>
              <c:f>'GBF-UNC'!$B$129</c:f>
              <c:strCache>
                <c:ptCount val="1"/>
                <c:pt idx="0">
                  <c:v>feeder Barges</c:v>
                </c:pt>
              </c:strCache>
            </c:strRef>
          </c:tx>
          <c:spPr>
            <a:ln w="28575" cap="rnd">
              <a:solidFill>
                <a:schemeClr val="accent3"/>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'GBF-UNC'!$C$129:$Q$129</c:f>
              <c:numCache>
                <c:formatCode>0</c:formatCode>
                <c:ptCount val="14"/>
                <c:pt idx="0">
                  <c:v>0</c:v>
                </c:pt>
                <c:pt idx="1">
                  <c:v>4</c:v>
                </c:pt>
                <c:pt idx="2">
                  <c:v>10</c:v>
                </c:pt>
                <c:pt idx="3">
                  <c:v>10</c:v>
                </c:pt>
                <c:pt idx="4">
                  <c:v>8</c:v>
                </c:pt>
                <c:pt idx="5">
                  <c:v>6</c:v>
                </c:pt>
                <c:pt idx="6">
                  <c:v>10</c:v>
                </c:pt>
                <c:pt idx="7">
                  <c:v>4</c:v>
                </c:pt>
                <c:pt idx="8">
                  <c:v>8</c:v>
                </c:pt>
                <c:pt idx="9">
                  <c:v>6</c:v>
                </c:pt>
                <c:pt idx="10">
                  <c:v>8</c:v>
                </c:pt>
                <c:pt idx="11">
                  <c:v>6</c:v>
                </c:pt>
                <c:pt idx="12">
                  <c:v>4</c:v>
                </c:pt>
                <c:pt idx="13">
                  <c:v>4</c:v>
                </c:pt>
              </c:numCache>
            </c:numRef>
          </c:val>
          <c:smooth val="0"/>
          <c:extLst>
            <c:ext xmlns:c16="http://schemas.microsoft.com/office/drawing/2014/chart" uri="{C3380CC4-5D6E-409C-BE32-E72D297353CC}">
              <c16:uniqueId val="{00000004-1AF5-4EA9-B94B-3431268AA446}"/>
            </c:ext>
          </c:extLst>
        </c:ser>
        <c:ser>
          <c:idx val="3"/>
          <c:order val="3"/>
          <c:tx>
            <c:v>WTIV</c:v>
          </c:tx>
          <c:spPr>
            <a:ln w="28575" cap="rnd">
              <a:solidFill>
                <a:schemeClr val="accent4"/>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'GBF-UNC'!$C$126:$Q$126</c:f>
              <c:numCache>
                <c:formatCode>0</c:formatCode>
                <c:ptCount val="14"/>
                <c:pt idx="0">
                  <c:v>0</c:v>
                </c:pt>
                <c:pt idx="1">
                  <c:v>2</c:v>
                </c:pt>
                <c:pt idx="2">
                  <c:v>5</c:v>
                </c:pt>
                <c:pt idx="3">
                  <c:v>5</c:v>
                </c:pt>
                <c:pt idx="4">
                  <c:v>4</c:v>
                </c:pt>
                <c:pt idx="5">
                  <c:v>3</c:v>
                </c:pt>
                <c:pt idx="6">
                  <c:v>5</c:v>
                </c:pt>
                <c:pt idx="7">
                  <c:v>2</c:v>
                </c:pt>
                <c:pt idx="8">
                  <c:v>4</c:v>
                </c:pt>
                <c:pt idx="9">
                  <c:v>3</c:v>
                </c:pt>
                <c:pt idx="10">
                  <c:v>4</c:v>
                </c:pt>
                <c:pt idx="11">
                  <c:v>3</c:v>
                </c:pt>
                <c:pt idx="12">
                  <c:v>2</c:v>
                </c:pt>
                <c:pt idx="13">
                  <c:v>2</c:v>
                </c:pt>
              </c:numCache>
            </c:numRef>
          </c:val>
          <c:smooth val="0"/>
          <c:extLst>
            <c:ext xmlns:c16="http://schemas.microsoft.com/office/drawing/2014/chart" uri="{C3380CC4-5D6E-409C-BE32-E72D297353CC}">
              <c16:uniqueId val="{00000005-1AF5-4EA9-B94B-3431268AA446}"/>
            </c:ext>
          </c:extLst>
        </c:ser>
        <c:ser>
          <c:idx val="4"/>
          <c:order val="4"/>
          <c:tx>
            <c:strRef>
              <c:f>'GBF-UNC'!$B$132</c:f>
              <c:strCache>
                <c:ptCount val="1"/>
                <c:pt idx="0">
                  <c:v>CLV</c:v>
                </c:pt>
              </c:strCache>
            </c:strRef>
          </c:tx>
          <c:spPr>
            <a:ln w="38100" cap="rnd">
              <a:solidFill>
                <a:schemeClr val="accent5"/>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'GBF-UNC'!$C$132:$Q$132</c:f>
              <c:numCache>
                <c:formatCode>0</c:formatCode>
                <c:ptCount val="14"/>
                <c:pt idx="0">
                  <c:v>0</c:v>
                </c:pt>
                <c:pt idx="1">
                  <c:v>1</c:v>
                </c:pt>
                <c:pt idx="2">
                  <c:v>4</c:v>
                </c:pt>
                <c:pt idx="3">
                  <c:v>3</c:v>
                </c:pt>
                <c:pt idx="4">
                  <c:v>3</c:v>
                </c:pt>
                <c:pt idx="5">
                  <c:v>2</c:v>
                </c:pt>
                <c:pt idx="6">
                  <c:v>4</c:v>
                </c:pt>
                <c:pt idx="7">
                  <c:v>2</c:v>
                </c:pt>
                <c:pt idx="8">
                  <c:v>4</c:v>
                </c:pt>
                <c:pt idx="9">
                  <c:v>2</c:v>
                </c:pt>
                <c:pt idx="10">
                  <c:v>4</c:v>
                </c:pt>
                <c:pt idx="11">
                  <c:v>3</c:v>
                </c:pt>
                <c:pt idx="12">
                  <c:v>2</c:v>
                </c:pt>
                <c:pt idx="13">
                  <c:v>1</c:v>
                </c:pt>
              </c:numCache>
            </c:numRef>
          </c:val>
          <c:smooth val="0"/>
          <c:extLst>
            <c:ext xmlns:c16="http://schemas.microsoft.com/office/drawing/2014/chart" uri="{C3380CC4-5D6E-409C-BE32-E72D297353CC}">
              <c16:uniqueId val="{00000006-1AF5-4EA9-B94B-3431268AA446}"/>
            </c:ext>
          </c:extLst>
        </c:ser>
        <c:ser>
          <c:idx val="7"/>
          <c:order val="7"/>
          <c:tx>
            <c:strRef>
              <c:f>'GBF-UNC'!$B$131</c:f>
              <c:strCache>
                <c:ptCount val="1"/>
                <c:pt idx="0">
                  <c:v>SOV</c:v>
                </c:pt>
              </c:strCache>
            </c:strRef>
          </c:tx>
          <c:spPr>
            <a:ln w="28575" cap="rnd">
              <a:solidFill>
                <a:schemeClr val="accent2">
                  <a:lumMod val="60000"/>
                </a:schemeClr>
              </a:solidFill>
              <a:round/>
            </a:ln>
            <a:effectLst/>
          </c:spPr>
          <c:marker>
            <c:symbol val="none"/>
          </c:marker>
          <c:val>
            <c:numRef>
              <c:f>'GBF-UNC'!$C$131:$Q$131</c:f>
              <c:numCache>
                <c:formatCode>0</c:formatCode>
                <c:ptCount val="14"/>
                <c:pt idx="0">
                  <c:v>0</c:v>
                </c:pt>
                <c:pt idx="1">
                  <c:v>1</c:v>
                </c:pt>
                <c:pt idx="2">
                  <c:v>2</c:v>
                </c:pt>
                <c:pt idx="3">
                  <c:v>4</c:v>
                </c:pt>
                <c:pt idx="4">
                  <c:v>5</c:v>
                </c:pt>
                <c:pt idx="5">
                  <c:v>6</c:v>
                </c:pt>
                <c:pt idx="6">
                  <c:v>8</c:v>
                </c:pt>
                <c:pt idx="7">
                  <c:v>9</c:v>
                </c:pt>
                <c:pt idx="8">
                  <c:v>10</c:v>
                </c:pt>
                <c:pt idx="9">
                  <c:v>11</c:v>
                </c:pt>
                <c:pt idx="10">
                  <c:v>13</c:v>
                </c:pt>
                <c:pt idx="11">
                  <c:v>14</c:v>
                </c:pt>
                <c:pt idx="12">
                  <c:v>14</c:v>
                </c:pt>
                <c:pt idx="13">
                  <c:v>15</c:v>
                </c:pt>
              </c:numCache>
            </c:numRef>
          </c:val>
          <c:smooth val="0"/>
          <c:extLst>
            <c:ext xmlns:c16="http://schemas.microsoft.com/office/drawing/2014/chart" uri="{C3380CC4-5D6E-409C-BE32-E72D297353CC}">
              <c16:uniqueId val="{00000001-D8EB-4BCC-8686-A9D49DE129D1}"/>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Vessels Required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minorUnit val="5"/>
      </c:valAx>
      <c:valAx>
        <c:axId val="45341167"/>
        <c:scaling>
          <c:orientation val="minMax"/>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 Turbines Installed </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5334935"/>
        <c:crosses val="max"/>
        <c:crossBetween val="between"/>
      </c:valAx>
      <c:catAx>
        <c:axId val="45334935"/>
        <c:scaling>
          <c:orientation val="minMax"/>
        </c:scaling>
        <c:delete val="1"/>
        <c:axPos val="b"/>
        <c:numFmt formatCode="General" sourceLinked="1"/>
        <c:majorTickMark val="out"/>
        <c:minorTickMark val="none"/>
        <c:tickLblPos val="nextTo"/>
        <c:crossAx val="45341167"/>
        <c:crosses val="autoZero"/>
        <c:auto val="1"/>
        <c:lblAlgn val="ctr"/>
        <c:lblOffset val="100"/>
        <c:noMultiLvlLbl val="0"/>
      </c:catAx>
      <c:spPr>
        <a:noFill/>
        <a:ln>
          <a:noFill/>
        </a:ln>
        <a:effectLst/>
      </c:spPr>
    </c:plotArea>
    <c:legend>
      <c:legendPos val="b"/>
      <c:layout>
        <c:manualLayout>
          <c:xMode val="edge"/>
          <c:yMode val="edge"/>
          <c:x val="0.10195364966059496"/>
          <c:y val="9.4921392701569532E-2"/>
          <c:w val="0.5568668537370155"/>
          <c:h val="4.2986084721190927E-2"/>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nchor="t" anchorCtr="1"/>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Total MW and Projects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462671550043816E-2"/>
          <c:y val="7.5282334926584052E-2"/>
          <c:w val="0.84749648151120716"/>
          <c:h val="0.76811631697945759"/>
        </c:manualLayout>
      </c:layout>
      <c:barChart>
        <c:barDir val="col"/>
        <c:grouping val="clustered"/>
        <c:varyColors val="0"/>
        <c:ser>
          <c:idx val="0"/>
          <c:order val="0"/>
          <c:tx>
            <c:strRef>
              <c:f>'GBF-UNC'!$B$83</c:f>
              <c:strCache>
                <c:ptCount val="1"/>
                <c:pt idx="0">
                  <c:v>Installed MW</c:v>
                </c:pt>
              </c:strCache>
            </c:strRef>
          </c:tx>
          <c:spPr>
            <a:solidFill>
              <a:srgbClr val="0079C2"/>
            </a:solidFill>
            <a:ln>
              <a:noFill/>
            </a:ln>
            <a:effectLst/>
          </c:spPr>
          <c:invertIfNegative val="0"/>
          <c:cat>
            <c:numRef>
              <c:f>'GBF-UNC'!$C$6:$Q$6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'GBF-UNC'!$C$83:$Q$83</c:f>
              <c:numCache>
                <c:formatCode>0</c:formatCode>
                <c:ptCount val="14"/>
                <c:pt idx="0">
                  <c:v>0</c:v>
                </c:pt>
                <c:pt idx="1">
                  <c:v>513.23076923076928</c:v>
                </c:pt>
                <c:pt idx="2">
                  <c:v>4289.353587588882</c:v>
                </c:pt>
                <c:pt idx="3">
                  <c:v>3785.1538461538457</c:v>
                </c:pt>
                <c:pt idx="4">
                  <c:v>3474</c:v>
                </c:pt>
                <c:pt idx="5">
                  <c:v>2904.6</c:v>
                </c:pt>
                <c:pt idx="6">
                  <c:v>5625.9938385582327</c:v>
                </c:pt>
                <c:pt idx="7">
                  <c:v>2294</c:v>
                </c:pt>
                <c:pt idx="8">
                  <c:v>4728.937690175424</c:v>
                </c:pt>
                <c:pt idx="9">
                  <c:v>3002.1378789618993</c:v>
                </c:pt>
                <c:pt idx="10">
                  <c:v>5411.2678290787071</c:v>
                </c:pt>
                <c:pt idx="11">
                  <c:v>3567</c:v>
                </c:pt>
                <c:pt idx="12">
                  <c:v>2441.4916206515741</c:v>
                </c:pt>
                <c:pt idx="13">
                  <c:v>924</c:v>
                </c:pt>
              </c:numCache>
            </c:numRef>
          </c:val>
          <c:extLst>
            <c:ext xmlns:c16="http://schemas.microsoft.com/office/drawing/2014/chart" uri="{C3380CC4-5D6E-409C-BE32-E72D297353CC}">
              <c16:uniqueId val="{00000000-3047-47B0-AA47-DC97DE5E778F}"/>
            </c:ext>
          </c:extLst>
        </c:ser>
        <c:dLbls>
          <c:showLegendKey val="0"/>
          <c:showVal val="0"/>
          <c:showCatName val="0"/>
          <c:showSerName val="0"/>
          <c:showPercent val="0"/>
          <c:showBubbleSize val="0"/>
        </c:dLbls>
        <c:gapWidth val="200"/>
        <c:overlap val="100"/>
        <c:axId val="1105198224"/>
        <c:axId val="1105196256"/>
      </c:barChart>
      <c:lineChart>
        <c:grouping val="standard"/>
        <c:varyColors val="0"/>
        <c:ser>
          <c:idx val="4"/>
          <c:order val="1"/>
          <c:tx>
            <c:strRef>
              <c:f>'GBF-UNC'!$B$84</c:f>
              <c:strCache>
                <c:ptCount val="1"/>
                <c:pt idx="0">
                  <c:v>Number of Projects</c:v>
                </c:pt>
              </c:strCache>
            </c:strRef>
          </c:tx>
          <c:spPr>
            <a:ln w="38100" cap="rnd">
              <a:solidFill>
                <a:srgbClr val="933C06"/>
              </a:solidFill>
              <a:round/>
            </a:ln>
            <a:effectLst/>
          </c:spPr>
          <c:marker>
            <c:symbol val="none"/>
          </c:marker>
          <c:cat>
            <c:numRef>
              <c:f>'GBF-UNC'!$C$6:$Q$6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'GBF-UNC'!$C$84:$Q$84</c:f>
              <c:numCache>
                <c:formatCode>0</c:formatCode>
                <c:ptCount val="14"/>
                <c:pt idx="0">
                  <c:v>0</c:v>
                </c:pt>
                <c:pt idx="1">
                  <c:v>2</c:v>
                </c:pt>
                <c:pt idx="2">
                  <c:v>6</c:v>
                </c:pt>
                <c:pt idx="3">
                  <c:v>4.9999999999999991</c:v>
                </c:pt>
                <c:pt idx="4">
                  <c:v>6</c:v>
                </c:pt>
                <c:pt idx="5">
                  <c:v>3</c:v>
                </c:pt>
                <c:pt idx="6">
                  <c:v>6.9999999999999991</c:v>
                </c:pt>
                <c:pt idx="7">
                  <c:v>3</c:v>
                </c:pt>
                <c:pt idx="8">
                  <c:v>6</c:v>
                </c:pt>
                <c:pt idx="9">
                  <c:v>2</c:v>
                </c:pt>
                <c:pt idx="10">
                  <c:v>3</c:v>
                </c:pt>
                <c:pt idx="11">
                  <c:v>1</c:v>
                </c:pt>
                <c:pt idx="12">
                  <c:v>2</c:v>
                </c:pt>
                <c:pt idx="13">
                  <c:v>1</c:v>
                </c:pt>
              </c:numCache>
            </c:numRef>
          </c:val>
          <c:smooth val="0"/>
          <c:extLst>
            <c:ext xmlns:c16="http://schemas.microsoft.com/office/drawing/2014/chart" uri="{C3380CC4-5D6E-409C-BE32-E72D297353CC}">
              <c16:uniqueId val="{00000001-3047-47B0-AA47-DC97DE5E778F}"/>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2"/>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Projects Constructed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105196256"/>
        <c:scaling>
          <c:orientation val="minMax"/>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MW per year</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05198224"/>
        <c:crosses val="max"/>
        <c:crossBetween val="between"/>
      </c:valAx>
      <c:catAx>
        <c:axId val="1105198224"/>
        <c:scaling>
          <c:orientation val="minMax"/>
        </c:scaling>
        <c:delete val="1"/>
        <c:axPos val="b"/>
        <c:numFmt formatCode="General" sourceLinked="1"/>
        <c:majorTickMark val="out"/>
        <c:minorTickMark val="none"/>
        <c:tickLblPos val="nextTo"/>
        <c:crossAx val="1105196256"/>
        <c:crosses val="autoZero"/>
        <c:auto val="1"/>
        <c:lblAlgn val="ctr"/>
        <c:lblOffset val="100"/>
        <c:noMultiLvlLbl val="0"/>
      </c:catAx>
      <c:spPr>
        <a:noFill/>
        <a:ln>
          <a:noFill/>
        </a:ln>
        <a:effectLst/>
      </c:spPr>
    </c:plotArea>
    <c:legend>
      <c:legendPos val="b"/>
      <c:layout>
        <c:manualLayout>
          <c:xMode val="edge"/>
          <c:yMode val="edge"/>
          <c:x val="9.9358774265480274E-2"/>
          <c:y val="9.9731239444338426E-2"/>
          <c:w val="0.16406096444866217"/>
          <c:h val="0.1893341143365127"/>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Turbines Transported/Stored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2623337265654374E-2"/>
          <c:y val="7.5282334926584052E-2"/>
          <c:w val="0.80910229985705562"/>
          <c:h val="0.75701402721993338"/>
        </c:manualLayout>
      </c:layout>
      <c:barChart>
        <c:barDir val="col"/>
        <c:grouping val="stacked"/>
        <c:varyColors val="0"/>
        <c:ser>
          <c:idx val="1"/>
          <c:order val="0"/>
          <c:tx>
            <c:strRef>
              <c:f>'GBF-UNC'!$B$46</c:f>
              <c:strCache>
                <c:ptCount val="1"/>
                <c:pt idx="0">
                  <c:v>12</c:v>
                </c:pt>
              </c:strCache>
            </c:strRef>
          </c:tx>
          <c:spPr>
            <a:solidFill>
              <a:srgbClr val="0079C2"/>
            </a:solidFill>
            <a:ln>
              <a:noFill/>
            </a:ln>
            <a:effectLst/>
          </c:spPr>
          <c:invertIfNegative val="0"/>
          <c:cat>
            <c:numRef>
              <c:f>'GBF-UNC'!$C$6:$Q$6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'GBF-UNC'!$C$46:$Q$46</c:f>
              <c:numCache>
                <c:formatCode>0</c:formatCode>
                <c:ptCount val="14"/>
                <c:pt idx="0">
                  <c:v>42.769230769230774</c:v>
                </c:pt>
                <c:pt idx="1">
                  <c:v>261.79487179487182</c:v>
                </c:pt>
                <c:pt idx="2">
                  <c:v>187.5128205128205</c:v>
                </c:pt>
                <c:pt idx="3">
                  <c:v>60.666666666666664</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56B2-4A61-8E5B-3DE6FBEBC158}"/>
            </c:ext>
          </c:extLst>
        </c:ser>
        <c:ser>
          <c:idx val="2"/>
          <c:order val="1"/>
          <c:tx>
            <c:strRef>
              <c:f>'GBF-UNC'!$B$47</c:f>
              <c:strCache>
                <c:ptCount val="1"/>
                <c:pt idx="0">
                  <c:v>15</c:v>
                </c:pt>
              </c:strCache>
            </c:strRef>
          </c:tx>
          <c:spPr>
            <a:solidFill>
              <a:srgbClr val="5E6A71"/>
            </a:solidFill>
            <a:ln>
              <a:noFill/>
            </a:ln>
            <a:effectLst/>
          </c:spPr>
          <c:invertIfNegative val="0"/>
          <c:cat>
            <c:numRef>
              <c:f>'GBF-UNC'!$C$6:$Q$6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'GBF-UNC'!$C$47:$Q$47</c:f>
              <c:numCache>
                <c:formatCode>0</c:formatCode>
                <c:ptCount val="14"/>
                <c:pt idx="0">
                  <c:v>0</c:v>
                </c:pt>
                <c:pt idx="1">
                  <c:v>76.52100840336135</c:v>
                </c:pt>
                <c:pt idx="2">
                  <c:v>102.33333333333334</c:v>
                </c:pt>
                <c:pt idx="3">
                  <c:v>183.06666666666666</c:v>
                </c:pt>
                <c:pt idx="4">
                  <c:v>193.64</c:v>
                </c:pt>
                <c:pt idx="5">
                  <c:v>375.06625590388217</c:v>
                </c:pt>
                <c:pt idx="6">
                  <c:v>152.93333333333334</c:v>
                </c:pt>
                <c:pt idx="7">
                  <c:v>315.26251267836159</c:v>
                </c:pt>
                <c:pt idx="8">
                  <c:v>0</c:v>
                </c:pt>
                <c:pt idx="9">
                  <c:v>0</c:v>
                </c:pt>
                <c:pt idx="10">
                  <c:v>0</c:v>
                </c:pt>
                <c:pt idx="11">
                  <c:v>0</c:v>
                </c:pt>
                <c:pt idx="12">
                  <c:v>0</c:v>
                </c:pt>
              </c:numCache>
            </c:numRef>
          </c:val>
          <c:extLst>
            <c:ext xmlns:c16="http://schemas.microsoft.com/office/drawing/2014/chart" uri="{C3380CC4-5D6E-409C-BE32-E72D297353CC}">
              <c16:uniqueId val="{00000001-56B2-4A61-8E5B-3DE6FBEBC158}"/>
            </c:ext>
          </c:extLst>
        </c:ser>
        <c:ser>
          <c:idx val="3"/>
          <c:order val="2"/>
          <c:tx>
            <c:strRef>
              <c:f>'GBF-UNC'!$B$48</c:f>
              <c:strCache>
                <c:ptCount val="1"/>
                <c:pt idx="0">
                  <c:v>18</c:v>
                </c:pt>
              </c:strCache>
            </c:strRef>
          </c:tx>
          <c:spPr>
            <a:solidFill>
              <a:srgbClr val="5D9732"/>
            </a:solidFill>
            <a:ln>
              <a:noFill/>
            </a:ln>
            <a:effectLst/>
          </c:spPr>
          <c:invertIfNegative val="0"/>
          <c:cat>
            <c:numRef>
              <c:f>'GBF-UNC'!$C$6:$Q$6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'GBF-UNC'!$C$48:$Q$48</c:f>
              <c:numCache>
                <c:formatCode>0</c:formatCode>
                <c:ptCount val="14"/>
                <c:pt idx="0">
                  <c:v>0</c:v>
                </c:pt>
                <c:pt idx="1">
                  <c:v>0</c:v>
                </c:pt>
                <c:pt idx="2">
                  <c:v>0</c:v>
                </c:pt>
                <c:pt idx="3">
                  <c:v>0</c:v>
                </c:pt>
                <c:pt idx="4">
                  <c:v>0</c:v>
                </c:pt>
                <c:pt idx="5">
                  <c:v>0</c:v>
                </c:pt>
                <c:pt idx="6">
                  <c:v>0</c:v>
                </c:pt>
                <c:pt idx="7">
                  <c:v>0</c:v>
                </c:pt>
                <c:pt idx="8">
                  <c:v>166.78543772010551</c:v>
                </c:pt>
                <c:pt idx="9">
                  <c:v>300.62599050437262</c:v>
                </c:pt>
                <c:pt idx="10">
                  <c:v>198.16666666666666</c:v>
                </c:pt>
                <c:pt idx="11">
                  <c:v>135.63842336953189</c:v>
                </c:pt>
                <c:pt idx="12">
                  <c:v>51.333333333333336</c:v>
                </c:pt>
              </c:numCache>
            </c:numRef>
          </c:val>
          <c:extLst>
            <c:ext xmlns:c16="http://schemas.microsoft.com/office/drawing/2014/chart" uri="{C3380CC4-5D6E-409C-BE32-E72D297353CC}">
              <c16:uniqueId val="{00000002-56B2-4A61-8E5B-3DE6FBEBC158}"/>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Transportation/Storage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Turbines Stored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w="9525">
          <a:solidFill>
            <a:srgbClr val="3D6321"/>
          </a:solid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a:t>Turbine</a:t>
            </a:r>
            <a:r>
              <a:rPr lang="en-US" baseline="0"/>
              <a:t> Orders</a:t>
            </a:r>
            <a:endParaRPr lang="en-US"/>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909255046736566E-2"/>
          <c:y val="7.5282334926584052E-2"/>
          <c:w val="0.8200706163901833"/>
          <c:h val="0.75439490302403034"/>
        </c:manualLayout>
      </c:layout>
      <c:barChart>
        <c:barDir val="col"/>
        <c:grouping val="stacked"/>
        <c:varyColors val="0"/>
        <c:ser>
          <c:idx val="1"/>
          <c:order val="0"/>
          <c:tx>
            <c:strRef>
              <c:f>'GBF-UNC'!$B$10</c:f>
              <c:strCache>
                <c:ptCount val="1"/>
                <c:pt idx="0">
                  <c:v>12</c:v>
                </c:pt>
              </c:strCache>
            </c:strRef>
          </c:tx>
          <c:spPr>
            <a:solidFill>
              <a:srgbClr val="0079C2"/>
            </a:solidFill>
            <a:ln>
              <a:noFill/>
            </a:ln>
            <a:effectLst/>
          </c:spPr>
          <c:invertIfNegative val="0"/>
          <c:cat>
            <c:numRef>
              <c:f>'GBF-UNC'!$C$6:$Q$6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'GBF-UNC'!$C$10:$Q$10</c:f>
              <c:numCache>
                <c:formatCode>0</c:formatCode>
                <c:ptCount val="14"/>
                <c:pt idx="0">
                  <c:v>261.79487179487182</c:v>
                </c:pt>
                <c:pt idx="1">
                  <c:v>187.5128205128205</c:v>
                </c:pt>
                <c:pt idx="2">
                  <c:v>60.666666666666664</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C4D6-420C-89A4-FF0BF83595C2}"/>
            </c:ext>
          </c:extLst>
        </c:ser>
        <c:ser>
          <c:idx val="2"/>
          <c:order val="1"/>
          <c:tx>
            <c:strRef>
              <c:f>'GBF-UNC'!$B$11</c:f>
              <c:strCache>
                <c:ptCount val="1"/>
                <c:pt idx="0">
                  <c:v>15</c:v>
                </c:pt>
              </c:strCache>
            </c:strRef>
          </c:tx>
          <c:spPr>
            <a:solidFill>
              <a:srgbClr val="5E6A71"/>
            </a:solidFill>
            <a:ln>
              <a:noFill/>
            </a:ln>
            <a:effectLst/>
          </c:spPr>
          <c:invertIfNegative val="0"/>
          <c:cat>
            <c:numRef>
              <c:f>'GBF-UNC'!$C$6:$Q$6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'GBF-UNC'!$C$11:$Q$11</c:f>
              <c:numCache>
                <c:formatCode>0</c:formatCode>
                <c:ptCount val="14"/>
                <c:pt idx="0">
                  <c:v>76.52100840336135</c:v>
                </c:pt>
                <c:pt idx="1">
                  <c:v>102.33333333333334</c:v>
                </c:pt>
                <c:pt idx="2">
                  <c:v>183.06666666666666</c:v>
                </c:pt>
                <c:pt idx="3">
                  <c:v>193.64</c:v>
                </c:pt>
                <c:pt idx="4">
                  <c:v>375.06625590388217</c:v>
                </c:pt>
                <c:pt idx="5">
                  <c:v>152.93333333333334</c:v>
                </c:pt>
                <c:pt idx="6">
                  <c:v>315.26251267836159</c:v>
                </c:pt>
                <c:pt idx="7">
                  <c:v>0</c:v>
                </c:pt>
                <c:pt idx="8">
                  <c:v>0</c:v>
                </c:pt>
                <c:pt idx="9">
                  <c:v>0</c:v>
                </c:pt>
                <c:pt idx="10">
                  <c:v>0</c:v>
                </c:pt>
                <c:pt idx="11">
                  <c:v>0</c:v>
                </c:pt>
              </c:numCache>
            </c:numRef>
          </c:val>
          <c:extLst>
            <c:ext xmlns:c16="http://schemas.microsoft.com/office/drawing/2014/chart" uri="{C3380CC4-5D6E-409C-BE32-E72D297353CC}">
              <c16:uniqueId val="{00000001-C4D6-420C-89A4-FF0BF83595C2}"/>
            </c:ext>
          </c:extLst>
        </c:ser>
        <c:ser>
          <c:idx val="3"/>
          <c:order val="2"/>
          <c:tx>
            <c:strRef>
              <c:f>'GBF-UNC'!$B$12</c:f>
              <c:strCache>
                <c:ptCount val="1"/>
                <c:pt idx="0">
                  <c:v>18</c:v>
                </c:pt>
              </c:strCache>
            </c:strRef>
          </c:tx>
          <c:spPr>
            <a:solidFill>
              <a:srgbClr val="5D9732"/>
            </a:solidFill>
            <a:ln>
              <a:noFill/>
            </a:ln>
            <a:effectLst/>
          </c:spPr>
          <c:invertIfNegative val="0"/>
          <c:cat>
            <c:numRef>
              <c:f>'GBF-UNC'!$C$6:$Q$6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'GBF-UNC'!$C$12:$Q$12</c:f>
              <c:numCache>
                <c:formatCode>0</c:formatCode>
                <c:ptCount val="14"/>
                <c:pt idx="0">
                  <c:v>0</c:v>
                </c:pt>
                <c:pt idx="1">
                  <c:v>0</c:v>
                </c:pt>
                <c:pt idx="2">
                  <c:v>0</c:v>
                </c:pt>
                <c:pt idx="3">
                  <c:v>0</c:v>
                </c:pt>
                <c:pt idx="4">
                  <c:v>0</c:v>
                </c:pt>
                <c:pt idx="5">
                  <c:v>0</c:v>
                </c:pt>
                <c:pt idx="6">
                  <c:v>0</c:v>
                </c:pt>
                <c:pt idx="7">
                  <c:v>166.78543772010551</c:v>
                </c:pt>
                <c:pt idx="8">
                  <c:v>300.62599050437262</c:v>
                </c:pt>
                <c:pt idx="9">
                  <c:v>198.16666666666666</c:v>
                </c:pt>
                <c:pt idx="10">
                  <c:v>135.63842336953189</c:v>
                </c:pt>
                <c:pt idx="11">
                  <c:v>51.333333333333336</c:v>
                </c:pt>
              </c:numCache>
            </c:numRef>
          </c:val>
          <c:extLst>
            <c:ext xmlns:c16="http://schemas.microsoft.com/office/drawing/2014/chart" uri="{C3380CC4-5D6E-409C-BE32-E72D297353CC}">
              <c16:uniqueId val="{00000002-C4D6-420C-89A4-FF0BF83595C2}"/>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Procurement/Manufacturing</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Turbines Ordered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baseline="0"/>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Vessels Required and Turbines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417250198291675E-2"/>
          <c:y val="7.5282334926584052E-2"/>
          <c:w val="0.82771678647263758"/>
          <c:h val="0.79270271721152119"/>
        </c:manualLayout>
      </c:layout>
      <c:barChart>
        <c:barDir val="col"/>
        <c:grouping val="stacked"/>
        <c:varyColors val="0"/>
        <c:ser>
          <c:idx val="0"/>
          <c:order val="0"/>
          <c:tx>
            <c:strRef>
              <c:f>'ALL-MONO'!$B$86</c:f>
              <c:strCache>
                <c:ptCount val="1"/>
                <c:pt idx="0">
                  <c:v>12</c:v>
                </c:pt>
              </c:strCache>
            </c:strRef>
          </c:tx>
          <c:spPr>
            <a:solidFill>
              <a:srgbClr val="0079C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'ALL-MONO'!$C$86:$Q$86</c:f>
              <c:numCache>
                <c:formatCode>0</c:formatCode>
                <c:ptCount val="14"/>
                <c:pt idx="0">
                  <c:v>0</c:v>
                </c:pt>
                <c:pt idx="1">
                  <c:v>42.769230769230774</c:v>
                </c:pt>
                <c:pt idx="2">
                  <c:v>261.79487179487182</c:v>
                </c:pt>
                <c:pt idx="3">
                  <c:v>187.5128205128205</c:v>
                </c:pt>
                <c:pt idx="4">
                  <c:v>60.666666666666664</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5160-4C73-B22B-1108934EF40D}"/>
            </c:ext>
          </c:extLst>
        </c:ser>
        <c:ser>
          <c:idx val="5"/>
          <c:order val="5"/>
          <c:tx>
            <c:strRef>
              <c:f>'ALL-MONO'!$B$87</c:f>
              <c:strCache>
                <c:ptCount val="1"/>
                <c:pt idx="0">
                  <c:v>15</c:v>
                </c:pt>
              </c:strCache>
            </c:strRef>
          </c:tx>
          <c:spPr>
            <a:solidFill>
              <a:srgbClr val="5E6A71"/>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'ALL-MONO'!$C$87:$Q$87</c:f>
              <c:numCache>
                <c:formatCode>0</c:formatCode>
                <c:ptCount val="14"/>
                <c:pt idx="0">
                  <c:v>0</c:v>
                </c:pt>
                <c:pt idx="1">
                  <c:v>0</c:v>
                </c:pt>
                <c:pt idx="2">
                  <c:v>76.52100840336135</c:v>
                </c:pt>
                <c:pt idx="3">
                  <c:v>102.33333333333334</c:v>
                </c:pt>
                <c:pt idx="4">
                  <c:v>183.06666666666666</c:v>
                </c:pt>
                <c:pt idx="5">
                  <c:v>193.64</c:v>
                </c:pt>
                <c:pt idx="6">
                  <c:v>375.06625590388217</c:v>
                </c:pt>
                <c:pt idx="7">
                  <c:v>152.93333333333334</c:v>
                </c:pt>
                <c:pt idx="8">
                  <c:v>315.26251267836159</c:v>
                </c:pt>
                <c:pt idx="9">
                  <c:v>0</c:v>
                </c:pt>
                <c:pt idx="10">
                  <c:v>0</c:v>
                </c:pt>
                <c:pt idx="11">
                  <c:v>0</c:v>
                </c:pt>
                <c:pt idx="12">
                  <c:v>0</c:v>
                </c:pt>
                <c:pt idx="13">
                  <c:v>0</c:v>
                </c:pt>
              </c:numCache>
            </c:numRef>
          </c:val>
          <c:extLst>
            <c:ext xmlns:c16="http://schemas.microsoft.com/office/drawing/2014/chart" uri="{C3380CC4-5D6E-409C-BE32-E72D297353CC}">
              <c16:uniqueId val="{00000001-5160-4C73-B22B-1108934EF40D}"/>
            </c:ext>
          </c:extLst>
        </c:ser>
        <c:ser>
          <c:idx val="6"/>
          <c:order val="6"/>
          <c:tx>
            <c:strRef>
              <c:f>'ALL-MONO'!$B$88</c:f>
              <c:strCache>
                <c:ptCount val="1"/>
                <c:pt idx="0">
                  <c:v>18</c:v>
                </c:pt>
              </c:strCache>
            </c:strRef>
          </c:tx>
          <c:spPr>
            <a:solidFill>
              <a:srgbClr val="5D973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'ALL-MONO'!$C$88:$Q$88</c:f>
              <c:numCache>
                <c:formatCode>0</c:formatCode>
                <c:ptCount val="14"/>
                <c:pt idx="0">
                  <c:v>0</c:v>
                </c:pt>
                <c:pt idx="1">
                  <c:v>0</c:v>
                </c:pt>
                <c:pt idx="2">
                  <c:v>0</c:v>
                </c:pt>
                <c:pt idx="3">
                  <c:v>0</c:v>
                </c:pt>
                <c:pt idx="4">
                  <c:v>0</c:v>
                </c:pt>
                <c:pt idx="5">
                  <c:v>0</c:v>
                </c:pt>
                <c:pt idx="6">
                  <c:v>0</c:v>
                </c:pt>
                <c:pt idx="7">
                  <c:v>0</c:v>
                </c:pt>
                <c:pt idx="8">
                  <c:v>0</c:v>
                </c:pt>
                <c:pt idx="9">
                  <c:v>166.78543772010551</c:v>
                </c:pt>
                <c:pt idx="10">
                  <c:v>300.62599050437262</c:v>
                </c:pt>
                <c:pt idx="11">
                  <c:v>198.16666666666666</c:v>
                </c:pt>
                <c:pt idx="12">
                  <c:v>135.63842336953189</c:v>
                </c:pt>
                <c:pt idx="13">
                  <c:v>51.333333333333336</c:v>
                </c:pt>
              </c:numCache>
            </c:numRef>
          </c:val>
          <c:extLst>
            <c:ext xmlns:c16="http://schemas.microsoft.com/office/drawing/2014/chart" uri="{C3380CC4-5D6E-409C-BE32-E72D297353CC}">
              <c16:uniqueId val="{00000002-5160-4C73-B22B-1108934EF40D}"/>
            </c:ext>
          </c:extLst>
        </c:ser>
        <c:dLbls>
          <c:showLegendKey val="0"/>
          <c:showVal val="0"/>
          <c:showCatName val="0"/>
          <c:showSerName val="0"/>
          <c:showPercent val="0"/>
          <c:showBubbleSize val="0"/>
        </c:dLbls>
        <c:gapWidth val="200"/>
        <c:overlap val="100"/>
        <c:axId val="45334935"/>
        <c:axId val="45341167"/>
      </c:barChart>
      <c:lineChart>
        <c:grouping val="standard"/>
        <c:varyColors val="0"/>
        <c:ser>
          <c:idx val="1"/>
          <c:order val="1"/>
          <c:tx>
            <c:strRef>
              <c:f>'ALL-MONO'!$B$130</c:f>
              <c:strCache>
                <c:ptCount val="1"/>
                <c:pt idx="0">
                  <c:v>CTV</c:v>
                </c:pt>
              </c:strCache>
            </c:strRef>
          </c:tx>
          <c:spPr>
            <a:ln w="28575" cap="rnd">
              <a:solidFill>
                <a:schemeClr val="accent2"/>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'ALL-MONO'!$C$130:$Q$130</c:f>
              <c:numCache>
                <c:formatCode>0</c:formatCode>
                <c:ptCount val="14"/>
                <c:pt idx="0">
                  <c:v>0</c:v>
                </c:pt>
                <c:pt idx="1">
                  <c:v>6</c:v>
                </c:pt>
                <c:pt idx="2">
                  <c:v>18</c:v>
                </c:pt>
                <c:pt idx="3">
                  <c:v>26</c:v>
                </c:pt>
                <c:pt idx="4">
                  <c:v>32</c:v>
                </c:pt>
                <c:pt idx="5">
                  <c:v>33</c:v>
                </c:pt>
                <c:pt idx="6">
                  <c:v>41</c:v>
                </c:pt>
                <c:pt idx="7">
                  <c:v>44</c:v>
                </c:pt>
                <c:pt idx="8">
                  <c:v>49</c:v>
                </c:pt>
                <c:pt idx="9">
                  <c:v>50</c:v>
                </c:pt>
                <c:pt idx="10">
                  <c:v>50</c:v>
                </c:pt>
                <c:pt idx="11">
                  <c:v>50</c:v>
                </c:pt>
                <c:pt idx="12">
                  <c:v>51</c:v>
                </c:pt>
                <c:pt idx="13">
                  <c:v>52</c:v>
                </c:pt>
              </c:numCache>
            </c:numRef>
          </c:val>
          <c:smooth val="0"/>
          <c:extLst>
            <c:ext xmlns:c16="http://schemas.microsoft.com/office/drawing/2014/chart" uri="{C3380CC4-5D6E-409C-BE32-E72D297353CC}">
              <c16:uniqueId val="{00000003-5160-4C73-B22B-1108934EF40D}"/>
            </c:ext>
          </c:extLst>
        </c:ser>
        <c:ser>
          <c:idx val="2"/>
          <c:order val="2"/>
          <c:tx>
            <c:strRef>
              <c:f>'ALL-MONO'!$B$129</c:f>
              <c:strCache>
                <c:ptCount val="1"/>
                <c:pt idx="0">
                  <c:v>feeder Barges</c:v>
                </c:pt>
              </c:strCache>
            </c:strRef>
          </c:tx>
          <c:spPr>
            <a:ln w="28575" cap="rnd">
              <a:solidFill>
                <a:schemeClr val="accent3"/>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'ALL-MONO'!$C$129:$Q$129</c:f>
              <c:numCache>
                <c:formatCode>0</c:formatCode>
                <c:ptCount val="14"/>
                <c:pt idx="0">
                  <c:v>0</c:v>
                </c:pt>
                <c:pt idx="1">
                  <c:v>4</c:v>
                </c:pt>
                <c:pt idx="2">
                  <c:v>12</c:v>
                </c:pt>
                <c:pt idx="3">
                  <c:v>10</c:v>
                </c:pt>
                <c:pt idx="4">
                  <c:v>10</c:v>
                </c:pt>
                <c:pt idx="5">
                  <c:v>8</c:v>
                </c:pt>
                <c:pt idx="6">
                  <c:v>12</c:v>
                </c:pt>
                <c:pt idx="7">
                  <c:v>6</c:v>
                </c:pt>
                <c:pt idx="8">
                  <c:v>8</c:v>
                </c:pt>
                <c:pt idx="9">
                  <c:v>6</c:v>
                </c:pt>
                <c:pt idx="10">
                  <c:v>8</c:v>
                </c:pt>
                <c:pt idx="11">
                  <c:v>8</c:v>
                </c:pt>
                <c:pt idx="12">
                  <c:v>4</c:v>
                </c:pt>
                <c:pt idx="13">
                  <c:v>4</c:v>
                </c:pt>
              </c:numCache>
            </c:numRef>
          </c:val>
          <c:smooth val="0"/>
          <c:extLst>
            <c:ext xmlns:c16="http://schemas.microsoft.com/office/drawing/2014/chart" uri="{C3380CC4-5D6E-409C-BE32-E72D297353CC}">
              <c16:uniqueId val="{00000004-5160-4C73-B22B-1108934EF40D}"/>
            </c:ext>
          </c:extLst>
        </c:ser>
        <c:ser>
          <c:idx val="3"/>
          <c:order val="3"/>
          <c:tx>
            <c:v>WTIV</c:v>
          </c:tx>
          <c:spPr>
            <a:ln w="28575" cap="rnd">
              <a:solidFill>
                <a:schemeClr val="accent4"/>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'ALL-MONO'!$C$126:$Q$126</c:f>
              <c:numCache>
                <c:formatCode>0</c:formatCode>
                <c:ptCount val="14"/>
                <c:pt idx="0">
                  <c:v>0</c:v>
                </c:pt>
                <c:pt idx="1">
                  <c:v>2</c:v>
                </c:pt>
                <c:pt idx="2">
                  <c:v>6</c:v>
                </c:pt>
                <c:pt idx="3">
                  <c:v>5</c:v>
                </c:pt>
                <c:pt idx="4">
                  <c:v>5</c:v>
                </c:pt>
                <c:pt idx="5">
                  <c:v>4</c:v>
                </c:pt>
                <c:pt idx="6">
                  <c:v>6</c:v>
                </c:pt>
                <c:pt idx="7">
                  <c:v>3</c:v>
                </c:pt>
                <c:pt idx="8">
                  <c:v>4</c:v>
                </c:pt>
                <c:pt idx="9">
                  <c:v>3</c:v>
                </c:pt>
                <c:pt idx="10">
                  <c:v>4</c:v>
                </c:pt>
                <c:pt idx="11">
                  <c:v>4</c:v>
                </c:pt>
                <c:pt idx="12">
                  <c:v>2</c:v>
                </c:pt>
                <c:pt idx="13">
                  <c:v>2</c:v>
                </c:pt>
              </c:numCache>
            </c:numRef>
          </c:val>
          <c:smooth val="0"/>
          <c:extLst>
            <c:ext xmlns:c16="http://schemas.microsoft.com/office/drawing/2014/chart" uri="{C3380CC4-5D6E-409C-BE32-E72D297353CC}">
              <c16:uniqueId val="{00000005-5160-4C73-B22B-1108934EF40D}"/>
            </c:ext>
          </c:extLst>
        </c:ser>
        <c:ser>
          <c:idx val="4"/>
          <c:order val="4"/>
          <c:tx>
            <c:strRef>
              <c:f>'ALL-MONO'!$B$132</c:f>
              <c:strCache>
                <c:ptCount val="1"/>
                <c:pt idx="0">
                  <c:v>CLV</c:v>
                </c:pt>
              </c:strCache>
            </c:strRef>
          </c:tx>
          <c:spPr>
            <a:ln w="38100" cap="rnd">
              <a:solidFill>
                <a:schemeClr val="accent5"/>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'ALL-MONO'!$C$132:$Q$132</c:f>
              <c:numCache>
                <c:formatCode>0</c:formatCode>
                <c:ptCount val="14"/>
                <c:pt idx="0">
                  <c:v>0</c:v>
                </c:pt>
                <c:pt idx="1">
                  <c:v>1</c:v>
                </c:pt>
                <c:pt idx="2">
                  <c:v>4</c:v>
                </c:pt>
                <c:pt idx="3">
                  <c:v>3</c:v>
                </c:pt>
                <c:pt idx="4">
                  <c:v>3</c:v>
                </c:pt>
                <c:pt idx="5">
                  <c:v>2</c:v>
                </c:pt>
                <c:pt idx="6">
                  <c:v>4</c:v>
                </c:pt>
                <c:pt idx="7">
                  <c:v>2</c:v>
                </c:pt>
                <c:pt idx="8">
                  <c:v>4</c:v>
                </c:pt>
                <c:pt idx="9">
                  <c:v>2</c:v>
                </c:pt>
                <c:pt idx="10">
                  <c:v>4</c:v>
                </c:pt>
                <c:pt idx="11">
                  <c:v>3</c:v>
                </c:pt>
                <c:pt idx="12">
                  <c:v>2</c:v>
                </c:pt>
                <c:pt idx="13">
                  <c:v>1</c:v>
                </c:pt>
              </c:numCache>
            </c:numRef>
          </c:val>
          <c:smooth val="0"/>
          <c:extLst>
            <c:ext xmlns:c16="http://schemas.microsoft.com/office/drawing/2014/chart" uri="{C3380CC4-5D6E-409C-BE32-E72D297353CC}">
              <c16:uniqueId val="{00000006-5160-4C73-B22B-1108934EF40D}"/>
            </c:ext>
          </c:extLst>
        </c:ser>
        <c:ser>
          <c:idx val="7"/>
          <c:order val="7"/>
          <c:tx>
            <c:strRef>
              <c:f>'ALL-MONO'!$B$131</c:f>
              <c:strCache>
                <c:ptCount val="1"/>
                <c:pt idx="0">
                  <c:v>SOV</c:v>
                </c:pt>
              </c:strCache>
            </c:strRef>
          </c:tx>
          <c:spPr>
            <a:ln w="28575" cap="rnd">
              <a:solidFill>
                <a:schemeClr val="accent2">
                  <a:lumMod val="60000"/>
                </a:schemeClr>
              </a:solidFill>
              <a:round/>
            </a:ln>
            <a:effectLst/>
          </c:spPr>
          <c:marker>
            <c:symbol val="none"/>
          </c:marker>
          <c:val>
            <c:numRef>
              <c:f>'ALL-MONO'!$C$131:$Q$131</c:f>
              <c:numCache>
                <c:formatCode>0</c:formatCode>
                <c:ptCount val="14"/>
                <c:pt idx="0">
                  <c:v>0</c:v>
                </c:pt>
                <c:pt idx="1">
                  <c:v>1</c:v>
                </c:pt>
                <c:pt idx="2">
                  <c:v>2</c:v>
                </c:pt>
                <c:pt idx="3">
                  <c:v>4</c:v>
                </c:pt>
                <c:pt idx="4">
                  <c:v>5</c:v>
                </c:pt>
                <c:pt idx="5">
                  <c:v>6</c:v>
                </c:pt>
                <c:pt idx="6">
                  <c:v>8</c:v>
                </c:pt>
                <c:pt idx="7">
                  <c:v>9</c:v>
                </c:pt>
                <c:pt idx="8">
                  <c:v>10</c:v>
                </c:pt>
                <c:pt idx="9">
                  <c:v>11</c:v>
                </c:pt>
                <c:pt idx="10">
                  <c:v>13</c:v>
                </c:pt>
                <c:pt idx="11">
                  <c:v>14</c:v>
                </c:pt>
                <c:pt idx="12">
                  <c:v>14</c:v>
                </c:pt>
                <c:pt idx="13">
                  <c:v>15</c:v>
                </c:pt>
              </c:numCache>
            </c:numRef>
          </c:val>
          <c:smooth val="0"/>
          <c:extLst>
            <c:ext xmlns:c16="http://schemas.microsoft.com/office/drawing/2014/chart" uri="{C3380CC4-5D6E-409C-BE32-E72D297353CC}">
              <c16:uniqueId val="{00000007-5160-4C73-B22B-1108934EF40D}"/>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Vessels Required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minorUnit val="5"/>
      </c:valAx>
      <c:valAx>
        <c:axId val="45341167"/>
        <c:scaling>
          <c:orientation val="minMax"/>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 Turbines Installed </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5334935"/>
        <c:crosses val="max"/>
        <c:crossBetween val="between"/>
      </c:valAx>
      <c:catAx>
        <c:axId val="45334935"/>
        <c:scaling>
          <c:orientation val="minMax"/>
        </c:scaling>
        <c:delete val="1"/>
        <c:axPos val="b"/>
        <c:numFmt formatCode="General" sourceLinked="1"/>
        <c:majorTickMark val="out"/>
        <c:minorTickMark val="none"/>
        <c:tickLblPos val="nextTo"/>
        <c:crossAx val="45341167"/>
        <c:crosses val="autoZero"/>
        <c:auto val="1"/>
        <c:lblAlgn val="ctr"/>
        <c:lblOffset val="100"/>
        <c:noMultiLvlLbl val="0"/>
      </c:catAx>
      <c:spPr>
        <a:noFill/>
        <a:ln>
          <a:noFill/>
        </a:ln>
        <a:effectLst/>
      </c:spPr>
    </c:plotArea>
    <c:legend>
      <c:legendPos val="b"/>
      <c:layout>
        <c:manualLayout>
          <c:xMode val="edge"/>
          <c:yMode val="edge"/>
          <c:x val="0.10195364966059496"/>
          <c:y val="9.4921392701569532E-2"/>
          <c:w val="0.5568668537370155"/>
          <c:h val="4.2986084721190927E-2"/>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nchor="t" anchorCtr="1"/>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Total MW and Projects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462671550043816E-2"/>
          <c:y val="7.5282334926584052E-2"/>
          <c:w val="0.84749648151120716"/>
          <c:h val="0.76811631697945759"/>
        </c:manualLayout>
      </c:layout>
      <c:barChart>
        <c:barDir val="col"/>
        <c:grouping val="clustered"/>
        <c:varyColors val="0"/>
        <c:ser>
          <c:idx val="0"/>
          <c:order val="0"/>
          <c:tx>
            <c:strRef>
              <c:f>'ALL-MONO'!$B$83</c:f>
              <c:strCache>
                <c:ptCount val="1"/>
                <c:pt idx="0">
                  <c:v>Installed MW</c:v>
                </c:pt>
              </c:strCache>
            </c:strRef>
          </c:tx>
          <c:spPr>
            <a:solidFill>
              <a:srgbClr val="0079C2"/>
            </a:solidFill>
            <a:ln>
              <a:noFill/>
            </a:ln>
            <a:effectLst/>
          </c:spPr>
          <c:invertIfNegative val="0"/>
          <c:cat>
            <c:numRef>
              <c:f>'ALL-MONO'!$C$6:$Q$6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'ALL-MONO'!$C$83:$Q$83</c:f>
              <c:numCache>
                <c:formatCode>0</c:formatCode>
                <c:ptCount val="14"/>
                <c:pt idx="0">
                  <c:v>0</c:v>
                </c:pt>
                <c:pt idx="1">
                  <c:v>513.23076923076928</c:v>
                </c:pt>
                <c:pt idx="2">
                  <c:v>4289.353587588882</c:v>
                </c:pt>
                <c:pt idx="3">
                  <c:v>3785.1538461538457</c:v>
                </c:pt>
                <c:pt idx="4">
                  <c:v>3474</c:v>
                </c:pt>
                <c:pt idx="5">
                  <c:v>2904.6</c:v>
                </c:pt>
                <c:pt idx="6">
                  <c:v>5625.9938385582327</c:v>
                </c:pt>
                <c:pt idx="7">
                  <c:v>2294</c:v>
                </c:pt>
                <c:pt idx="8">
                  <c:v>4728.937690175424</c:v>
                </c:pt>
                <c:pt idx="9">
                  <c:v>3002.1378789618993</c:v>
                </c:pt>
                <c:pt idx="10">
                  <c:v>5411.2678290787071</c:v>
                </c:pt>
                <c:pt idx="11">
                  <c:v>3567</c:v>
                </c:pt>
                <c:pt idx="12">
                  <c:v>2441.4916206515741</c:v>
                </c:pt>
                <c:pt idx="13">
                  <c:v>924</c:v>
                </c:pt>
              </c:numCache>
            </c:numRef>
          </c:val>
          <c:extLst>
            <c:ext xmlns:c16="http://schemas.microsoft.com/office/drawing/2014/chart" uri="{C3380CC4-5D6E-409C-BE32-E72D297353CC}">
              <c16:uniqueId val="{00000000-453D-452F-A481-2E740A9AE50D}"/>
            </c:ext>
          </c:extLst>
        </c:ser>
        <c:dLbls>
          <c:showLegendKey val="0"/>
          <c:showVal val="0"/>
          <c:showCatName val="0"/>
          <c:showSerName val="0"/>
          <c:showPercent val="0"/>
          <c:showBubbleSize val="0"/>
        </c:dLbls>
        <c:gapWidth val="200"/>
        <c:overlap val="100"/>
        <c:axId val="1105198224"/>
        <c:axId val="1105196256"/>
      </c:barChart>
      <c:lineChart>
        <c:grouping val="standard"/>
        <c:varyColors val="0"/>
        <c:ser>
          <c:idx val="4"/>
          <c:order val="1"/>
          <c:tx>
            <c:strRef>
              <c:f>'ALL-MONO'!$B$84</c:f>
              <c:strCache>
                <c:ptCount val="1"/>
                <c:pt idx="0">
                  <c:v>Number of Projects</c:v>
                </c:pt>
              </c:strCache>
            </c:strRef>
          </c:tx>
          <c:spPr>
            <a:ln w="38100" cap="rnd">
              <a:solidFill>
                <a:srgbClr val="933C06"/>
              </a:solidFill>
              <a:round/>
            </a:ln>
            <a:effectLst/>
          </c:spPr>
          <c:marker>
            <c:symbol val="none"/>
          </c:marker>
          <c:cat>
            <c:numRef>
              <c:f>'ALL-MONO'!$C$6:$Q$6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'ALL-MONO'!$C$84:$Q$84</c:f>
              <c:numCache>
                <c:formatCode>0</c:formatCode>
                <c:ptCount val="14"/>
                <c:pt idx="0">
                  <c:v>0</c:v>
                </c:pt>
                <c:pt idx="1">
                  <c:v>2</c:v>
                </c:pt>
                <c:pt idx="2">
                  <c:v>6</c:v>
                </c:pt>
                <c:pt idx="3">
                  <c:v>4.9999999999999991</c:v>
                </c:pt>
                <c:pt idx="4">
                  <c:v>6</c:v>
                </c:pt>
                <c:pt idx="5">
                  <c:v>3</c:v>
                </c:pt>
                <c:pt idx="6">
                  <c:v>6.9999999999999991</c:v>
                </c:pt>
                <c:pt idx="7">
                  <c:v>3</c:v>
                </c:pt>
                <c:pt idx="8">
                  <c:v>6</c:v>
                </c:pt>
                <c:pt idx="9">
                  <c:v>2</c:v>
                </c:pt>
                <c:pt idx="10">
                  <c:v>3</c:v>
                </c:pt>
                <c:pt idx="11">
                  <c:v>1</c:v>
                </c:pt>
                <c:pt idx="12">
                  <c:v>2</c:v>
                </c:pt>
                <c:pt idx="13">
                  <c:v>1</c:v>
                </c:pt>
              </c:numCache>
            </c:numRef>
          </c:val>
          <c:smooth val="0"/>
          <c:extLst>
            <c:ext xmlns:c16="http://schemas.microsoft.com/office/drawing/2014/chart" uri="{C3380CC4-5D6E-409C-BE32-E72D297353CC}">
              <c16:uniqueId val="{00000001-453D-452F-A481-2E740A9AE50D}"/>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2"/>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Projects Constructed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105196256"/>
        <c:scaling>
          <c:orientation val="minMax"/>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MW per year</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05198224"/>
        <c:crosses val="max"/>
        <c:crossBetween val="between"/>
      </c:valAx>
      <c:catAx>
        <c:axId val="1105198224"/>
        <c:scaling>
          <c:orientation val="minMax"/>
        </c:scaling>
        <c:delete val="1"/>
        <c:axPos val="b"/>
        <c:numFmt formatCode="General" sourceLinked="1"/>
        <c:majorTickMark val="out"/>
        <c:minorTickMark val="none"/>
        <c:tickLblPos val="nextTo"/>
        <c:crossAx val="1105196256"/>
        <c:crosses val="autoZero"/>
        <c:auto val="1"/>
        <c:lblAlgn val="ctr"/>
        <c:lblOffset val="100"/>
        <c:noMultiLvlLbl val="0"/>
      </c:catAx>
      <c:spPr>
        <a:noFill/>
        <a:ln>
          <a:noFill/>
        </a:ln>
        <a:effectLst/>
      </c:spPr>
    </c:plotArea>
    <c:legend>
      <c:legendPos val="b"/>
      <c:layout>
        <c:manualLayout>
          <c:xMode val="edge"/>
          <c:yMode val="edge"/>
          <c:x val="9.9358774265480274E-2"/>
          <c:y val="9.9731239444338426E-2"/>
          <c:w val="0.16406096444866217"/>
          <c:h val="0.1893341143365127"/>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Turbines Transported/Stored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2623337265654374E-2"/>
          <c:y val="7.5282334926584052E-2"/>
          <c:w val="0.80910229985705562"/>
          <c:h val="0.75701402721993338"/>
        </c:manualLayout>
      </c:layout>
      <c:barChart>
        <c:barDir val="col"/>
        <c:grouping val="stacked"/>
        <c:varyColors val="0"/>
        <c:ser>
          <c:idx val="1"/>
          <c:order val="0"/>
          <c:tx>
            <c:strRef>
              <c:f>'ALL-MONO'!$B$46</c:f>
              <c:strCache>
                <c:ptCount val="1"/>
                <c:pt idx="0">
                  <c:v>12</c:v>
                </c:pt>
              </c:strCache>
            </c:strRef>
          </c:tx>
          <c:spPr>
            <a:solidFill>
              <a:srgbClr val="0079C2"/>
            </a:solidFill>
            <a:ln>
              <a:noFill/>
            </a:ln>
            <a:effectLst/>
          </c:spPr>
          <c:invertIfNegative val="0"/>
          <c:cat>
            <c:numRef>
              <c:f>'ALL-MONO'!$C$6:$Q$6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'ALL-MONO'!$C$46:$Q$46</c:f>
              <c:numCache>
                <c:formatCode>0</c:formatCode>
                <c:ptCount val="14"/>
                <c:pt idx="0">
                  <c:v>42.769230769230774</c:v>
                </c:pt>
                <c:pt idx="1">
                  <c:v>261.79487179487182</c:v>
                </c:pt>
                <c:pt idx="2">
                  <c:v>187.5128205128205</c:v>
                </c:pt>
                <c:pt idx="3">
                  <c:v>60.666666666666664</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62EC-4067-99A1-32E24C872391}"/>
            </c:ext>
          </c:extLst>
        </c:ser>
        <c:ser>
          <c:idx val="2"/>
          <c:order val="1"/>
          <c:tx>
            <c:strRef>
              <c:f>'ALL-MONO'!$B$47</c:f>
              <c:strCache>
                <c:ptCount val="1"/>
                <c:pt idx="0">
                  <c:v>15</c:v>
                </c:pt>
              </c:strCache>
            </c:strRef>
          </c:tx>
          <c:spPr>
            <a:solidFill>
              <a:srgbClr val="5E6A71"/>
            </a:solidFill>
            <a:ln>
              <a:noFill/>
            </a:ln>
            <a:effectLst/>
          </c:spPr>
          <c:invertIfNegative val="0"/>
          <c:cat>
            <c:numRef>
              <c:f>'ALL-MONO'!$C$6:$Q$6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'ALL-MONO'!$C$47:$Q$47</c:f>
              <c:numCache>
                <c:formatCode>0</c:formatCode>
                <c:ptCount val="14"/>
                <c:pt idx="0">
                  <c:v>0</c:v>
                </c:pt>
                <c:pt idx="1">
                  <c:v>76.52100840336135</c:v>
                </c:pt>
                <c:pt idx="2">
                  <c:v>102.33333333333334</c:v>
                </c:pt>
                <c:pt idx="3">
                  <c:v>183.06666666666666</c:v>
                </c:pt>
                <c:pt idx="4">
                  <c:v>193.64</c:v>
                </c:pt>
                <c:pt idx="5">
                  <c:v>375.06625590388217</c:v>
                </c:pt>
                <c:pt idx="6">
                  <c:v>152.93333333333334</c:v>
                </c:pt>
                <c:pt idx="7">
                  <c:v>315.26251267836159</c:v>
                </c:pt>
                <c:pt idx="8">
                  <c:v>0</c:v>
                </c:pt>
                <c:pt idx="9">
                  <c:v>0</c:v>
                </c:pt>
                <c:pt idx="10">
                  <c:v>0</c:v>
                </c:pt>
                <c:pt idx="11">
                  <c:v>0</c:v>
                </c:pt>
                <c:pt idx="12">
                  <c:v>0</c:v>
                </c:pt>
              </c:numCache>
            </c:numRef>
          </c:val>
          <c:extLst>
            <c:ext xmlns:c16="http://schemas.microsoft.com/office/drawing/2014/chart" uri="{C3380CC4-5D6E-409C-BE32-E72D297353CC}">
              <c16:uniqueId val="{00000001-62EC-4067-99A1-32E24C872391}"/>
            </c:ext>
          </c:extLst>
        </c:ser>
        <c:ser>
          <c:idx val="3"/>
          <c:order val="2"/>
          <c:tx>
            <c:strRef>
              <c:f>'ALL-MONO'!$B$48</c:f>
              <c:strCache>
                <c:ptCount val="1"/>
                <c:pt idx="0">
                  <c:v>18</c:v>
                </c:pt>
              </c:strCache>
            </c:strRef>
          </c:tx>
          <c:spPr>
            <a:solidFill>
              <a:srgbClr val="5D9732"/>
            </a:solidFill>
            <a:ln>
              <a:noFill/>
            </a:ln>
            <a:effectLst/>
          </c:spPr>
          <c:invertIfNegative val="0"/>
          <c:cat>
            <c:numRef>
              <c:f>'ALL-MONO'!$C$6:$Q$6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'ALL-MONO'!$C$48:$Q$48</c:f>
              <c:numCache>
                <c:formatCode>0</c:formatCode>
                <c:ptCount val="14"/>
                <c:pt idx="0">
                  <c:v>0</c:v>
                </c:pt>
                <c:pt idx="1">
                  <c:v>0</c:v>
                </c:pt>
                <c:pt idx="2">
                  <c:v>0</c:v>
                </c:pt>
                <c:pt idx="3">
                  <c:v>0</c:v>
                </c:pt>
                <c:pt idx="4">
                  <c:v>0</c:v>
                </c:pt>
                <c:pt idx="5">
                  <c:v>0</c:v>
                </c:pt>
                <c:pt idx="6">
                  <c:v>0</c:v>
                </c:pt>
                <c:pt idx="7">
                  <c:v>0</c:v>
                </c:pt>
                <c:pt idx="8">
                  <c:v>166.78543772010551</c:v>
                </c:pt>
                <c:pt idx="9">
                  <c:v>300.62599050437262</c:v>
                </c:pt>
                <c:pt idx="10">
                  <c:v>198.16666666666666</c:v>
                </c:pt>
                <c:pt idx="11">
                  <c:v>135.63842336953189</c:v>
                </c:pt>
                <c:pt idx="12">
                  <c:v>51.333333333333336</c:v>
                </c:pt>
              </c:numCache>
            </c:numRef>
          </c:val>
          <c:extLst>
            <c:ext xmlns:c16="http://schemas.microsoft.com/office/drawing/2014/chart" uri="{C3380CC4-5D6E-409C-BE32-E72D297353CC}">
              <c16:uniqueId val="{00000002-62EC-4067-99A1-32E24C872391}"/>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Transportation/Storage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Turbines Stored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w="9525">
          <a:solidFill>
            <a:srgbClr val="3D6321"/>
          </a:solid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a:t>Turbine</a:t>
            </a:r>
            <a:r>
              <a:rPr lang="en-US" baseline="0"/>
              <a:t> Orders</a:t>
            </a:r>
            <a:endParaRPr lang="en-US"/>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909255046736566E-2"/>
          <c:y val="7.5282334926584052E-2"/>
          <c:w val="0.8200706163901833"/>
          <c:h val="0.75439490302403034"/>
        </c:manualLayout>
      </c:layout>
      <c:barChart>
        <c:barDir val="col"/>
        <c:grouping val="stacked"/>
        <c:varyColors val="0"/>
        <c:ser>
          <c:idx val="1"/>
          <c:order val="0"/>
          <c:tx>
            <c:strRef>
              <c:f>'ALL-MONO'!$B$10</c:f>
              <c:strCache>
                <c:ptCount val="1"/>
                <c:pt idx="0">
                  <c:v>12</c:v>
                </c:pt>
              </c:strCache>
            </c:strRef>
          </c:tx>
          <c:spPr>
            <a:solidFill>
              <a:srgbClr val="0079C2"/>
            </a:solidFill>
            <a:ln>
              <a:noFill/>
            </a:ln>
            <a:effectLst/>
          </c:spPr>
          <c:invertIfNegative val="0"/>
          <c:cat>
            <c:numRef>
              <c:f>'ALL-MONO'!$C$6:$Q$6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'ALL-MONO'!$C$10:$Q$10</c:f>
              <c:numCache>
                <c:formatCode>0</c:formatCode>
                <c:ptCount val="14"/>
                <c:pt idx="0">
                  <c:v>261.79487179487182</c:v>
                </c:pt>
                <c:pt idx="1">
                  <c:v>187.5128205128205</c:v>
                </c:pt>
                <c:pt idx="2">
                  <c:v>60.666666666666664</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8BA5-4DD4-9707-3B29EF2D8651}"/>
            </c:ext>
          </c:extLst>
        </c:ser>
        <c:ser>
          <c:idx val="2"/>
          <c:order val="1"/>
          <c:tx>
            <c:strRef>
              <c:f>'ALL-MONO'!$B$11</c:f>
              <c:strCache>
                <c:ptCount val="1"/>
                <c:pt idx="0">
                  <c:v>15</c:v>
                </c:pt>
              </c:strCache>
            </c:strRef>
          </c:tx>
          <c:spPr>
            <a:solidFill>
              <a:srgbClr val="5E6A71"/>
            </a:solidFill>
            <a:ln>
              <a:noFill/>
            </a:ln>
            <a:effectLst/>
          </c:spPr>
          <c:invertIfNegative val="0"/>
          <c:cat>
            <c:numRef>
              <c:f>'ALL-MONO'!$C$6:$Q$6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'ALL-MONO'!$C$11:$Q$11</c:f>
              <c:numCache>
                <c:formatCode>0</c:formatCode>
                <c:ptCount val="14"/>
                <c:pt idx="0">
                  <c:v>76.52100840336135</c:v>
                </c:pt>
                <c:pt idx="1">
                  <c:v>102.33333333333334</c:v>
                </c:pt>
                <c:pt idx="2">
                  <c:v>183.06666666666666</c:v>
                </c:pt>
                <c:pt idx="3">
                  <c:v>193.64</c:v>
                </c:pt>
                <c:pt idx="4">
                  <c:v>375.06625590388217</c:v>
                </c:pt>
                <c:pt idx="5">
                  <c:v>152.93333333333334</c:v>
                </c:pt>
                <c:pt idx="6">
                  <c:v>315.26251267836159</c:v>
                </c:pt>
                <c:pt idx="7">
                  <c:v>0</c:v>
                </c:pt>
                <c:pt idx="8">
                  <c:v>0</c:v>
                </c:pt>
                <c:pt idx="9">
                  <c:v>0</c:v>
                </c:pt>
                <c:pt idx="10">
                  <c:v>0</c:v>
                </c:pt>
                <c:pt idx="11">
                  <c:v>0</c:v>
                </c:pt>
              </c:numCache>
            </c:numRef>
          </c:val>
          <c:extLst>
            <c:ext xmlns:c16="http://schemas.microsoft.com/office/drawing/2014/chart" uri="{C3380CC4-5D6E-409C-BE32-E72D297353CC}">
              <c16:uniqueId val="{00000001-8BA5-4DD4-9707-3B29EF2D8651}"/>
            </c:ext>
          </c:extLst>
        </c:ser>
        <c:ser>
          <c:idx val="3"/>
          <c:order val="2"/>
          <c:tx>
            <c:strRef>
              <c:f>'ALL-MONO'!$B$12</c:f>
              <c:strCache>
                <c:ptCount val="1"/>
                <c:pt idx="0">
                  <c:v>18</c:v>
                </c:pt>
              </c:strCache>
            </c:strRef>
          </c:tx>
          <c:spPr>
            <a:solidFill>
              <a:srgbClr val="5D9732"/>
            </a:solidFill>
            <a:ln>
              <a:noFill/>
            </a:ln>
            <a:effectLst/>
          </c:spPr>
          <c:invertIfNegative val="0"/>
          <c:cat>
            <c:numRef>
              <c:f>'ALL-MONO'!$C$6:$Q$6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'ALL-MONO'!$C$12:$Q$12</c:f>
              <c:numCache>
                <c:formatCode>0</c:formatCode>
                <c:ptCount val="14"/>
                <c:pt idx="0">
                  <c:v>0</c:v>
                </c:pt>
                <c:pt idx="1">
                  <c:v>0</c:v>
                </c:pt>
                <c:pt idx="2">
                  <c:v>0</c:v>
                </c:pt>
                <c:pt idx="3">
                  <c:v>0</c:v>
                </c:pt>
                <c:pt idx="4">
                  <c:v>0</c:v>
                </c:pt>
                <c:pt idx="5">
                  <c:v>0</c:v>
                </c:pt>
                <c:pt idx="6">
                  <c:v>0</c:v>
                </c:pt>
                <c:pt idx="7">
                  <c:v>166.78543772010551</c:v>
                </c:pt>
                <c:pt idx="8">
                  <c:v>300.62599050437262</c:v>
                </c:pt>
                <c:pt idx="9">
                  <c:v>198.16666666666666</c:v>
                </c:pt>
                <c:pt idx="10">
                  <c:v>135.63842336953189</c:v>
                </c:pt>
                <c:pt idx="11">
                  <c:v>51.333333333333336</c:v>
                </c:pt>
              </c:numCache>
            </c:numRef>
          </c:val>
          <c:extLst>
            <c:ext xmlns:c16="http://schemas.microsoft.com/office/drawing/2014/chart" uri="{C3380CC4-5D6E-409C-BE32-E72D297353CC}">
              <c16:uniqueId val="{00000002-8BA5-4DD4-9707-3B29EF2D8651}"/>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Procurement/Manufacturing</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Turbines Ordered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baseline="0"/>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Vessels Required and Turbines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417250198291675E-2"/>
          <c:y val="7.5282334926584052E-2"/>
          <c:w val="0.82771678647263758"/>
          <c:h val="0.79270271721152119"/>
        </c:manualLayout>
      </c:layout>
      <c:barChart>
        <c:barDir val="col"/>
        <c:grouping val="stacked"/>
        <c:varyColors val="0"/>
        <c:ser>
          <c:idx val="0"/>
          <c:order val="0"/>
          <c:tx>
            <c:strRef>
              <c:f>ACCEL!$B$86</c:f>
              <c:strCache>
                <c:ptCount val="1"/>
                <c:pt idx="0">
                  <c:v>12</c:v>
                </c:pt>
              </c:strCache>
            </c:strRef>
          </c:tx>
          <c:spPr>
            <a:solidFill>
              <a:srgbClr val="0079C2"/>
            </a:solidFill>
            <a:ln>
              <a:noFill/>
            </a:ln>
            <a:effectLst/>
          </c:spPr>
          <c:invertIfNegative val="0"/>
          <c:cat>
            <c:numRef>
              <c:f>ACCEL!$D$6:$Q$6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ACCEL!$D$86:$Q$86</c:f>
              <c:numCache>
                <c:formatCode>0</c:formatCode>
                <c:ptCount val="14"/>
                <c:pt idx="0">
                  <c:v>0</c:v>
                </c:pt>
                <c:pt idx="1">
                  <c:v>42.769230769230774</c:v>
                </c:pt>
                <c:pt idx="2">
                  <c:v>261.79487179487182</c:v>
                </c:pt>
                <c:pt idx="3">
                  <c:v>187.5128205128205</c:v>
                </c:pt>
                <c:pt idx="4">
                  <c:v>60.666666666666664</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2481-4203-8DED-1EEBA1A63105}"/>
            </c:ext>
          </c:extLst>
        </c:ser>
        <c:ser>
          <c:idx val="5"/>
          <c:order val="5"/>
          <c:tx>
            <c:strRef>
              <c:f>ACCEL!$B$87</c:f>
              <c:strCache>
                <c:ptCount val="1"/>
                <c:pt idx="0">
                  <c:v>15</c:v>
                </c:pt>
              </c:strCache>
            </c:strRef>
          </c:tx>
          <c:spPr>
            <a:solidFill>
              <a:srgbClr val="5E6A71"/>
            </a:solidFill>
            <a:ln>
              <a:noFill/>
            </a:ln>
            <a:effectLst/>
          </c:spPr>
          <c:invertIfNegative val="0"/>
          <c:val>
            <c:numRef>
              <c:f>ACCEL!$D$87:$Q$87</c:f>
              <c:numCache>
                <c:formatCode>0</c:formatCode>
                <c:ptCount val="14"/>
                <c:pt idx="0">
                  <c:v>0</c:v>
                </c:pt>
                <c:pt idx="1">
                  <c:v>0</c:v>
                </c:pt>
                <c:pt idx="2">
                  <c:v>76.52100840336135</c:v>
                </c:pt>
                <c:pt idx="3">
                  <c:v>102.33333333333334</c:v>
                </c:pt>
                <c:pt idx="4">
                  <c:v>183.06666666666666</c:v>
                </c:pt>
                <c:pt idx="5">
                  <c:v>193.64</c:v>
                </c:pt>
                <c:pt idx="6">
                  <c:v>408.41126999157984</c:v>
                </c:pt>
                <c:pt idx="7">
                  <c:v>441.74460332491321</c:v>
                </c:pt>
                <c:pt idx="8">
                  <c:v>441.74460332491321</c:v>
                </c:pt>
                <c:pt idx="9">
                  <c:v>0</c:v>
                </c:pt>
                <c:pt idx="10">
                  <c:v>0</c:v>
                </c:pt>
                <c:pt idx="11">
                  <c:v>0</c:v>
                </c:pt>
                <c:pt idx="12">
                  <c:v>0</c:v>
                </c:pt>
                <c:pt idx="13">
                  <c:v>0</c:v>
                </c:pt>
              </c:numCache>
            </c:numRef>
          </c:val>
          <c:extLst>
            <c:ext xmlns:c16="http://schemas.microsoft.com/office/drawing/2014/chart" uri="{C3380CC4-5D6E-409C-BE32-E72D297353CC}">
              <c16:uniqueId val="{00000001-EEDC-4E4D-A190-93640414B00A}"/>
            </c:ext>
          </c:extLst>
        </c:ser>
        <c:ser>
          <c:idx val="6"/>
          <c:order val="6"/>
          <c:tx>
            <c:strRef>
              <c:f>ACCEL!$B$88</c:f>
              <c:strCache>
                <c:ptCount val="1"/>
                <c:pt idx="0">
                  <c:v>18</c:v>
                </c:pt>
              </c:strCache>
            </c:strRef>
          </c:tx>
          <c:spPr>
            <a:solidFill>
              <a:srgbClr val="5D9732"/>
            </a:solidFill>
            <a:ln>
              <a:noFill/>
            </a:ln>
            <a:effectLst/>
          </c:spPr>
          <c:invertIfNegative val="0"/>
          <c:val>
            <c:numRef>
              <c:f>ACCEL!$D$88:$Q$88</c:f>
              <c:numCache>
                <c:formatCode>0</c:formatCode>
                <c:ptCount val="14"/>
                <c:pt idx="0">
                  <c:v>0</c:v>
                </c:pt>
                <c:pt idx="1">
                  <c:v>0</c:v>
                </c:pt>
                <c:pt idx="2">
                  <c:v>0</c:v>
                </c:pt>
                <c:pt idx="3">
                  <c:v>0</c:v>
                </c:pt>
                <c:pt idx="4">
                  <c:v>0</c:v>
                </c:pt>
                <c:pt idx="5">
                  <c:v>0</c:v>
                </c:pt>
                <c:pt idx="6">
                  <c:v>0</c:v>
                </c:pt>
                <c:pt idx="7">
                  <c:v>0</c:v>
                </c:pt>
                <c:pt idx="8">
                  <c:v>0</c:v>
                </c:pt>
                <c:pt idx="9">
                  <c:v>368.12050277076099</c:v>
                </c:pt>
                <c:pt idx="10">
                  <c:v>368.12050277076099</c:v>
                </c:pt>
                <c:pt idx="11">
                  <c:v>368.12050277076099</c:v>
                </c:pt>
                <c:pt idx="12">
                  <c:v>368.12050277076099</c:v>
                </c:pt>
                <c:pt idx="13">
                  <c:v>368.12050277076099</c:v>
                </c:pt>
              </c:numCache>
            </c:numRef>
          </c:val>
          <c:extLst>
            <c:ext xmlns:c16="http://schemas.microsoft.com/office/drawing/2014/chart" uri="{C3380CC4-5D6E-409C-BE32-E72D297353CC}">
              <c16:uniqueId val="{00000002-EEDC-4E4D-A190-93640414B00A}"/>
            </c:ext>
          </c:extLst>
        </c:ser>
        <c:dLbls>
          <c:showLegendKey val="0"/>
          <c:showVal val="0"/>
          <c:showCatName val="0"/>
          <c:showSerName val="0"/>
          <c:showPercent val="0"/>
          <c:showBubbleSize val="0"/>
        </c:dLbls>
        <c:gapWidth val="200"/>
        <c:overlap val="100"/>
        <c:axId val="45334935"/>
        <c:axId val="45341167"/>
      </c:barChart>
      <c:lineChart>
        <c:grouping val="standard"/>
        <c:varyColors val="0"/>
        <c:ser>
          <c:idx val="1"/>
          <c:order val="1"/>
          <c:tx>
            <c:strRef>
              <c:f>ACCEL!$B$135</c:f>
              <c:strCache>
                <c:ptCount val="1"/>
                <c:pt idx="0">
                  <c:v>CTV</c:v>
                </c:pt>
              </c:strCache>
            </c:strRef>
          </c:tx>
          <c:spPr>
            <a:ln w="38100" cap="rnd">
              <a:solidFill>
                <a:srgbClr val="933C06"/>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ACCEL!$D$135:$Q$135</c:f>
              <c:numCache>
                <c:formatCode>0</c:formatCode>
                <c:ptCount val="14"/>
                <c:pt idx="0">
                  <c:v>0</c:v>
                </c:pt>
                <c:pt idx="1">
                  <c:v>0</c:v>
                </c:pt>
                <c:pt idx="2">
                  <c:v>18</c:v>
                </c:pt>
                <c:pt idx="3">
                  <c:v>26</c:v>
                </c:pt>
                <c:pt idx="4">
                  <c:v>32</c:v>
                </c:pt>
                <c:pt idx="5">
                  <c:v>33</c:v>
                </c:pt>
                <c:pt idx="6">
                  <c:v>43</c:v>
                </c:pt>
                <c:pt idx="7">
                  <c:v>56</c:v>
                </c:pt>
                <c:pt idx="8">
                  <c:v>64</c:v>
                </c:pt>
                <c:pt idx="9">
                  <c:v>72</c:v>
                </c:pt>
                <c:pt idx="10">
                  <c:v>80</c:v>
                </c:pt>
                <c:pt idx="11">
                  <c:v>88</c:v>
                </c:pt>
                <c:pt idx="12">
                  <c:v>96</c:v>
                </c:pt>
                <c:pt idx="13">
                  <c:v>104</c:v>
                </c:pt>
              </c:numCache>
            </c:numRef>
          </c:val>
          <c:smooth val="0"/>
          <c:extLst>
            <c:ext xmlns:c16="http://schemas.microsoft.com/office/drawing/2014/chart" uri="{C3380CC4-5D6E-409C-BE32-E72D297353CC}">
              <c16:uniqueId val="{00000001-2481-4203-8DED-1EEBA1A63105}"/>
            </c:ext>
          </c:extLst>
        </c:ser>
        <c:ser>
          <c:idx val="2"/>
          <c:order val="2"/>
          <c:tx>
            <c:strRef>
              <c:f>ACCEL!$B$134</c:f>
              <c:strCache>
                <c:ptCount val="1"/>
                <c:pt idx="0">
                  <c:v>Feeder Barges</c:v>
                </c:pt>
              </c:strCache>
            </c:strRef>
          </c:tx>
          <c:spPr>
            <a:ln w="38100" cap="rnd">
              <a:solidFill>
                <a:schemeClr val="accent3"/>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ACCEL!$D$134:$Q$134</c:f>
              <c:numCache>
                <c:formatCode>0</c:formatCode>
                <c:ptCount val="14"/>
                <c:pt idx="0">
                  <c:v>0</c:v>
                </c:pt>
                <c:pt idx="1">
                  <c:v>4</c:v>
                </c:pt>
                <c:pt idx="2">
                  <c:v>10</c:v>
                </c:pt>
                <c:pt idx="3">
                  <c:v>10</c:v>
                </c:pt>
                <c:pt idx="4">
                  <c:v>10</c:v>
                </c:pt>
                <c:pt idx="5">
                  <c:v>8</c:v>
                </c:pt>
                <c:pt idx="6">
                  <c:v>10</c:v>
                </c:pt>
                <c:pt idx="7">
                  <c:v>10</c:v>
                </c:pt>
                <c:pt idx="8">
                  <c:v>10</c:v>
                </c:pt>
                <c:pt idx="9">
                  <c:v>10</c:v>
                </c:pt>
                <c:pt idx="10">
                  <c:v>10</c:v>
                </c:pt>
                <c:pt idx="11">
                  <c:v>10</c:v>
                </c:pt>
                <c:pt idx="12">
                  <c:v>10</c:v>
                </c:pt>
                <c:pt idx="13">
                  <c:v>10</c:v>
                </c:pt>
              </c:numCache>
            </c:numRef>
          </c:val>
          <c:smooth val="0"/>
          <c:extLst>
            <c:ext xmlns:c16="http://schemas.microsoft.com/office/drawing/2014/chart" uri="{C3380CC4-5D6E-409C-BE32-E72D297353CC}">
              <c16:uniqueId val="{00000002-2481-4203-8DED-1EEBA1A63105}"/>
            </c:ext>
          </c:extLst>
        </c:ser>
        <c:ser>
          <c:idx val="3"/>
          <c:order val="3"/>
          <c:tx>
            <c:v>WTIV</c:v>
          </c:tx>
          <c:spPr>
            <a:ln w="38100" cap="rnd">
              <a:solidFill>
                <a:schemeClr val="accent4"/>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ACCEL!$D$131:$Q$131</c:f>
              <c:numCache>
                <c:formatCode>0</c:formatCode>
                <c:ptCount val="14"/>
                <c:pt idx="0">
                  <c:v>0</c:v>
                </c:pt>
                <c:pt idx="1">
                  <c:v>2</c:v>
                </c:pt>
                <c:pt idx="2">
                  <c:v>5</c:v>
                </c:pt>
                <c:pt idx="3">
                  <c:v>5</c:v>
                </c:pt>
                <c:pt idx="4">
                  <c:v>5</c:v>
                </c:pt>
                <c:pt idx="5">
                  <c:v>4</c:v>
                </c:pt>
                <c:pt idx="6">
                  <c:v>5</c:v>
                </c:pt>
                <c:pt idx="7">
                  <c:v>5</c:v>
                </c:pt>
                <c:pt idx="8">
                  <c:v>5</c:v>
                </c:pt>
                <c:pt idx="9">
                  <c:v>5</c:v>
                </c:pt>
                <c:pt idx="10">
                  <c:v>5</c:v>
                </c:pt>
                <c:pt idx="11">
                  <c:v>5</c:v>
                </c:pt>
                <c:pt idx="12">
                  <c:v>5</c:v>
                </c:pt>
                <c:pt idx="13">
                  <c:v>5</c:v>
                </c:pt>
              </c:numCache>
            </c:numRef>
          </c:val>
          <c:smooth val="0"/>
          <c:extLst>
            <c:ext xmlns:c16="http://schemas.microsoft.com/office/drawing/2014/chart" uri="{C3380CC4-5D6E-409C-BE32-E72D297353CC}">
              <c16:uniqueId val="{00000003-2481-4203-8DED-1EEBA1A63105}"/>
            </c:ext>
          </c:extLst>
        </c:ser>
        <c:ser>
          <c:idx val="4"/>
          <c:order val="4"/>
          <c:tx>
            <c:strRef>
              <c:f>ACCEL!$B$137</c:f>
              <c:strCache>
                <c:ptCount val="1"/>
                <c:pt idx="0">
                  <c:v>CLV</c:v>
                </c:pt>
              </c:strCache>
            </c:strRef>
          </c:tx>
          <c:spPr>
            <a:ln w="38100" cap="rnd">
              <a:solidFill>
                <a:schemeClr val="accent5"/>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ACCEL!$D$137:$Q$137</c:f>
              <c:numCache>
                <c:formatCode>0</c:formatCode>
                <c:ptCount val="14"/>
                <c:pt idx="0">
                  <c:v>0</c:v>
                </c:pt>
                <c:pt idx="1">
                  <c:v>1</c:v>
                </c:pt>
                <c:pt idx="2">
                  <c:v>4</c:v>
                </c:pt>
                <c:pt idx="3">
                  <c:v>3</c:v>
                </c:pt>
                <c:pt idx="4">
                  <c:v>3</c:v>
                </c:pt>
                <c:pt idx="5">
                  <c:v>2</c:v>
                </c:pt>
                <c:pt idx="6">
                  <c:v>4</c:v>
                </c:pt>
                <c:pt idx="7">
                  <c:v>4</c:v>
                </c:pt>
                <c:pt idx="8">
                  <c:v>4</c:v>
                </c:pt>
                <c:pt idx="9">
                  <c:v>4</c:v>
                </c:pt>
                <c:pt idx="10">
                  <c:v>4</c:v>
                </c:pt>
                <c:pt idx="11">
                  <c:v>4</c:v>
                </c:pt>
                <c:pt idx="12">
                  <c:v>4</c:v>
                </c:pt>
                <c:pt idx="13">
                  <c:v>4</c:v>
                </c:pt>
              </c:numCache>
            </c:numRef>
          </c:val>
          <c:smooth val="0"/>
          <c:extLst>
            <c:ext xmlns:c16="http://schemas.microsoft.com/office/drawing/2014/chart" uri="{C3380CC4-5D6E-409C-BE32-E72D297353CC}">
              <c16:uniqueId val="{00000004-2481-4203-8DED-1EEBA1A63105}"/>
            </c:ext>
          </c:extLst>
        </c:ser>
        <c:ser>
          <c:idx val="7"/>
          <c:order val="7"/>
          <c:tx>
            <c:strRef>
              <c:f>ACCEL!$B$136</c:f>
              <c:strCache>
                <c:ptCount val="1"/>
                <c:pt idx="0">
                  <c:v>SOV</c:v>
                </c:pt>
              </c:strCache>
            </c:strRef>
          </c:tx>
          <c:spPr>
            <a:ln w="28575" cap="rnd">
              <a:solidFill>
                <a:schemeClr val="accent2">
                  <a:lumMod val="60000"/>
                </a:schemeClr>
              </a:solidFill>
              <a:round/>
            </a:ln>
            <a:effectLst/>
          </c:spPr>
          <c:marker>
            <c:symbol val="none"/>
          </c:marker>
          <c:val>
            <c:numRef>
              <c:f>ACCEL!$D$136:$Q$136</c:f>
              <c:numCache>
                <c:formatCode>0</c:formatCode>
                <c:ptCount val="14"/>
                <c:pt idx="0">
                  <c:v>0</c:v>
                </c:pt>
                <c:pt idx="1">
                  <c:v>1</c:v>
                </c:pt>
                <c:pt idx="2">
                  <c:v>2</c:v>
                </c:pt>
                <c:pt idx="3">
                  <c:v>4</c:v>
                </c:pt>
                <c:pt idx="4">
                  <c:v>5</c:v>
                </c:pt>
                <c:pt idx="5">
                  <c:v>6</c:v>
                </c:pt>
                <c:pt idx="6">
                  <c:v>8</c:v>
                </c:pt>
                <c:pt idx="7">
                  <c:v>10</c:v>
                </c:pt>
                <c:pt idx="8">
                  <c:v>13</c:v>
                </c:pt>
                <c:pt idx="9">
                  <c:v>14</c:v>
                </c:pt>
                <c:pt idx="10">
                  <c:v>16</c:v>
                </c:pt>
                <c:pt idx="11">
                  <c:v>18</c:v>
                </c:pt>
                <c:pt idx="12">
                  <c:v>20</c:v>
                </c:pt>
                <c:pt idx="13">
                  <c:v>22</c:v>
                </c:pt>
              </c:numCache>
            </c:numRef>
          </c:val>
          <c:smooth val="0"/>
          <c:extLst>
            <c:ext xmlns:c16="http://schemas.microsoft.com/office/drawing/2014/chart" uri="{C3380CC4-5D6E-409C-BE32-E72D297353CC}">
              <c16:uniqueId val="{00000001-1227-400A-A073-2EAA8583B361}"/>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Vessels Required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minorUnit val="5"/>
      </c:valAx>
      <c:valAx>
        <c:axId val="45341167"/>
        <c:scaling>
          <c:orientation val="minMax"/>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 Turbines Installed </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5334935"/>
        <c:crosses val="max"/>
        <c:crossBetween val="between"/>
      </c:valAx>
      <c:catAx>
        <c:axId val="45334935"/>
        <c:scaling>
          <c:orientation val="minMax"/>
        </c:scaling>
        <c:delete val="1"/>
        <c:axPos val="b"/>
        <c:numFmt formatCode="General" sourceLinked="1"/>
        <c:majorTickMark val="out"/>
        <c:minorTickMark val="none"/>
        <c:tickLblPos val="nextTo"/>
        <c:crossAx val="45341167"/>
        <c:crosses val="autoZero"/>
        <c:auto val="1"/>
        <c:lblAlgn val="ctr"/>
        <c:lblOffset val="100"/>
        <c:noMultiLvlLbl val="0"/>
      </c:catAx>
      <c:spPr>
        <a:noFill/>
        <a:ln>
          <a:noFill/>
        </a:ln>
        <a:effectLst/>
      </c:spPr>
    </c:plotArea>
    <c:legend>
      <c:legendPos val="b"/>
      <c:layout>
        <c:manualLayout>
          <c:xMode val="edge"/>
          <c:yMode val="edge"/>
          <c:x val="0.10195364966059496"/>
          <c:y val="9.4921392701569532E-2"/>
          <c:w val="0.55979064810066326"/>
          <c:h val="4.1726564291470453E-2"/>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nchor="t" anchorCtr="1"/>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Total MW and Projects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462671550043816E-2"/>
          <c:y val="7.5282334926584052E-2"/>
          <c:w val="0.84749648151120716"/>
          <c:h val="0.76811631697945759"/>
        </c:manualLayout>
      </c:layout>
      <c:barChart>
        <c:barDir val="col"/>
        <c:grouping val="clustered"/>
        <c:varyColors val="0"/>
        <c:ser>
          <c:idx val="0"/>
          <c:order val="0"/>
          <c:tx>
            <c:strRef>
              <c:f>ACCEL!$B$83</c:f>
              <c:strCache>
                <c:ptCount val="1"/>
                <c:pt idx="0">
                  <c:v>Installed MW</c:v>
                </c:pt>
              </c:strCache>
            </c:strRef>
          </c:tx>
          <c:spPr>
            <a:solidFill>
              <a:srgbClr val="0079C2"/>
            </a:solidFill>
            <a:ln>
              <a:noFill/>
            </a:ln>
            <a:effectLst/>
          </c:spPr>
          <c:invertIfNegative val="0"/>
          <c:cat>
            <c:numRef>
              <c:f>ACCEL!$D$6:$Q$6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ACCEL!$D$83:$Q$83</c:f>
              <c:numCache>
                <c:formatCode>0</c:formatCode>
                <c:ptCount val="14"/>
                <c:pt idx="0">
                  <c:v>0</c:v>
                </c:pt>
                <c:pt idx="1">
                  <c:v>513.23076923076928</c:v>
                </c:pt>
                <c:pt idx="2">
                  <c:v>4289.353587588882</c:v>
                </c:pt>
                <c:pt idx="3">
                  <c:v>3785.1538461538457</c:v>
                </c:pt>
                <c:pt idx="4">
                  <c:v>3474</c:v>
                </c:pt>
                <c:pt idx="5">
                  <c:v>2904.6</c:v>
                </c:pt>
                <c:pt idx="6">
                  <c:v>6126.169049873698</c:v>
                </c:pt>
                <c:pt idx="7">
                  <c:v>6626.169049873698</c:v>
                </c:pt>
                <c:pt idx="8">
                  <c:v>6626.169049873698</c:v>
                </c:pt>
                <c:pt idx="9">
                  <c:v>6626.169049873698</c:v>
                </c:pt>
                <c:pt idx="10">
                  <c:v>6626.169049873698</c:v>
                </c:pt>
                <c:pt idx="11">
                  <c:v>6626.169049873698</c:v>
                </c:pt>
                <c:pt idx="12">
                  <c:v>6626.169049873698</c:v>
                </c:pt>
                <c:pt idx="13">
                  <c:v>6626.169049873698</c:v>
                </c:pt>
              </c:numCache>
            </c:numRef>
          </c:val>
          <c:extLst>
            <c:ext xmlns:c16="http://schemas.microsoft.com/office/drawing/2014/chart" uri="{C3380CC4-5D6E-409C-BE32-E72D297353CC}">
              <c16:uniqueId val="{00000000-1883-4C44-BEAF-40897E5A073F}"/>
            </c:ext>
          </c:extLst>
        </c:ser>
        <c:dLbls>
          <c:showLegendKey val="0"/>
          <c:showVal val="0"/>
          <c:showCatName val="0"/>
          <c:showSerName val="0"/>
          <c:showPercent val="0"/>
          <c:showBubbleSize val="0"/>
        </c:dLbls>
        <c:gapWidth val="200"/>
        <c:overlap val="100"/>
        <c:axId val="1105198224"/>
        <c:axId val="1105196256"/>
      </c:barChart>
      <c:lineChart>
        <c:grouping val="standard"/>
        <c:varyColors val="0"/>
        <c:ser>
          <c:idx val="4"/>
          <c:order val="1"/>
          <c:tx>
            <c:strRef>
              <c:f>ACCEL!$B$84</c:f>
              <c:strCache>
                <c:ptCount val="1"/>
                <c:pt idx="0">
                  <c:v>Projects Constructed</c:v>
                </c:pt>
              </c:strCache>
            </c:strRef>
          </c:tx>
          <c:spPr>
            <a:ln w="38100" cap="rnd">
              <a:solidFill>
                <a:srgbClr val="933C06"/>
              </a:solidFill>
              <a:round/>
            </a:ln>
            <a:effectLst/>
          </c:spPr>
          <c:marker>
            <c:symbol val="none"/>
          </c:marker>
          <c:cat>
            <c:numRef>
              <c:f>ACCEL!$D$6:$Q$6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ACCEL!$D$84:$Q$84</c:f>
              <c:numCache>
                <c:formatCode>0</c:formatCode>
                <c:ptCount val="14"/>
                <c:pt idx="0">
                  <c:v>0</c:v>
                </c:pt>
                <c:pt idx="1">
                  <c:v>2</c:v>
                </c:pt>
                <c:pt idx="2">
                  <c:v>6</c:v>
                </c:pt>
                <c:pt idx="3">
                  <c:v>5</c:v>
                </c:pt>
                <c:pt idx="4">
                  <c:v>6</c:v>
                </c:pt>
                <c:pt idx="5">
                  <c:v>3</c:v>
                </c:pt>
                <c:pt idx="6">
                  <c:v>8</c:v>
                </c:pt>
                <c:pt idx="7">
                  <c:v>8</c:v>
                </c:pt>
                <c:pt idx="8">
                  <c:v>8</c:v>
                </c:pt>
                <c:pt idx="9">
                  <c:v>8</c:v>
                </c:pt>
                <c:pt idx="10">
                  <c:v>8</c:v>
                </c:pt>
                <c:pt idx="11">
                  <c:v>8</c:v>
                </c:pt>
                <c:pt idx="12">
                  <c:v>8</c:v>
                </c:pt>
                <c:pt idx="13">
                  <c:v>8</c:v>
                </c:pt>
              </c:numCache>
            </c:numRef>
          </c:val>
          <c:smooth val="0"/>
          <c:extLst>
            <c:ext xmlns:c16="http://schemas.microsoft.com/office/drawing/2014/chart" uri="{C3380CC4-5D6E-409C-BE32-E72D297353CC}">
              <c16:uniqueId val="{00000004-1883-4C44-BEAF-40897E5A073F}"/>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Projects Constructed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105196256"/>
        <c:scaling>
          <c:orientation val="minMax"/>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MW per year</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05198224"/>
        <c:crosses val="max"/>
        <c:crossBetween val="between"/>
      </c:valAx>
      <c:catAx>
        <c:axId val="1105198224"/>
        <c:scaling>
          <c:orientation val="minMax"/>
        </c:scaling>
        <c:delete val="1"/>
        <c:axPos val="b"/>
        <c:numFmt formatCode="General" sourceLinked="1"/>
        <c:majorTickMark val="out"/>
        <c:minorTickMark val="none"/>
        <c:tickLblPos val="nextTo"/>
        <c:crossAx val="1105196256"/>
        <c:crosses val="autoZero"/>
        <c:auto val="1"/>
        <c:lblAlgn val="ctr"/>
        <c:lblOffset val="100"/>
        <c:noMultiLvlLbl val="0"/>
      </c:catAx>
      <c:spPr>
        <a:noFill/>
        <a:ln>
          <a:noFill/>
        </a:ln>
        <a:effectLst/>
      </c:spPr>
    </c:plotArea>
    <c:legend>
      <c:legendPos val="b"/>
      <c:layout>
        <c:manualLayout>
          <c:xMode val="edge"/>
          <c:yMode val="edge"/>
          <c:x val="9.9358774265480274E-2"/>
          <c:y val="9.9731239444338426E-2"/>
          <c:w val="0.16406096444866217"/>
          <c:h val="0.1893341143365127"/>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Turbines Transported/Stored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2623337265654374E-2"/>
          <c:y val="7.5282334926584052E-2"/>
          <c:w val="0.80910229985705562"/>
          <c:h val="0.75701402721993338"/>
        </c:manualLayout>
      </c:layout>
      <c:barChart>
        <c:barDir val="col"/>
        <c:grouping val="stacked"/>
        <c:varyColors val="0"/>
        <c:ser>
          <c:idx val="1"/>
          <c:order val="0"/>
          <c:tx>
            <c:strRef>
              <c:f>ACCEL!$B$46</c:f>
              <c:strCache>
                <c:ptCount val="1"/>
                <c:pt idx="0">
                  <c:v>12</c:v>
                </c:pt>
              </c:strCache>
            </c:strRef>
          </c:tx>
          <c:spPr>
            <a:solidFill>
              <a:srgbClr val="0079C2"/>
            </a:solidFill>
            <a:ln>
              <a:noFill/>
            </a:ln>
            <a:effectLst/>
          </c:spPr>
          <c:invertIfNegative val="0"/>
          <c:cat>
            <c:numRef>
              <c:f>ACCEL!$D$6:$Q$6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ACCEL!$D$46:$Q$46</c:f>
              <c:numCache>
                <c:formatCode>0</c:formatCode>
                <c:ptCount val="14"/>
                <c:pt idx="0">
                  <c:v>42.769230769230774</c:v>
                </c:pt>
                <c:pt idx="1">
                  <c:v>261.79487179487182</c:v>
                </c:pt>
                <c:pt idx="2">
                  <c:v>187.5128205128205</c:v>
                </c:pt>
                <c:pt idx="3">
                  <c:v>60.666666666666664</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08D0-4A35-8C94-0BCA886F5166}"/>
            </c:ext>
          </c:extLst>
        </c:ser>
        <c:ser>
          <c:idx val="2"/>
          <c:order val="1"/>
          <c:tx>
            <c:strRef>
              <c:f>ACCEL!$B$47</c:f>
              <c:strCache>
                <c:ptCount val="1"/>
                <c:pt idx="0">
                  <c:v>15</c:v>
                </c:pt>
              </c:strCache>
            </c:strRef>
          </c:tx>
          <c:spPr>
            <a:solidFill>
              <a:srgbClr val="5E6A71"/>
            </a:solidFill>
            <a:ln>
              <a:noFill/>
            </a:ln>
            <a:effectLst/>
          </c:spPr>
          <c:invertIfNegative val="0"/>
          <c:val>
            <c:numRef>
              <c:f>ACCEL!$D$47:$Q$47</c:f>
              <c:numCache>
                <c:formatCode>0</c:formatCode>
                <c:ptCount val="14"/>
                <c:pt idx="0">
                  <c:v>0</c:v>
                </c:pt>
                <c:pt idx="1">
                  <c:v>76.52100840336135</c:v>
                </c:pt>
                <c:pt idx="2">
                  <c:v>102.33333333333334</c:v>
                </c:pt>
                <c:pt idx="3">
                  <c:v>183.06666666666666</c:v>
                </c:pt>
                <c:pt idx="4">
                  <c:v>193.64</c:v>
                </c:pt>
                <c:pt idx="5">
                  <c:v>408.41126999157984</c:v>
                </c:pt>
                <c:pt idx="6">
                  <c:v>441.74460332491321</c:v>
                </c:pt>
                <c:pt idx="7">
                  <c:v>441.74460332491321</c:v>
                </c:pt>
                <c:pt idx="8">
                  <c:v>0</c:v>
                </c:pt>
                <c:pt idx="9">
                  <c:v>0</c:v>
                </c:pt>
                <c:pt idx="10">
                  <c:v>0</c:v>
                </c:pt>
                <c:pt idx="11">
                  <c:v>0</c:v>
                </c:pt>
                <c:pt idx="12">
                  <c:v>0</c:v>
                </c:pt>
              </c:numCache>
            </c:numRef>
          </c:val>
          <c:extLst>
            <c:ext xmlns:c16="http://schemas.microsoft.com/office/drawing/2014/chart" uri="{C3380CC4-5D6E-409C-BE32-E72D297353CC}">
              <c16:uniqueId val="{00000001-08D0-4A35-8C94-0BCA886F5166}"/>
            </c:ext>
          </c:extLst>
        </c:ser>
        <c:ser>
          <c:idx val="3"/>
          <c:order val="2"/>
          <c:tx>
            <c:strRef>
              <c:f>ACCEL!$B$48</c:f>
              <c:strCache>
                <c:ptCount val="1"/>
                <c:pt idx="0">
                  <c:v>18</c:v>
                </c:pt>
              </c:strCache>
            </c:strRef>
          </c:tx>
          <c:spPr>
            <a:solidFill>
              <a:srgbClr val="5D9732"/>
            </a:solidFill>
            <a:ln>
              <a:noFill/>
            </a:ln>
            <a:effectLst/>
          </c:spPr>
          <c:invertIfNegative val="0"/>
          <c:val>
            <c:numRef>
              <c:f>ACCEL!$D$48:$Q$48</c:f>
              <c:numCache>
                <c:formatCode>0</c:formatCode>
                <c:ptCount val="14"/>
                <c:pt idx="0">
                  <c:v>0</c:v>
                </c:pt>
                <c:pt idx="1">
                  <c:v>0</c:v>
                </c:pt>
                <c:pt idx="2">
                  <c:v>0</c:v>
                </c:pt>
                <c:pt idx="3">
                  <c:v>0</c:v>
                </c:pt>
                <c:pt idx="4">
                  <c:v>0</c:v>
                </c:pt>
                <c:pt idx="5">
                  <c:v>0</c:v>
                </c:pt>
                <c:pt idx="6">
                  <c:v>0</c:v>
                </c:pt>
                <c:pt idx="7">
                  <c:v>0</c:v>
                </c:pt>
                <c:pt idx="8">
                  <c:v>368.12050277076099</c:v>
                </c:pt>
                <c:pt idx="9">
                  <c:v>368.12050277076099</c:v>
                </c:pt>
                <c:pt idx="10">
                  <c:v>368.12050277076099</c:v>
                </c:pt>
                <c:pt idx="11">
                  <c:v>368.12050277076099</c:v>
                </c:pt>
                <c:pt idx="12">
                  <c:v>368.12050277076099</c:v>
                </c:pt>
              </c:numCache>
            </c:numRef>
          </c:val>
          <c:extLst>
            <c:ext xmlns:c16="http://schemas.microsoft.com/office/drawing/2014/chart" uri="{C3380CC4-5D6E-409C-BE32-E72D297353CC}">
              <c16:uniqueId val="{00000002-08D0-4A35-8C94-0BCA886F5166}"/>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Transportation/Storage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Turbines Stored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w="9525">
          <a:solidFill>
            <a:srgbClr val="3D6321"/>
          </a:solid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a:t>Turbine</a:t>
            </a:r>
            <a:r>
              <a:rPr lang="en-US" baseline="0"/>
              <a:t> Orders</a:t>
            </a:r>
            <a:endParaRPr lang="en-US"/>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909255046736566E-2"/>
          <c:y val="7.5282334926584052E-2"/>
          <c:w val="0.8200706163901833"/>
          <c:h val="0.75439490302403034"/>
        </c:manualLayout>
      </c:layout>
      <c:barChart>
        <c:barDir val="col"/>
        <c:grouping val="stacked"/>
        <c:varyColors val="0"/>
        <c:ser>
          <c:idx val="1"/>
          <c:order val="0"/>
          <c:tx>
            <c:strRef>
              <c:f>ACCEL!$B$10</c:f>
              <c:strCache>
                <c:ptCount val="1"/>
                <c:pt idx="0">
                  <c:v>12</c:v>
                </c:pt>
              </c:strCache>
            </c:strRef>
          </c:tx>
          <c:spPr>
            <a:solidFill>
              <a:srgbClr val="0079C2"/>
            </a:solidFill>
            <a:ln>
              <a:noFill/>
            </a:ln>
            <a:effectLst/>
          </c:spPr>
          <c:invertIfNegative val="0"/>
          <c:cat>
            <c:numRef>
              <c:f>ACCEL!$D$6:$Q$6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ACCEL!$D$10:$Q$10</c:f>
              <c:numCache>
                <c:formatCode>0</c:formatCode>
                <c:ptCount val="14"/>
                <c:pt idx="0">
                  <c:v>261.79487179487182</c:v>
                </c:pt>
                <c:pt idx="1">
                  <c:v>187.5128205128205</c:v>
                </c:pt>
                <c:pt idx="2">
                  <c:v>60.666666666666664</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BECF-4A9F-8A98-E61631AD9517}"/>
            </c:ext>
          </c:extLst>
        </c:ser>
        <c:ser>
          <c:idx val="2"/>
          <c:order val="1"/>
          <c:tx>
            <c:strRef>
              <c:f>ACCEL!$B$11</c:f>
              <c:strCache>
                <c:ptCount val="1"/>
                <c:pt idx="0">
                  <c:v>15</c:v>
                </c:pt>
              </c:strCache>
            </c:strRef>
          </c:tx>
          <c:spPr>
            <a:solidFill>
              <a:srgbClr val="5E6A71"/>
            </a:solidFill>
            <a:ln>
              <a:noFill/>
            </a:ln>
            <a:effectLst/>
          </c:spPr>
          <c:invertIfNegative val="0"/>
          <c:val>
            <c:numRef>
              <c:f>ACCEL!$D$11:$Q$11</c:f>
              <c:numCache>
                <c:formatCode>0</c:formatCode>
                <c:ptCount val="14"/>
                <c:pt idx="0">
                  <c:v>76.52100840336135</c:v>
                </c:pt>
                <c:pt idx="1">
                  <c:v>102.33333333333334</c:v>
                </c:pt>
                <c:pt idx="2">
                  <c:v>183.06666666666666</c:v>
                </c:pt>
                <c:pt idx="3">
                  <c:v>193.64</c:v>
                </c:pt>
                <c:pt idx="4">
                  <c:v>408.41126999157984</c:v>
                </c:pt>
                <c:pt idx="5">
                  <c:v>441.74460332491321</c:v>
                </c:pt>
                <c:pt idx="6">
                  <c:v>441.74460332491321</c:v>
                </c:pt>
                <c:pt idx="7">
                  <c:v>0</c:v>
                </c:pt>
                <c:pt idx="8">
                  <c:v>0</c:v>
                </c:pt>
                <c:pt idx="9">
                  <c:v>0</c:v>
                </c:pt>
                <c:pt idx="10">
                  <c:v>0</c:v>
                </c:pt>
                <c:pt idx="11">
                  <c:v>0</c:v>
                </c:pt>
              </c:numCache>
            </c:numRef>
          </c:val>
          <c:extLst>
            <c:ext xmlns:c16="http://schemas.microsoft.com/office/drawing/2014/chart" uri="{C3380CC4-5D6E-409C-BE32-E72D297353CC}">
              <c16:uniqueId val="{00000001-BECF-4A9F-8A98-E61631AD9517}"/>
            </c:ext>
          </c:extLst>
        </c:ser>
        <c:ser>
          <c:idx val="3"/>
          <c:order val="2"/>
          <c:tx>
            <c:strRef>
              <c:f>ACCEL!$B$12</c:f>
              <c:strCache>
                <c:ptCount val="1"/>
                <c:pt idx="0">
                  <c:v>18</c:v>
                </c:pt>
              </c:strCache>
            </c:strRef>
          </c:tx>
          <c:spPr>
            <a:solidFill>
              <a:srgbClr val="5D9732"/>
            </a:solidFill>
            <a:ln>
              <a:noFill/>
            </a:ln>
            <a:effectLst/>
          </c:spPr>
          <c:invertIfNegative val="0"/>
          <c:val>
            <c:numRef>
              <c:f>ACCEL!$D$12:$Q$12</c:f>
              <c:numCache>
                <c:formatCode>0</c:formatCode>
                <c:ptCount val="14"/>
                <c:pt idx="0">
                  <c:v>0</c:v>
                </c:pt>
                <c:pt idx="1">
                  <c:v>0</c:v>
                </c:pt>
                <c:pt idx="2">
                  <c:v>0</c:v>
                </c:pt>
                <c:pt idx="3">
                  <c:v>0</c:v>
                </c:pt>
                <c:pt idx="4">
                  <c:v>0</c:v>
                </c:pt>
                <c:pt idx="5">
                  <c:v>0</c:v>
                </c:pt>
                <c:pt idx="6">
                  <c:v>0</c:v>
                </c:pt>
                <c:pt idx="7">
                  <c:v>368.12050277076099</c:v>
                </c:pt>
                <c:pt idx="8">
                  <c:v>368.12050277076099</c:v>
                </c:pt>
                <c:pt idx="9">
                  <c:v>368.12050277076099</c:v>
                </c:pt>
                <c:pt idx="10">
                  <c:v>368.12050277076099</c:v>
                </c:pt>
                <c:pt idx="11">
                  <c:v>368.12050277076099</c:v>
                </c:pt>
              </c:numCache>
            </c:numRef>
          </c:val>
          <c:extLst>
            <c:ext xmlns:c16="http://schemas.microsoft.com/office/drawing/2014/chart" uri="{C3380CC4-5D6E-409C-BE32-E72D297353CC}">
              <c16:uniqueId val="{00000002-BECF-4A9F-8A98-E61631AD9517}"/>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Procurement/Manufacturing</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Turbines Ordered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baseline="0"/>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2.xml"/><Relationship Id="rId3" Type="http://schemas.openxmlformats.org/officeDocument/2006/relationships/chart" Target="../charts/chart7.xml"/><Relationship Id="rId7" Type="http://schemas.openxmlformats.org/officeDocument/2006/relationships/chart" Target="../charts/chart11.xml"/><Relationship Id="rId2" Type="http://schemas.openxmlformats.org/officeDocument/2006/relationships/chart" Target="../charts/chart6.xml"/><Relationship Id="rId1" Type="http://schemas.openxmlformats.org/officeDocument/2006/relationships/chart" Target="../charts/chart5.xml"/><Relationship Id="rId6" Type="http://schemas.openxmlformats.org/officeDocument/2006/relationships/chart" Target="../charts/chart10.xml"/><Relationship Id="rId5" Type="http://schemas.openxmlformats.org/officeDocument/2006/relationships/chart" Target="../charts/chart9.xml"/><Relationship Id="rId4" Type="http://schemas.openxmlformats.org/officeDocument/2006/relationships/chart" Target="../charts/chart8.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5.xml"/><Relationship Id="rId2" Type="http://schemas.openxmlformats.org/officeDocument/2006/relationships/chart" Target="../charts/chart14.xml"/><Relationship Id="rId1" Type="http://schemas.openxmlformats.org/officeDocument/2006/relationships/chart" Target="../charts/chart13.xml"/><Relationship Id="rId5" Type="http://schemas.openxmlformats.org/officeDocument/2006/relationships/chart" Target="../charts/chart17.xml"/><Relationship Id="rId4" Type="http://schemas.openxmlformats.org/officeDocument/2006/relationships/chart" Target="../charts/chart16.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0.xml"/><Relationship Id="rId2" Type="http://schemas.openxmlformats.org/officeDocument/2006/relationships/chart" Target="../charts/chart19.xml"/><Relationship Id="rId1" Type="http://schemas.openxmlformats.org/officeDocument/2006/relationships/chart" Target="../charts/chart18.xml"/><Relationship Id="rId5" Type="http://schemas.openxmlformats.org/officeDocument/2006/relationships/chart" Target="../charts/chart22.xml"/><Relationship Id="rId4" Type="http://schemas.openxmlformats.org/officeDocument/2006/relationships/chart" Target="../charts/chart21.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5.xml"/><Relationship Id="rId2" Type="http://schemas.openxmlformats.org/officeDocument/2006/relationships/chart" Target="../charts/chart24.xml"/><Relationship Id="rId1" Type="http://schemas.openxmlformats.org/officeDocument/2006/relationships/chart" Target="../charts/chart23.xml"/><Relationship Id="rId5" Type="http://schemas.openxmlformats.org/officeDocument/2006/relationships/chart" Target="../charts/chart27.xml"/><Relationship Id="rId4" Type="http://schemas.openxmlformats.org/officeDocument/2006/relationships/chart" Target="../charts/chart26.xml"/></Relationships>
</file>

<file path=xl/drawings/_rels/drawing7.xml.rels><?xml version="1.0" encoding="UTF-8" standalone="yes"?>
<Relationships xmlns="http://schemas.openxmlformats.org/package/2006/relationships"><Relationship Id="rId3" Type="http://schemas.openxmlformats.org/officeDocument/2006/relationships/chart" Target="../charts/chart30.xml"/><Relationship Id="rId2" Type="http://schemas.openxmlformats.org/officeDocument/2006/relationships/chart" Target="../charts/chart29.xml"/><Relationship Id="rId1" Type="http://schemas.openxmlformats.org/officeDocument/2006/relationships/chart" Target="../charts/chart28.xml"/><Relationship Id="rId5" Type="http://schemas.openxmlformats.org/officeDocument/2006/relationships/chart" Target="../charts/chart32.xml"/><Relationship Id="rId4" Type="http://schemas.openxmlformats.org/officeDocument/2006/relationships/chart" Target="../charts/chart31.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5.xml"/><Relationship Id="rId2" Type="http://schemas.openxmlformats.org/officeDocument/2006/relationships/chart" Target="../charts/chart34.xml"/><Relationship Id="rId1" Type="http://schemas.openxmlformats.org/officeDocument/2006/relationships/chart" Target="../charts/chart33.xml"/><Relationship Id="rId5" Type="http://schemas.openxmlformats.org/officeDocument/2006/relationships/chart" Target="../charts/chart37.xml"/><Relationship Id="rId4" Type="http://schemas.openxmlformats.org/officeDocument/2006/relationships/chart" Target="../charts/chart36.xml"/></Relationships>
</file>

<file path=xl/drawings/_rels/drawing9.xml.rels><?xml version="1.0" encoding="UTF-8" standalone="yes"?>
<Relationships xmlns="http://schemas.openxmlformats.org/package/2006/relationships"><Relationship Id="rId3" Type="http://schemas.openxmlformats.org/officeDocument/2006/relationships/chart" Target="../charts/chart40.xml"/><Relationship Id="rId2" Type="http://schemas.openxmlformats.org/officeDocument/2006/relationships/chart" Target="../charts/chart39.xml"/><Relationship Id="rId1" Type="http://schemas.openxmlformats.org/officeDocument/2006/relationships/chart" Target="../charts/chart38.xml"/><Relationship Id="rId4" Type="http://schemas.openxmlformats.org/officeDocument/2006/relationships/chart" Target="../charts/chart41.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44.xml"/><Relationship Id="rId2" Type="http://schemas.openxmlformats.org/officeDocument/2006/relationships/chart" Target="../charts/chart43.xml"/><Relationship Id="rId1" Type="http://schemas.openxmlformats.org/officeDocument/2006/relationships/chart" Target="../charts/chart42.xml"/><Relationship Id="rId4" Type="http://schemas.openxmlformats.org/officeDocument/2006/relationships/chart" Target="../charts/chart45.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48.xml"/><Relationship Id="rId2" Type="http://schemas.openxmlformats.org/officeDocument/2006/relationships/chart" Target="../charts/chart47.xml"/><Relationship Id="rId1" Type="http://schemas.openxmlformats.org/officeDocument/2006/relationships/chart" Target="../charts/chart46.xml"/><Relationship Id="rId4" Type="http://schemas.openxmlformats.org/officeDocument/2006/relationships/chart" Target="../charts/chart49.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52.xml"/><Relationship Id="rId2" Type="http://schemas.openxmlformats.org/officeDocument/2006/relationships/chart" Target="../charts/chart51.xml"/><Relationship Id="rId1" Type="http://schemas.openxmlformats.org/officeDocument/2006/relationships/chart" Target="../charts/chart50.xml"/><Relationship Id="rId5" Type="http://schemas.openxmlformats.org/officeDocument/2006/relationships/chart" Target="../charts/chart54.xml"/><Relationship Id="rId4" Type="http://schemas.openxmlformats.org/officeDocument/2006/relationships/chart" Target="../charts/chart53.xml"/></Relationships>
</file>

<file path=xl/drawings/_rels/drawing13.xml.rels><?xml version="1.0" encoding="UTF-8" standalone="yes"?>
<Relationships xmlns="http://schemas.openxmlformats.org/package/2006/relationships"><Relationship Id="rId3" Type="http://schemas.openxmlformats.org/officeDocument/2006/relationships/chart" Target="../charts/chart57.xml"/><Relationship Id="rId2" Type="http://schemas.openxmlformats.org/officeDocument/2006/relationships/chart" Target="../charts/chart56.xml"/><Relationship Id="rId1" Type="http://schemas.openxmlformats.org/officeDocument/2006/relationships/chart" Target="../charts/chart55.xml"/><Relationship Id="rId4" Type="http://schemas.openxmlformats.org/officeDocument/2006/relationships/chart" Target="../charts/chart58.xml"/></Relationships>
</file>

<file path=xl/drawings/_rels/drawing14.xml.rels><?xml version="1.0" encoding="UTF-8" standalone="yes"?>
<Relationships xmlns="http://schemas.openxmlformats.org/package/2006/relationships"><Relationship Id="rId3" Type="http://schemas.openxmlformats.org/officeDocument/2006/relationships/chart" Target="../charts/chart61.xml"/><Relationship Id="rId2" Type="http://schemas.openxmlformats.org/officeDocument/2006/relationships/chart" Target="../charts/chart60.xml"/><Relationship Id="rId1" Type="http://schemas.openxmlformats.org/officeDocument/2006/relationships/chart" Target="../charts/chart59.xml"/><Relationship Id="rId4" Type="http://schemas.openxmlformats.org/officeDocument/2006/relationships/chart" Target="../charts/chart62.xml"/></Relationships>
</file>

<file path=xl/drawings/drawing1.xml><?xml version="1.0" encoding="utf-8"?>
<xdr:wsDr xmlns:xdr="http://schemas.openxmlformats.org/drawingml/2006/spreadsheetDrawing" xmlns:a="http://schemas.openxmlformats.org/drawingml/2006/main">
  <xdr:twoCellAnchor editAs="oneCell">
    <xdr:from>
      <xdr:col>14</xdr:col>
      <xdr:colOff>26669</xdr:colOff>
      <xdr:row>65</xdr:row>
      <xdr:rowOff>544830</xdr:rowOff>
    </xdr:from>
    <xdr:to>
      <xdr:col>23</xdr:col>
      <xdr:colOff>245744</xdr:colOff>
      <xdr:row>81</xdr:row>
      <xdr:rowOff>97155</xdr:rowOff>
    </xdr:to>
    <xdr:pic>
      <xdr:nvPicPr>
        <xdr:cNvPr id="2" name="Picture 1">
          <a:extLst>
            <a:ext uri="{FF2B5EF4-FFF2-40B4-BE49-F238E27FC236}">
              <a16:creationId xmlns:a16="http://schemas.microsoft.com/office/drawing/2014/main" id="{41BA6E4E-C537-4C6C-BDDA-12D52B21055A}"/>
            </a:ext>
          </a:extLst>
        </xdr:cNvPr>
        <xdr:cNvPicPr/>
      </xdr:nvPicPr>
      <xdr:blipFill>
        <a:blip xmlns:r="http://schemas.openxmlformats.org/officeDocument/2006/relationships" r:embed="rId1"/>
        <a:stretch>
          <a:fillRect/>
        </a:stretch>
      </xdr:blipFill>
      <xdr:spPr>
        <a:xfrm>
          <a:off x="16704944" y="15260955"/>
          <a:ext cx="7393305" cy="332232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18</xdr:col>
      <xdr:colOff>421821</xdr:colOff>
      <xdr:row>108</xdr:row>
      <xdr:rowOff>190500</xdr:rowOff>
    </xdr:from>
    <xdr:to>
      <xdr:col>35</xdr:col>
      <xdr:colOff>403677</xdr:colOff>
      <xdr:row>139</xdr:row>
      <xdr:rowOff>103688</xdr:rowOff>
    </xdr:to>
    <xdr:graphicFrame macro="">
      <xdr:nvGraphicFramePr>
        <xdr:cNvPr id="6" name="Chart 2">
          <a:extLst>
            <a:ext uri="{FF2B5EF4-FFF2-40B4-BE49-F238E27FC236}">
              <a16:creationId xmlns:a16="http://schemas.microsoft.com/office/drawing/2014/main" id="{25247364-0154-4E77-BAD4-ADFC48E25B5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200297</xdr:colOff>
      <xdr:row>82</xdr:row>
      <xdr:rowOff>110763</xdr:rowOff>
    </xdr:from>
    <xdr:to>
      <xdr:col>35</xdr:col>
      <xdr:colOff>200842</xdr:colOff>
      <xdr:row>107</xdr:row>
      <xdr:rowOff>36739</xdr:rowOff>
    </xdr:to>
    <xdr:graphicFrame macro="">
      <xdr:nvGraphicFramePr>
        <xdr:cNvPr id="7" name="Chart 6">
          <a:extLst>
            <a:ext uri="{FF2B5EF4-FFF2-40B4-BE49-F238E27FC236}">
              <a16:creationId xmlns:a16="http://schemas.microsoft.com/office/drawing/2014/main" id="{D80D7B30-B125-474C-99B9-090C9037C10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0</xdr:colOff>
      <xdr:row>44</xdr:row>
      <xdr:rowOff>0</xdr:rowOff>
    </xdr:from>
    <xdr:to>
      <xdr:col>33</xdr:col>
      <xdr:colOff>596809</xdr:colOff>
      <xdr:row>71</xdr:row>
      <xdr:rowOff>17145</xdr:rowOff>
    </xdr:to>
    <xdr:graphicFrame macro="">
      <xdr:nvGraphicFramePr>
        <xdr:cNvPr id="8" name="Chart 5">
          <a:extLst>
            <a:ext uri="{FF2B5EF4-FFF2-40B4-BE49-F238E27FC236}">
              <a16:creationId xmlns:a16="http://schemas.microsoft.com/office/drawing/2014/main" id="{EA63C357-0375-464A-85EB-0632D68D02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0</xdr:colOff>
      <xdr:row>8</xdr:row>
      <xdr:rowOff>0</xdr:rowOff>
    </xdr:from>
    <xdr:to>
      <xdr:col>33</xdr:col>
      <xdr:colOff>591095</xdr:colOff>
      <xdr:row>35</xdr:row>
      <xdr:rowOff>19050</xdr:rowOff>
    </xdr:to>
    <xdr:graphicFrame macro="">
      <xdr:nvGraphicFramePr>
        <xdr:cNvPr id="9" name="Chart 6">
          <a:extLst>
            <a:ext uri="{FF2B5EF4-FFF2-40B4-BE49-F238E27FC236}">
              <a16:creationId xmlns:a16="http://schemas.microsoft.com/office/drawing/2014/main" id="{751AA3A3-0D6C-490C-80DB-B6256DC221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18</xdr:col>
      <xdr:colOff>421821</xdr:colOff>
      <xdr:row>108</xdr:row>
      <xdr:rowOff>190500</xdr:rowOff>
    </xdr:from>
    <xdr:to>
      <xdr:col>35</xdr:col>
      <xdr:colOff>403677</xdr:colOff>
      <xdr:row>139</xdr:row>
      <xdr:rowOff>103688</xdr:rowOff>
    </xdr:to>
    <xdr:graphicFrame macro="">
      <xdr:nvGraphicFramePr>
        <xdr:cNvPr id="2" name="Chart 2">
          <a:extLst>
            <a:ext uri="{FF2B5EF4-FFF2-40B4-BE49-F238E27FC236}">
              <a16:creationId xmlns:a16="http://schemas.microsoft.com/office/drawing/2014/main" id="{23E61AD0-DABE-4BC6-9AB7-5EDBD94AD0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382700</xdr:colOff>
      <xdr:row>81</xdr:row>
      <xdr:rowOff>98856</xdr:rowOff>
    </xdr:from>
    <xdr:to>
      <xdr:col>35</xdr:col>
      <xdr:colOff>383245</xdr:colOff>
      <xdr:row>106</xdr:row>
      <xdr:rowOff>19118</xdr:rowOff>
    </xdr:to>
    <xdr:graphicFrame macro="">
      <xdr:nvGraphicFramePr>
        <xdr:cNvPr id="3" name="Chart 2">
          <a:extLst>
            <a:ext uri="{FF2B5EF4-FFF2-40B4-BE49-F238E27FC236}">
              <a16:creationId xmlns:a16="http://schemas.microsoft.com/office/drawing/2014/main" id="{DF835AC6-1EED-438B-947D-05CA3D0D62C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0</xdr:colOff>
      <xdr:row>44</xdr:row>
      <xdr:rowOff>0</xdr:rowOff>
    </xdr:from>
    <xdr:to>
      <xdr:col>33</xdr:col>
      <xdr:colOff>596809</xdr:colOff>
      <xdr:row>71</xdr:row>
      <xdr:rowOff>17145</xdr:rowOff>
    </xdr:to>
    <xdr:graphicFrame macro="">
      <xdr:nvGraphicFramePr>
        <xdr:cNvPr id="4" name="Chart 5">
          <a:extLst>
            <a:ext uri="{FF2B5EF4-FFF2-40B4-BE49-F238E27FC236}">
              <a16:creationId xmlns:a16="http://schemas.microsoft.com/office/drawing/2014/main" id="{5280370F-B398-4219-A835-0746C2A9F8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0</xdr:colOff>
      <xdr:row>8</xdr:row>
      <xdr:rowOff>0</xdr:rowOff>
    </xdr:from>
    <xdr:to>
      <xdr:col>33</xdr:col>
      <xdr:colOff>591095</xdr:colOff>
      <xdr:row>35</xdr:row>
      <xdr:rowOff>19050</xdr:rowOff>
    </xdr:to>
    <xdr:graphicFrame macro="">
      <xdr:nvGraphicFramePr>
        <xdr:cNvPr id="5" name="Chart 6">
          <a:extLst>
            <a:ext uri="{FF2B5EF4-FFF2-40B4-BE49-F238E27FC236}">
              <a16:creationId xmlns:a16="http://schemas.microsoft.com/office/drawing/2014/main" id="{750D2729-178F-4861-A79C-BF214A30FB1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37</xdr:col>
      <xdr:colOff>83344</xdr:colOff>
      <xdr:row>81</xdr:row>
      <xdr:rowOff>130969</xdr:rowOff>
    </xdr:from>
    <xdr:to>
      <xdr:col>46</xdr:col>
      <xdr:colOff>243841</xdr:colOff>
      <xdr:row>102</xdr:row>
      <xdr:rowOff>103345</xdr:rowOff>
    </xdr:to>
    <xdr:graphicFrame macro="">
      <xdr:nvGraphicFramePr>
        <xdr:cNvPr id="6" name="Chart 5">
          <a:extLst>
            <a:ext uri="{FF2B5EF4-FFF2-40B4-BE49-F238E27FC236}">
              <a16:creationId xmlns:a16="http://schemas.microsoft.com/office/drawing/2014/main" id="{E236391E-0FBD-4149-90AF-2F996AC6DD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37</xdr:col>
      <xdr:colOff>214313</xdr:colOff>
      <xdr:row>104</xdr:row>
      <xdr:rowOff>47625</xdr:rowOff>
    </xdr:from>
    <xdr:to>
      <xdr:col>46</xdr:col>
      <xdr:colOff>174262</xdr:colOff>
      <xdr:row>122</xdr:row>
      <xdr:rowOff>136684</xdr:rowOff>
    </xdr:to>
    <xdr:graphicFrame macro="">
      <xdr:nvGraphicFramePr>
        <xdr:cNvPr id="7" name="Chart 2">
          <a:extLst>
            <a:ext uri="{FF2B5EF4-FFF2-40B4-BE49-F238E27FC236}">
              <a16:creationId xmlns:a16="http://schemas.microsoft.com/office/drawing/2014/main" id="{A24E8047-0B0B-48A3-B2B4-3B99A947223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37</xdr:col>
      <xdr:colOff>186690</xdr:colOff>
      <xdr:row>123</xdr:row>
      <xdr:rowOff>194785</xdr:rowOff>
    </xdr:from>
    <xdr:to>
      <xdr:col>46</xdr:col>
      <xdr:colOff>150448</xdr:colOff>
      <xdr:row>142</xdr:row>
      <xdr:rowOff>129063</xdr:rowOff>
    </xdr:to>
    <xdr:graphicFrame macro="">
      <xdr:nvGraphicFramePr>
        <xdr:cNvPr id="9" name="Chart 2">
          <a:extLst>
            <a:ext uri="{FF2B5EF4-FFF2-40B4-BE49-F238E27FC236}">
              <a16:creationId xmlns:a16="http://schemas.microsoft.com/office/drawing/2014/main" id="{FD420B4E-1CA2-4BB8-BAD7-B7D3E3DD3BE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47</xdr:col>
      <xdr:colOff>0</xdr:colOff>
      <xdr:row>82</xdr:row>
      <xdr:rowOff>0</xdr:rowOff>
    </xdr:from>
    <xdr:to>
      <xdr:col>56</xdr:col>
      <xdr:colOff>162402</xdr:colOff>
      <xdr:row>102</xdr:row>
      <xdr:rowOff>169067</xdr:rowOff>
    </xdr:to>
    <xdr:graphicFrame macro="">
      <xdr:nvGraphicFramePr>
        <xdr:cNvPr id="10" name="Chart 9">
          <a:extLst>
            <a:ext uri="{FF2B5EF4-FFF2-40B4-BE49-F238E27FC236}">
              <a16:creationId xmlns:a16="http://schemas.microsoft.com/office/drawing/2014/main" id="{EB3D41C9-25F7-4CAF-B9EC-C4B3D79D9F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19</xdr:col>
      <xdr:colOff>0</xdr:colOff>
      <xdr:row>106</xdr:row>
      <xdr:rowOff>0</xdr:rowOff>
    </xdr:from>
    <xdr:to>
      <xdr:col>35</xdr:col>
      <xdr:colOff>596082</xdr:colOff>
      <xdr:row>136</xdr:row>
      <xdr:rowOff>109675</xdr:rowOff>
    </xdr:to>
    <xdr:graphicFrame macro="">
      <xdr:nvGraphicFramePr>
        <xdr:cNvPr id="8" name="Chart 2">
          <a:extLst>
            <a:ext uri="{FF2B5EF4-FFF2-40B4-BE49-F238E27FC236}">
              <a16:creationId xmlns:a16="http://schemas.microsoft.com/office/drawing/2014/main" id="{09004279-A665-4B6F-BB85-C9E3C0768CC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68035</xdr:colOff>
      <xdr:row>80</xdr:row>
      <xdr:rowOff>40821</xdr:rowOff>
    </xdr:from>
    <xdr:to>
      <xdr:col>36</xdr:col>
      <xdr:colOff>87630</xdr:colOff>
      <xdr:row>104</xdr:row>
      <xdr:rowOff>190499</xdr:rowOff>
    </xdr:to>
    <xdr:graphicFrame macro="">
      <xdr:nvGraphicFramePr>
        <xdr:cNvPr id="9" name="Chart 8">
          <a:extLst>
            <a:ext uri="{FF2B5EF4-FFF2-40B4-BE49-F238E27FC236}">
              <a16:creationId xmlns:a16="http://schemas.microsoft.com/office/drawing/2014/main" id="{51B3ECCD-8830-46EC-91D5-58BB7EE953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0</xdr:colOff>
      <xdr:row>44</xdr:row>
      <xdr:rowOff>0</xdr:rowOff>
    </xdr:from>
    <xdr:to>
      <xdr:col>35</xdr:col>
      <xdr:colOff>577216</xdr:colOff>
      <xdr:row>71</xdr:row>
      <xdr:rowOff>36195</xdr:rowOff>
    </xdr:to>
    <xdr:graphicFrame macro="">
      <xdr:nvGraphicFramePr>
        <xdr:cNvPr id="10" name="Chart 5">
          <a:extLst>
            <a:ext uri="{FF2B5EF4-FFF2-40B4-BE49-F238E27FC236}">
              <a16:creationId xmlns:a16="http://schemas.microsoft.com/office/drawing/2014/main" id="{0F1D9D1C-F95E-4E88-B305-FFB4A9457D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0</xdr:colOff>
      <xdr:row>8</xdr:row>
      <xdr:rowOff>0</xdr:rowOff>
    </xdr:from>
    <xdr:to>
      <xdr:col>35</xdr:col>
      <xdr:colOff>425631</xdr:colOff>
      <xdr:row>34</xdr:row>
      <xdr:rowOff>167847</xdr:rowOff>
    </xdr:to>
    <xdr:graphicFrame macro="">
      <xdr:nvGraphicFramePr>
        <xdr:cNvPr id="12" name="Chart 6">
          <a:extLst>
            <a:ext uri="{FF2B5EF4-FFF2-40B4-BE49-F238E27FC236}">
              <a16:creationId xmlns:a16="http://schemas.microsoft.com/office/drawing/2014/main" id="{040D4772-32E1-4A5B-96FB-B52D92EAE5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94433</xdr:colOff>
      <xdr:row>141</xdr:row>
      <xdr:rowOff>63953</xdr:rowOff>
    </xdr:from>
    <xdr:to>
      <xdr:col>28</xdr:col>
      <xdr:colOff>110762</xdr:colOff>
      <xdr:row>162</xdr:row>
      <xdr:rowOff>25309</xdr:rowOff>
    </xdr:to>
    <xdr:graphicFrame macro="">
      <xdr:nvGraphicFramePr>
        <xdr:cNvPr id="14" name="Chart 2">
          <a:extLst>
            <a:ext uri="{FF2B5EF4-FFF2-40B4-BE49-F238E27FC236}">
              <a16:creationId xmlns:a16="http://schemas.microsoft.com/office/drawing/2014/main" id="{89B1D92A-8A85-4C3F-9B19-438AC6FC1C2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18</xdr:col>
      <xdr:colOff>285749</xdr:colOff>
      <xdr:row>107</xdr:row>
      <xdr:rowOff>136070</xdr:rowOff>
    </xdr:from>
    <xdr:to>
      <xdr:col>35</xdr:col>
      <xdr:colOff>267605</xdr:colOff>
      <xdr:row>130</xdr:row>
      <xdr:rowOff>101781</xdr:rowOff>
    </xdr:to>
    <xdr:graphicFrame macro="">
      <xdr:nvGraphicFramePr>
        <xdr:cNvPr id="6" name="Chart 2">
          <a:extLst>
            <a:ext uri="{FF2B5EF4-FFF2-40B4-BE49-F238E27FC236}">
              <a16:creationId xmlns:a16="http://schemas.microsoft.com/office/drawing/2014/main" id="{3878A03A-AD6C-4809-88B8-0E4F3760559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340178</xdr:colOff>
      <xdr:row>81</xdr:row>
      <xdr:rowOff>190500</xdr:rowOff>
    </xdr:from>
    <xdr:to>
      <xdr:col>35</xdr:col>
      <xdr:colOff>340723</xdr:colOff>
      <xdr:row>106</xdr:row>
      <xdr:rowOff>120286</xdr:rowOff>
    </xdr:to>
    <xdr:graphicFrame macro="">
      <xdr:nvGraphicFramePr>
        <xdr:cNvPr id="7" name="Chart 6">
          <a:extLst>
            <a:ext uri="{FF2B5EF4-FFF2-40B4-BE49-F238E27FC236}">
              <a16:creationId xmlns:a16="http://schemas.microsoft.com/office/drawing/2014/main" id="{12C0A15F-E12B-4B4C-A50E-EEDF9093E3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0</xdr:colOff>
      <xdr:row>45</xdr:row>
      <xdr:rowOff>0</xdr:rowOff>
    </xdr:from>
    <xdr:to>
      <xdr:col>33</xdr:col>
      <xdr:colOff>592999</xdr:colOff>
      <xdr:row>72</xdr:row>
      <xdr:rowOff>20954</xdr:rowOff>
    </xdr:to>
    <xdr:graphicFrame macro="">
      <xdr:nvGraphicFramePr>
        <xdr:cNvPr id="8" name="Chart 5">
          <a:extLst>
            <a:ext uri="{FF2B5EF4-FFF2-40B4-BE49-F238E27FC236}">
              <a16:creationId xmlns:a16="http://schemas.microsoft.com/office/drawing/2014/main" id="{D08EBFF4-6858-4859-839F-3909C8A6F4F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0</xdr:colOff>
      <xdr:row>8</xdr:row>
      <xdr:rowOff>0</xdr:rowOff>
    </xdr:from>
    <xdr:to>
      <xdr:col>33</xdr:col>
      <xdr:colOff>587285</xdr:colOff>
      <xdr:row>35</xdr:row>
      <xdr:rowOff>15240</xdr:rowOff>
    </xdr:to>
    <xdr:graphicFrame macro="">
      <xdr:nvGraphicFramePr>
        <xdr:cNvPr id="9" name="Chart 6">
          <a:extLst>
            <a:ext uri="{FF2B5EF4-FFF2-40B4-BE49-F238E27FC236}">
              <a16:creationId xmlns:a16="http://schemas.microsoft.com/office/drawing/2014/main" id="{FCC846E6-9822-49D9-9B66-5084F86D625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123190</xdr:colOff>
      <xdr:row>131</xdr:row>
      <xdr:rowOff>174307</xdr:rowOff>
    </xdr:from>
    <xdr:to>
      <xdr:col>34</xdr:col>
      <xdr:colOff>17780</xdr:colOff>
      <xdr:row>147</xdr:row>
      <xdr:rowOff>93662</xdr:rowOff>
    </xdr:to>
    <xdr:graphicFrame macro="">
      <xdr:nvGraphicFramePr>
        <xdr:cNvPr id="5" name="Chart 1">
          <a:extLst>
            <a:ext uri="{FF2B5EF4-FFF2-40B4-BE49-F238E27FC236}">
              <a16:creationId xmlns:a16="http://schemas.microsoft.com/office/drawing/2014/main" id="{C2701424-B439-4A7F-9F88-08B006939CC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19</xdr:col>
      <xdr:colOff>0</xdr:colOff>
      <xdr:row>106</xdr:row>
      <xdr:rowOff>0</xdr:rowOff>
    </xdr:from>
    <xdr:to>
      <xdr:col>35</xdr:col>
      <xdr:colOff>596082</xdr:colOff>
      <xdr:row>136</xdr:row>
      <xdr:rowOff>109675</xdr:rowOff>
    </xdr:to>
    <xdr:graphicFrame macro="">
      <xdr:nvGraphicFramePr>
        <xdr:cNvPr id="2" name="Chart 2">
          <a:extLst>
            <a:ext uri="{FF2B5EF4-FFF2-40B4-BE49-F238E27FC236}">
              <a16:creationId xmlns:a16="http://schemas.microsoft.com/office/drawing/2014/main" id="{1ECA970B-0B93-40F9-9819-7EFDD9B79D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68035</xdr:colOff>
      <xdr:row>80</xdr:row>
      <xdr:rowOff>40821</xdr:rowOff>
    </xdr:from>
    <xdr:to>
      <xdr:col>36</xdr:col>
      <xdr:colOff>87630</xdr:colOff>
      <xdr:row>104</xdr:row>
      <xdr:rowOff>190499</xdr:rowOff>
    </xdr:to>
    <xdr:graphicFrame macro="">
      <xdr:nvGraphicFramePr>
        <xdr:cNvPr id="3" name="Chart 2">
          <a:extLst>
            <a:ext uri="{FF2B5EF4-FFF2-40B4-BE49-F238E27FC236}">
              <a16:creationId xmlns:a16="http://schemas.microsoft.com/office/drawing/2014/main" id="{798C361F-966E-4F2B-B468-689CEC0830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0</xdr:colOff>
      <xdr:row>44</xdr:row>
      <xdr:rowOff>0</xdr:rowOff>
    </xdr:from>
    <xdr:to>
      <xdr:col>35</xdr:col>
      <xdr:colOff>577216</xdr:colOff>
      <xdr:row>71</xdr:row>
      <xdr:rowOff>36195</xdr:rowOff>
    </xdr:to>
    <xdr:graphicFrame macro="">
      <xdr:nvGraphicFramePr>
        <xdr:cNvPr id="4" name="Chart 5">
          <a:extLst>
            <a:ext uri="{FF2B5EF4-FFF2-40B4-BE49-F238E27FC236}">
              <a16:creationId xmlns:a16="http://schemas.microsoft.com/office/drawing/2014/main" id="{B2453D92-7FF1-4754-AB93-72E173016C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0</xdr:colOff>
      <xdr:row>8</xdr:row>
      <xdr:rowOff>0</xdr:rowOff>
    </xdr:from>
    <xdr:to>
      <xdr:col>35</xdr:col>
      <xdr:colOff>425631</xdr:colOff>
      <xdr:row>34</xdr:row>
      <xdr:rowOff>167847</xdr:rowOff>
    </xdr:to>
    <xdr:graphicFrame macro="">
      <xdr:nvGraphicFramePr>
        <xdr:cNvPr id="5" name="Chart 6">
          <a:extLst>
            <a:ext uri="{FF2B5EF4-FFF2-40B4-BE49-F238E27FC236}">
              <a16:creationId xmlns:a16="http://schemas.microsoft.com/office/drawing/2014/main" id="{BF261474-8917-4626-A530-EE3E1F27F9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94433</xdr:colOff>
      <xdr:row>141</xdr:row>
      <xdr:rowOff>63953</xdr:rowOff>
    </xdr:from>
    <xdr:to>
      <xdr:col>28</xdr:col>
      <xdr:colOff>110762</xdr:colOff>
      <xdr:row>162</xdr:row>
      <xdr:rowOff>25309</xdr:rowOff>
    </xdr:to>
    <xdr:graphicFrame macro="">
      <xdr:nvGraphicFramePr>
        <xdr:cNvPr id="6" name="Chart 2">
          <a:extLst>
            <a:ext uri="{FF2B5EF4-FFF2-40B4-BE49-F238E27FC236}">
              <a16:creationId xmlns:a16="http://schemas.microsoft.com/office/drawing/2014/main" id="{829E23FC-C0BF-4A36-A74E-12C953EF2C4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18</xdr:col>
      <xdr:colOff>285749</xdr:colOff>
      <xdr:row>107</xdr:row>
      <xdr:rowOff>136070</xdr:rowOff>
    </xdr:from>
    <xdr:to>
      <xdr:col>35</xdr:col>
      <xdr:colOff>267605</xdr:colOff>
      <xdr:row>130</xdr:row>
      <xdr:rowOff>101781</xdr:rowOff>
    </xdr:to>
    <xdr:graphicFrame macro="">
      <xdr:nvGraphicFramePr>
        <xdr:cNvPr id="2" name="Chart 2">
          <a:extLst>
            <a:ext uri="{FF2B5EF4-FFF2-40B4-BE49-F238E27FC236}">
              <a16:creationId xmlns:a16="http://schemas.microsoft.com/office/drawing/2014/main" id="{B923B5FA-7E5D-4742-AE61-6AE1F99BCB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340178</xdr:colOff>
      <xdr:row>81</xdr:row>
      <xdr:rowOff>190500</xdr:rowOff>
    </xdr:from>
    <xdr:to>
      <xdr:col>35</xdr:col>
      <xdr:colOff>340723</xdr:colOff>
      <xdr:row>106</xdr:row>
      <xdr:rowOff>120286</xdr:rowOff>
    </xdr:to>
    <xdr:graphicFrame macro="">
      <xdr:nvGraphicFramePr>
        <xdr:cNvPr id="3" name="Chart 2">
          <a:extLst>
            <a:ext uri="{FF2B5EF4-FFF2-40B4-BE49-F238E27FC236}">
              <a16:creationId xmlns:a16="http://schemas.microsoft.com/office/drawing/2014/main" id="{2D05622C-1820-440F-B065-006E56660A9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0</xdr:colOff>
      <xdr:row>45</xdr:row>
      <xdr:rowOff>0</xdr:rowOff>
    </xdr:from>
    <xdr:to>
      <xdr:col>33</xdr:col>
      <xdr:colOff>592999</xdr:colOff>
      <xdr:row>72</xdr:row>
      <xdr:rowOff>20954</xdr:rowOff>
    </xdr:to>
    <xdr:graphicFrame macro="">
      <xdr:nvGraphicFramePr>
        <xdr:cNvPr id="4" name="Chart 5">
          <a:extLst>
            <a:ext uri="{FF2B5EF4-FFF2-40B4-BE49-F238E27FC236}">
              <a16:creationId xmlns:a16="http://schemas.microsoft.com/office/drawing/2014/main" id="{A8E28516-0C78-442B-8F9D-9A7B7AE1C48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0</xdr:colOff>
      <xdr:row>8</xdr:row>
      <xdr:rowOff>0</xdr:rowOff>
    </xdr:from>
    <xdr:to>
      <xdr:col>33</xdr:col>
      <xdr:colOff>587285</xdr:colOff>
      <xdr:row>35</xdr:row>
      <xdr:rowOff>15240</xdr:rowOff>
    </xdr:to>
    <xdr:graphicFrame macro="">
      <xdr:nvGraphicFramePr>
        <xdr:cNvPr id="5" name="Chart 6">
          <a:extLst>
            <a:ext uri="{FF2B5EF4-FFF2-40B4-BE49-F238E27FC236}">
              <a16:creationId xmlns:a16="http://schemas.microsoft.com/office/drawing/2014/main" id="{AC044359-E8F2-4E81-B1EE-4999F81ECE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123190</xdr:colOff>
      <xdr:row>131</xdr:row>
      <xdr:rowOff>174307</xdr:rowOff>
    </xdr:from>
    <xdr:to>
      <xdr:col>34</xdr:col>
      <xdr:colOff>17780</xdr:colOff>
      <xdr:row>147</xdr:row>
      <xdr:rowOff>93662</xdr:rowOff>
    </xdr:to>
    <xdr:graphicFrame macro="">
      <xdr:nvGraphicFramePr>
        <xdr:cNvPr id="6" name="Chart 1">
          <a:extLst>
            <a:ext uri="{FF2B5EF4-FFF2-40B4-BE49-F238E27FC236}">
              <a16:creationId xmlns:a16="http://schemas.microsoft.com/office/drawing/2014/main" id="{A15C6235-7464-4A34-9066-43DDC6818F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19</xdr:col>
      <xdr:colOff>0</xdr:colOff>
      <xdr:row>106</xdr:row>
      <xdr:rowOff>0</xdr:rowOff>
    </xdr:from>
    <xdr:to>
      <xdr:col>35</xdr:col>
      <xdr:colOff>596082</xdr:colOff>
      <xdr:row>136</xdr:row>
      <xdr:rowOff>109675</xdr:rowOff>
    </xdr:to>
    <xdr:graphicFrame macro="">
      <xdr:nvGraphicFramePr>
        <xdr:cNvPr id="2" name="Chart 2">
          <a:extLst>
            <a:ext uri="{FF2B5EF4-FFF2-40B4-BE49-F238E27FC236}">
              <a16:creationId xmlns:a16="http://schemas.microsoft.com/office/drawing/2014/main" id="{9ABD78DA-6BDB-4598-8501-F62C199DCF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68035</xdr:colOff>
      <xdr:row>80</xdr:row>
      <xdr:rowOff>40821</xdr:rowOff>
    </xdr:from>
    <xdr:to>
      <xdr:col>36</xdr:col>
      <xdr:colOff>87630</xdr:colOff>
      <xdr:row>104</xdr:row>
      <xdr:rowOff>190499</xdr:rowOff>
    </xdr:to>
    <xdr:graphicFrame macro="">
      <xdr:nvGraphicFramePr>
        <xdr:cNvPr id="3" name="Chart 2">
          <a:extLst>
            <a:ext uri="{FF2B5EF4-FFF2-40B4-BE49-F238E27FC236}">
              <a16:creationId xmlns:a16="http://schemas.microsoft.com/office/drawing/2014/main" id="{B5E976BC-98F2-49DA-AF71-87E4ED39F1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0</xdr:colOff>
      <xdr:row>44</xdr:row>
      <xdr:rowOff>0</xdr:rowOff>
    </xdr:from>
    <xdr:to>
      <xdr:col>35</xdr:col>
      <xdr:colOff>577216</xdr:colOff>
      <xdr:row>71</xdr:row>
      <xdr:rowOff>36195</xdr:rowOff>
    </xdr:to>
    <xdr:graphicFrame macro="">
      <xdr:nvGraphicFramePr>
        <xdr:cNvPr id="4" name="Chart 5">
          <a:extLst>
            <a:ext uri="{FF2B5EF4-FFF2-40B4-BE49-F238E27FC236}">
              <a16:creationId xmlns:a16="http://schemas.microsoft.com/office/drawing/2014/main" id="{8708D129-2288-4A94-A2BB-E5D443D171A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0</xdr:colOff>
      <xdr:row>8</xdr:row>
      <xdr:rowOff>0</xdr:rowOff>
    </xdr:from>
    <xdr:to>
      <xdr:col>35</xdr:col>
      <xdr:colOff>425631</xdr:colOff>
      <xdr:row>34</xdr:row>
      <xdr:rowOff>167847</xdr:rowOff>
    </xdr:to>
    <xdr:graphicFrame macro="">
      <xdr:nvGraphicFramePr>
        <xdr:cNvPr id="5" name="Chart 6">
          <a:extLst>
            <a:ext uri="{FF2B5EF4-FFF2-40B4-BE49-F238E27FC236}">
              <a16:creationId xmlns:a16="http://schemas.microsoft.com/office/drawing/2014/main" id="{105663D0-200D-4AE1-9B33-38DEE59F25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94433</xdr:colOff>
      <xdr:row>141</xdr:row>
      <xdr:rowOff>63953</xdr:rowOff>
    </xdr:from>
    <xdr:to>
      <xdr:col>28</xdr:col>
      <xdr:colOff>110762</xdr:colOff>
      <xdr:row>162</xdr:row>
      <xdr:rowOff>25309</xdr:rowOff>
    </xdr:to>
    <xdr:graphicFrame macro="">
      <xdr:nvGraphicFramePr>
        <xdr:cNvPr id="6" name="Chart 2">
          <a:extLst>
            <a:ext uri="{FF2B5EF4-FFF2-40B4-BE49-F238E27FC236}">
              <a16:creationId xmlns:a16="http://schemas.microsoft.com/office/drawing/2014/main" id="{5EAEBBC6-04E3-4CA0-90D3-B58C1F263C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18</xdr:col>
      <xdr:colOff>256631</xdr:colOff>
      <xdr:row>107</xdr:row>
      <xdr:rowOff>77831</xdr:rowOff>
    </xdr:from>
    <xdr:to>
      <xdr:col>35</xdr:col>
      <xdr:colOff>236582</xdr:colOff>
      <xdr:row>135</xdr:row>
      <xdr:rowOff>81643</xdr:rowOff>
    </xdr:to>
    <xdr:graphicFrame macro="">
      <xdr:nvGraphicFramePr>
        <xdr:cNvPr id="6" name="Chart 2">
          <a:extLst>
            <a:ext uri="{FF2B5EF4-FFF2-40B4-BE49-F238E27FC236}">
              <a16:creationId xmlns:a16="http://schemas.microsoft.com/office/drawing/2014/main" id="{58756C37-C1A7-4981-894A-0FA4333CF7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281940</xdr:colOff>
      <xdr:row>42</xdr:row>
      <xdr:rowOff>91440</xdr:rowOff>
    </xdr:from>
    <xdr:to>
      <xdr:col>35</xdr:col>
      <xdr:colOff>254455</xdr:colOff>
      <xdr:row>73</xdr:row>
      <xdr:rowOff>156753</xdr:rowOff>
    </xdr:to>
    <xdr:graphicFrame macro="">
      <xdr:nvGraphicFramePr>
        <xdr:cNvPr id="7" name="Chart 5">
          <a:extLst>
            <a:ext uri="{FF2B5EF4-FFF2-40B4-BE49-F238E27FC236}">
              <a16:creationId xmlns:a16="http://schemas.microsoft.com/office/drawing/2014/main" id="{A550BFAF-4C29-4B59-ADF2-74BB55CE0FE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262346</xdr:colOff>
      <xdr:row>76</xdr:row>
      <xdr:rowOff>147773</xdr:rowOff>
    </xdr:from>
    <xdr:to>
      <xdr:col>35</xdr:col>
      <xdr:colOff>274321</xdr:colOff>
      <xdr:row>106</xdr:row>
      <xdr:rowOff>35105</xdr:rowOff>
    </xdr:to>
    <xdr:graphicFrame macro="">
      <xdr:nvGraphicFramePr>
        <xdr:cNvPr id="8" name="Chart 7">
          <a:extLst>
            <a:ext uri="{FF2B5EF4-FFF2-40B4-BE49-F238E27FC236}">
              <a16:creationId xmlns:a16="http://schemas.microsoft.com/office/drawing/2014/main" id="{B429536C-85E2-4B94-B56F-2C65664496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280033</xdr:colOff>
      <xdr:row>6</xdr:row>
      <xdr:rowOff>23404</xdr:rowOff>
    </xdr:from>
    <xdr:to>
      <xdr:col>35</xdr:col>
      <xdr:colOff>93343</xdr:colOff>
      <xdr:row>37</xdr:row>
      <xdr:rowOff>8643</xdr:rowOff>
    </xdr:to>
    <xdr:graphicFrame macro="">
      <xdr:nvGraphicFramePr>
        <xdr:cNvPr id="9" name="Chart 6">
          <a:extLst>
            <a:ext uri="{FF2B5EF4-FFF2-40B4-BE49-F238E27FC236}">
              <a16:creationId xmlns:a16="http://schemas.microsoft.com/office/drawing/2014/main" id="{692EC316-FAB7-4404-9D23-A823DCC6BCE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18</xdr:col>
      <xdr:colOff>0</xdr:colOff>
      <xdr:row>110</xdr:row>
      <xdr:rowOff>136071</xdr:rowOff>
    </xdr:from>
    <xdr:to>
      <xdr:col>34</xdr:col>
      <xdr:colOff>588462</xdr:colOff>
      <xdr:row>138</xdr:row>
      <xdr:rowOff>91985</xdr:rowOff>
    </xdr:to>
    <xdr:graphicFrame macro="">
      <xdr:nvGraphicFramePr>
        <xdr:cNvPr id="6" name="Chart 2">
          <a:extLst>
            <a:ext uri="{FF2B5EF4-FFF2-40B4-BE49-F238E27FC236}">
              <a16:creationId xmlns:a16="http://schemas.microsoft.com/office/drawing/2014/main" id="{B06005B4-12AB-4684-B6FB-F75D118759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42727</xdr:colOff>
      <xdr:row>74</xdr:row>
      <xdr:rowOff>165191</xdr:rowOff>
    </xdr:from>
    <xdr:to>
      <xdr:col>35</xdr:col>
      <xdr:colOff>54702</xdr:colOff>
      <xdr:row>104</xdr:row>
      <xdr:rowOff>58238</xdr:rowOff>
    </xdr:to>
    <xdr:graphicFrame macro="">
      <xdr:nvGraphicFramePr>
        <xdr:cNvPr id="7" name="Chart 6">
          <a:extLst>
            <a:ext uri="{FF2B5EF4-FFF2-40B4-BE49-F238E27FC236}">
              <a16:creationId xmlns:a16="http://schemas.microsoft.com/office/drawing/2014/main" id="{8D02EA7D-1AA5-4E4F-AEAA-3845ADD732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99059</xdr:colOff>
      <xdr:row>43</xdr:row>
      <xdr:rowOff>66131</xdr:rowOff>
    </xdr:from>
    <xdr:to>
      <xdr:col>35</xdr:col>
      <xdr:colOff>54429</xdr:colOff>
      <xdr:row>74</xdr:row>
      <xdr:rowOff>129540</xdr:rowOff>
    </xdr:to>
    <xdr:graphicFrame macro="">
      <xdr:nvGraphicFramePr>
        <xdr:cNvPr id="8" name="Chart 5">
          <a:extLst>
            <a:ext uri="{FF2B5EF4-FFF2-40B4-BE49-F238E27FC236}">
              <a16:creationId xmlns:a16="http://schemas.microsoft.com/office/drawing/2014/main" id="{3233127A-749B-4DFB-ADA7-228CE3331B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0</xdr:colOff>
      <xdr:row>7</xdr:row>
      <xdr:rowOff>0</xdr:rowOff>
    </xdr:from>
    <xdr:to>
      <xdr:col>33</xdr:col>
      <xdr:colOff>492147</xdr:colOff>
      <xdr:row>37</xdr:row>
      <xdr:rowOff>154512</xdr:rowOff>
    </xdr:to>
    <xdr:graphicFrame macro="">
      <xdr:nvGraphicFramePr>
        <xdr:cNvPr id="9" name="Chart 6">
          <a:extLst>
            <a:ext uri="{FF2B5EF4-FFF2-40B4-BE49-F238E27FC236}">
              <a16:creationId xmlns:a16="http://schemas.microsoft.com/office/drawing/2014/main" id="{E36260C4-20E6-4052-8166-D9E516721F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18</xdr:col>
      <xdr:colOff>95251</xdr:colOff>
      <xdr:row>115</xdr:row>
      <xdr:rowOff>40821</xdr:rowOff>
    </xdr:from>
    <xdr:to>
      <xdr:col>35</xdr:col>
      <xdr:colOff>75202</xdr:colOff>
      <xdr:row>144</xdr:row>
      <xdr:rowOff>161926</xdr:rowOff>
    </xdr:to>
    <xdr:graphicFrame macro="">
      <xdr:nvGraphicFramePr>
        <xdr:cNvPr id="7" name="Chart 2">
          <a:extLst>
            <a:ext uri="{FF2B5EF4-FFF2-40B4-BE49-F238E27FC236}">
              <a16:creationId xmlns:a16="http://schemas.microsoft.com/office/drawing/2014/main" id="{71BE9612-4AA3-4F4B-B052-49C9A92365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0</xdr:colOff>
      <xdr:row>81</xdr:row>
      <xdr:rowOff>0</xdr:rowOff>
    </xdr:from>
    <xdr:to>
      <xdr:col>35</xdr:col>
      <xdr:colOff>6260</xdr:colOff>
      <xdr:row>109</xdr:row>
      <xdr:rowOff>75655</xdr:rowOff>
    </xdr:to>
    <xdr:graphicFrame macro="">
      <xdr:nvGraphicFramePr>
        <xdr:cNvPr id="8" name="Chart 7">
          <a:extLst>
            <a:ext uri="{FF2B5EF4-FFF2-40B4-BE49-F238E27FC236}">
              <a16:creationId xmlns:a16="http://schemas.microsoft.com/office/drawing/2014/main" id="{2E4A75C3-C1E1-4291-9F57-0A11D8A5FD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0</xdr:colOff>
      <xdr:row>6</xdr:row>
      <xdr:rowOff>0</xdr:rowOff>
    </xdr:from>
    <xdr:to>
      <xdr:col>33</xdr:col>
      <xdr:colOff>492147</xdr:colOff>
      <xdr:row>36</xdr:row>
      <xdr:rowOff>154512</xdr:rowOff>
    </xdr:to>
    <xdr:graphicFrame macro="">
      <xdr:nvGraphicFramePr>
        <xdr:cNvPr id="9" name="Chart 6">
          <a:extLst>
            <a:ext uri="{FF2B5EF4-FFF2-40B4-BE49-F238E27FC236}">
              <a16:creationId xmlns:a16="http://schemas.microsoft.com/office/drawing/2014/main" id="{0ABF6CD3-A6AA-4B77-B73D-BBDC868947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0</xdr:colOff>
      <xdr:row>43</xdr:row>
      <xdr:rowOff>0</xdr:rowOff>
    </xdr:from>
    <xdr:to>
      <xdr:col>33</xdr:col>
      <xdr:colOff>591094</xdr:colOff>
      <xdr:row>74</xdr:row>
      <xdr:rowOff>50074</xdr:rowOff>
    </xdr:to>
    <xdr:graphicFrame macro="">
      <xdr:nvGraphicFramePr>
        <xdr:cNvPr id="10" name="Chart 5">
          <a:extLst>
            <a:ext uri="{FF2B5EF4-FFF2-40B4-BE49-F238E27FC236}">
              <a16:creationId xmlns:a16="http://schemas.microsoft.com/office/drawing/2014/main" id="{D0CFA8A6-0F50-4151-86DC-6CEA83CDEF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46</xdr:col>
      <xdr:colOff>215766</xdr:colOff>
      <xdr:row>72</xdr:row>
      <xdr:rowOff>78405</xdr:rowOff>
    </xdr:from>
    <xdr:to>
      <xdr:col>58</xdr:col>
      <xdr:colOff>175059</xdr:colOff>
      <xdr:row>100</xdr:row>
      <xdr:rowOff>87930</xdr:rowOff>
    </xdr:to>
    <xdr:graphicFrame macro="">
      <xdr:nvGraphicFramePr>
        <xdr:cNvPr id="3" name="Chart 2">
          <a:extLst>
            <a:ext uri="{FF2B5EF4-FFF2-40B4-BE49-F238E27FC236}">
              <a16:creationId xmlns:a16="http://schemas.microsoft.com/office/drawing/2014/main" id="{EA35310F-4720-44CE-B8B4-04DD02F78F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134053</xdr:colOff>
      <xdr:row>112</xdr:row>
      <xdr:rowOff>37598</xdr:rowOff>
    </xdr:from>
    <xdr:to>
      <xdr:col>35</xdr:col>
      <xdr:colOff>87376</xdr:colOff>
      <xdr:row>142</xdr:row>
      <xdr:rowOff>79467</xdr:rowOff>
    </xdr:to>
    <xdr:graphicFrame macro="">
      <xdr:nvGraphicFramePr>
        <xdr:cNvPr id="11" name="Chart 2">
          <a:extLst>
            <a:ext uri="{FF2B5EF4-FFF2-40B4-BE49-F238E27FC236}">
              <a16:creationId xmlns:a16="http://schemas.microsoft.com/office/drawing/2014/main" id="{7C2A69DD-2193-49EC-BFF3-6F3B625A67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187993</xdr:colOff>
      <xdr:row>77</xdr:row>
      <xdr:rowOff>37598</xdr:rowOff>
    </xdr:from>
    <xdr:to>
      <xdr:col>35</xdr:col>
      <xdr:colOff>161910</xdr:colOff>
      <xdr:row>106</xdr:row>
      <xdr:rowOff>153358</xdr:rowOff>
    </xdr:to>
    <xdr:graphicFrame macro="">
      <xdr:nvGraphicFramePr>
        <xdr:cNvPr id="12" name="Chart 11">
          <a:extLst>
            <a:ext uri="{FF2B5EF4-FFF2-40B4-BE49-F238E27FC236}">
              <a16:creationId xmlns:a16="http://schemas.microsoft.com/office/drawing/2014/main" id="{A05739D6-F70F-4651-A4FB-BB38C790F9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300789</xdr:colOff>
      <xdr:row>43</xdr:row>
      <xdr:rowOff>87730</xdr:rowOff>
    </xdr:from>
    <xdr:to>
      <xdr:col>33</xdr:col>
      <xdr:colOff>254610</xdr:colOff>
      <xdr:row>75</xdr:row>
      <xdr:rowOff>8650</xdr:rowOff>
    </xdr:to>
    <xdr:graphicFrame macro="">
      <xdr:nvGraphicFramePr>
        <xdr:cNvPr id="13" name="Chart 5">
          <a:extLst>
            <a:ext uri="{FF2B5EF4-FFF2-40B4-BE49-F238E27FC236}">
              <a16:creationId xmlns:a16="http://schemas.microsoft.com/office/drawing/2014/main" id="{76CB07B6-A973-4CE9-A976-9DADEFB534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6</xdr:row>
      <xdr:rowOff>0</xdr:rowOff>
    </xdr:from>
    <xdr:to>
      <xdr:col>33</xdr:col>
      <xdr:colOff>465176</xdr:colOff>
      <xdr:row>37</xdr:row>
      <xdr:rowOff>25831</xdr:rowOff>
    </xdr:to>
    <xdr:graphicFrame macro="">
      <xdr:nvGraphicFramePr>
        <xdr:cNvPr id="14" name="Chart 6">
          <a:extLst>
            <a:ext uri="{FF2B5EF4-FFF2-40B4-BE49-F238E27FC236}">
              <a16:creationId xmlns:a16="http://schemas.microsoft.com/office/drawing/2014/main" id="{BBC36FF3-5D38-4039-A3E1-41ABE455EB5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18</xdr:col>
      <xdr:colOff>134053</xdr:colOff>
      <xdr:row>112</xdr:row>
      <xdr:rowOff>37598</xdr:rowOff>
    </xdr:from>
    <xdr:to>
      <xdr:col>35</xdr:col>
      <xdr:colOff>87376</xdr:colOff>
      <xdr:row>142</xdr:row>
      <xdr:rowOff>79467</xdr:rowOff>
    </xdr:to>
    <xdr:graphicFrame macro="">
      <xdr:nvGraphicFramePr>
        <xdr:cNvPr id="3" name="Chart 2">
          <a:extLst>
            <a:ext uri="{FF2B5EF4-FFF2-40B4-BE49-F238E27FC236}">
              <a16:creationId xmlns:a16="http://schemas.microsoft.com/office/drawing/2014/main" id="{2CFD7C0A-5315-495B-BD2F-BB206C1970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187993</xdr:colOff>
      <xdr:row>77</xdr:row>
      <xdr:rowOff>37598</xdr:rowOff>
    </xdr:from>
    <xdr:to>
      <xdr:col>35</xdr:col>
      <xdr:colOff>161910</xdr:colOff>
      <xdr:row>106</xdr:row>
      <xdr:rowOff>153358</xdr:rowOff>
    </xdr:to>
    <xdr:graphicFrame macro="">
      <xdr:nvGraphicFramePr>
        <xdr:cNvPr id="4" name="Chart 3">
          <a:extLst>
            <a:ext uri="{FF2B5EF4-FFF2-40B4-BE49-F238E27FC236}">
              <a16:creationId xmlns:a16="http://schemas.microsoft.com/office/drawing/2014/main" id="{170C18FC-D11B-4F2F-A9DF-BE0CEB9F1AB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300789</xdr:colOff>
      <xdr:row>43</xdr:row>
      <xdr:rowOff>87730</xdr:rowOff>
    </xdr:from>
    <xdr:to>
      <xdr:col>33</xdr:col>
      <xdr:colOff>254610</xdr:colOff>
      <xdr:row>75</xdr:row>
      <xdr:rowOff>8650</xdr:rowOff>
    </xdr:to>
    <xdr:graphicFrame macro="">
      <xdr:nvGraphicFramePr>
        <xdr:cNvPr id="5" name="Chart 5">
          <a:extLst>
            <a:ext uri="{FF2B5EF4-FFF2-40B4-BE49-F238E27FC236}">
              <a16:creationId xmlns:a16="http://schemas.microsoft.com/office/drawing/2014/main" id="{CB9A7C5B-A5DF-41F6-9416-0DCB61E3376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0</xdr:colOff>
      <xdr:row>6</xdr:row>
      <xdr:rowOff>0</xdr:rowOff>
    </xdr:from>
    <xdr:to>
      <xdr:col>33</xdr:col>
      <xdr:colOff>465176</xdr:colOff>
      <xdr:row>37</xdr:row>
      <xdr:rowOff>25831</xdr:rowOff>
    </xdr:to>
    <xdr:graphicFrame macro="">
      <xdr:nvGraphicFramePr>
        <xdr:cNvPr id="6" name="Chart 6">
          <a:extLst>
            <a:ext uri="{FF2B5EF4-FFF2-40B4-BE49-F238E27FC236}">
              <a16:creationId xmlns:a16="http://schemas.microsoft.com/office/drawing/2014/main" id="{57BFC126-7787-410C-AAAB-03A4BD65A81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19</xdr:col>
      <xdr:colOff>12703</xdr:colOff>
      <xdr:row>108</xdr:row>
      <xdr:rowOff>161107</xdr:rowOff>
    </xdr:from>
    <xdr:to>
      <xdr:col>36</xdr:col>
      <xdr:colOff>2178</xdr:colOff>
      <xdr:row>139</xdr:row>
      <xdr:rowOff>76200</xdr:rowOff>
    </xdr:to>
    <xdr:graphicFrame macro="">
      <xdr:nvGraphicFramePr>
        <xdr:cNvPr id="2" name="Chart 2">
          <a:extLst>
            <a:ext uri="{FF2B5EF4-FFF2-40B4-BE49-F238E27FC236}">
              <a16:creationId xmlns:a16="http://schemas.microsoft.com/office/drawing/2014/main" id="{2A99DD50-8F4A-4759-8FC7-B8660EB747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584562</xdr:colOff>
      <xdr:row>81</xdr:row>
      <xdr:rowOff>110763</xdr:rowOff>
    </xdr:from>
    <xdr:to>
      <xdr:col>35</xdr:col>
      <xdr:colOff>585107</xdr:colOff>
      <xdr:row>106</xdr:row>
      <xdr:rowOff>40549</xdr:rowOff>
    </xdr:to>
    <xdr:graphicFrame macro="">
      <xdr:nvGraphicFramePr>
        <xdr:cNvPr id="3" name="Chart 2">
          <a:extLst>
            <a:ext uri="{FF2B5EF4-FFF2-40B4-BE49-F238E27FC236}">
              <a16:creationId xmlns:a16="http://schemas.microsoft.com/office/drawing/2014/main" id="{0242A6E8-7E20-4B6E-979E-931D559FEB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0</xdr:colOff>
      <xdr:row>44</xdr:row>
      <xdr:rowOff>25309</xdr:rowOff>
    </xdr:from>
    <xdr:to>
      <xdr:col>33</xdr:col>
      <xdr:colOff>598714</xdr:colOff>
      <xdr:row>71</xdr:row>
      <xdr:rowOff>38644</xdr:rowOff>
    </xdr:to>
    <xdr:graphicFrame macro="">
      <xdr:nvGraphicFramePr>
        <xdr:cNvPr id="4" name="Chart 5">
          <a:extLst>
            <a:ext uri="{FF2B5EF4-FFF2-40B4-BE49-F238E27FC236}">
              <a16:creationId xmlns:a16="http://schemas.microsoft.com/office/drawing/2014/main" id="{FEBF769C-FAAB-4389-A152-7BB7B8214F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17416</xdr:colOff>
      <xdr:row>7</xdr:row>
      <xdr:rowOff>134166</xdr:rowOff>
    </xdr:from>
    <xdr:to>
      <xdr:col>34</xdr:col>
      <xdr:colOff>-1</xdr:colOff>
      <xdr:row>34</xdr:row>
      <xdr:rowOff>149406</xdr:rowOff>
    </xdr:to>
    <xdr:graphicFrame macro="">
      <xdr:nvGraphicFramePr>
        <xdr:cNvPr id="5" name="Chart 6">
          <a:extLst>
            <a:ext uri="{FF2B5EF4-FFF2-40B4-BE49-F238E27FC236}">
              <a16:creationId xmlns:a16="http://schemas.microsoft.com/office/drawing/2014/main" id="{2C655668-D60F-447A-AE18-F35ED1503E7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dnv-my.sharepoint.com/personal/ruth_marsh_dnv_com/Documents/Documents/Projects/10245577%20NREL%20Supply%20Chain%20study%20(L2C%20201410)/NREL%20SC%20Task%201%20Output%20Forma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
      <sheetName val="Assumptions"/>
      <sheetName val="Detailed"/>
      <sheetName val="Annual Gantt Charts"/>
      <sheetName val="Sheet1"/>
      <sheetName val="planning"/>
      <sheetName val="metadata"/>
    </sheetNames>
    <sheetDataSet>
      <sheetData sheetId="0" refreshError="1"/>
      <sheetData sheetId="1" refreshError="1"/>
      <sheetData sheetId="2" refreshError="1">
        <row r="9">
          <cell r="B9" t="str">
            <v>TURBINES ORDERED, MW</v>
          </cell>
        </row>
        <row r="66">
          <cell r="B66" t="str">
            <v>VESSELS</v>
          </cell>
        </row>
        <row r="92">
          <cell r="B92" t="str">
            <v>Monopiles (turbine)</v>
          </cell>
        </row>
        <row r="93">
          <cell r="B93" t="str">
            <v>Transition Piece</v>
          </cell>
        </row>
        <row r="96">
          <cell r="B96" t="str">
            <v>Jacket (Substation)</v>
          </cell>
        </row>
        <row r="98">
          <cell r="B98" t="str">
            <v>OSS Topside</v>
          </cell>
        </row>
        <row r="100">
          <cell r="B100" t="str">
            <v>Array cable, km</v>
          </cell>
        </row>
        <row r="101">
          <cell r="B101" t="str">
            <v>Export cable, km</v>
          </cell>
        </row>
      </sheetData>
      <sheetData sheetId="3" refreshError="1"/>
      <sheetData sheetId="4" refreshError="1"/>
      <sheetData sheetId="5" refreshError="1"/>
      <sheetData sheetId="6" refreshError="1"/>
    </sheetDataSet>
  </externalBook>
</externalLink>
</file>

<file path=xl/persons/person.xml><?xml version="1.0" encoding="utf-8"?>
<personList xmlns="http://schemas.microsoft.com/office/spreadsheetml/2018/threadedcomments" xmlns:x="http://schemas.openxmlformats.org/spreadsheetml/2006/main">
  <person displayName="Rouxel, Noe" id="{55F1B989-A979-48BB-919C-549D8B1B43FF}" userId="Noe.Rouxel@dnv.com" providerId="PeoplePicker"/>
  <person displayName="Marsh, Ruth Heffernan" id="{7CB991F4-41BF-489A-BF3B-810CCB7DF22D}" userId="S::Ruth.Marsh@dnv.com::01fbed64-b1c6-4d83-90ef-5c5ffc68330d"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19" dT="2021-07-23T20:36:04.48" personId="{7CB991F4-41BF-489A-BF3B-810CCB7DF22D}" id="{59428211-DDEB-48AD-BA9D-B4FC35115091}">
    <text>After meeting w/Emily Lindow, Chief of Staff @BOEM, reducing this to 60%, and further reducing the "remaining lease areas" acreage to 30%. She explained that recent conversations with fisheries indicated they would likely oppose projects further building out their lease areas, at least initially. So we can't count on more than an additional 5 GW from those leftover lease areas.</text>
  </threadedComment>
</ThreadedComments>
</file>

<file path=xl/threadedComments/threadedComment2.xml><?xml version="1.0" encoding="utf-8"?>
<ThreadedComments xmlns="http://schemas.microsoft.com/office/spreadsheetml/2018/threadedcomments" xmlns:x="http://schemas.openxmlformats.org/spreadsheetml/2006/main">
  <threadedComment ref="B84" dT="2021-06-28T20:35:02.86" personId="{7CB991F4-41BF-489A-BF3B-810CCB7DF22D}" id="{75767BFA-A065-4EC6-9C12-18F1C02FC1DA}">
    <text>@Rouxel, Noe  here is the # of projects per year.</text>
    <mentions>
      <mention mentionpersonId="{55F1B989-A979-48BB-919C-549D8B1B43FF}" mentionId="{97686E14-24DF-4501-BEB3-648A0C3098BB}" startIndex="0" length="12"/>
    </mentions>
  </threadedComment>
</ThreadedComments>
</file>

<file path=xl/threadedComments/threadedComment3.xml><?xml version="1.0" encoding="utf-8"?>
<ThreadedComments xmlns="http://schemas.microsoft.com/office/spreadsheetml/2018/threadedcomments" xmlns:x="http://schemas.openxmlformats.org/spreadsheetml/2006/main">
  <threadedComment ref="B84" dT="2021-06-28T20:35:02.86" personId="{7CB991F4-41BF-489A-BF3B-810CCB7DF22D}" id="{82EB43AC-686A-4B4F-B4EA-19B06AAD0012}">
    <text>@Rouxel, Noe  here is the # of projects per year.</text>
    <mentions>
      <mention mentionpersonId="{55F1B989-A979-48BB-919C-549D8B1B43FF}" mentionId="{45DD26CB-A9FF-424A-AA03-3B46B2063E77}" startIndex="0" length="12"/>
    </mentions>
  </threadedComment>
</ThreadedComments>
</file>

<file path=xl/threadedComments/threadedComment4.xml><?xml version="1.0" encoding="utf-8"?>
<ThreadedComments xmlns="http://schemas.microsoft.com/office/spreadsheetml/2018/threadedcomments" xmlns:x="http://schemas.openxmlformats.org/spreadsheetml/2006/main">
  <threadedComment ref="B84" dT="2021-06-28T20:35:02.86" personId="{7CB991F4-41BF-489A-BF3B-810CCB7DF22D}" id="{93D1100A-F495-442F-A6BD-289F587F1CCA}">
    <text>@Rouxel, Noe  here is the # of projects per year.</text>
    <mentions>
      <mention mentionpersonId="{55F1B989-A979-48BB-919C-549D8B1B43FF}" mentionId="{3EDA7DE2-182A-46BC-8C0F-EC23FEA32270}" startIndex="0" length="12"/>
    </mentions>
  </threadedComment>
</ThreadedComments>
</file>

<file path=xl/threadedComments/threadedComment5.xml><?xml version="1.0" encoding="utf-8"?>
<ThreadedComments xmlns="http://schemas.microsoft.com/office/spreadsheetml/2018/threadedcomments" xmlns:x="http://schemas.openxmlformats.org/spreadsheetml/2006/main">
  <threadedComment ref="AH34" dT="2021-10-04T03:06:53.26" personId="{7CB991F4-41BF-489A-BF3B-810CCB7DF22D}" id="{0D991AF4-2DAC-4EB0-ADAF-5DE7C3347AC2}">
    <text>Added 500 MW to account for the additional 500 MW capability on the West Coast in 2029. Then assume constant build-out of 5.6 GW/yr on the AC and 1.0 GW/yr on the WC through 2035.</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9.xml"/><Relationship Id="rId1" Type="http://schemas.openxmlformats.org/officeDocument/2006/relationships/printerSettings" Target="../printerSettings/printerSettings10.bin"/><Relationship Id="rId5" Type="http://schemas.microsoft.com/office/2017/10/relationships/threadedComment" Target="../threadedComments/threadedComment2.xml"/><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2.xml"/><Relationship Id="rId1" Type="http://schemas.openxmlformats.org/officeDocument/2006/relationships/printerSettings" Target="../printerSettings/printerSettings13.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3.xml"/><Relationship Id="rId1" Type="http://schemas.openxmlformats.org/officeDocument/2006/relationships/printerSettings" Target="../printerSettings/printerSettings14.bin"/><Relationship Id="rId5" Type="http://schemas.microsoft.com/office/2017/10/relationships/threadedComment" Target="../threadedComments/threadedComment4.xml"/><Relationship Id="rId4" Type="http://schemas.openxmlformats.org/officeDocument/2006/relationships/comments" Target="../comments4.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6.bin"/><Relationship Id="rId4" Type="http://schemas.microsoft.com/office/2017/10/relationships/threadedComment" Target="../threadedComments/threadedComment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8BBB17-BE8C-48D2-B40C-B1B9F6D8C0A2}">
  <dimension ref="C2:D33"/>
  <sheetViews>
    <sheetView workbookViewId="0">
      <selection activeCell="I13" sqref="I13"/>
    </sheetView>
  </sheetViews>
  <sheetFormatPr defaultRowHeight="14.5" x14ac:dyDescent="0.35"/>
  <cols>
    <col min="3" max="3" width="13.453125" style="207" customWidth="1"/>
    <col min="4" max="4" width="75.54296875" style="207" customWidth="1"/>
  </cols>
  <sheetData>
    <row r="2" spans="3:4" ht="30" x14ac:dyDescent="0.35">
      <c r="C2" s="207" t="s">
        <v>405</v>
      </c>
      <c r="D2" s="218" t="s">
        <v>406</v>
      </c>
    </row>
    <row r="3" spans="3:4" ht="29" x14ac:dyDescent="0.35">
      <c r="C3" s="207" t="s">
        <v>407</v>
      </c>
      <c r="D3" s="207" t="s">
        <v>440</v>
      </c>
    </row>
    <row r="4" spans="3:4" x14ac:dyDescent="0.35">
      <c r="C4" s="207" t="s">
        <v>408</v>
      </c>
      <c r="D4" s="219">
        <v>44600</v>
      </c>
    </row>
    <row r="5" spans="3:4" x14ac:dyDescent="0.35">
      <c r="C5" s="207" t="s">
        <v>409</v>
      </c>
      <c r="D5" s="207" t="s">
        <v>410</v>
      </c>
    </row>
    <row r="7" spans="3:4" ht="72.5" x14ac:dyDescent="0.35">
      <c r="D7" s="207" t="s">
        <v>441</v>
      </c>
    </row>
    <row r="9" spans="3:4" ht="29" x14ac:dyDescent="0.35">
      <c r="C9" s="220" t="s">
        <v>411</v>
      </c>
      <c r="D9" s="221" t="s">
        <v>412</v>
      </c>
    </row>
    <row r="10" spans="3:4" x14ac:dyDescent="0.35">
      <c r="C10" s="220" t="s">
        <v>3</v>
      </c>
      <c r="D10" s="207" t="s">
        <v>413</v>
      </c>
    </row>
    <row r="11" spans="3:4" ht="58" x14ac:dyDescent="0.35">
      <c r="C11" s="220" t="s">
        <v>415</v>
      </c>
      <c r="D11" s="207" t="s">
        <v>429</v>
      </c>
    </row>
    <row r="12" spans="3:4" x14ac:dyDescent="0.35">
      <c r="C12" s="222" t="s">
        <v>416</v>
      </c>
      <c r="D12" s="171" t="s">
        <v>417</v>
      </c>
    </row>
    <row r="13" spans="3:4" ht="72.5" x14ac:dyDescent="0.35">
      <c r="C13" s="220" t="s">
        <v>425</v>
      </c>
      <c r="D13" s="207" t="s">
        <v>428</v>
      </c>
    </row>
    <row r="14" spans="3:4" ht="43.5" x14ac:dyDescent="0.35">
      <c r="C14" s="220" t="s">
        <v>426</v>
      </c>
      <c r="D14" s="207" t="s">
        <v>427</v>
      </c>
    </row>
    <row r="15" spans="3:4" ht="29" x14ac:dyDescent="0.35">
      <c r="C15" s="222" t="s">
        <v>349</v>
      </c>
      <c r="D15" s="171" t="s">
        <v>442</v>
      </c>
    </row>
    <row r="16" spans="3:4" ht="29" x14ac:dyDescent="0.35">
      <c r="C16" s="222" t="s">
        <v>348</v>
      </c>
      <c r="D16" s="171" t="s">
        <v>443</v>
      </c>
    </row>
    <row r="17" spans="3:4" ht="78.650000000000006" customHeight="1" x14ac:dyDescent="0.35">
      <c r="C17" s="220" t="s">
        <v>418</v>
      </c>
      <c r="D17" s="207" t="s">
        <v>437</v>
      </c>
    </row>
    <row r="18" spans="3:4" ht="43.5" x14ac:dyDescent="0.35">
      <c r="C18" s="220" t="s">
        <v>419</v>
      </c>
      <c r="D18" s="207" t="s">
        <v>430</v>
      </c>
    </row>
    <row r="19" spans="3:4" ht="43.5" x14ac:dyDescent="0.35">
      <c r="C19" s="220" t="s">
        <v>420</v>
      </c>
      <c r="D19" s="207" t="s">
        <v>431</v>
      </c>
    </row>
    <row r="20" spans="3:4" ht="43.5" x14ac:dyDescent="0.35">
      <c r="C20" s="220" t="s">
        <v>421</v>
      </c>
      <c r="D20" s="207" t="s">
        <v>432</v>
      </c>
    </row>
    <row r="21" spans="3:4" ht="43.5" x14ac:dyDescent="0.35">
      <c r="C21" s="220" t="s">
        <v>422</v>
      </c>
      <c r="D21" s="207" t="s">
        <v>434</v>
      </c>
    </row>
    <row r="22" spans="3:4" ht="29" x14ac:dyDescent="0.35">
      <c r="C22" s="222" t="s">
        <v>433</v>
      </c>
      <c r="D22" s="171" t="s">
        <v>435</v>
      </c>
    </row>
    <row r="23" spans="3:4" ht="43.5" x14ac:dyDescent="0.35">
      <c r="C23" s="220" t="s">
        <v>423</v>
      </c>
      <c r="D23" s="207" t="s">
        <v>424</v>
      </c>
    </row>
    <row r="24" spans="3:4" ht="29" x14ac:dyDescent="0.35">
      <c r="C24" s="220" t="s">
        <v>414</v>
      </c>
      <c r="D24" s="207" t="s">
        <v>436</v>
      </c>
    </row>
    <row r="30" spans="3:4" x14ac:dyDescent="0.35">
      <c r="D30"/>
    </row>
    <row r="31" spans="3:4" x14ac:dyDescent="0.35">
      <c r="D31"/>
    </row>
    <row r="32" spans="3:4" x14ac:dyDescent="0.35">
      <c r="D32"/>
    </row>
    <row r="33" spans="4:4" x14ac:dyDescent="0.35">
      <c r="D33"/>
    </row>
  </sheetData>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F2D018-6305-4476-A372-11A7C24FDD73}">
  <sheetPr codeName="Sheet3">
    <tabColor rgb="FF00A4E4"/>
  </sheetPr>
  <dimension ref="A1:Y83"/>
  <sheetViews>
    <sheetView topLeftCell="A30" workbookViewId="0">
      <selection activeCell="K77" sqref="K77"/>
    </sheetView>
  </sheetViews>
  <sheetFormatPr defaultRowHeight="14.5" x14ac:dyDescent="0.35"/>
  <cols>
    <col min="1" max="1" width="4.54296875" customWidth="1"/>
    <col min="2" max="2" width="42.54296875" style="1" customWidth="1"/>
    <col min="3" max="3" width="9.6328125" style="17" customWidth="1"/>
    <col min="4" max="6" width="8.90625" style="17"/>
    <col min="7" max="7" width="11.90625" customWidth="1"/>
    <col min="9" max="9" width="4.453125" customWidth="1"/>
    <col min="10" max="10" width="35.6328125" customWidth="1"/>
    <col min="11" max="11" width="14.6328125" style="17" customWidth="1"/>
    <col min="12" max="12" width="13.36328125" style="17" customWidth="1"/>
    <col min="13" max="13" width="56.81640625" style="1" customWidth="1"/>
    <col min="14" max="14" width="13.90625" style="1" customWidth="1"/>
    <col min="15" max="15" width="33.6328125" customWidth="1"/>
  </cols>
  <sheetData>
    <row r="1" spans="1:25" x14ac:dyDescent="0.35">
      <c r="B1" s="1" t="s">
        <v>225</v>
      </c>
    </row>
    <row r="2" spans="1:25" x14ac:dyDescent="0.35">
      <c r="B2" s="15" t="s">
        <v>224</v>
      </c>
    </row>
    <row r="3" spans="1:25" x14ac:dyDescent="0.35">
      <c r="B3" s="15" t="s">
        <v>2</v>
      </c>
    </row>
    <row r="4" spans="1:25" x14ac:dyDescent="0.35">
      <c r="G4" t="s">
        <v>209</v>
      </c>
    </row>
    <row r="5" spans="1:25" x14ac:dyDescent="0.35">
      <c r="B5" s="2" t="s">
        <v>3</v>
      </c>
      <c r="G5" s="94" t="s">
        <v>210</v>
      </c>
    </row>
    <row r="6" spans="1:25" x14ac:dyDescent="0.35">
      <c r="A6">
        <v>1</v>
      </c>
      <c r="B6" s="61" t="s">
        <v>202</v>
      </c>
      <c r="G6" s="95" t="s">
        <v>211</v>
      </c>
    </row>
    <row r="7" spans="1:25" x14ac:dyDescent="0.35">
      <c r="B7" s="1" t="s">
        <v>231</v>
      </c>
      <c r="H7" s="30"/>
    </row>
    <row r="8" spans="1:25" ht="43.5" x14ac:dyDescent="0.35">
      <c r="B8" s="62" t="s">
        <v>204</v>
      </c>
      <c r="O8" s="72" t="s">
        <v>154</v>
      </c>
      <c r="V8" s="60"/>
      <c r="W8" s="31"/>
      <c r="X8" s="31"/>
      <c r="Y8" s="31"/>
    </row>
    <row r="9" spans="1:25" x14ac:dyDescent="0.35">
      <c r="B9" s="2"/>
      <c r="I9">
        <v>8</v>
      </c>
      <c r="J9" s="34" t="s">
        <v>125</v>
      </c>
      <c r="K9" s="31"/>
      <c r="L9" s="31"/>
      <c r="O9" s="73" t="s">
        <v>155</v>
      </c>
      <c r="U9" s="83"/>
      <c r="V9" s="141"/>
      <c r="W9" s="32"/>
      <c r="X9" s="83"/>
    </row>
    <row r="10" spans="1:25" ht="29" x14ac:dyDescent="0.35">
      <c r="A10" s="1"/>
      <c r="B10" s="8" t="s">
        <v>197</v>
      </c>
      <c r="C10" s="55" t="s">
        <v>176</v>
      </c>
      <c r="D10" s="55" t="s">
        <v>177</v>
      </c>
      <c r="E10" s="55" t="s">
        <v>178</v>
      </c>
      <c r="F10" s="79" t="s">
        <v>184</v>
      </c>
      <c r="G10" s="79" t="s">
        <v>215</v>
      </c>
      <c r="H10" s="1"/>
      <c r="J10" s="9" t="s">
        <v>216</v>
      </c>
      <c r="K10" s="69" t="s">
        <v>126</v>
      </c>
      <c r="L10" s="69" t="s">
        <v>127</v>
      </c>
      <c r="M10" s="8" t="s">
        <v>0</v>
      </c>
      <c r="N10" s="18"/>
      <c r="O10" s="73" t="s">
        <v>156</v>
      </c>
      <c r="U10" s="142"/>
      <c r="V10" s="142"/>
      <c r="W10" s="142"/>
      <c r="X10" s="83"/>
    </row>
    <row r="11" spans="1:25" ht="43.5" x14ac:dyDescent="0.35">
      <c r="B11" s="3" t="s">
        <v>247</v>
      </c>
      <c r="C11" s="91">
        <v>4000</v>
      </c>
      <c r="D11" s="91">
        <v>3000</v>
      </c>
      <c r="E11" s="91">
        <v>2000</v>
      </c>
      <c r="F11" s="92">
        <v>0.33</v>
      </c>
      <c r="G11" s="67"/>
      <c r="J11" s="4" t="s">
        <v>71</v>
      </c>
      <c r="K11" s="91">
        <v>0</v>
      </c>
      <c r="L11" s="91">
        <v>40</v>
      </c>
      <c r="M11" s="3" t="s">
        <v>248</v>
      </c>
      <c r="N11" s="25"/>
      <c r="O11" s="73" t="s">
        <v>157</v>
      </c>
      <c r="U11" s="32"/>
      <c r="V11" s="32"/>
      <c r="W11" s="32"/>
      <c r="X11" s="83"/>
    </row>
    <row r="12" spans="1:25" ht="43.5" x14ac:dyDescent="0.35">
      <c r="B12" s="66" t="s">
        <v>203</v>
      </c>
      <c r="C12" s="91">
        <v>9</v>
      </c>
      <c r="D12" s="91">
        <v>7</v>
      </c>
      <c r="E12" s="91">
        <v>5</v>
      </c>
      <c r="F12" s="92"/>
      <c r="G12" s="92">
        <v>0.5</v>
      </c>
      <c r="J12" s="4" t="s">
        <v>128</v>
      </c>
      <c r="K12" s="91">
        <v>20</v>
      </c>
      <c r="L12" s="91">
        <v>40</v>
      </c>
      <c r="M12" s="3" t="s">
        <v>214</v>
      </c>
      <c r="N12" s="25"/>
      <c r="O12" s="73" t="s">
        <v>158</v>
      </c>
      <c r="U12" s="32"/>
      <c r="V12" s="32"/>
      <c r="W12" s="32"/>
      <c r="X12" s="83"/>
    </row>
    <row r="13" spans="1:25" x14ac:dyDescent="0.35">
      <c r="J13" s="4" t="s">
        <v>129</v>
      </c>
      <c r="K13" s="91">
        <v>40</v>
      </c>
      <c r="L13" s="91">
        <v>60</v>
      </c>
      <c r="M13" s="3" t="s">
        <v>130</v>
      </c>
      <c r="N13" s="25"/>
      <c r="O13" s="73" t="s">
        <v>159</v>
      </c>
      <c r="U13" s="32"/>
      <c r="V13" s="32"/>
      <c r="W13" s="32"/>
      <c r="X13" s="83"/>
    </row>
    <row r="14" spans="1:25" x14ac:dyDescent="0.35">
      <c r="A14">
        <v>2</v>
      </c>
      <c r="B14" s="61" t="s">
        <v>207</v>
      </c>
      <c r="O14" s="73" t="s">
        <v>160</v>
      </c>
      <c r="U14" s="32"/>
      <c r="V14" s="32"/>
      <c r="W14" s="32"/>
      <c r="X14" s="83"/>
    </row>
    <row r="15" spans="1:25" x14ac:dyDescent="0.35">
      <c r="B15" s="8" t="s">
        <v>5</v>
      </c>
      <c r="C15" s="69" t="s">
        <v>6</v>
      </c>
      <c r="D15" s="69" t="s">
        <v>7</v>
      </c>
      <c r="E15" s="69" t="s">
        <v>8</v>
      </c>
      <c r="F15" s="69" t="s">
        <v>9</v>
      </c>
      <c r="J15" s="9" t="s">
        <v>230</v>
      </c>
      <c r="K15" s="69" t="s">
        <v>229</v>
      </c>
      <c r="O15" s="73" t="s">
        <v>161</v>
      </c>
      <c r="U15" s="32"/>
      <c r="V15" s="32"/>
      <c r="W15" s="32"/>
      <c r="X15" s="83"/>
    </row>
    <row r="16" spans="1:25" x14ac:dyDescent="0.35">
      <c r="B16" s="3" t="s">
        <v>11</v>
      </c>
      <c r="C16" s="91">
        <v>11</v>
      </c>
      <c r="D16" s="91">
        <v>12</v>
      </c>
      <c r="E16" s="91">
        <v>13</v>
      </c>
      <c r="F16" s="97">
        <f>AVERAGE(C16:E16)</f>
        <v>12</v>
      </c>
      <c r="J16" s="4" t="s">
        <v>71</v>
      </c>
      <c r="K16" s="92">
        <f>1/3</f>
        <v>0.33333333333333331</v>
      </c>
      <c r="O16" s="73" t="s">
        <v>162</v>
      </c>
      <c r="U16" s="83"/>
      <c r="V16" s="83"/>
      <c r="W16" s="83"/>
      <c r="X16" s="83"/>
    </row>
    <row r="17" spans="1:24" x14ac:dyDescent="0.35">
      <c r="B17" s="3" t="s">
        <v>200</v>
      </c>
      <c r="C17" s="91">
        <v>14</v>
      </c>
      <c r="D17" s="91">
        <v>15</v>
      </c>
      <c r="E17" s="91">
        <v>16</v>
      </c>
      <c r="F17" s="97">
        <f t="shared" ref="F17:F18" si="0">AVERAGE(C17:E17)</f>
        <v>15</v>
      </c>
      <c r="J17" s="4" t="s">
        <v>228</v>
      </c>
      <c r="K17" s="92">
        <f t="shared" ref="K17:K18" si="1">1/3</f>
        <v>0.33333333333333331</v>
      </c>
      <c r="O17" s="73" t="s">
        <v>163</v>
      </c>
      <c r="U17" s="83"/>
      <c r="V17" s="83"/>
      <c r="W17" s="83"/>
      <c r="X17" s="83"/>
    </row>
    <row r="18" spans="1:24" x14ac:dyDescent="0.35">
      <c r="B18" s="3" t="s">
        <v>201</v>
      </c>
      <c r="C18" s="91">
        <v>17</v>
      </c>
      <c r="D18" s="91">
        <v>18</v>
      </c>
      <c r="E18" s="91">
        <v>19</v>
      </c>
      <c r="F18" s="97">
        <f t="shared" si="0"/>
        <v>18</v>
      </c>
      <c r="J18" s="4" t="s">
        <v>129</v>
      </c>
      <c r="K18" s="92">
        <f t="shared" si="1"/>
        <v>0.33333333333333331</v>
      </c>
      <c r="N18" s="18"/>
      <c r="O18" s="73" t="s">
        <v>164</v>
      </c>
      <c r="U18" s="83"/>
      <c r="V18" s="83"/>
      <c r="W18" s="83"/>
      <c r="X18" s="83"/>
    </row>
    <row r="19" spans="1:24" x14ac:dyDescent="0.35">
      <c r="B19" s="3" t="s">
        <v>198</v>
      </c>
      <c r="C19" s="92">
        <v>0.65</v>
      </c>
      <c r="D19" s="31"/>
      <c r="E19" s="31"/>
      <c r="F19" s="31"/>
      <c r="N19" s="25"/>
      <c r="O19" s="73" t="s">
        <v>165</v>
      </c>
    </row>
    <row r="20" spans="1:24" ht="15.5" x14ac:dyDescent="0.35">
      <c r="B20" s="3" t="s">
        <v>199</v>
      </c>
      <c r="C20" s="93">
        <v>2</v>
      </c>
      <c r="D20" s="31" t="s">
        <v>190</v>
      </c>
      <c r="E20" s="31"/>
      <c r="F20" s="31"/>
      <c r="J20" s="1"/>
      <c r="K20" s="6"/>
      <c r="L20" s="6"/>
      <c r="N20" s="25"/>
      <c r="O20" s="74"/>
    </row>
    <row r="21" spans="1:24" x14ac:dyDescent="0.35">
      <c r="N21" s="25"/>
      <c r="O21" s="75" t="s">
        <v>166</v>
      </c>
    </row>
    <row r="22" spans="1:24" x14ac:dyDescent="0.35">
      <c r="A22">
        <v>3</v>
      </c>
      <c r="B22" s="61" t="s">
        <v>15</v>
      </c>
      <c r="I22">
        <v>9</v>
      </c>
      <c r="J22" s="34" t="s">
        <v>1</v>
      </c>
      <c r="N22" s="25"/>
      <c r="O22" s="73" t="s">
        <v>167</v>
      </c>
    </row>
    <row r="23" spans="1:24" x14ac:dyDescent="0.35">
      <c r="B23" s="3" t="s">
        <v>16</v>
      </c>
      <c r="C23" s="91">
        <v>800</v>
      </c>
      <c r="D23" s="56" t="s">
        <v>17</v>
      </c>
      <c r="J23" s="9" t="s">
        <v>220</v>
      </c>
      <c r="K23" s="69" t="s">
        <v>221</v>
      </c>
      <c r="L23" s="69" t="s">
        <v>219</v>
      </c>
      <c r="M23" s="55" t="s">
        <v>0</v>
      </c>
      <c r="N23" s="25"/>
      <c r="O23" s="73" t="s">
        <v>168</v>
      </c>
    </row>
    <row r="24" spans="1:24" x14ac:dyDescent="0.35">
      <c r="J24" s="4" t="s">
        <v>65</v>
      </c>
      <c r="K24" s="91">
        <v>90</v>
      </c>
      <c r="L24" s="56" t="s">
        <v>66</v>
      </c>
      <c r="M24" s="3"/>
      <c r="N24" s="25"/>
      <c r="O24" s="76" t="s">
        <v>169</v>
      </c>
    </row>
    <row r="25" spans="1:24" x14ac:dyDescent="0.35">
      <c r="A25">
        <v>4</v>
      </c>
      <c r="B25" s="61" t="s">
        <v>18</v>
      </c>
      <c r="J25" s="4" t="s">
        <v>172</v>
      </c>
      <c r="K25" s="91">
        <v>36</v>
      </c>
      <c r="L25" s="56" t="s">
        <v>237</v>
      </c>
      <c r="M25" s="3" t="s">
        <v>226</v>
      </c>
      <c r="N25" s="25"/>
    </row>
    <row r="26" spans="1:24" x14ac:dyDescent="0.35">
      <c r="B26" s="3" t="s">
        <v>22</v>
      </c>
      <c r="C26" s="92">
        <v>0.1</v>
      </c>
      <c r="J26" s="4" t="s">
        <v>173</v>
      </c>
      <c r="K26" s="91">
        <v>36</v>
      </c>
      <c r="L26" s="56" t="s">
        <v>237</v>
      </c>
      <c r="M26" s="3" t="s">
        <v>227</v>
      </c>
      <c r="N26" s="25"/>
    </row>
    <row r="27" spans="1:24" x14ac:dyDescent="0.35">
      <c r="B27" s="3" t="s">
        <v>205</v>
      </c>
      <c r="C27" s="91">
        <v>1</v>
      </c>
      <c r="J27" s="4" t="s">
        <v>171</v>
      </c>
      <c r="K27" s="91">
        <v>240</v>
      </c>
      <c r="L27" s="56" t="s">
        <v>237</v>
      </c>
      <c r="M27" s="3"/>
      <c r="O27" s="77" t="s">
        <v>249</v>
      </c>
      <c r="P27" s="56"/>
      <c r="Q27" s="56"/>
    </row>
    <row r="28" spans="1:24" x14ac:dyDescent="0.35">
      <c r="B28" s="25"/>
      <c r="C28" s="160"/>
      <c r="D28" s="159"/>
      <c r="E28" s="159"/>
      <c r="F28" s="159"/>
      <c r="J28" s="4" t="s">
        <v>306</v>
      </c>
      <c r="K28" s="91">
        <v>36</v>
      </c>
      <c r="L28" s="56" t="s">
        <v>237</v>
      </c>
      <c r="M28" s="156" t="s">
        <v>290</v>
      </c>
      <c r="N28" s="155"/>
      <c r="O28" s="77"/>
      <c r="P28" s="56"/>
      <c r="Q28" s="56"/>
    </row>
    <row r="29" spans="1:24" x14ac:dyDescent="0.35">
      <c r="J29" s="4" t="s">
        <v>151</v>
      </c>
      <c r="K29" s="91">
        <v>12</v>
      </c>
      <c r="L29" s="56" t="s">
        <v>237</v>
      </c>
      <c r="M29" s="3"/>
      <c r="N29" s="70"/>
      <c r="O29" s="4" t="s">
        <v>19</v>
      </c>
      <c r="P29" s="56" t="s">
        <v>20</v>
      </c>
      <c r="Q29" s="56" t="s">
        <v>21</v>
      </c>
    </row>
    <row r="30" spans="1:24" x14ac:dyDescent="0.35">
      <c r="A30">
        <v>5</v>
      </c>
      <c r="B30" s="61" t="s">
        <v>29</v>
      </c>
      <c r="J30" s="4" t="s">
        <v>152</v>
      </c>
      <c r="K30" s="97">
        <f>K25*K31</f>
        <v>108</v>
      </c>
      <c r="L30" s="56" t="s">
        <v>237</v>
      </c>
      <c r="M30" s="3"/>
      <c r="N30" s="21"/>
      <c r="O30" s="4" t="s">
        <v>23</v>
      </c>
      <c r="P30" s="91" t="s">
        <v>24</v>
      </c>
      <c r="Q30" s="91">
        <v>1</v>
      </c>
    </row>
    <row r="31" spans="1:24" ht="29" x14ac:dyDescent="0.35">
      <c r="B31" s="8" t="s">
        <v>32</v>
      </c>
      <c r="C31" s="55" t="s">
        <v>33</v>
      </c>
      <c r="D31" s="231" t="s">
        <v>0</v>
      </c>
      <c r="E31" s="231"/>
      <c r="F31" s="231"/>
      <c r="G31" s="231"/>
      <c r="J31" s="4" t="s">
        <v>175</v>
      </c>
      <c r="K31" s="91">
        <v>3</v>
      </c>
      <c r="L31" s="56" t="s">
        <v>174</v>
      </c>
      <c r="M31" s="3"/>
      <c r="N31" s="21"/>
      <c r="O31" s="4" t="s">
        <v>25</v>
      </c>
      <c r="P31" s="91" t="s">
        <v>26</v>
      </c>
      <c r="Q31" s="91">
        <v>2</v>
      </c>
    </row>
    <row r="32" spans="1:24" x14ac:dyDescent="0.35">
      <c r="B32" s="33" t="s">
        <v>36</v>
      </c>
      <c r="C32" s="92">
        <f>(0.333+0.33+0.33)/3</f>
        <v>0.33100000000000002</v>
      </c>
      <c r="D32" s="227" t="s">
        <v>144</v>
      </c>
      <c r="E32" s="227"/>
      <c r="F32" s="227"/>
      <c r="G32" s="227"/>
      <c r="J32" s="4" t="s">
        <v>153</v>
      </c>
      <c r="K32" s="91">
        <f>12*K31</f>
        <v>36</v>
      </c>
      <c r="L32" s="56" t="s">
        <v>237</v>
      </c>
      <c r="M32" s="3"/>
      <c r="N32" s="21"/>
      <c r="O32" s="4" t="s">
        <v>27</v>
      </c>
      <c r="P32" s="91" t="s">
        <v>28</v>
      </c>
      <c r="Q32" s="91">
        <v>3</v>
      </c>
    </row>
    <row r="33" spans="1:19" x14ac:dyDescent="0.35">
      <c r="B33" s="33" t="s">
        <v>39</v>
      </c>
      <c r="C33" s="92">
        <f>(0.5+0.5+1)/3</f>
        <v>0.66666666666666663</v>
      </c>
      <c r="D33" s="227" t="s">
        <v>145</v>
      </c>
      <c r="E33" s="227"/>
      <c r="F33" s="227"/>
      <c r="G33" s="227"/>
      <c r="I33" s="1"/>
      <c r="N33" s="71"/>
      <c r="O33" s="4" t="s">
        <v>30</v>
      </c>
      <c r="P33" s="91" t="s">
        <v>31</v>
      </c>
      <c r="Q33" s="91">
        <v>4</v>
      </c>
    </row>
    <row r="34" spans="1:19" x14ac:dyDescent="0.35">
      <c r="B34" s="33" t="s">
        <v>42</v>
      </c>
      <c r="C34" s="92">
        <f>(1+1+1)/3</f>
        <v>1</v>
      </c>
      <c r="D34" s="227"/>
      <c r="E34" s="227"/>
      <c r="F34" s="227"/>
      <c r="G34" s="227"/>
      <c r="J34" s="9" t="s">
        <v>217</v>
      </c>
      <c r="K34" s="9" t="s">
        <v>218</v>
      </c>
      <c r="L34" s="69" t="s">
        <v>219</v>
      </c>
      <c r="M34" s="69" t="s">
        <v>0</v>
      </c>
      <c r="N34" s="21"/>
      <c r="O34" s="4" t="s">
        <v>34</v>
      </c>
      <c r="P34" s="91" t="s">
        <v>35</v>
      </c>
      <c r="Q34" s="91">
        <v>5</v>
      </c>
    </row>
    <row r="35" spans="1:19" x14ac:dyDescent="0.35">
      <c r="B35" s="33" t="s">
        <v>45</v>
      </c>
      <c r="C35" s="92">
        <f>(1+0.5+0.5)/3</f>
        <v>0.66666666666666663</v>
      </c>
      <c r="D35" s="227" t="s">
        <v>146</v>
      </c>
      <c r="E35" s="227"/>
      <c r="F35" s="227"/>
      <c r="G35" s="227"/>
      <c r="J35" s="4" t="s">
        <v>180</v>
      </c>
      <c r="K35" s="91">
        <v>2</v>
      </c>
      <c r="L35" s="56" t="s">
        <v>174</v>
      </c>
      <c r="M35" s="56"/>
      <c r="N35" s="21"/>
      <c r="O35" s="4" t="s">
        <v>37</v>
      </c>
      <c r="P35" s="91" t="s">
        <v>38</v>
      </c>
      <c r="Q35" s="91">
        <v>6</v>
      </c>
    </row>
    <row r="36" spans="1:19" x14ac:dyDescent="0.35">
      <c r="B36" s="3" t="s">
        <v>328</v>
      </c>
      <c r="C36" s="101">
        <f>AVERAGE(C32:C35)</f>
        <v>0.66608333333333336</v>
      </c>
      <c r="D36" s="226" t="s">
        <v>48</v>
      </c>
      <c r="E36" s="226"/>
      <c r="F36" s="226"/>
      <c r="G36" s="226"/>
      <c r="J36" s="4" t="s">
        <v>181</v>
      </c>
      <c r="K36" s="91">
        <v>2</v>
      </c>
      <c r="L36" s="56" t="s">
        <v>174</v>
      </c>
      <c r="M36" s="56"/>
      <c r="N36" s="21"/>
      <c r="O36" s="4" t="s">
        <v>40</v>
      </c>
      <c r="P36" s="91" t="s">
        <v>41</v>
      </c>
      <c r="Q36" s="91">
        <v>7</v>
      </c>
    </row>
    <row r="37" spans="1:19" ht="29" x14ac:dyDescent="0.35">
      <c r="B37" s="1" t="s">
        <v>51</v>
      </c>
      <c r="J37" s="4" t="s">
        <v>182</v>
      </c>
      <c r="K37" s="91">
        <v>1</v>
      </c>
      <c r="L37" s="56" t="s">
        <v>174</v>
      </c>
      <c r="M37" s="56"/>
      <c r="N37" s="21"/>
      <c r="O37" s="4" t="s">
        <v>43</v>
      </c>
      <c r="P37" s="91" t="s">
        <v>44</v>
      </c>
      <c r="Q37" s="91">
        <v>8</v>
      </c>
    </row>
    <row r="38" spans="1:19" s="1" customFormat="1" ht="29" x14ac:dyDescent="0.35">
      <c r="A38"/>
      <c r="B38" s="63" t="s">
        <v>147</v>
      </c>
      <c r="C38" s="17"/>
      <c r="D38" s="17"/>
      <c r="E38" s="17"/>
      <c r="F38" s="17"/>
      <c r="G38"/>
      <c r="H38"/>
      <c r="I38"/>
      <c r="J38" s="4" t="s">
        <v>183</v>
      </c>
      <c r="K38" s="91">
        <v>2</v>
      </c>
      <c r="L38" s="56" t="s">
        <v>174</v>
      </c>
      <c r="M38" s="65" t="s">
        <v>212</v>
      </c>
      <c r="O38" s="4" t="s">
        <v>46</v>
      </c>
      <c r="P38" s="91" t="s">
        <v>47</v>
      </c>
      <c r="Q38" s="91">
        <v>9</v>
      </c>
      <c r="R38"/>
      <c r="S38"/>
    </row>
    <row r="39" spans="1:19" x14ac:dyDescent="0.35">
      <c r="B39" s="63"/>
      <c r="J39" s="19"/>
      <c r="K39" s="21"/>
      <c r="L39" s="21"/>
      <c r="M39" s="21"/>
      <c r="O39" s="4" t="s">
        <v>49</v>
      </c>
      <c r="P39" s="91" t="s">
        <v>50</v>
      </c>
      <c r="Q39" s="91">
        <v>10</v>
      </c>
    </row>
    <row r="40" spans="1:19" x14ac:dyDescent="0.35">
      <c r="A40">
        <v>6</v>
      </c>
      <c r="B40" s="61" t="s">
        <v>206</v>
      </c>
      <c r="J40" s="209" t="s">
        <v>359</v>
      </c>
      <c r="K40" s="21"/>
      <c r="L40" s="21"/>
      <c r="M40" s="21"/>
      <c r="O40" s="4" t="s">
        <v>52</v>
      </c>
      <c r="P40" s="91" t="s">
        <v>53</v>
      </c>
      <c r="Q40" s="91">
        <v>11</v>
      </c>
    </row>
    <row r="41" spans="1:19" ht="16.5" x14ac:dyDescent="0.35">
      <c r="B41" s="3" t="s">
        <v>58</v>
      </c>
      <c r="C41" s="91">
        <v>1</v>
      </c>
      <c r="D41" s="56" t="s">
        <v>59</v>
      </c>
      <c r="J41" s="20" t="s">
        <v>389</v>
      </c>
      <c r="K41" s="175">
        <f>P52</f>
        <v>200.08810291666668</v>
      </c>
      <c r="L41" s="56" t="s">
        <v>374</v>
      </c>
      <c r="M41" s="65" t="s">
        <v>390</v>
      </c>
      <c r="O41" s="4" t="s">
        <v>54</v>
      </c>
      <c r="P41" s="91" t="s">
        <v>55</v>
      </c>
      <c r="Q41" s="91">
        <v>12</v>
      </c>
      <c r="R41" s="1"/>
      <c r="S41" s="1"/>
    </row>
    <row r="42" spans="1:19" x14ac:dyDescent="0.35">
      <c r="G42" s="1"/>
      <c r="H42" s="1"/>
      <c r="J42" s="19"/>
      <c r="K42" s="21"/>
      <c r="L42" s="21"/>
      <c r="M42" s="21"/>
      <c r="O42" s="4" t="s">
        <v>56</v>
      </c>
      <c r="P42" s="91" t="s">
        <v>57</v>
      </c>
      <c r="Q42" s="91">
        <v>13</v>
      </c>
    </row>
    <row r="43" spans="1:19" ht="29" x14ac:dyDescent="0.35">
      <c r="A43">
        <v>7</v>
      </c>
      <c r="B43" s="61" t="s">
        <v>60</v>
      </c>
      <c r="J43" s="9" t="s">
        <v>222</v>
      </c>
      <c r="K43" s="69" t="s">
        <v>221</v>
      </c>
      <c r="L43" s="69" t="s">
        <v>219</v>
      </c>
      <c r="M43" s="69" t="s">
        <v>0</v>
      </c>
    </row>
    <row r="44" spans="1:19" x14ac:dyDescent="0.35">
      <c r="A44" s="1"/>
      <c r="B44" s="8" t="s">
        <v>63</v>
      </c>
      <c r="C44" s="80" t="s">
        <v>223</v>
      </c>
      <c r="D44" s="69" t="s">
        <v>219</v>
      </c>
      <c r="E44" s="6"/>
      <c r="F44" s="6"/>
      <c r="J44" s="4" t="s">
        <v>191</v>
      </c>
      <c r="K44" s="91">
        <v>4</v>
      </c>
      <c r="L44" s="56" t="s">
        <v>192</v>
      </c>
      <c r="M44" s="56"/>
    </row>
    <row r="45" spans="1:19" x14ac:dyDescent="0.35">
      <c r="B45" s="68" t="s">
        <v>64</v>
      </c>
      <c r="C45" s="91">
        <v>1</v>
      </c>
      <c r="D45" s="56" t="s">
        <v>62</v>
      </c>
      <c r="J45" s="4" t="s">
        <v>213</v>
      </c>
      <c r="K45" s="91">
        <v>20</v>
      </c>
      <c r="L45" s="56" t="s">
        <v>194</v>
      </c>
      <c r="M45" s="56"/>
      <c r="O45" s="7" t="s">
        <v>397</v>
      </c>
    </row>
    <row r="46" spans="1:19" x14ac:dyDescent="0.35">
      <c r="B46" s="68" t="s">
        <v>131</v>
      </c>
      <c r="C46" s="91">
        <v>1</v>
      </c>
      <c r="D46" s="56" t="s">
        <v>62</v>
      </c>
      <c r="J46" s="19"/>
      <c r="K46" s="32"/>
      <c r="L46" s="21"/>
      <c r="M46" s="21"/>
      <c r="O46" s="4" t="s">
        <v>398</v>
      </c>
      <c r="P46" s="213">
        <v>365</v>
      </c>
    </row>
    <row r="47" spans="1:19" x14ac:dyDescent="0.35">
      <c r="B47" s="68" t="s">
        <v>67</v>
      </c>
      <c r="C47" s="91">
        <v>1</v>
      </c>
      <c r="D47" s="56" t="s">
        <v>62</v>
      </c>
      <c r="I47">
        <v>11</v>
      </c>
      <c r="J47" s="34" t="s">
        <v>4</v>
      </c>
      <c r="O47" s="4" t="s">
        <v>391</v>
      </c>
      <c r="P47" s="212">
        <f>C36*0.823</f>
        <v>0.54818658333333337</v>
      </c>
    </row>
    <row r="48" spans="1:19" x14ac:dyDescent="0.35">
      <c r="B48" s="68" t="s">
        <v>68</v>
      </c>
      <c r="C48" s="91">
        <v>2</v>
      </c>
      <c r="D48" s="56" t="s">
        <v>62</v>
      </c>
      <c r="J48" s="4" t="s">
        <v>10</v>
      </c>
      <c r="K48" s="99">
        <v>847.548</v>
      </c>
      <c r="O48" s="4" t="s">
        <v>393</v>
      </c>
      <c r="P48" s="213">
        <v>24</v>
      </c>
    </row>
    <row r="49" spans="1:16" x14ac:dyDescent="0.35">
      <c r="B49" s="68" t="s">
        <v>69</v>
      </c>
      <c r="C49" s="91">
        <v>1</v>
      </c>
      <c r="D49" s="56" t="s">
        <v>62</v>
      </c>
      <c r="J49" s="4" t="s">
        <v>12</v>
      </c>
      <c r="K49" s="91">
        <v>1.6093</v>
      </c>
      <c r="O49" s="4" t="s">
        <v>392</v>
      </c>
      <c r="P49" s="214">
        <v>0.5</v>
      </c>
    </row>
    <row r="50" spans="1:16" x14ac:dyDescent="0.35">
      <c r="B50" s="68" t="s">
        <v>70</v>
      </c>
      <c r="C50" s="91">
        <v>1</v>
      </c>
      <c r="D50" s="56" t="s">
        <v>62</v>
      </c>
      <c r="J50" s="4" t="s">
        <v>13</v>
      </c>
      <c r="K50" s="91">
        <v>0.86897000000000002</v>
      </c>
      <c r="O50" s="4" t="s">
        <v>394</v>
      </c>
      <c r="P50" s="213">
        <v>3</v>
      </c>
    </row>
    <row r="51" spans="1:16" x14ac:dyDescent="0.35">
      <c r="B51" s="68" t="s">
        <v>71</v>
      </c>
      <c r="C51" s="91">
        <v>1</v>
      </c>
      <c r="D51" s="56" t="s">
        <v>62</v>
      </c>
      <c r="J51" s="4" t="s">
        <v>14</v>
      </c>
      <c r="K51" s="91">
        <v>1.8520000000000001</v>
      </c>
      <c r="O51" s="4" t="s">
        <v>395</v>
      </c>
      <c r="P51" s="213">
        <v>4</v>
      </c>
    </row>
    <row r="52" spans="1:16" x14ac:dyDescent="0.35">
      <c r="B52" s="68" t="s">
        <v>143</v>
      </c>
      <c r="C52" s="91">
        <v>1</v>
      </c>
      <c r="D52" s="56" t="s">
        <v>62</v>
      </c>
      <c r="J52" s="20" t="s">
        <v>233</v>
      </c>
      <c r="K52" s="100">
        <v>247.10538099999999</v>
      </c>
      <c r="O52" s="9" t="s">
        <v>396</v>
      </c>
      <c r="P52" s="10">
        <f>P46*P47*P48*P49/P50/P51</f>
        <v>200.08810291666668</v>
      </c>
    </row>
    <row r="53" spans="1:16" x14ac:dyDescent="0.35">
      <c r="B53" s="68" t="s">
        <v>72</v>
      </c>
      <c r="C53" s="91">
        <v>1</v>
      </c>
      <c r="D53" s="56" t="s">
        <v>62</v>
      </c>
      <c r="J53" s="20" t="s">
        <v>234</v>
      </c>
      <c r="K53" s="97">
        <f>K51^2</f>
        <v>3.4299040000000005</v>
      </c>
    </row>
    <row r="54" spans="1:16" x14ac:dyDescent="0.35">
      <c r="B54" s="68" t="s">
        <v>73</v>
      </c>
      <c r="C54" s="91">
        <v>1</v>
      </c>
      <c r="D54" s="56" t="s">
        <v>62</v>
      </c>
      <c r="E54" s="36"/>
    </row>
    <row r="55" spans="1:16" x14ac:dyDescent="0.35">
      <c r="B55" s="8" t="s">
        <v>196</v>
      </c>
      <c r="C55" s="91">
        <v>1</v>
      </c>
      <c r="D55" s="56" t="s">
        <v>62</v>
      </c>
      <c r="O55" s="78" t="s">
        <v>208</v>
      </c>
      <c r="P55" s="17"/>
    </row>
    <row r="56" spans="1:16" x14ac:dyDescent="0.35">
      <c r="B56" s="8" t="s">
        <v>61</v>
      </c>
      <c r="C56" s="98">
        <v>1</v>
      </c>
      <c r="D56" s="64" t="s">
        <v>62</v>
      </c>
      <c r="I56">
        <v>12</v>
      </c>
      <c r="J56" s="9" t="s">
        <v>375</v>
      </c>
      <c r="K56" s="69" t="s">
        <v>221</v>
      </c>
      <c r="L56" s="69" t="s">
        <v>219</v>
      </c>
      <c r="M56" s="170" t="s">
        <v>0</v>
      </c>
      <c r="O56" s="14" t="s">
        <v>74</v>
      </c>
      <c r="P56" s="96">
        <f>'EC-known'!R2</f>
        <v>1</v>
      </c>
    </row>
    <row r="57" spans="1:16" x14ac:dyDescent="0.35">
      <c r="J57" s="172" t="s">
        <v>311</v>
      </c>
      <c r="K57" s="174">
        <v>4</v>
      </c>
      <c r="L57" s="173" t="s">
        <v>312</v>
      </c>
      <c r="M57" s="168" t="s">
        <v>310</v>
      </c>
      <c r="O57" s="4" t="s">
        <v>75</v>
      </c>
      <c r="P57" s="96">
        <f>'EC-known'!R3</f>
        <v>1</v>
      </c>
    </row>
    <row r="58" spans="1:16" x14ac:dyDescent="0.35">
      <c r="J58" s="172" t="s">
        <v>323</v>
      </c>
      <c r="K58" s="174">
        <f>(160*128+524*66)/(128+66)</f>
        <v>283.83505154639175</v>
      </c>
      <c r="L58" s="173" t="s">
        <v>313</v>
      </c>
      <c r="M58" s="169"/>
      <c r="P58" s="17"/>
    </row>
    <row r="59" spans="1:16" x14ac:dyDescent="0.35">
      <c r="J59" s="4" t="s">
        <v>314</v>
      </c>
      <c r="K59" s="174">
        <v>8</v>
      </c>
      <c r="L59" s="56" t="s">
        <v>312</v>
      </c>
      <c r="M59" s="66" t="s">
        <v>316</v>
      </c>
    </row>
    <row r="60" spans="1:16" x14ac:dyDescent="0.35">
      <c r="A60" s="19"/>
      <c r="B60" s="2" t="s">
        <v>232</v>
      </c>
      <c r="J60" s="20" t="s">
        <v>327</v>
      </c>
      <c r="K60" s="174">
        <v>24</v>
      </c>
      <c r="L60" s="17" t="s">
        <v>237</v>
      </c>
      <c r="M60" s="168" t="s">
        <v>321</v>
      </c>
    </row>
    <row r="61" spans="1:16" x14ac:dyDescent="0.35">
      <c r="A61" s="90">
        <v>1</v>
      </c>
      <c r="B61" s="227" t="s">
        <v>376</v>
      </c>
      <c r="C61" s="227"/>
      <c r="D61" s="227"/>
      <c r="E61" s="227"/>
      <c r="F61" s="227"/>
      <c r="G61" s="227"/>
      <c r="J61" s="4" t="s">
        <v>307</v>
      </c>
      <c r="K61" s="175">
        <f>K58/K57+K58/K59+K60</f>
        <v>130.43814432989691</v>
      </c>
      <c r="L61" s="56" t="s">
        <v>237</v>
      </c>
      <c r="M61" s="168" t="s">
        <v>315</v>
      </c>
    </row>
    <row r="62" spans="1:16" ht="34.25" customHeight="1" x14ac:dyDescent="0.35">
      <c r="A62" s="90">
        <v>2</v>
      </c>
      <c r="B62" s="227" t="s">
        <v>330</v>
      </c>
      <c r="C62" s="227"/>
      <c r="D62" s="227"/>
      <c r="E62" s="227"/>
      <c r="F62" s="227"/>
      <c r="G62" s="227"/>
      <c r="J62" s="4" t="s">
        <v>325</v>
      </c>
      <c r="K62" s="174">
        <v>3</v>
      </c>
      <c r="L62" s="56" t="s">
        <v>174</v>
      </c>
      <c r="M62" s="168"/>
      <c r="N62" s="167"/>
    </row>
    <row r="63" spans="1:16" ht="16.75" customHeight="1" x14ac:dyDescent="0.35">
      <c r="A63" s="90">
        <v>3</v>
      </c>
      <c r="B63" s="228" t="s">
        <v>377</v>
      </c>
      <c r="C63" s="229"/>
      <c r="D63" s="229"/>
      <c r="E63" s="229"/>
      <c r="F63" s="229"/>
      <c r="G63" s="230"/>
      <c r="J63" s="4" t="s">
        <v>324</v>
      </c>
      <c r="K63" s="176">
        <f>K58*2/K59+24</f>
        <v>94.958762886597938</v>
      </c>
      <c r="L63" s="56" t="s">
        <v>237</v>
      </c>
      <c r="M63" s="168" t="s">
        <v>326</v>
      </c>
      <c r="N63" s="167"/>
    </row>
    <row r="64" spans="1:16" ht="14.4" customHeight="1" x14ac:dyDescent="0.35">
      <c r="A64" s="90">
        <v>4</v>
      </c>
      <c r="B64" s="228" t="s">
        <v>378</v>
      </c>
      <c r="C64" s="229"/>
      <c r="D64" s="229"/>
      <c r="E64" s="229"/>
      <c r="F64" s="229"/>
      <c r="G64" s="230"/>
      <c r="J64" s="4" t="s">
        <v>308</v>
      </c>
      <c r="K64" s="176">
        <f>K63/K62+3.5*24</f>
        <v>115.65292096219932</v>
      </c>
      <c r="L64" s="56" t="s">
        <v>237</v>
      </c>
      <c r="M64" s="168" t="s">
        <v>309</v>
      </c>
    </row>
    <row r="65" spans="1:14" ht="61.25" customHeight="1" x14ac:dyDescent="0.35">
      <c r="A65" s="90">
        <v>5</v>
      </c>
      <c r="B65" s="228" t="s">
        <v>379</v>
      </c>
      <c r="C65" s="229"/>
      <c r="D65" s="229"/>
      <c r="E65" s="229"/>
      <c r="F65" s="229"/>
      <c r="G65" s="230"/>
      <c r="J65" s="4" t="s">
        <v>329</v>
      </c>
      <c r="K65" s="92">
        <v>0.75</v>
      </c>
      <c r="L65" s="56" t="s">
        <v>320</v>
      </c>
      <c r="M65" s="177" t="s">
        <v>48</v>
      </c>
    </row>
    <row r="66" spans="1:14" ht="45.65" customHeight="1" x14ac:dyDescent="0.35">
      <c r="A66" s="90">
        <v>6</v>
      </c>
      <c r="B66" s="226" t="s">
        <v>331</v>
      </c>
      <c r="C66" s="226"/>
      <c r="D66" s="226"/>
      <c r="E66" s="226"/>
      <c r="F66" s="226"/>
      <c r="G66" s="226"/>
    </row>
    <row r="67" spans="1:14" ht="27" customHeight="1" x14ac:dyDescent="0.35">
      <c r="A67" s="90">
        <v>7</v>
      </c>
      <c r="B67" s="226" t="s">
        <v>238</v>
      </c>
      <c r="C67" s="226"/>
      <c r="D67" s="226"/>
      <c r="E67" s="226"/>
      <c r="F67" s="226"/>
      <c r="G67" s="226"/>
      <c r="I67">
        <v>13</v>
      </c>
      <c r="J67" s="208" t="s">
        <v>333</v>
      </c>
      <c r="K67" s="69" t="s">
        <v>221</v>
      </c>
      <c r="L67" s="69" t="s">
        <v>219</v>
      </c>
      <c r="M67" s="206" t="s">
        <v>0</v>
      </c>
    </row>
    <row r="68" spans="1:14" ht="14.4" customHeight="1" x14ac:dyDescent="0.35">
      <c r="J68" s="4" t="s">
        <v>334</v>
      </c>
      <c r="K68" s="200">
        <v>10</v>
      </c>
      <c r="L68" s="4" t="s">
        <v>335</v>
      </c>
      <c r="M68" s="204" t="s">
        <v>399</v>
      </c>
    </row>
    <row r="69" spans="1:14" x14ac:dyDescent="0.35">
      <c r="B69" s="79" t="s">
        <v>388</v>
      </c>
      <c r="C69" s="206">
        <v>2031</v>
      </c>
      <c r="D69" s="206">
        <v>2032</v>
      </c>
      <c r="E69" s="206">
        <v>2033</v>
      </c>
      <c r="F69" s="206">
        <v>2034</v>
      </c>
      <c r="G69" s="206">
        <v>2035</v>
      </c>
      <c r="H69" s="36"/>
      <c r="J69" s="4" t="s">
        <v>336</v>
      </c>
      <c r="K69" s="175">
        <f>350/K68</f>
        <v>35</v>
      </c>
      <c r="L69" s="65" t="s">
        <v>404</v>
      </c>
      <c r="M69" s="204" t="s">
        <v>400</v>
      </c>
    </row>
    <row r="70" spans="1:14" ht="16.75" customHeight="1" x14ac:dyDescent="0.35">
      <c r="A70" s="90"/>
      <c r="B70" s="205" t="s">
        <v>380</v>
      </c>
      <c r="C70" s="64">
        <v>1500</v>
      </c>
      <c r="D70" s="64"/>
      <c r="E70" s="64">
        <v>1000</v>
      </c>
      <c r="F70" s="64"/>
      <c r="G70" s="64"/>
      <c r="K70" s="215"/>
      <c r="L70" s="36"/>
    </row>
    <row r="71" spans="1:14" ht="31.75" customHeight="1" x14ac:dyDescent="0.35">
      <c r="A71" s="90"/>
      <c r="B71" s="204" t="s">
        <v>383</v>
      </c>
      <c r="C71" s="64"/>
      <c r="D71" s="64"/>
      <c r="E71" s="64"/>
      <c r="F71" s="64"/>
      <c r="G71" s="64">
        <v>1500</v>
      </c>
      <c r="J71" s="7"/>
      <c r="K71" s="206" t="s">
        <v>337</v>
      </c>
      <c r="L71" s="206" t="s">
        <v>338</v>
      </c>
      <c r="M71" s="204"/>
    </row>
    <row r="72" spans="1:14" s="36" customFormat="1" ht="16.75" customHeight="1" x14ac:dyDescent="0.35">
      <c r="A72" s="84"/>
      <c r="B72" s="204" t="s">
        <v>381</v>
      </c>
      <c r="C72" s="64"/>
      <c r="D72" s="64"/>
      <c r="E72" s="64"/>
      <c r="F72" s="64"/>
      <c r="G72" s="64">
        <v>1000</v>
      </c>
      <c r="H72"/>
      <c r="I72"/>
      <c r="J72" s="4" t="s">
        <v>339</v>
      </c>
      <c r="K72" s="200">
        <v>35</v>
      </c>
      <c r="L72" s="200">
        <v>440</v>
      </c>
      <c r="M72" s="204" t="s">
        <v>401</v>
      </c>
      <c r="N72" s="85"/>
    </row>
    <row r="73" spans="1:14" ht="16.75" customHeight="1" x14ac:dyDescent="0.35">
      <c r="A73" s="84"/>
      <c r="B73" s="204" t="s">
        <v>385</v>
      </c>
      <c r="C73" s="64"/>
      <c r="D73" s="64"/>
      <c r="E73" s="64">
        <v>1500</v>
      </c>
      <c r="F73" s="64">
        <v>1000</v>
      </c>
      <c r="G73" s="64"/>
      <c r="J73" s="4" t="s">
        <v>340</v>
      </c>
      <c r="K73" s="200">
        <v>25</v>
      </c>
      <c r="L73" s="200">
        <v>660</v>
      </c>
      <c r="M73" s="204" t="s">
        <v>401</v>
      </c>
    </row>
    <row r="74" spans="1:14" x14ac:dyDescent="0.35">
      <c r="A74" s="84"/>
      <c r="B74" s="204" t="s">
        <v>384</v>
      </c>
      <c r="C74" s="64"/>
      <c r="D74" s="64"/>
      <c r="E74" s="64"/>
      <c r="F74" s="64">
        <v>600</v>
      </c>
      <c r="G74" s="64"/>
      <c r="J74" s="4" t="s">
        <v>341</v>
      </c>
      <c r="K74" s="200">
        <v>10</v>
      </c>
      <c r="L74" s="200">
        <v>150</v>
      </c>
      <c r="M74" s="204" t="s">
        <v>401</v>
      </c>
    </row>
    <row r="75" spans="1:14" x14ac:dyDescent="0.35">
      <c r="A75" s="84"/>
      <c r="B75" s="204" t="s">
        <v>386</v>
      </c>
      <c r="C75" s="64"/>
      <c r="D75" s="64"/>
      <c r="E75" s="64"/>
      <c r="F75" s="64">
        <v>1500</v>
      </c>
      <c r="G75" s="64"/>
      <c r="J75" s="9" t="s">
        <v>96</v>
      </c>
      <c r="K75" s="201">
        <f>SUM(K72:K74)</f>
        <v>70</v>
      </c>
      <c r="L75" s="201">
        <f>SUM(L72:L74)</f>
        <v>1250</v>
      </c>
      <c r="M75" s="204"/>
    </row>
    <row r="76" spans="1:14" x14ac:dyDescent="0.35">
      <c r="A76" s="84"/>
      <c r="B76" s="204" t="s">
        <v>382</v>
      </c>
      <c r="C76" s="56"/>
      <c r="D76" s="56"/>
      <c r="E76" s="56">
        <v>144</v>
      </c>
      <c r="F76" s="56"/>
      <c r="G76" s="56">
        <v>1200</v>
      </c>
      <c r="J76" s="216" t="s">
        <v>403</v>
      </c>
      <c r="K76" s="217">
        <v>180</v>
      </c>
      <c r="L76" t="s">
        <v>66</v>
      </c>
    </row>
    <row r="77" spans="1:14" x14ac:dyDescent="0.35">
      <c r="A77" s="84"/>
      <c r="B77" s="2" t="s">
        <v>387</v>
      </c>
      <c r="C77" s="211">
        <f>SUM(C70:C76)</f>
        <v>1500</v>
      </c>
      <c r="D77" s="211">
        <f t="shared" ref="D77:G77" si="2">SUM(D70:D76)</f>
        <v>0</v>
      </c>
      <c r="E77" s="211">
        <f t="shared" si="2"/>
        <v>2644</v>
      </c>
      <c r="F77" s="211">
        <f t="shared" si="2"/>
        <v>3100</v>
      </c>
      <c r="G77" s="211">
        <f t="shared" si="2"/>
        <v>3700</v>
      </c>
      <c r="J77" s="65" t="s">
        <v>342</v>
      </c>
      <c r="K77" s="202">
        <f>K75/K69</f>
        <v>2</v>
      </c>
      <c r="L77" s="202">
        <f>L75/K69/K76</f>
        <v>0.19841269841269843</v>
      </c>
      <c r="M77" s="204" t="s">
        <v>402</v>
      </c>
    </row>
    <row r="78" spans="1:14" x14ac:dyDescent="0.35">
      <c r="A78" s="84"/>
    </row>
    <row r="79" spans="1:14" x14ac:dyDescent="0.35">
      <c r="A79" s="84"/>
    </row>
    <row r="80" spans="1:14" x14ac:dyDescent="0.35">
      <c r="A80" s="84"/>
    </row>
    <row r="81" spans="1:1" x14ac:dyDescent="0.35">
      <c r="A81" s="84"/>
    </row>
    <row r="82" spans="1:1" x14ac:dyDescent="0.35">
      <c r="A82" s="84"/>
    </row>
    <row r="83" spans="1:1" x14ac:dyDescent="0.35">
      <c r="A83" s="84"/>
    </row>
  </sheetData>
  <mergeCells count="13">
    <mergeCell ref="B61:G61"/>
    <mergeCell ref="D36:G36"/>
    <mergeCell ref="D31:G31"/>
    <mergeCell ref="D32:G32"/>
    <mergeCell ref="D33:G33"/>
    <mergeCell ref="D34:G34"/>
    <mergeCell ref="D35:G35"/>
    <mergeCell ref="B66:G66"/>
    <mergeCell ref="B67:G67"/>
    <mergeCell ref="B62:G62"/>
    <mergeCell ref="B65:G65"/>
    <mergeCell ref="B64:G64"/>
    <mergeCell ref="B63:G63"/>
  </mergeCells>
  <phoneticPr fontId="4" type="noConversion"/>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BDDCCA-285B-4760-A0CE-6BB01C96E8E1}">
  <sheetPr codeName="Sheet18">
    <tabColor rgb="FF8CC63F"/>
  </sheetPr>
  <dimension ref="A1:Z157"/>
  <sheetViews>
    <sheetView zoomScale="70" zoomScaleNormal="70" workbookViewId="0">
      <pane ySplit="6" topLeftCell="A90" activePane="bottomLeft" state="frozen"/>
      <selection pane="bottomLeft" activeCell="B114" sqref="B114"/>
    </sheetView>
  </sheetViews>
  <sheetFormatPr defaultRowHeight="14.5" x14ac:dyDescent="0.35"/>
  <cols>
    <col min="1" max="1" width="5.08984375" customWidth="1"/>
    <col min="2" max="2" width="25.1796875" customWidth="1"/>
    <col min="3" max="3" width="9.1796875" hidden="1" customWidth="1"/>
    <col min="4" max="5" width="9" bestFit="1" customWidth="1"/>
    <col min="6" max="9" width="9.453125" bestFit="1" customWidth="1"/>
    <col min="10" max="12" width="12.1796875" customWidth="1"/>
    <col min="13" max="13" width="11.54296875" customWidth="1"/>
    <col min="14" max="16" width="9.453125" bestFit="1" customWidth="1"/>
    <col min="17" max="17" width="10.08984375" customWidth="1"/>
  </cols>
  <sheetData>
    <row r="1" spans="1:20" x14ac:dyDescent="0.35">
      <c r="R1" t="s">
        <v>104</v>
      </c>
    </row>
    <row r="2" spans="1:20" x14ac:dyDescent="0.35">
      <c r="A2" s="30"/>
      <c r="B2" s="7" t="s">
        <v>298</v>
      </c>
      <c r="C2" s="30"/>
      <c r="D2" s="30"/>
      <c r="E2" s="30"/>
      <c r="F2" s="30"/>
      <c r="G2" s="30"/>
      <c r="Q2" s="4" t="s">
        <v>294</v>
      </c>
      <c r="R2" s="23">
        <v>1</v>
      </c>
    </row>
    <row r="3" spans="1:20" x14ac:dyDescent="0.35">
      <c r="Q3" s="20"/>
      <c r="R3" s="20"/>
      <c r="T3" s="138" t="s">
        <v>133</v>
      </c>
    </row>
    <row r="4" spans="1:20" x14ac:dyDescent="0.35">
      <c r="Q4" s="4" t="s">
        <v>295</v>
      </c>
      <c r="R4" s="23">
        <v>1</v>
      </c>
      <c r="T4" s="138" t="s">
        <v>134</v>
      </c>
    </row>
    <row r="5" spans="1:20" x14ac:dyDescent="0.35">
      <c r="C5" t="s">
        <v>105</v>
      </c>
      <c r="T5" s="138" t="s">
        <v>135</v>
      </c>
    </row>
    <row r="6" spans="1:20" ht="21" x14ac:dyDescent="0.5">
      <c r="B6" s="102"/>
      <c r="C6" s="103">
        <v>2021</v>
      </c>
      <c r="D6" s="194">
        <v>2022</v>
      </c>
      <c r="E6" s="194">
        <f t="shared" ref="E6:Q6" si="0">D6+1</f>
        <v>2023</v>
      </c>
      <c r="F6" s="194">
        <f t="shared" si="0"/>
        <v>2024</v>
      </c>
      <c r="G6" s="194">
        <f t="shared" si="0"/>
        <v>2025</v>
      </c>
      <c r="H6" s="194">
        <f t="shared" si="0"/>
        <v>2026</v>
      </c>
      <c r="I6" s="194">
        <f t="shared" si="0"/>
        <v>2027</v>
      </c>
      <c r="J6" s="194">
        <f t="shared" si="0"/>
        <v>2028</v>
      </c>
      <c r="K6" s="194">
        <f t="shared" si="0"/>
        <v>2029</v>
      </c>
      <c r="L6" s="195">
        <f t="shared" si="0"/>
        <v>2030</v>
      </c>
      <c r="M6" s="194">
        <f t="shared" si="0"/>
        <v>2031</v>
      </c>
      <c r="N6" s="194">
        <f t="shared" si="0"/>
        <v>2032</v>
      </c>
      <c r="O6" s="194">
        <f t="shared" si="0"/>
        <v>2033</v>
      </c>
      <c r="P6" s="194">
        <f t="shared" si="0"/>
        <v>2034</v>
      </c>
      <c r="Q6" s="194">
        <f t="shared" si="0"/>
        <v>2035</v>
      </c>
      <c r="R6" s="112" t="s">
        <v>96</v>
      </c>
      <c r="T6" s="138" t="s">
        <v>136</v>
      </c>
    </row>
    <row r="7" spans="1:20" ht="15.5" x14ac:dyDescent="0.35">
      <c r="A7" s="116" t="s">
        <v>132</v>
      </c>
      <c r="B7" s="117" t="s">
        <v>107</v>
      </c>
      <c r="C7" s="117"/>
      <c r="D7" s="196"/>
      <c r="E7" s="196"/>
      <c r="F7" s="196"/>
      <c r="G7" s="196"/>
      <c r="H7" s="196"/>
      <c r="I7" s="196"/>
      <c r="J7" s="196"/>
      <c r="K7" s="196"/>
      <c r="L7" s="196"/>
      <c r="M7" s="196"/>
      <c r="N7" s="196"/>
      <c r="O7" s="196"/>
      <c r="P7" s="196"/>
      <c r="Q7" s="196"/>
      <c r="R7" s="119"/>
    </row>
    <row r="8" spans="1:20" ht="15.5" x14ac:dyDescent="0.35">
      <c r="A8" s="116"/>
      <c r="B8" s="120" t="s">
        <v>108</v>
      </c>
      <c r="C8" s="120"/>
      <c r="D8" s="182"/>
      <c r="E8" s="182"/>
      <c r="F8" s="182"/>
      <c r="G8" s="182"/>
      <c r="H8" s="182"/>
      <c r="I8" s="182"/>
      <c r="J8" s="182"/>
      <c r="K8" s="182"/>
      <c r="L8" s="182"/>
      <c r="M8" s="182"/>
      <c r="N8" s="182"/>
      <c r="O8" s="182"/>
      <c r="P8" s="182"/>
      <c r="Q8" s="182"/>
      <c r="R8" s="115"/>
    </row>
    <row r="9" spans="1:20" ht="15.5" x14ac:dyDescent="0.35">
      <c r="A9" s="116"/>
      <c r="B9" s="129" t="s">
        <v>350</v>
      </c>
      <c r="C9" s="129"/>
      <c r="D9" s="131"/>
      <c r="E9" s="131"/>
      <c r="F9" s="131"/>
      <c r="G9" s="131"/>
      <c r="H9" s="131"/>
      <c r="I9" s="131"/>
      <c r="J9" s="131"/>
      <c r="K9" s="131"/>
      <c r="L9" s="131"/>
      <c r="M9" s="131"/>
      <c r="N9" s="131"/>
      <c r="O9" s="131"/>
      <c r="P9" s="131"/>
      <c r="Q9" s="131"/>
      <c r="R9" s="130"/>
    </row>
    <row r="10" spans="1:20" ht="15.5" x14ac:dyDescent="0.35">
      <c r="A10" s="121">
        <f>MAX(Assumptions!C$45:C$47)</f>
        <v>1</v>
      </c>
      <c r="B10" s="111">
        <v>12</v>
      </c>
      <c r="C10" s="108" cm="1">
        <f t="array" aca="1" ref="C10" ca="1">INDIRECT("R[36]C["&amp;$A$10&amp;"]",FALSE)</f>
        <v>42.769230769230774</v>
      </c>
      <c r="D10" s="108" cm="1">
        <f t="array" aca="1" ref="D10" ca="1">INDIRECT("R[36]C["&amp;$A$10&amp;"]",FALSE)</f>
        <v>261.79487179487182</v>
      </c>
      <c r="E10" s="108" cm="1">
        <f t="array" aca="1" ref="E10" ca="1">INDIRECT("R[36]C["&amp;$A$10&amp;"]",FALSE)</f>
        <v>187.5128205128205</v>
      </c>
      <c r="F10" s="108" cm="1">
        <f t="array" aca="1" ref="F10" ca="1">INDIRECT("R[36]C["&amp;$A$10&amp;"]",FALSE)</f>
        <v>60.666666666666664</v>
      </c>
      <c r="G10" s="108" cm="1">
        <f t="array" aca="1" ref="G10" ca="1">INDIRECT("R[36]C["&amp;$A$10&amp;"]",FALSE)</f>
        <v>0</v>
      </c>
      <c r="H10" s="108" cm="1">
        <f t="array" aca="1" ref="H10" ca="1">INDIRECT("R[36]C["&amp;$A$10&amp;"]",FALSE)</f>
        <v>0</v>
      </c>
      <c r="I10" s="108" cm="1">
        <f t="array" aca="1" ref="I10" ca="1">INDIRECT("R[36]C["&amp;$A$10&amp;"]",FALSE)</f>
        <v>0</v>
      </c>
      <c r="J10" s="108" cm="1">
        <f t="array" aca="1" ref="J10" ca="1">INDIRECT("R[36]C["&amp;$A$10&amp;"]",FALSE)</f>
        <v>0</v>
      </c>
      <c r="K10" s="108" cm="1">
        <f t="array" aca="1" ref="K10" ca="1">INDIRECT("R[36]C["&amp;$A$10&amp;"]",FALSE)</f>
        <v>0</v>
      </c>
      <c r="L10" s="108" cm="1">
        <f t="array" aca="1" ref="L10" ca="1">INDIRECT("R[36]C["&amp;$A$10&amp;"]",FALSE)</f>
        <v>0</v>
      </c>
      <c r="M10" s="108" cm="1">
        <f t="array" aca="1" ref="M10" ca="1">INDIRECT("R[36]C["&amp;$A$10&amp;"]",FALSE)</f>
        <v>0</v>
      </c>
      <c r="N10" s="108" cm="1">
        <f t="array" aca="1" ref="N10" ca="1">INDIRECT("R[36]C["&amp;$A$10&amp;"]",FALSE)</f>
        <v>0</v>
      </c>
      <c r="O10" s="108" cm="1">
        <f t="array" aca="1" ref="O10" ca="1">INDIRECT("R[36]C["&amp;$A$10&amp;"]",FALSE)</f>
        <v>0</v>
      </c>
      <c r="P10" s="108"/>
      <c r="Q10" s="108"/>
      <c r="R10" s="113">
        <f ca="1">SUM(C10:P10)</f>
        <v>552.74358974358972</v>
      </c>
    </row>
    <row r="11" spans="1:20" ht="15.5" x14ac:dyDescent="0.35">
      <c r="A11" s="121">
        <f>MAX(Assumptions!C$45:C$47)</f>
        <v>1</v>
      </c>
      <c r="B11" s="111">
        <v>15</v>
      </c>
      <c r="C11" s="108" cm="1">
        <f t="array" aca="1" ref="C11" ca="1">INDIRECT("R[36]C["&amp;$A$11&amp;"]",FALSE)</f>
        <v>0</v>
      </c>
      <c r="D11" s="108" cm="1">
        <f t="array" aca="1" ref="D11" ca="1">INDIRECT("R[36]C["&amp;$A$11&amp;"]",FALSE)</f>
        <v>76.52100840336135</v>
      </c>
      <c r="E11" s="108" cm="1">
        <f t="array" aca="1" ref="E11" ca="1">INDIRECT("R[36]C["&amp;$A$11&amp;"]",FALSE)</f>
        <v>102.33333333333334</v>
      </c>
      <c r="F11" s="108" cm="1">
        <f t="array" aca="1" ref="F11" ca="1">INDIRECT("R[36]C["&amp;$A$11&amp;"]",FALSE)</f>
        <v>183.06666666666666</v>
      </c>
      <c r="G11" s="108" cm="1">
        <f t="array" aca="1" ref="G11" ca="1">INDIRECT("R[36]C["&amp;$A$11&amp;"]",FALSE)</f>
        <v>193.64</v>
      </c>
      <c r="H11" s="108" cm="1">
        <f t="array" aca="1" ref="H11" ca="1">INDIRECT("R[36]C["&amp;$A$11&amp;"]",FALSE)</f>
        <v>408.41126999157984</v>
      </c>
      <c r="I11" s="108" cm="1">
        <f t="array" aca="1" ref="I11" ca="1">INDIRECT("R[36]C["&amp;$A$11&amp;"]",FALSE)</f>
        <v>219.61275259631313</v>
      </c>
      <c r="J11" s="108" cm="1">
        <f t="array" aca="1" ref="J11" ca="1">INDIRECT("R[36]C["&amp;$A$11&amp;"]",FALSE)</f>
        <v>381.94193194134141</v>
      </c>
      <c r="K11" s="108" cm="1">
        <f t="array" aca="1" ref="K11" ca="1">INDIRECT("R[36]C["&amp;$A$11&amp;"]",FALSE)</f>
        <v>0</v>
      </c>
      <c r="L11" s="108" cm="1">
        <f t="array" aca="1" ref="L11" ca="1">INDIRECT("R[36]C["&amp;$A$11&amp;"]",FALSE)</f>
        <v>0</v>
      </c>
      <c r="M11" s="108" cm="1">
        <f t="array" aca="1" ref="M11" ca="1">INDIRECT("R[36]C["&amp;$A$11&amp;"]",FALSE)</f>
        <v>0</v>
      </c>
      <c r="N11" s="108" cm="1">
        <f t="array" aca="1" ref="N11" ca="1">INDIRECT("R[36]C["&amp;$A$11&amp;"]",FALSE)</f>
        <v>0</v>
      </c>
      <c r="O11" s="108" cm="1">
        <f t="array" aca="1" ref="O11" ca="1">INDIRECT("R[36]C["&amp;$A$11&amp;"]",FALSE)</f>
        <v>0</v>
      </c>
      <c r="P11" s="108"/>
      <c r="Q11" s="108"/>
      <c r="R11" s="113">
        <f t="shared" ref="R11:R12" ca="1" si="1">SUM(C11:P11)</f>
        <v>1565.5269629325958</v>
      </c>
    </row>
    <row r="12" spans="1:20" ht="15.5" x14ac:dyDescent="0.35">
      <c r="A12" s="121">
        <f>MAX(Assumptions!C$45:C$47)</f>
        <v>1</v>
      </c>
      <c r="B12" s="111">
        <v>18</v>
      </c>
      <c r="C12" s="108" cm="1">
        <f t="array" aca="1" ref="C12" ca="1">INDIRECT("R[36]C["&amp;$A$12&amp;"]",FALSE)</f>
        <v>0</v>
      </c>
      <c r="D12" s="108" cm="1">
        <f t="array" aca="1" ref="D12" ca="1">INDIRECT("R[36]C["&amp;$A$12&amp;"]",FALSE)</f>
        <v>0</v>
      </c>
      <c r="E12" s="108" cm="1">
        <f t="array" aca="1" ref="E12" ca="1">INDIRECT("R[36]C["&amp;$A$12&amp;"]",FALSE)</f>
        <v>0</v>
      </c>
      <c r="F12" s="108" cm="1">
        <f t="array" aca="1" ref="F12" ca="1">INDIRECT("R[36]C["&amp;$A$12&amp;"]",FALSE)</f>
        <v>0</v>
      </c>
      <c r="G12" s="108" cm="1">
        <f t="array" aca="1" ref="G12" ca="1">INDIRECT("R[36]C["&amp;$A$12&amp;"]",FALSE)</f>
        <v>0</v>
      </c>
      <c r="H12" s="108" cm="1">
        <f t="array" aca="1" ref="H12" ca="1">INDIRECT("R[36]C["&amp;$A$12&amp;"]",FALSE)</f>
        <v>0</v>
      </c>
      <c r="I12" s="108" cm="1">
        <f t="array" aca="1" ref="I12" ca="1">INDIRECT("R[36]C["&amp;$A$12&amp;"]",FALSE)</f>
        <v>0</v>
      </c>
      <c r="J12" s="108" cm="1">
        <f t="array" aca="1" ref="J12" ca="1">INDIRECT("R[36]C["&amp;$A$12&amp;"]",FALSE)</f>
        <v>0</v>
      </c>
      <c r="K12" s="108" cm="1">
        <f t="array" aca="1" ref="K12" ca="1">INDIRECT("R[36]C["&amp;$A$12&amp;"]",FALSE)</f>
        <v>144.53977773978585</v>
      </c>
      <c r="L12" s="108" cm="1">
        <f t="array" aca="1" ref="L12" ca="1">INDIRECT("R[36]C["&amp;$A$12&amp;"]",FALSE)</f>
        <v>217.27790874381157</v>
      </c>
      <c r="M12" s="108" cm="1">
        <f t="array" aca="1" ref="M12" ca="1">INDIRECT("R[36]C["&amp;$A$12&amp;"]",FALSE)</f>
        <v>81.493553167490219</v>
      </c>
      <c r="N12" s="108" cm="1">
        <f t="array" aca="1" ref="N12" ca="1">INDIRECT("R[36]C["&amp;$A$12&amp;"]",FALSE)</f>
        <v>80.082867813976321</v>
      </c>
      <c r="O12" s="108" cm="1">
        <f t="array" aca="1" ref="O12" ca="1">INDIRECT("R[36]C["&amp;$A$12&amp;"]",FALSE)</f>
        <v>51.333333333333336</v>
      </c>
      <c r="P12" s="108"/>
      <c r="Q12" s="108"/>
      <c r="R12" s="113">
        <f t="shared" ca="1" si="1"/>
        <v>574.72744079839731</v>
      </c>
      <c r="S12" t="s">
        <v>91</v>
      </c>
    </row>
    <row r="13" spans="1:20" ht="15.5" x14ac:dyDescent="0.35">
      <c r="A13" s="116"/>
      <c r="B13" s="129" t="s">
        <v>351</v>
      </c>
      <c r="C13" s="129"/>
      <c r="D13" s="131"/>
      <c r="E13" s="131"/>
      <c r="F13" s="131"/>
      <c r="G13" s="131"/>
      <c r="H13" s="131"/>
      <c r="I13" s="131"/>
      <c r="J13" s="131"/>
      <c r="K13" s="131"/>
      <c r="L13" s="131"/>
      <c r="M13" s="131"/>
      <c r="N13" s="131"/>
      <c r="O13" s="131"/>
      <c r="P13" s="131"/>
      <c r="Q13" s="131"/>
      <c r="R13" s="130"/>
    </row>
    <row r="14" spans="1:20" ht="15.5" x14ac:dyDescent="0.35">
      <c r="A14" s="121">
        <f>Assumptions!C$45</f>
        <v>1</v>
      </c>
      <c r="B14" s="111">
        <v>12</v>
      </c>
      <c r="C14" s="108" cm="1">
        <f t="array" aca="1" ref="C14" ca="1">INDIRECT("R[36]C["&amp;$A$14&amp;"]",FALSE)</f>
        <v>128.30769230769232</v>
      </c>
      <c r="D14" s="108" cm="1">
        <f t="array" aca="1" ref="D14" ca="1">INDIRECT("R[36]C["&amp;$A$14&amp;"]",FALSE)</f>
        <v>785.38461538461547</v>
      </c>
      <c r="E14" s="108" cm="1">
        <f t="array" aca="1" ref="E14" ca="1">INDIRECT("R[36]C["&amp;$A$14&amp;"]",FALSE)</f>
        <v>562.53846153846143</v>
      </c>
      <c r="F14" s="108" cm="1">
        <f t="array" aca="1" ref="F14" ca="1">INDIRECT("R[36]C["&amp;$A$14&amp;"]",FALSE)</f>
        <v>182</v>
      </c>
      <c r="G14" s="108" cm="1">
        <f t="array" aca="1" ref="G14" ca="1">INDIRECT("R[36]C["&amp;$A$14&amp;"]",FALSE)</f>
        <v>0</v>
      </c>
      <c r="H14" s="108" cm="1">
        <f t="array" aca="1" ref="H14" ca="1">INDIRECT("R[36]C["&amp;$A$14&amp;"]",FALSE)</f>
        <v>0</v>
      </c>
      <c r="I14" s="108" cm="1">
        <f t="array" aca="1" ref="I14" ca="1">INDIRECT("R[36]C["&amp;$A$14&amp;"]",FALSE)</f>
        <v>0</v>
      </c>
      <c r="J14" s="108" cm="1">
        <f t="array" aca="1" ref="J14" ca="1">INDIRECT("R[36]C["&amp;$A$14&amp;"]",FALSE)</f>
        <v>0</v>
      </c>
      <c r="K14" s="108" cm="1">
        <f t="array" aca="1" ref="K14" ca="1">INDIRECT("R[36]C["&amp;$A$14&amp;"]",FALSE)</f>
        <v>0</v>
      </c>
      <c r="L14" s="108" cm="1">
        <f t="array" aca="1" ref="L14" ca="1">INDIRECT("R[36]C["&amp;$A$14&amp;"]",FALSE)</f>
        <v>0</v>
      </c>
      <c r="M14" s="108" cm="1">
        <f t="array" aca="1" ref="M14" ca="1">INDIRECT("R[36]C["&amp;$A$14&amp;"]",FALSE)</f>
        <v>0</v>
      </c>
      <c r="N14" s="108" cm="1">
        <f t="array" aca="1" ref="N14" ca="1">INDIRECT("R[36]C["&amp;$A$14&amp;"]",FALSE)</f>
        <v>0</v>
      </c>
      <c r="O14" s="108" cm="1">
        <f t="array" aca="1" ref="O14" ca="1">INDIRECT("R[36]C["&amp;$A$14&amp;"]",FALSE)</f>
        <v>0</v>
      </c>
      <c r="P14" s="111"/>
      <c r="Q14" s="111"/>
      <c r="R14" s="113">
        <f ca="1">SUM(C14:P14)</f>
        <v>1658.2307692307693</v>
      </c>
    </row>
    <row r="15" spans="1:20" ht="15.5" x14ac:dyDescent="0.35">
      <c r="A15" s="121">
        <f>Assumptions!C$45</f>
        <v>1</v>
      </c>
      <c r="B15" s="111">
        <v>15</v>
      </c>
      <c r="C15" s="108" cm="1">
        <f t="array" aca="1" ref="C15" ca="1">INDIRECT("R[36]C["&amp;$A$15&amp;"]",FALSE)</f>
        <v>0</v>
      </c>
      <c r="D15" s="108" cm="1">
        <f t="array" aca="1" ref="D15" ca="1">INDIRECT("R[36]C["&amp;$A$15&amp;"]",FALSE)</f>
        <v>229.56302521008405</v>
      </c>
      <c r="E15" s="108" cm="1">
        <f t="array" aca="1" ref="E15" ca="1">INDIRECT("R[36]C["&amp;$A$15&amp;"]",FALSE)</f>
        <v>307</v>
      </c>
      <c r="F15" s="108" cm="1">
        <f t="array" aca="1" ref="F15" ca="1">INDIRECT("R[36]C["&amp;$A$15&amp;"]",FALSE)</f>
        <v>549.20000000000005</v>
      </c>
      <c r="G15" s="108" cm="1">
        <f t="array" aca="1" ref="G15" ca="1">INDIRECT("R[36]C["&amp;$A$15&amp;"]",FALSE)</f>
        <v>580.91999999999996</v>
      </c>
      <c r="H15" s="108" cm="1">
        <f t="array" aca="1" ref="H15" ca="1">INDIRECT("R[36]C["&amp;$A$15&amp;"]",FALSE)</f>
        <v>1225.2338099747394</v>
      </c>
      <c r="I15" s="108" cm="1">
        <f t="array" aca="1" ref="I15" ca="1">INDIRECT("R[36]C["&amp;$A$15&amp;"]",FALSE)</f>
        <v>658.83825778893936</v>
      </c>
      <c r="J15" s="108" cm="1">
        <f t="array" aca="1" ref="J15" ca="1">INDIRECT("R[36]C["&amp;$A$15&amp;"]",FALSE)</f>
        <v>1145.8257958240242</v>
      </c>
      <c r="K15" s="108" cm="1">
        <f t="array" aca="1" ref="K15" ca="1">INDIRECT("R[36]C["&amp;$A$15&amp;"]",FALSE)</f>
        <v>0</v>
      </c>
      <c r="L15" s="108" cm="1">
        <f t="array" aca="1" ref="L15" ca="1">INDIRECT("R[36]C["&amp;$A$15&amp;"]",FALSE)</f>
        <v>0</v>
      </c>
      <c r="M15" s="108" cm="1">
        <f t="array" aca="1" ref="M15" ca="1">INDIRECT("R[36]C["&amp;$A$15&amp;"]",FALSE)</f>
        <v>0</v>
      </c>
      <c r="N15" s="108" cm="1">
        <f t="array" aca="1" ref="N15" ca="1">INDIRECT("R[36]C["&amp;$A$15&amp;"]",FALSE)</f>
        <v>0</v>
      </c>
      <c r="O15" s="108" cm="1">
        <f t="array" aca="1" ref="O15" ca="1">INDIRECT("R[36]C["&amp;$A$15&amp;"]",FALSE)</f>
        <v>0</v>
      </c>
      <c r="P15" s="111"/>
      <c r="Q15" s="111"/>
      <c r="R15" s="113">
        <f t="shared" ref="R15:R16" ca="1" si="2">SUM(C15:P15)</f>
        <v>4696.5808887977873</v>
      </c>
    </row>
    <row r="16" spans="1:20" ht="15.5" x14ac:dyDescent="0.35">
      <c r="A16" s="121">
        <f>Assumptions!C$45</f>
        <v>1</v>
      </c>
      <c r="B16" s="111">
        <v>18</v>
      </c>
      <c r="C16" s="108" cm="1">
        <f t="array" aca="1" ref="C16" ca="1">INDIRECT("R[36]C["&amp;$A$16&amp;"]",FALSE)</f>
        <v>0</v>
      </c>
      <c r="D16" s="108" cm="1">
        <f t="array" aca="1" ref="D16" ca="1">INDIRECT("R[36]C["&amp;$A$16&amp;"]",FALSE)</f>
        <v>0</v>
      </c>
      <c r="E16" s="108" cm="1">
        <f t="array" aca="1" ref="E16" ca="1">INDIRECT("R[36]C["&amp;$A$16&amp;"]",FALSE)</f>
        <v>0</v>
      </c>
      <c r="F16" s="108" cm="1">
        <f t="array" aca="1" ref="F16" ca="1">INDIRECT("R[36]C["&amp;$A$16&amp;"]",FALSE)</f>
        <v>0</v>
      </c>
      <c r="G16" s="108" cm="1">
        <f t="array" aca="1" ref="G16" ca="1">INDIRECT("R[36]C["&amp;$A$16&amp;"]",FALSE)</f>
        <v>0</v>
      </c>
      <c r="H16" s="108" cm="1">
        <f t="array" aca="1" ref="H16" ca="1">INDIRECT("R[36]C["&amp;$A$16&amp;"]",FALSE)</f>
        <v>0</v>
      </c>
      <c r="I16" s="108" cm="1">
        <f t="array" aca="1" ref="I16" ca="1">INDIRECT("R[36]C["&amp;$A$16&amp;"]",FALSE)</f>
        <v>0</v>
      </c>
      <c r="J16" s="108" cm="1">
        <f t="array" aca="1" ref="J16" ca="1">INDIRECT("R[36]C["&amp;$A$16&amp;"]",FALSE)</f>
        <v>0</v>
      </c>
      <c r="K16" s="108" cm="1">
        <f t="array" aca="1" ref="K16" ca="1">INDIRECT("R[36]C["&amp;$A$16&amp;"]",FALSE)</f>
        <v>433.61933321935754</v>
      </c>
      <c r="L16" s="108" cm="1">
        <f t="array" aca="1" ref="L16" ca="1">INDIRECT("R[36]C["&amp;$A$16&amp;"]",FALSE)</f>
        <v>651.83372623143464</v>
      </c>
      <c r="M16" s="108" cm="1">
        <f t="array" aca="1" ref="M16" ca="1">INDIRECT("R[36]C["&amp;$A$16&amp;"]",FALSE)</f>
        <v>244.48065950247064</v>
      </c>
      <c r="N16" s="108" cm="1">
        <f t="array" aca="1" ref="N16" ca="1">INDIRECT("R[36]C["&amp;$A$16&amp;"]",FALSE)</f>
        <v>240.24860344192896</v>
      </c>
      <c r="O16" s="108" cm="1">
        <f t="array" aca="1" ref="O16" ca="1">INDIRECT("R[36]C["&amp;$A$16&amp;"]",FALSE)</f>
        <v>154</v>
      </c>
      <c r="P16" s="111"/>
      <c r="Q16" s="111"/>
      <c r="R16" s="113">
        <f t="shared" ca="1" si="2"/>
        <v>1724.1823223951917</v>
      </c>
    </row>
    <row r="17" spans="1:18" ht="15.5" x14ac:dyDescent="0.35">
      <c r="A17" s="116"/>
      <c r="B17" s="129" t="s">
        <v>114</v>
      </c>
      <c r="C17" s="129"/>
      <c r="D17" s="131"/>
      <c r="E17" s="131"/>
      <c r="F17" s="131"/>
      <c r="G17" s="131"/>
      <c r="H17" s="131"/>
      <c r="I17" s="131"/>
      <c r="J17" s="131"/>
      <c r="K17" s="131"/>
      <c r="L17" s="131"/>
      <c r="M17" s="131"/>
      <c r="N17" s="131"/>
      <c r="O17" s="131"/>
      <c r="P17" s="131"/>
      <c r="Q17" s="131"/>
      <c r="R17" s="130"/>
    </row>
    <row r="18" spans="1:18" ht="15.5" x14ac:dyDescent="0.35">
      <c r="A18" s="121">
        <f>Assumptions!C46</f>
        <v>1</v>
      </c>
      <c r="B18" s="111">
        <v>12</v>
      </c>
      <c r="C18" s="108" cm="1">
        <f t="array" aca="1" ref="C18" ca="1">INDIRECT("R[36]C["&amp;$A$18&amp;"]",FALSE)</f>
        <v>42.769230769230774</v>
      </c>
      <c r="D18" s="108" cm="1">
        <f t="array" aca="1" ref="D18" ca="1">INDIRECT("R[36]C["&amp;$A$18&amp;"]",FALSE)</f>
        <v>261.79487179487182</v>
      </c>
      <c r="E18" s="108" cm="1">
        <f t="array" aca="1" ref="E18" ca="1">INDIRECT("R[36]C["&amp;$A$18&amp;"]",FALSE)</f>
        <v>187.5128205128205</v>
      </c>
      <c r="F18" s="108" cm="1">
        <f t="array" aca="1" ref="F18" ca="1">INDIRECT("R[36]C["&amp;$A$18&amp;"]",FALSE)</f>
        <v>60.666666666666664</v>
      </c>
      <c r="G18" s="108" cm="1">
        <f t="array" aca="1" ref="G18" ca="1">INDIRECT("R[36]C["&amp;$A$18&amp;"]",FALSE)</f>
        <v>0</v>
      </c>
      <c r="H18" s="108" cm="1">
        <f t="array" aca="1" ref="H18" ca="1">INDIRECT("R[36]C["&amp;$A$18&amp;"]",FALSE)</f>
        <v>0</v>
      </c>
      <c r="I18" s="108" cm="1">
        <f t="array" aca="1" ref="I18" ca="1">INDIRECT("R[36]C["&amp;$A$18&amp;"]",FALSE)</f>
        <v>0</v>
      </c>
      <c r="J18" s="108" cm="1">
        <f t="array" aca="1" ref="J18" ca="1">INDIRECT("R[36]C["&amp;$A$18&amp;"]",FALSE)</f>
        <v>0</v>
      </c>
      <c r="K18" s="108" cm="1">
        <f t="array" aca="1" ref="K18" ca="1">INDIRECT("R[36]C["&amp;$A$18&amp;"]",FALSE)</f>
        <v>0</v>
      </c>
      <c r="L18" s="108" cm="1">
        <f t="array" aca="1" ref="L18" ca="1">INDIRECT("R[36]C["&amp;$A$18&amp;"]",FALSE)</f>
        <v>0</v>
      </c>
      <c r="M18" s="108" cm="1">
        <f t="array" aca="1" ref="M18" ca="1">INDIRECT("R[36]C["&amp;$A$18&amp;"]",FALSE)</f>
        <v>0</v>
      </c>
      <c r="N18" s="108" cm="1">
        <f t="array" aca="1" ref="N18" ca="1">INDIRECT("R[36]C["&amp;$A$18&amp;"]",FALSE)</f>
        <v>0</v>
      </c>
      <c r="O18" s="108" cm="1">
        <f t="array" aca="1" ref="O18" ca="1">INDIRECT("R[36]C["&amp;$A$18&amp;"]",FALSE)</f>
        <v>0</v>
      </c>
      <c r="P18" s="111"/>
      <c r="Q18" s="111"/>
      <c r="R18" s="113">
        <f ca="1">SUM(C18:P18)</f>
        <v>552.74358974358972</v>
      </c>
    </row>
    <row r="19" spans="1:18" ht="15.5" x14ac:dyDescent="0.35">
      <c r="A19" s="121">
        <f>A18</f>
        <v>1</v>
      </c>
      <c r="B19" s="111">
        <v>15</v>
      </c>
      <c r="C19" s="108" cm="1">
        <f t="array" aca="1" ref="C19" ca="1">INDIRECT("R[36]C["&amp;$A$19&amp;"]",FALSE)</f>
        <v>0</v>
      </c>
      <c r="D19" s="108" cm="1">
        <f t="array" aca="1" ref="D19" ca="1">INDIRECT("R[36]C["&amp;$A$19&amp;"]",FALSE)</f>
        <v>76.52100840336135</v>
      </c>
      <c r="E19" s="108" cm="1">
        <f t="array" aca="1" ref="E19" ca="1">INDIRECT("R[36]C["&amp;$A$19&amp;"]",FALSE)</f>
        <v>102.33333333333334</v>
      </c>
      <c r="F19" s="108" cm="1">
        <f t="array" aca="1" ref="F19" ca="1">INDIRECT("R[36]C["&amp;$A$19&amp;"]",FALSE)</f>
        <v>183.06666666666666</v>
      </c>
      <c r="G19" s="108" cm="1">
        <f t="array" aca="1" ref="G19" ca="1">INDIRECT("R[36]C["&amp;$A$19&amp;"]",FALSE)</f>
        <v>193.64</v>
      </c>
      <c r="H19" s="108" cm="1">
        <f t="array" aca="1" ref="H19" ca="1">INDIRECT("R[36]C["&amp;$A$19&amp;"]",FALSE)</f>
        <v>408.41126999157984</v>
      </c>
      <c r="I19" s="108" cm="1">
        <f t="array" aca="1" ref="I19" ca="1">INDIRECT("R[36]C["&amp;$A$19&amp;"]",FALSE)</f>
        <v>219.61275259631313</v>
      </c>
      <c r="J19" s="108" cm="1">
        <f t="array" aca="1" ref="J19" ca="1">INDIRECT("R[36]C["&amp;$A$19&amp;"]",FALSE)</f>
        <v>381.94193194134141</v>
      </c>
      <c r="K19" s="108" cm="1">
        <f t="array" aca="1" ref="K19" ca="1">INDIRECT("R[36]C["&amp;$A$19&amp;"]",FALSE)</f>
        <v>0</v>
      </c>
      <c r="L19" s="108" cm="1">
        <f t="array" aca="1" ref="L19" ca="1">INDIRECT("R[36]C["&amp;$A$19&amp;"]",FALSE)</f>
        <v>0</v>
      </c>
      <c r="M19" s="108" cm="1">
        <f t="array" aca="1" ref="M19" ca="1">INDIRECT("R[36]C["&amp;$A$19&amp;"]",FALSE)</f>
        <v>0</v>
      </c>
      <c r="N19" s="108" cm="1">
        <f t="array" aca="1" ref="N19" ca="1">INDIRECT("R[36]C["&amp;$A$19&amp;"]",FALSE)</f>
        <v>0</v>
      </c>
      <c r="O19" s="108" cm="1">
        <f t="array" aca="1" ref="O19" ca="1">INDIRECT("R[36]C["&amp;$A$19&amp;"]",FALSE)</f>
        <v>0</v>
      </c>
      <c r="P19" s="111"/>
      <c r="Q19" s="111"/>
      <c r="R19" s="113">
        <f t="shared" ref="R19:R20" ca="1" si="3">SUM(C19:P19)</f>
        <v>1565.5269629325958</v>
      </c>
    </row>
    <row r="20" spans="1:18" ht="15.5" x14ac:dyDescent="0.35">
      <c r="A20" s="121">
        <f>A18</f>
        <v>1</v>
      </c>
      <c r="B20" s="111">
        <v>18</v>
      </c>
      <c r="C20" s="108" cm="1">
        <f t="array" aca="1" ref="C20" ca="1">INDIRECT("R[36]C["&amp;$A$20&amp;"]",FALSE)</f>
        <v>0</v>
      </c>
      <c r="D20" s="108" cm="1">
        <f t="array" aca="1" ref="D20" ca="1">INDIRECT("R[36]C["&amp;$A$20&amp;"]",FALSE)</f>
        <v>0</v>
      </c>
      <c r="E20" s="108" cm="1">
        <f t="array" aca="1" ref="E20" ca="1">INDIRECT("R[36]C["&amp;$A$20&amp;"]",FALSE)</f>
        <v>0</v>
      </c>
      <c r="F20" s="108" cm="1">
        <f t="array" aca="1" ref="F20" ca="1">INDIRECT("R[36]C["&amp;$A$20&amp;"]",FALSE)</f>
        <v>0</v>
      </c>
      <c r="G20" s="108" cm="1">
        <f t="array" aca="1" ref="G20" ca="1">INDIRECT("R[36]C["&amp;$A$20&amp;"]",FALSE)</f>
        <v>0</v>
      </c>
      <c r="H20" s="108" cm="1">
        <f t="array" aca="1" ref="H20" ca="1">INDIRECT("R[36]C["&amp;$A$20&amp;"]",FALSE)</f>
        <v>0</v>
      </c>
      <c r="I20" s="108" cm="1">
        <f t="array" aca="1" ref="I20" ca="1">INDIRECT("R[36]C["&amp;$A$20&amp;"]",FALSE)</f>
        <v>0</v>
      </c>
      <c r="J20" s="108" cm="1">
        <f t="array" aca="1" ref="J20" ca="1">INDIRECT("R[36]C["&amp;$A$20&amp;"]",FALSE)</f>
        <v>0</v>
      </c>
      <c r="K20" s="108" cm="1">
        <f t="array" aca="1" ref="K20" ca="1">INDIRECT("R[36]C["&amp;$A$20&amp;"]",FALSE)</f>
        <v>144.53977773978585</v>
      </c>
      <c r="L20" s="108" cm="1">
        <f t="array" aca="1" ref="L20" ca="1">INDIRECT("R[36]C["&amp;$A$20&amp;"]",FALSE)</f>
        <v>217.27790874381157</v>
      </c>
      <c r="M20" s="108" cm="1">
        <f t="array" aca="1" ref="M20" ca="1">INDIRECT("R[36]C["&amp;$A$20&amp;"]",FALSE)</f>
        <v>81.493553167490219</v>
      </c>
      <c r="N20" s="108" cm="1">
        <f t="array" aca="1" ref="N20" ca="1">INDIRECT("R[36]C["&amp;$A$20&amp;"]",FALSE)</f>
        <v>80.082867813976321</v>
      </c>
      <c r="O20" s="108" cm="1">
        <f t="array" aca="1" ref="O20" ca="1">INDIRECT("R[36]C["&amp;$A$20&amp;"]",FALSE)</f>
        <v>51.333333333333336</v>
      </c>
      <c r="P20" s="111"/>
      <c r="Q20" s="111"/>
      <c r="R20" s="113">
        <f t="shared" ca="1" si="3"/>
        <v>574.72744079839731</v>
      </c>
    </row>
    <row r="21" spans="1:18" ht="15.5" x14ac:dyDescent="0.35">
      <c r="A21" s="116"/>
      <c r="B21" s="129" t="s">
        <v>352</v>
      </c>
      <c r="C21" s="129"/>
      <c r="D21" s="131"/>
      <c r="E21" s="131"/>
      <c r="F21" s="131"/>
      <c r="G21" s="131"/>
      <c r="H21" s="131"/>
      <c r="I21" s="131"/>
      <c r="J21" s="131"/>
      <c r="K21" s="131"/>
      <c r="L21" s="131"/>
      <c r="M21" s="131"/>
      <c r="N21" s="131"/>
      <c r="O21" s="131"/>
      <c r="P21" s="131"/>
      <c r="Q21" s="131"/>
      <c r="R21" s="130"/>
    </row>
    <row r="22" spans="1:18" ht="15.5" x14ac:dyDescent="0.35">
      <c r="A22" s="121">
        <f>Assumptions!C47</f>
        <v>1</v>
      </c>
      <c r="B22" s="111">
        <v>12</v>
      </c>
      <c r="C22" s="108" cm="1">
        <f t="array" aca="1" ref="C22" ca="1">INDIRECT("R[36]C["&amp;$A$22&amp;"]",FALSE)</f>
        <v>42.769230769230774</v>
      </c>
      <c r="D22" s="108" cm="1">
        <f t="array" aca="1" ref="D22" ca="1">INDIRECT("R[36]C["&amp;$A$18&amp;"]",FALSE)</f>
        <v>261.79487179487182</v>
      </c>
      <c r="E22" s="108" cm="1">
        <f t="array" aca="1" ref="E22" ca="1">INDIRECT("R[36]C["&amp;$A$18&amp;"]",FALSE)</f>
        <v>187.5128205128205</v>
      </c>
      <c r="F22" s="108" cm="1">
        <f t="array" aca="1" ref="F22" ca="1">INDIRECT("R[36]C["&amp;$A$18&amp;"]",FALSE)</f>
        <v>60.666666666666664</v>
      </c>
      <c r="G22" s="108" cm="1">
        <f t="array" aca="1" ref="G22" ca="1">INDIRECT("R[36]C["&amp;$A$18&amp;"]",FALSE)</f>
        <v>0</v>
      </c>
      <c r="H22" s="108" cm="1">
        <f t="array" aca="1" ref="H22" ca="1">INDIRECT("R[36]C["&amp;$A$18&amp;"]",FALSE)</f>
        <v>0</v>
      </c>
      <c r="I22" s="108" cm="1">
        <f t="array" aca="1" ref="I22" ca="1">INDIRECT("R[36]C["&amp;$A$18&amp;"]",FALSE)</f>
        <v>0</v>
      </c>
      <c r="J22" s="108" cm="1">
        <f t="array" aca="1" ref="J22" ca="1">INDIRECT("R[36]C["&amp;$A$18&amp;"]",FALSE)</f>
        <v>0</v>
      </c>
      <c r="K22" s="108" cm="1">
        <f t="array" aca="1" ref="K22" ca="1">INDIRECT("R[36]C["&amp;$A$18&amp;"]",FALSE)</f>
        <v>0</v>
      </c>
      <c r="L22" s="108" cm="1">
        <f t="array" aca="1" ref="L22" ca="1">INDIRECT("R[36]C["&amp;$A$18&amp;"]",FALSE)</f>
        <v>0</v>
      </c>
      <c r="M22" s="108" cm="1">
        <f t="array" aca="1" ref="M22" ca="1">INDIRECT("R[36]C["&amp;$A$18&amp;"]",FALSE)</f>
        <v>0</v>
      </c>
      <c r="N22" s="108" cm="1">
        <f t="array" aca="1" ref="N22" ca="1">INDIRECT("R[36]C["&amp;$A$18&amp;"]",FALSE)</f>
        <v>0</v>
      </c>
      <c r="O22" s="108" cm="1">
        <f t="array" aca="1" ref="O22" ca="1">INDIRECT("R[36]C["&amp;$A$18&amp;"]",FALSE)</f>
        <v>0</v>
      </c>
      <c r="P22" s="111"/>
      <c r="Q22" s="111"/>
      <c r="R22" s="113">
        <f ca="1">SUM(C22:P22)</f>
        <v>552.74358974358972</v>
      </c>
    </row>
    <row r="23" spans="1:18" ht="15.5" x14ac:dyDescent="0.35">
      <c r="A23" s="121">
        <f>A22</f>
        <v>1</v>
      </c>
      <c r="B23" s="111">
        <v>15</v>
      </c>
      <c r="C23" s="108" cm="1">
        <f t="array" aca="1" ref="C23" ca="1">INDIRECT("R[36]C["&amp;$A$23&amp;"]",FALSE)</f>
        <v>0</v>
      </c>
      <c r="D23" s="108" cm="1">
        <f t="array" aca="1" ref="D23" ca="1">INDIRECT("R[36]C["&amp;$A$19&amp;"]",FALSE)</f>
        <v>76.52100840336135</v>
      </c>
      <c r="E23" s="108" cm="1">
        <f t="array" aca="1" ref="E23" ca="1">INDIRECT("R[36]C["&amp;$A$19&amp;"]",FALSE)</f>
        <v>102.33333333333334</v>
      </c>
      <c r="F23" s="108" cm="1">
        <f t="array" aca="1" ref="F23" ca="1">INDIRECT("R[36]C["&amp;$A$19&amp;"]",FALSE)</f>
        <v>183.06666666666666</v>
      </c>
      <c r="G23" s="108" cm="1">
        <f t="array" aca="1" ref="G23" ca="1">INDIRECT("R[36]C["&amp;$A$19&amp;"]",FALSE)</f>
        <v>193.64</v>
      </c>
      <c r="H23" s="108" cm="1">
        <f t="array" aca="1" ref="H23" ca="1">INDIRECT("R[36]C["&amp;$A$19&amp;"]",FALSE)</f>
        <v>408.41126999157984</v>
      </c>
      <c r="I23" s="108" cm="1">
        <f t="array" aca="1" ref="I23" ca="1">INDIRECT("R[36]C["&amp;$A$19&amp;"]",FALSE)</f>
        <v>219.61275259631313</v>
      </c>
      <c r="J23" s="108" cm="1">
        <f t="array" aca="1" ref="J23" ca="1">INDIRECT("R[36]C["&amp;$A$19&amp;"]",FALSE)</f>
        <v>381.94193194134141</v>
      </c>
      <c r="K23" s="108" cm="1">
        <f t="array" aca="1" ref="K23" ca="1">INDIRECT("R[36]C["&amp;$A$19&amp;"]",FALSE)</f>
        <v>0</v>
      </c>
      <c r="L23" s="108" cm="1">
        <f t="array" aca="1" ref="L23" ca="1">INDIRECT("R[36]C["&amp;$A$19&amp;"]",FALSE)</f>
        <v>0</v>
      </c>
      <c r="M23" s="108" cm="1">
        <f t="array" aca="1" ref="M23" ca="1">INDIRECT("R[36]C["&amp;$A$19&amp;"]",FALSE)</f>
        <v>0</v>
      </c>
      <c r="N23" s="108" cm="1">
        <f t="array" aca="1" ref="N23" ca="1">INDIRECT("R[36]C["&amp;$A$19&amp;"]",FALSE)</f>
        <v>0</v>
      </c>
      <c r="O23" s="108" cm="1">
        <f t="array" aca="1" ref="O23" ca="1">INDIRECT("R[36]C["&amp;$A$19&amp;"]",FALSE)</f>
        <v>0</v>
      </c>
      <c r="P23" s="111"/>
      <c r="Q23" s="111"/>
      <c r="R23" s="113">
        <f t="shared" ref="R23:R24" ca="1" si="4">SUM(C23:P23)</f>
        <v>1565.5269629325958</v>
      </c>
    </row>
    <row r="24" spans="1:18" ht="15.5" x14ac:dyDescent="0.35">
      <c r="A24" s="121">
        <f>A22</f>
        <v>1</v>
      </c>
      <c r="B24" s="111">
        <v>18</v>
      </c>
      <c r="C24" s="108" cm="1">
        <f t="array" aca="1" ref="C24" ca="1">INDIRECT("R[36]C["&amp;$A$24&amp;"]",FALSE)</f>
        <v>0</v>
      </c>
      <c r="D24" s="108" cm="1">
        <f t="array" aca="1" ref="D24" ca="1">INDIRECT("R[36]C["&amp;$A$20&amp;"]",FALSE)</f>
        <v>0</v>
      </c>
      <c r="E24" s="108" cm="1">
        <f t="array" aca="1" ref="E24" ca="1">INDIRECT("R[36]C["&amp;$A$20&amp;"]",FALSE)</f>
        <v>0</v>
      </c>
      <c r="F24" s="108" cm="1">
        <f t="array" aca="1" ref="F24" ca="1">INDIRECT("R[36]C["&amp;$A$20&amp;"]",FALSE)</f>
        <v>0</v>
      </c>
      <c r="G24" s="108" cm="1">
        <f t="array" aca="1" ref="G24" ca="1">INDIRECT("R[36]C["&amp;$A$20&amp;"]",FALSE)</f>
        <v>0</v>
      </c>
      <c r="H24" s="108" cm="1">
        <f t="array" aca="1" ref="H24" ca="1">INDIRECT("R[36]C["&amp;$A$20&amp;"]",FALSE)</f>
        <v>0</v>
      </c>
      <c r="I24" s="108" cm="1">
        <f t="array" aca="1" ref="I24" ca="1">INDIRECT("R[36]C["&amp;$A$20&amp;"]",FALSE)</f>
        <v>0</v>
      </c>
      <c r="J24" s="108" cm="1">
        <f t="array" aca="1" ref="J24" ca="1">INDIRECT("R[36]C["&amp;$A$20&amp;"]",FALSE)</f>
        <v>0</v>
      </c>
      <c r="K24" s="108" cm="1">
        <f t="array" aca="1" ref="K24" ca="1">INDIRECT("R[36]C["&amp;$A$20&amp;"]",FALSE)</f>
        <v>144.53977773978585</v>
      </c>
      <c r="L24" s="108" cm="1">
        <f t="array" aca="1" ref="L24" ca="1">INDIRECT("R[36]C["&amp;$A$20&amp;"]",FALSE)</f>
        <v>217.27790874381157</v>
      </c>
      <c r="M24" s="108" cm="1">
        <f t="array" aca="1" ref="M24" ca="1">INDIRECT("R[36]C["&amp;$A$20&amp;"]",FALSE)</f>
        <v>81.493553167490219</v>
      </c>
      <c r="N24" s="108" cm="1">
        <f t="array" aca="1" ref="N24" ca="1">INDIRECT("R[36]C["&amp;$A$20&amp;"]",FALSE)</f>
        <v>80.082867813976321</v>
      </c>
      <c r="O24" s="108" cm="1">
        <f t="array" aca="1" ref="O24" ca="1">INDIRECT("R[36]C["&amp;$A$20&amp;"]",FALSE)</f>
        <v>51.333333333333336</v>
      </c>
      <c r="P24" s="111"/>
      <c r="Q24" s="111"/>
      <c r="R24" s="113">
        <f t="shared" ca="1" si="4"/>
        <v>574.72744079839731</v>
      </c>
    </row>
    <row r="25" spans="1:18" ht="15.5" x14ac:dyDescent="0.35">
      <c r="A25" s="116"/>
      <c r="B25" s="129" t="s">
        <v>116</v>
      </c>
      <c r="C25" s="131"/>
      <c r="D25" s="131"/>
      <c r="E25" s="131"/>
      <c r="F25" s="131"/>
      <c r="G25" s="131"/>
      <c r="H25" s="131"/>
      <c r="I25" s="131"/>
      <c r="J25" s="131"/>
      <c r="K25" s="131"/>
      <c r="L25" s="131"/>
      <c r="M25" s="131"/>
      <c r="N25" s="131"/>
      <c r="O25" s="131"/>
      <c r="P25" s="131"/>
      <c r="Q25" s="131"/>
      <c r="R25" s="130"/>
    </row>
    <row r="26" spans="1:18" ht="15.5" x14ac:dyDescent="0.35">
      <c r="A26" s="121">
        <f>Assumptions!C51</f>
        <v>1</v>
      </c>
      <c r="B26" s="106" t="s">
        <v>257</v>
      </c>
      <c r="C26" s="108" cm="1">
        <f t="array" aca="1" ref="C26" ca="1">INDIRECT("R[36]C["&amp;$A$26&amp;"]",FALSE)</f>
        <v>32.769230769230774</v>
      </c>
      <c r="D26" s="108" cm="1">
        <f t="array" aca="1" ref="D26" ca="1">INDIRECT("R[36]C["&amp;$A$18&amp;"]",FALSE)</f>
        <v>229.49353587588882</v>
      </c>
      <c r="E26" s="108" cm="1">
        <f t="array" aca="1" ref="E26" ca="1">INDIRECT("R[36]C["&amp;$A$18&amp;"]",FALSE)</f>
        <v>179.50641025641025</v>
      </c>
      <c r="F26" s="108" cm="1">
        <f t="array" aca="1" ref="F26" ca="1">INDIRECT("R[36]C["&amp;$A$18&amp;"]",FALSE)</f>
        <v>160.73333333333332</v>
      </c>
      <c r="G26" s="108" cm="1">
        <f t="array" aca="1" ref="G26" ca="1">INDIRECT("R[36]C["&amp;$A$18&amp;"]",FALSE)</f>
        <v>97.213333333333338</v>
      </c>
      <c r="H26" s="108" cm="1">
        <f t="array" aca="1" ref="H26" ca="1">INDIRECT("R[36]C["&amp;$A$18&amp;"]",FALSE)</f>
        <v>226.77599949362576</v>
      </c>
      <c r="I26" s="108" cm="1">
        <f t="array" aca="1" ref="I26" ca="1">INDIRECT("R[36]C["&amp;$A$18&amp;"]",FALSE)</f>
        <v>150.25333333333333</v>
      </c>
      <c r="J26" s="108" cm="1">
        <f t="array" aca="1" ref="J26" ca="1">INDIRECT("R[36]C["&amp;$A$18&amp;"]",FALSE)</f>
        <v>262.03917934502823</v>
      </c>
      <c r="K26" s="108" cm="1">
        <f t="array" aca="1" ref="K26" ca="1">INDIRECT("R[36]C["&amp;$A$18&amp;"]",FALSE)</f>
        <v>38.886145644612462</v>
      </c>
      <c r="L26" s="108" cm="1">
        <f t="array" aca="1" ref="L26" ca="1">INDIRECT("R[36]C["&amp;$A$18&amp;"]",FALSE)</f>
        <v>115.79374890861638</v>
      </c>
      <c r="M26" s="108" cm="1">
        <f t="array" aca="1" ref="M26" ca="1">INDIRECT("R[36]C["&amp;$A$18&amp;"]",FALSE)</f>
        <v>41.49444444444444</v>
      </c>
      <c r="N26" s="108" cm="1">
        <f t="array" aca="1" ref="N26" ca="1">INDIRECT("R[36]C["&amp;$A$18&amp;"]",FALSE)</f>
        <v>62.732867813976327</v>
      </c>
      <c r="O26" s="108" cm="1">
        <f t="array" aca="1" ref="O26" ca="1">INDIRECT("R[36]C["&amp;$A$18&amp;"]",FALSE)</f>
        <v>35.93333333333333</v>
      </c>
      <c r="P26" s="108"/>
      <c r="Q26" s="108"/>
      <c r="R26" s="113">
        <f ca="1">SUM(C26:Q26)</f>
        <v>1633.624895885167</v>
      </c>
    </row>
    <row r="27" spans="1:18" ht="15.5" x14ac:dyDescent="0.35">
      <c r="A27" s="121">
        <f>A26</f>
        <v>1</v>
      </c>
      <c r="B27" s="106" t="s">
        <v>258</v>
      </c>
      <c r="C27" s="108" cm="1">
        <f t="array" aca="1" ref="C27" ca="1">INDIRECT("R[36]C["&amp;$A$27&amp;"]",FALSE)</f>
        <v>32.769230769230774</v>
      </c>
      <c r="D27" s="108" cm="1">
        <f t="array" aca="1" ref="D27" ca="1">INDIRECT("R[36]C["&amp;$A$19&amp;"]",FALSE)</f>
        <v>229.49353587588882</v>
      </c>
      <c r="E27" s="108" cm="1">
        <f t="array" aca="1" ref="E27" ca="1">INDIRECT("R[36]C["&amp;$A$19&amp;"]",FALSE)</f>
        <v>179.50641025641025</v>
      </c>
      <c r="F27" s="108" cm="1">
        <f t="array" aca="1" ref="F27" ca="1">INDIRECT("R[36]C["&amp;$A$19&amp;"]",FALSE)</f>
        <v>160.73333333333332</v>
      </c>
      <c r="G27" s="108" cm="1">
        <f t="array" aca="1" ref="G27" ca="1">INDIRECT("R[36]C["&amp;$A$19&amp;"]",FALSE)</f>
        <v>97.213333333333338</v>
      </c>
      <c r="H27" s="108" cm="1">
        <f t="array" aca="1" ref="H27" ca="1">INDIRECT("R[36]C["&amp;$A$19&amp;"]",FALSE)</f>
        <v>226.77599949362576</v>
      </c>
      <c r="I27" s="108" cm="1">
        <f t="array" aca="1" ref="I27" ca="1">INDIRECT("R[36]C["&amp;$A$19&amp;"]",FALSE)</f>
        <v>150.25333333333333</v>
      </c>
      <c r="J27" s="108" cm="1">
        <f t="array" aca="1" ref="J27" ca="1">INDIRECT("R[36]C["&amp;$A$19&amp;"]",FALSE)</f>
        <v>262.03917934502823</v>
      </c>
      <c r="K27" s="108" cm="1">
        <f t="array" aca="1" ref="K27" ca="1">INDIRECT("R[36]C["&amp;$A$19&amp;"]",FALSE)</f>
        <v>38.886145644612462</v>
      </c>
      <c r="L27" s="108" cm="1">
        <f t="array" aca="1" ref="L27" ca="1">INDIRECT("R[36]C["&amp;$A$19&amp;"]",FALSE)</f>
        <v>115.79374890861638</v>
      </c>
      <c r="M27" s="108" cm="1">
        <f t="array" aca="1" ref="M27" ca="1">INDIRECT("R[36]C["&amp;$A$19&amp;"]",FALSE)</f>
        <v>41.49444444444444</v>
      </c>
      <c r="N27" s="108" cm="1">
        <f t="array" aca="1" ref="N27" ca="1">INDIRECT("R[36]C["&amp;$A$19&amp;"]",FALSE)</f>
        <v>62.732867813976327</v>
      </c>
      <c r="O27" s="108" cm="1">
        <f t="array" aca="1" ref="O27" ca="1">INDIRECT("R[36]C["&amp;$A$19&amp;"]",FALSE)</f>
        <v>35.93333333333333</v>
      </c>
      <c r="P27" s="108"/>
      <c r="Q27" s="108"/>
      <c r="R27" s="113">
        <f t="shared" ref="R27:R30" ca="1" si="5">SUM(C27:Q27)</f>
        <v>1633.624895885167</v>
      </c>
    </row>
    <row r="28" spans="1:18" ht="15.5" x14ac:dyDescent="0.35">
      <c r="A28" s="121">
        <f>Assumptions!C53</f>
        <v>1</v>
      </c>
      <c r="B28" s="106" t="s">
        <v>353</v>
      </c>
      <c r="C28" s="108" cm="1">
        <f t="array" aca="1" ref="C28" ca="1">INDIRECT("R[36]C["&amp;$A$28&amp;"]",FALSE)</f>
        <v>0</v>
      </c>
      <c r="D28" s="108" cm="1">
        <f t="array" aca="1" ref="D28" ca="1">INDIRECT("R[36]C["&amp;$A$28&amp;"]",FALSE)</f>
        <v>29.142857142857142</v>
      </c>
      <c r="E28" s="108" cm="1">
        <f t="array" aca="1" ref="E28" ca="1">INDIRECT("R[36]C["&amp;$A$28&amp;"]",FALSE)</f>
        <v>12</v>
      </c>
      <c r="F28" s="108" cm="1">
        <f t="array" aca="1" ref="F28" ca="1">INDIRECT("R[36]C["&amp;$A$28&amp;"]",FALSE)</f>
        <v>11</v>
      </c>
      <c r="G28" s="108" cm="1">
        <f t="array" aca="1" ref="G28" ca="1">INDIRECT("R[36]C["&amp;$A$28&amp;"]",FALSE)</f>
        <v>5.36</v>
      </c>
      <c r="H28" s="108" cm="1">
        <f t="array" aca="1" ref="H28" ca="1">INDIRECT("R[36]C["&amp;$A$28&amp;"]",FALSE)</f>
        <v>46.23</v>
      </c>
      <c r="I28" s="108" cm="1">
        <f t="array" aca="1" ref="I28" ca="1">INDIRECT("R[36]C["&amp;$A$28&amp;"]",FALSE)</f>
        <v>10.24</v>
      </c>
      <c r="J28" s="108" cm="1">
        <f t="array" aca="1" ref="J28" ca="1">INDIRECT("R[36]C["&amp;$A$28&amp;"]",FALSE)</f>
        <v>9.7199999999999989</v>
      </c>
      <c r="K28" s="108" cm="1">
        <f t="array" aca="1" ref="K28" ca="1">INDIRECT("R[36]C["&amp;$A$28&amp;"]",FALSE)</f>
        <v>0</v>
      </c>
      <c r="L28" s="108" cm="1">
        <f t="array" aca="1" ref="L28" ca="1">INDIRECT("R[36]C["&amp;$A$28&amp;"]",FALSE)</f>
        <v>22.102231908989225</v>
      </c>
      <c r="M28" s="108" cm="1">
        <f t="array" aca="1" ref="M28" ca="1">INDIRECT("R[36]C["&amp;$A$28&amp;"]",FALSE)</f>
        <v>8.8916666666666657</v>
      </c>
      <c r="N28" s="108" cm="1">
        <f t="array" aca="1" ref="N28" ca="1">INDIRECT("R[36]C["&amp;$A$28&amp;"]",FALSE)</f>
        <v>8.6750000000000007</v>
      </c>
      <c r="O28" s="108" cm="1">
        <f t="array" aca="1" ref="O28" ca="1">INDIRECT("R[36]C["&amp;$A$28&amp;"]",FALSE)</f>
        <v>7.7</v>
      </c>
      <c r="P28" s="108"/>
      <c r="Q28" s="108"/>
      <c r="R28" s="113">
        <f t="shared" ca="1" si="5"/>
        <v>171.06175571851304</v>
      </c>
    </row>
    <row r="29" spans="1:18" ht="15.5" x14ac:dyDescent="0.35">
      <c r="A29" s="121">
        <f>Assumptions!C52</f>
        <v>1</v>
      </c>
      <c r="B29" s="106" t="s">
        <v>117</v>
      </c>
      <c r="C29" s="108" cm="1">
        <f t="array" aca="1" ref="C29" ca="1">INDIRECT("R[36]C["&amp;$A$29&amp;"]",FALSE)</f>
        <v>10</v>
      </c>
      <c r="D29" s="108" cm="1">
        <f t="array" aca="1" ref="D29" ca="1">INDIRECT("R[36]C["&amp;$A$29&amp;"]",FALSE)</f>
        <v>79.679487179487182</v>
      </c>
      <c r="E29" s="108" cm="1">
        <f t="array" aca="1" ref="E29" ca="1">INDIRECT("R[36]C["&amp;$A$29&amp;"]",FALSE)</f>
        <v>76.339743589743591</v>
      </c>
      <c r="F29" s="108" cm="1">
        <f t="array" aca="1" ref="F29" ca="1">INDIRECT("R[36]C["&amp;$A$29&amp;"]",FALSE)</f>
        <v>50</v>
      </c>
      <c r="G29" s="108" cm="1">
        <f t="array" aca="1" ref="G29" ca="1">INDIRECT("R[36]C["&amp;$A$29&amp;"]",FALSE)</f>
        <v>91.066666666666677</v>
      </c>
      <c r="H29" s="108" cm="1">
        <f t="array" aca="1" ref="H29" ca="1">INDIRECT("R[36]C["&amp;$A$29&amp;"]",FALSE)</f>
        <v>81.650000000000006</v>
      </c>
      <c r="I29" s="108" cm="1">
        <f t="array" aca="1" ref="I29" ca="1">INDIRECT("R[36]C["&amp;$A$29&amp;"]",FALSE)</f>
        <v>10.24</v>
      </c>
      <c r="J29" s="108" cm="1">
        <f t="array" aca="1" ref="J29" ca="1">INDIRECT("R[36]C["&amp;$A$29&amp;"]",FALSE)</f>
        <v>22.17</v>
      </c>
      <c r="K29" s="108" cm="1">
        <f t="array" aca="1" ref="K29" ca="1">INDIRECT("R[36]C["&amp;$A$29&amp;"]",FALSE)</f>
        <v>0</v>
      </c>
      <c r="L29" s="108" cm="1">
        <f t="array" aca="1" ref="L29" ca="1">INDIRECT("R[36]C["&amp;$A$29&amp;"]",FALSE)</f>
        <v>51.618898575655891</v>
      </c>
      <c r="M29" s="108" cm="1">
        <f t="array" aca="1" ref="M29" ca="1">INDIRECT("R[36]C["&amp;$A$29&amp;"]",FALSE)</f>
        <v>8.8916666666666657</v>
      </c>
      <c r="N29" s="108" cm="1">
        <f t="array" aca="1" ref="N29" ca="1">INDIRECT("R[36]C["&amp;$A$29&amp;"]",FALSE)</f>
        <v>8.6750000000000007</v>
      </c>
      <c r="O29" s="108" cm="1">
        <f t="array" aca="1" ref="O29" ca="1">INDIRECT("R[36]C["&amp;$A$29&amp;"]",FALSE)</f>
        <v>7.7</v>
      </c>
      <c r="P29" s="108"/>
      <c r="Q29" s="108"/>
      <c r="R29" s="113">
        <f t="shared" ca="1" si="5"/>
        <v>498.03146267822001</v>
      </c>
    </row>
    <row r="30" spans="1:18" ht="15.5" x14ac:dyDescent="0.35">
      <c r="A30" s="121">
        <f>Assumptions!C54</f>
        <v>1</v>
      </c>
      <c r="B30" s="106" t="s">
        <v>354</v>
      </c>
      <c r="C30" s="108" cm="1">
        <f t="array" aca="1" ref="C30" ca="1">INDIRECT("R[36]C["&amp;$A$30&amp;"]",FALSE)</f>
        <v>2</v>
      </c>
      <c r="D30" s="108" cm="1">
        <f t="array" aca="1" ref="D30" ca="1">INDIRECT("R[36]C["&amp;$A$30&amp;"]",FALSE)</f>
        <v>10</v>
      </c>
      <c r="E30" s="108" cm="1">
        <f t="array" aca="1" ref="E30" ca="1">INDIRECT("R[36]C["&amp;$A$30&amp;"]",FALSE)</f>
        <v>9</v>
      </c>
      <c r="F30" s="108" cm="1">
        <f t="array" aca="1" ref="F30" ca="1">INDIRECT("R[36]C["&amp;$A$30&amp;"]",FALSE)</f>
        <v>7</v>
      </c>
      <c r="G30" s="108" cm="1">
        <f t="array" aca="1" ref="G30" ca="1">INDIRECT("R[36]C["&amp;$A$30&amp;"]",FALSE)</f>
        <v>5</v>
      </c>
      <c r="H30" s="108" cm="1">
        <f t="array" aca="1" ref="H30" ca="1">INDIRECT("R[36]C["&amp;$A$30&amp;"]",FALSE)</f>
        <v>8</v>
      </c>
      <c r="I30" s="108" cm="1">
        <f t="array" aca="1" ref="I30" ca="1">INDIRECT("R[36]C["&amp;$A$30&amp;"]",FALSE)</f>
        <v>5</v>
      </c>
      <c r="J30" s="108" cm="1">
        <f t="array" aca="1" ref="J30" ca="1">INDIRECT("R[36]C["&amp;$A$30&amp;"]",FALSE)</f>
        <v>11</v>
      </c>
      <c r="K30" s="108" cm="1">
        <f t="array" aca="1" ref="K30" ca="1">INDIRECT("R[36]C["&amp;$A$30&amp;"]",FALSE)</f>
        <v>1</v>
      </c>
      <c r="L30" s="108" cm="1">
        <f t="array" aca="1" ref="L30" ca="1">INDIRECT("R[36]C["&amp;$A$30&amp;"]",FALSE)</f>
        <v>6</v>
      </c>
      <c r="M30" s="108" cm="1">
        <f t="array" aca="1" ref="M30" ca="1">INDIRECT("R[36]C["&amp;$A$30&amp;"]",FALSE)</f>
        <v>2</v>
      </c>
      <c r="N30" s="108" cm="1">
        <f t="array" aca="1" ref="N30" ca="1">INDIRECT("R[36]C["&amp;$A$30&amp;"]",FALSE)</f>
        <v>3</v>
      </c>
      <c r="O30" s="108" cm="1">
        <f t="array" aca="1" ref="O30" ca="1">INDIRECT("R[36]C["&amp;$A$30&amp;"]",FALSE)</f>
        <v>2</v>
      </c>
      <c r="P30" s="108"/>
      <c r="Q30" s="108"/>
      <c r="R30" s="113">
        <f t="shared" ca="1" si="5"/>
        <v>71</v>
      </c>
    </row>
    <row r="31" spans="1:18" ht="15.5" x14ac:dyDescent="0.35">
      <c r="A31" s="116"/>
      <c r="B31" s="129" t="s">
        <v>119</v>
      </c>
      <c r="C31" s="131"/>
      <c r="D31" s="132"/>
      <c r="E31" s="132"/>
      <c r="F31" s="132"/>
      <c r="G31" s="132"/>
      <c r="H31" s="132"/>
      <c r="I31" s="132"/>
      <c r="J31" s="132"/>
      <c r="K31" s="132"/>
      <c r="L31" s="132"/>
      <c r="M31" s="132"/>
      <c r="N31" s="132"/>
      <c r="O31" s="132"/>
      <c r="P31" s="132"/>
      <c r="Q31" s="132"/>
      <c r="R31" s="130"/>
    </row>
    <row r="32" spans="1:18" ht="15.5" x14ac:dyDescent="0.35">
      <c r="A32" s="121">
        <f>Assumptions!C48</f>
        <v>2</v>
      </c>
      <c r="B32" s="106" t="s">
        <v>355</v>
      </c>
      <c r="C32" s="108" cm="1">
        <f t="array" aca="1" ref="C32" ca="1">INDIRECT("R[36]C["&amp;$A$32&amp;"]",FALSE)</f>
        <v>0</v>
      </c>
      <c r="D32" s="108" cm="1">
        <f t="array" aca="1" ref="D32" ca="1">INDIRECT("R[36]C["&amp;$A$32&amp;"]",FALSE)</f>
        <v>0</v>
      </c>
      <c r="E32" s="108" cm="1">
        <f t="array" aca="1" ref="E32" ca="1">INDIRECT("R[36]C["&amp;$A$32&amp;"]",FALSE)</f>
        <v>0</v>
      </c>
      <c r="F32" s="108" cm="1">
        <f t="array" aca="1" ref="F32" ca="1">INDIRECT("R[36]C["&amp;$A$32&amp;"]",FALSE)</f>
        <v>0</v>
      </c>
      <c r="G32" s="108" cm="1">
        <f t="array" aca="1" ref="G32" ca="1">INDIRECT("R[36]C["&amp;$A$32&amp;"]",FALSE)</f>
        <v>1</v>
      </c>
      <c r="H32" s="108" cm="1">
        <f t="array" aca="1" ref="H32" ca="1">INDIRECT("R[36]C["&amp;$A$32&amp;"]",FALSE)</f>
        <v>2</v>
      </c>
      <c r="I32" s="108" cm="1">
        <f t="array" aca="1" ref="I32" ca="1">INDIRECT("R[36]C["&amp;$A$32&amp;"]",FALSE)</f>
        <v>2</v>
      </c>
      <c r="J32" s="108" cm="1">
        <f t="array" aca="1" ref="J32" ca="1">INDIRECT("R[36]C["&amp;$A$32&amp;"]",FALSE)</f>
        <v>2</v>
      </c>
      <c r="K32" s="108" cm="1">
        <f t="array" aca="1" ref="K32" ca="1">INDIRECT("R[36]C["&amp;$A$32&amp;"]",FALSE)</f>
        <v>1</v>
      </c>
      <c r="L32" s="108" cm="1">
        <f t="array" aca="1" ref="L32" ca="1">INDIRECT("R[36]C["&amp;$A$32&amp;"]",FALSE)</f>
        <v>1</v>
      </c>
      <c r="M32" s="108" cm="1">
        <f t="array" aca="1" ref="M32" ca="1">INDIRECT("R[36]C["&amp;$A$32&amp;"]",FALSE)</f>
        <v>0</v>
      </c>
      <c r="N32" s="108" cm="1">
        <f t="array" aca="1" ref="N32" ca="1">INDIRECT("R[36]C["&amp;$A$32&amp;"]",FALSE)</f>
        <v>0</v>
      </c>
      <c r="O32" s="108" cm="1">
        <f t="array" aca="1" ref="O32" ca="1">INDIRECT("R[36]C["&amp;$A$32&amp;"]",FALSE)</f>
        <v>0</v>
      </c>
      <c r="P32" s="108"/>
      <c r="Q32" s="108"/>
      <c r="R32" s="113">
        <f ca="1">SUM(C32:Q32)</f>
        <v>9</v>
      </c>
    </row>
    <row r="33" spans="1:19" ht="15.5" x14ac:dyDescent="0.35">
      <c r="A33" s="116"/>
      <c r="B33" s="129" t="s">
        <v>356</v>
      </c>
      <c r="C33" s="131"/>
      <c r="D33" s="131"/>
      <c r="E33" s="131"/>
      <c r="F33" s="131"/>
      <c r="G33" s="131"/>
      <c r="H33" s="131"/>
      <c r="I33" s="131"/>
      <c r="J33" s="131"/>
      <c r="K33" s="131"/>
      <c r="L33" s="131"/>
      <c r="M33" s="131"/>
      <c r="N33" s="131"/>
      <c r="O33" s="131"/>
      <c r="P33" s="131"/>
      <c r="Q33" s="131"/>
      <c r="R33" s="130"/>
    </row>
    <row r="34" spans="1:19" ht="15.5" x14ac:dyDescent="0.35">
      <c r="A34" s="121">
        <f>Assumptions!C49</f>
        <v>1</v>
      </c>
      <c r="B34" s="106" t="s">
        <v>357</v>
      </c>
      <c r="C34" s="108" cm="1">
        <f t="array" aca="1" ref="C34" ca="1">INDIRECT("R[36]C["&amp;$A$34&amp;"]",FALSE)</f>
        <v>2</v>
      </c>
      <c r="D34" s="108" cm="1">
        <f t="array" aca="1" ref="D34" ca="1">INDIRECT("R[36]C["&amp;$A$34&amp;"]",FALSE)</f>
        <v>10</v>
      </c>
      <c r="E34" s="108" cm="1">
        <f t="array" aca="1" ref="E34" ca="1">INDIRECT("R[36]C["&amp;$A$34&amp;"]",FALSE)</f>
        <v>6</v>
      </c>
      <c r="F34" s="108" cm="1">
        <f t="array" aca="1" ref="F34" ca="1">INDIRECT("R[36]C["&amp;$A$34&amp;"]",FALSE)</f>
        <v>7</v>
      </c>
      <c r="G34" s="108" cm="1">
        <f t="array" aca="1" ref="G34" ca="1">INDIRECT("R[36]C["&amp;$A$34&amp;"]",FALSE)</f>
        <v>5</v>
      </c>
      <c r="H34" s="108" cm="1">
        <f t="array" aca="1" ref="H34" ca="1">INDIRECT("R[36]C["&amp;$A$34&amp;"]",FALSE)</f>
        <v>8</v>
      </c>
      <c r="I34" s="108" cm="1">
        <f t="array" aca="1" ref="I34" ca="1">INDIRECT("R[36]C["&amp;$A$34&amp;"]",FALSE)</f>
        <v>5</v>
      </c>
      <c r="J34" s="108" cm="1">
        <f t="array" aca="1" ref="J34" ca="1">INDIRECT("R[36]C["&amp;$A$34&amp;"]",FALSE)</f>
        <v>8</v>
      </c>
      <c r="K34" s="108" cm="1">
        <f t="array" aca="1" ref="K34" ca="1">INDIRECT("R[36]C["&amp;$A$34&amp;"]",FALSE)</f>
        <v>1</v>
      </c>
      <c r="L34" s="108" cm="1">
        <f t="array" aca="1" ref="L34" ca="1">INDIRECT("R[36]C["&amp;$A$34&amp;"]",FALSE)</f>
        <v>6</v>
      </c>
      <c r="M34" s="108" cm="1">
        <f t="array" aca="1" ref="M34" ca="1">INDIRECT("R[36]C["&amp;$A$34&amp;"]",FALSE)</f>
        <v>2</v>
      </c>
      <c r="N34" s="108" cm="1">
        <f t="array" aca="1" ref="N34" ca="1">INDIRECT("R[36]C["&amp;$A$34&amp;"]",FALSE)</f>
        <v>3</v>
      </c>
      <c r="O34" s="108" cm="1">
        <f t="array" aca="1" ref="O34" ca="1">INDIRECT("R[36]C["&amp;$A$34&amp;"]",FALSE)</f>
        <v>2</v>
      </c>
      <c r="P34" s="108"/>
      <c r="Q34" s="108"/>
      <c r="R34" s="113">
        <f ca="1">SUM(C34:Q34)</f>
        <v>65</v>
      </c>
    </row>
    <row r="35" spans="1:19" ht="15.5" x14ac:dyDescent="0.35">
      <c r="A35" s="121">
        <f>Assumptions!C50</f>
        <v>1</v>
      </c>
      <c r="B35" s="106" t="s">
        <v>358</v>
      </c>
      <c r="C35" s="108" cm="1">
        <f t="array" aca="1" ref="C35" ca="1">INDIRECT("R[36]C["&amp;$A$35&amp;"]",FALSE)</f>
        <v>0</v>
      </c>
      <c r="D35" s="108" cm="1">
        <f t="array" aca="1" ref="D35" ca="1">INDIRECT("R[36]C["&amp;$A$35&amp;"]",FALSE)</f>
        <v>0</v>
      </c>
      <c r="E35" s="108" cm="1">
        <f t="array" aca="1" ref="E35" ca="1">INDIRECT("R[36]C["&amp;$A$35&amp;"]",FALSE)</f>
        <v>0</v>
      </c>
      <c r="F35" s="108" cm="1">
        <f t="array" aca="1" ref="F35" ca="1">INDIRECT("R[36]C["&amp;$A$35&amp;"]",FALSE)</f>
        <v>0</v>
      </c>
      <c r="G35" s="108" cm="1">
        <f t="array" aca="1" ref="G35" ca="1">INDIRECT("R[36]C["&amp;$A$35&amp;"]",FALSE)</f>
        <v>0</v>
      </c>
      <c r="H35" s="108" cm="1">
        <f t="array" aca="1" ref="H35" ca="1">INDIRECT("R[36]C["&amp;$A$35&amp;"]",FALSE)</f>
        <v>1</v>
      </c>
      <c r="I35" s="108" cm="1">
        <f t="array" aca="1" ref="I35" ca="1">INDIRECT("R[36]C["&amp;$A$35&amp;"]",FALSE)</f>
        <v>2</v>
      </c>
      <c r="J35" s="108" cm="1">
        <f t="array" aca="1" ref="J35" ca="1">INDIRECT("R[36]C["&amp;$A$35&amp;"]",FALSE)</f>
        <v>2</v>
      </c>
      <c r="K35" s="108" cm="1">
        <f t="array" aca="1" ref="K35" ca="1">INDIRECT("R[36]C["&amp;$A$35&amp;"]",FALSE)</f>
        <v>2</v>
      </c>
      <c r="L35" s="108" cm="1">
        <f t="array" aca="1" ref="L35" ca="1">INDIRECT("R[36]C["&amp;$A$35&amp;"]",FALSE)</f>
        <v>1</v>
      </c>
      <c r="M35" s="108" cm="1">
        <f t="array" aca="1" ref="M35" ca="1">INDIRECT("R[36]C["&amp;$A$35&amp;"]",FALSE)</f>
        <v>1</v>
      </c>
      <c r="N35" s="108" cm="1">
        <f t="array" aca="1" ref="N35" ca="1">INDIRECT("R[36]C["&amp;$A$35&amp;"]",FALSE)</f>
        <v>0</v>
      </c>
      <c r="O35" s="108" cm="1">
        <f t="array" aca="1" ref="O35" ca="1">INDIRECT("R[36]C["&amp;$A$35&amp;"]",FALSE)</f>
        <v>0</v>
      </c>
      <c r="P35" s="108"/>
      <c r="Q35" s="108"/>
      <c r="R35" s="113">
        <f ca="1">SUM(C35:Q35)</f>
        <v>9</v>
      </c>
    </row>
    <row r="36" spans="1:19" ht="15.5" x14ac:dyDescent="0.35">
      <c r="A36" s="116"/>
      <c r="B36" s="129"/>
      <c r="C36" s="129"/>
      <c r="D36" s="131"/>
      <c r="E36" s="131"/>
      <c r="F36" s="131"/>
      <c r="G36" s="131"/>
      <c r="H36" s="131"/>
      <c r="I36" s="131"/>
      <c r="J36" s="131"/>
      <c r="K36" s="131"/>
      <c r="L36" s="131"/>
      <c r="M36" s="131"/>
      <c r="N36" s="131"/>
      <c r="O36" s="131"/>
      <c r="P36" s="131"/>
      <c r="Q36" s="131"/>
      <c r="R36" s="130"/>
    </row>
    <row r="37" spans="1:19" ht="15.5" x14ac:dyDescent="0.35">
      <c r="A37" s="116"/>
      <c r="B37" s="116"/>
      <c r="C37" s="116"/>
      <c r="D37" s="183"/>
      <c r="E37" s="183"/>
      <c r="F37" s="183"/>
      <c r="G37" s="183"/>
      <c r="H37" s="183"/>
      <c r="I37" s="183"/>
      <c r="J37" s="183"/>
      <c r="K37" s="183"/>
      <c r="L37" s="183"/>
      <c r="M37" s="183"/>
      <c r="N37" s="183"/>
      <c r="O37" s="183"/>
      <c r="P37" s="183"/>
      <c r="Q37" s="183"/>
      <c r="R37" s="115"/>
    </row>
    <row r="38" spans="1:19" ht="15.5" x14ac:dyDescent="0.35">
      <c r="A38" s="116"/>
      <c r="B38" s="116"/>
      <c r="C38" s="116"/>
      <c r="D38" s="183"/>
      <c r="E38" s="183"/>
      <c r="F38" s="183"/>
      <c r="G38" s="183"/>
      <c r="H38" s="183"/>
      <c r="I38" s="183"/>
      <c r="J38" s="183"/>
      <c r="K38" s="183"/>
      <c r="L38" s="183"/>
      <c r="M38" s="183"/>
      <c r="N38" s="183"/>
      <c r="O38" s="183"/>
      <c r="P38" s="183"/>
      <c r="Q38" s="183"/>
      <c r="R38" s="115"/>
    </row>
    <row r="39" spans="1:19" ht="15.5" x14ac:dyDescent="0.35">
      <c r="A39" s="116"/>
      <c r="B39" s="116" t="s">
        <v>235</v>
      </c>
      <c r="C39" s="115">
        <f ca="1">SUM(C10:C12)</f>
        <v>42.769230769230774</v>
      </c>
      <c r="D39" s="183">
        <f ca="1">SUM(D10:D12)</f>
        <v>338.31588019823317</v>
      </c>
      <c r="E39" s="183">
        <f t="shared" ref="E39:Q39" ca="1" si="6">SUM(E10:E12)</f>
        <v>289.84615384615381</v>
      </c>
      <c r="F39" s="183">
        <f t="shared" ca="1" si="6"/>
        <v>243.73333333333332</v>
      </c>
      <c r="G39" s="183">
        <f t="shared" ca="1" si="6"/>
        <v>193.64</v>
      </c>
      <c r="H39" s="183">
        <f t="shared" ca="1" si="6"/>
        <v>408.41126999157984</v>
      </c>
      <c r="I39" s="183">
        <f t="shared" ca="1" si="6"/>
        <v>219.61275259631313</v>
      </c>
      <c r="J39" s="183">
        <f t="shared" ca="1" si="6"/>
        <v>381.94193194134141</v>
      </c>
      <c r="K39" s="183">
        <f t="shared" ca="1" si="6"/>
        <v>144.53977773978585</v>
      </c>
      <c r="L39" s="183">
        <f t="shared" ca="1" si="6"/>
        <v>217.27790874381157</v>
      </c>
      <c r="M39" s="183">
        <f t="shared" ca="1" si="6"/>
        <v>81.493553167490219</v>
      </c>
      <c r="N39" s="183">
        <f t="shared" ca="1" si="6"/>
        <v>80.082867813976321</v>
      </c>
      <c r="O39" s="183">
        <f t="shared" ca="1" si="6"/>
        <v>51.333333333333336</v>
      </c>
      <c r="P39" s="183">
        <f t="shared" si="6"/>
        <v>0</v>
      </c>
      <c r="Q39" s="183">
        <f t="shared" si="6"/>
        <v>0</v>
      </c>
      <c r="R39" s="115">
        <f ca="1">SUM(R10:R12)</f>
        <v>2692.9979934745829</v>
      </c>
    </row>
    <row r="40" spans="1:19" ht="15.5" x14ac:dyDescent="0.35">
      <c r="A40" s="116"/>
      <c r="B40" s="116"/>
      <c r="C40" s="116"/>
      <c r="D40" s="183"/>
      <c r="E40" s="183"/>
      <c r="F40" s="183"/>
      <c r="G40" s="183"/>
      <c r="H40" s="183"/>
      <c r="I40" s="183"/>
      <c r="J40" s="183"/>
      <c r="K40" s="183"/>
      <c r="L40" s="183"/>
      <c r="M40" s="183"/>
      <c r="N40" s="183"/>
      <c r="O40" s="183"/>
      <c r="P40" s="183"/>
      <c r="Q40" s="183"/>
      <c r="R40" s="115"/>
    </row>
    <row r="41" spans="1:19" ht="15.5" x14ac:dyDescent="0.35">
      <c r="A41" s="116"/>
      <c r="B41" s="116"/>
      <c r="C41" s="116"/>
      <c r="D41" s="183"/>
      <c r="E41" s="183"/>
      <c r="F41" s="183"/>
      <c r="G41" s="183"/>
      <c r="H41" s="183"/>
      <c r="I41" s="183"/>
      <c r="J41" s="183"/>
      <c r="K41" s="183"/>
      <c r="L41" s="183"/>
      <c r="M41" s="183"/>
      <c r="N41" s="183"/>
      <c r="O41" s="183"/>
      <c r="P41" s="183"/>
      <c r="Q41" s="183"/>
      <c r="R41" s="115"/>
    </row>
    <row r="42" spans="1:19" ht="15.5" x14ac:dyDescent="0.35">
      <c r="A42" s="116"/>
      <c r="B42" s="116"/>
      <c r="C42" s="116"/>
      <c r="D42" s="182"/>
      <c r="E42" s="182"/>
      <c r="F42" s="182"/>
      <c r="G42" s="182"/>
      <c r="H42" s="182"/>
      <c r="I42" s="182"/>
      <c r="J42" s="182"/>
      <c r="K42" s="182"/>
      <c r="L42" s="182"/>
      <c r="M42" s="182"/>
      <c r="N42" s="182"/>
      <c r="O42" s="182"/>
      <c r="P42" s="182"/>
      <c r="Q42" s="182"/>
      <c r="R42" s="115"/>
    </row>
    <row r="43" spans="1:19" ht="15.5" x14ac:dyDescent="0.35">
      <c r="A43" s="116"/>
      <c r="B43" s="116"/>
      <c r="C43" s="116"/>
      <c r="D43" s="182"/>
      <c r="E43" s="182"/>
      <c r="F43" s="182"/>
      <c r="G43" s="182"/>
      <c r="H43" s="182"/>
      <c r="I43" s="182"/>
      <c r="J43" s="182"/>
      <c r="K43" s="182"/>
      <c r="L43" s="182"/>
      <c r="M43" s="182"/>
      <c r="N43" s="182"/>
      <c r="O43" s="182"/>
      <c r="P43" s="182"/>
      <c r="Q43" s="182"/>
      <c r="R43" s="115"/>
    </row>
    <row r="44" spans="1:19" ht="15.5" x14ac:dyDescent="0.35">
      <c r="A44" s="116"/>
      <c r="B44" s="120" t="s">
        <v>193</v>
      </c>
      <c r="C44" s="120"/>
      <c r="D44" s="182"/>
      <c r="E44" s="182"/>
      <c r="F44" s="182"/>
      <c r="G44" s="182"/>
      <c r="H44" s="182"/>
      <c r="I44" s="182"/>
      <c r="J44" s="182"/>
      <c r="K44" s="182"/>
      <c r="L44" s="182"/>
      <c r="M44" s="182"/>
      <c r="N44" s="182"/>
      <c r="O44" s="182"/>
      <c r="P44" s="182"/>
      <c r="Q44" s="182"/>
      <c r="R44" s="115"/>
    </row>
    <row r="45" spans="1:19" ht="15.5" x14ac:dyDescent="0.35">
      <c r="A45" s="116"/>
      <c r="B45" s="129" t="s">
        <v>112</v>
      </c>
      <c r="C45" s="129"/>
      <c r="D45" s="131"/>
      <c r="E45" s="131"/>
      <c r="F45" s="131"/>
      <c r="G45" s="131"/>
      <c r="H45" s="131"/>
      <c r="I45" s="131"/>
      <c r="J45" s="131"/>
      <c r="K45" s="131"/>
      <c r="L45" s="131"/>
      <c r="M45" s="131"/>
      <c r="N45" s="131"/>
      <c r="O45" s="131"/>
      <c r="P45" s="131"/>
      <c r="Q45" s="131"/>
      <c r="R45" s="130"/>
    </row>
    <row r="46" spans="1:19" ht="15.5" x14ac:dyDescent="0.35">
      <c r="A46" s="122">
        <f>Assumptions!C55</f>
        <v>1</v>
      </c>
      <c r="B46" s="123">
        <v>12</v>
      </c>
      <c r="C46" s="127" cm="1">
        <f t="array" aca="1" ref="C46" ca="1">INDIRECT("R[40]C["&amp;$A$46&amp;"]",FALSE)</f>
        <v>0</v>
      </c>
      <c r="D46" s="124" cm="1">
        <f t="array" aca="1" ref="D46" ca="1">INDIRECT("R[40]C["&amp;$A$46&amp;"]",FALSE)</f>
        <v>42.769230769230774</v>
      </c>
      <c r="E46" s="124" cm="1">
        <f t="array" aca="1" ref="E46" ca="1">INDIRECT("R[40]C["&amp;$A$46&amp;"]",FALSE)</f>
        <v>261.79487179487182</v>
      </c>
      <c r="F46" s="124" cm="1">
        <f t="array" aca="1" ref="F46" ca="1">INDIRECT("R[40]C["&amp;$A$46&amp;"]",FALSE)</f>
        <v>187.5128205128205</v>
      </c>
      <c r="G46" s="124" cm="1">
        <f t="array" aca="1" ref="G46" ca="1">INDIRECT("R[40]C["&amp;$A$46&amp;"]",FALSE)</f>
        <v>60.666666666666664</v>
      </c>
      <c r="H46" s="124" cm="1">
        <f t="array" aca="1" ref="H46" ca="1">INDIRECT("R[40]C["&amp;$A$46&amp;"]",FALSE)</f>
        <v>0</v>
      </c>
      <c r="I46" s="124" cm="1">
        <f t="array" aca="1" ref="I46" ca="1">INDIRECT("R[40]C["&amp;$A$46&amp;"]",FALSE)</f>
        <v>0</v>
      </c>
      <c r="J46" s="124" cm="1">
        <f t="array" aca="1" ref="J46" ca="1">INDIRECT("R[40]C["&amp;$A$46&amp;"]",FALSE)</f>
        <v>0</v>
      </c>
      <c r="K46" s="124" cm="1">
        <f t="array" aca="1" ref="K46" ca="1">INDIRECT("R[40]C["&amp;$A$46&amp;"]",FALSE)</f>
        <v>0</v>
      </c>
      <c r="L46" s="124" cm="1">
        <f t="array" aca="1" ref="L46" ca="1">INDIRECT("R[40]C["&amp;$A$46&amp;"]",FALSE)</f>
        <v>0</v>
      </c>
      <c r="M46" s="124" cm="1">
        <f t="array" aca="1" ref="M46" ca="1">INDIRECT("R[40]C["&amp;$A$46&amp;"]",FALSE)</f>
        <v>0</v>
      </c>
      <c r="N46" s="124" cm="1">
        <f t="array" aca="1" ref="N46" ca="1">INDIRECT("R[40]C["&amp;$A$46&amp;"]",FALSE)</f>
        <v>0</v>
      </c>
      <c r="O46" s="124" cm="1">
        <f t="array" aca="1" ref="O46" ca="1">INDIRECT("R[40]C["&amp;$A$46&amp;"]",FALSE)</f>
        <v>0</v>
      </c>
      <c r="P46" s="124" cm="1">
        <f t="array" aca="1" ref="P46" ca="1">INDIRECT("R[40]C["&amp;$A$46&amp;"]",FALSE)</f>
        <v>0</v>
      </c>
      <c r="Q46" s="123"/>
      <c r="R46" s="128">
        <f ca="1">SUM(D46:P46)</f>
        <v>552.74358974358972</v>
      </c>
    </row>
    <row r="47" spans="1:19" ht="15.5" x14ac:dyDescent="0.35">
      <c r="A47" s="121">
        <f>A46</f>
        <v>1</v>
      </c>
      <c r="B47" s="123">
        <v>15</v>
      </c>
      <c r="C47" s="127" cm="1">
        <f t="array" aca="1" ref="C47" ca="1">INDIRECT("R[40]C["&amp;$A$46&amp;"]",FALSE)</f>
        <v>0</v>
      </c>
      <c r="D47" s="124" cm="1">
        <f t="array" aca="1" ref="D47" ca="1">INDIRECT("R[40]C["&amp;$A$46&amp;"]",FALSE)</f>
        <v>0</v>
      </c>
      <c r="E47" s="124" cm="1">
        <f t="array" aca="1" ref="E47" ca="1">INDIRECT("R[40]C["&amp;$A$46&amp;"]",FALSE)</f>
        <v>76.52100840336135</v>
      </c>
      <c r="F47" s="124" cm="1">
        <f t="array" aca="1" ref="F47" ca="1">INDIRECT("R[40]C["&amp;$A$46&amp;"]",FALSE)</f>
        <v>102.33333333333334</v>
      </c>
      <c r="G47" s="124" cm="1">
        <f t="array" aca="1" ref="G47" ca="1">INDIRECT("R[40]C["&amp;$A$46&amp;"]",FALSE)</f>
        <v>183.06666666666666</v>
      </c>
      <c r="H47" s="124" cm="1">
        <f t="array" aca="1" ref="H47" ca="1">INDIRECT("R[40]C["&amp;$A$46&amp;"]",FALSE)</f>
        <v>193.64</v>
      </c>
      <c r="I47" s="124" cm="1">
        <f t="array" aca="1" ref="I47" ca="1">INDIRECT("R[40]C["&amp;$A$46&amp;"]",FALSE)</f>
        <v>408.41126999157984</v>
      </c>
      <c r="J47" s="124" cm="1">
        <f t="array" aca="1" ref="J47" ca="1">INDIRECT("R[40]C["&amp;$A$46&amp;"]",FALSE)</f>
        <v>219.61275259631313</v>
      </c>
      <c r="K47" s="124" cm="1">
        <f t="array" aca="1" ref="K47" ca="1">INDIRECT("R[40]C["&amp;$A$46&amp;"]",FALSE)</f>
        <v>381.94193194134141</v>
      </c>
      <c r="L47" s="124" cm="1">
        <f t="array" aca="1" ref="L47" ca="1">INDIRECT("R[40]C["&amp;$A$46&amp;"]",FALSE)</f>
        <v>0</v>
      </c>
      <c r="M47" s="124" cm="1">
        <f t="array" aca="1" ref="M47" ca="1">INDIRECT("R[40]C["&amp;$A$46&amp;"]",FALSE)</f>
        <v>0</v>
      </c>
      <c r="N47" s="124" cm="1">
        <f t="array" aca="1" ref="N47" ca="1">INDIRECT("R[40]C["&amp;$A$46&amp;"]",FALSE)</f>
        <v>0</v>
      </c>
      <c r="O47" s="124" cm="1">
        <f t="array" aca="1" ref="O47" ca="1">INDIRECT("R[40]C["&amp;$A$46&amp;"]",FALSE)</f>
        <v>0</v>
      </c>
      <c r="P47" s="124" cm="1">
        <f t="array" aca="1" ref="P47" ca="1">INDIRECT("R[40]C["&amp;$A$46&amp;"]",FALSE)</f>
        <v>0</v>
      </c>
      <c r="Q47" s="123"/>
      <c r="R47" s="128">
        <f ca="1">SUM(D47:P47)</f>
        <v>1565.5269629325958</v>
      </c>
    </row>
    <row r="48" spans="1:19" ht="15.5" x14ac:dyDescent="0.35">
      <c r="A48" s="121">
        <f>A47</f>
        <v>1</v>
      </c>
      <c r="B48" s="123">
        <v>18</v>
      </c>
      <c r="C48" s="127" cm="1">
        <f t="array" aca="1" ref="C48" ca="1">INDIRECT("R[40]C["&amp;$A$46&amp;"]",FALSE)</f>
        <v>0</v>
      </c>
      <c r="D48" s="124" cm="1">
        <f t="array" aca="1" ref="D48" ca="1">INDIRECT("R[40]C["&amp;$A$46&amp;"]",FALSE)</f>
        <v>0</v>
      </c>
      <c r="E48" s="124" cm="1">
        <f t="array" aca="1" ref="E48" ca="1">INDIRECT("R[40]C["&amp;$A$46&amp;"]",FALSE)</f>
        <v>0</v>
      </c>
      <c r="F48" s="124" cm="1">
        <f t="array" aca="1" ref="F48" ca="1">INDIRECT("R[40]C["&amp;$A$46&amp;"]",FALSE)</f>
        <v>0</v>
      </c>
      <c r="G48" s="124" cm="1">
        <f t="array" aca="1" ref="G48" ca="1">INDIRECT("R[40]C["&amp;$A$46&amp;"]",FALSE)</f>
        <v>0</v>
      </c>
      <c r="H48" s="124" cm="1">
        <f t="array" aca="1" ref="H48" ca="1">INDIRECT("R[40]C["&amp;$A$46&amp;"]",FALSE)</f>
        <v>0</v>
      </c>
      <c r="I48" s="124" cm="1">
        <f t="array" aca="1" ref="I48" ca="1">INDIRECT("R[40]C["&amp;$A$46&amp;"]",FALSE)</f>
        <v>0</v>
      </c>
      <c r="J48" s="124" cm="1">
        <f t="array" aca="1" ref="J48" ca="1">INDIRECT("R[40]C["&amp;$A$46&amp;"]",FALSE)</f>
        <v>0</v>
      </c>
      <c r="K48" s="124" cm="1">
        <f t="array" aca="1" ref="K48" ca="1">INDIRECT("R[40]C["&amp;$A$46&amp;"]",FALSE)</f>
        <v>0</v>
      </c>
      <c r="L48" s="124" cm="1">
        <f t="array" aca="1" ref="L48" ca="1">INDIRECT("R[40]C["&amp;$A$46&amp;"]",FALSE)</f>
        <v>144.53977773978585</v>
      </c>
      <c r="M48" s="124" cm="1">
        <f t="array" aca="1" ref="M48" ca="1">INDIRECT("R[40]C["&amp;$A$46&amp;"]",FALSE)</f>
        <v>217.27790874381157</v>
      </c>
      <c r="N48" s="124" cm="1">
        <f t="array" aca="1" ref="N48" ca="1">INDIRECT("R[40]C["&amp;$A$46&amp;"]",FALSE)</f>
        <v>81.493553167490219</v>
      </c>
      <c r="O48" s="124" cm="1">
        <f t="array" aca="1" ref="O48" ca="1">INDIRECT("R[40]C["&amp;$A$46&amp;"]",FALSE)</f>
        <v>80.082867813976321</v>
      </c>
      <c r="P48" s="124" cm="1">
        <f t="array" aca="1" ref="P48" ca="1">INDIRECT("R[40]C["&amp;$A$46&amp;"]",FALSE)</f>
        <v>51.333333333333336</v>
      </c>
      <c r="Q48" s="123"/>
      <c r="R48" s="128">
        <f ca="1">SUM(D48:P48)</f>
        <v>574.72744079839731</v>
      </c>
      <c r="S48" t="s">
        <v>91</v>
      </c>
    </row>
    <row r="49" spans="1:18" ht="15.5" x14ac:dyDescent="0.35">
      <c r="A49" s="116"/>
      <c r="B49" s="129" t="s">
        <v>351</v>
      </c>
      <c r="C49" s="133"/>
      <c r="D49" s="131"/>
      <c r="E49" s="131"/>
      <c r="F49" s="131"/>
      <c r="G49" s="131"/>
      <c r="H49" s="131"/>
      <c r="I49" s="131"/>
      <c r="J49" s="131"/>
      <c r="K49" s="131"/>
      <c r="L49" s="131"/>
      <c r="M49" s="131"/>
      <c r="N49" s="131"/>
      <c r="O49" s="131"/>
      <c r="P49" s="131"/>
      <c r="Q49" s="131"/>
      <c r="R49" s="130"/>
    </row>
    <row r="50" spans="1:18" ht="15.5" x14ac:dyDescent="0.35">
      <c r="A50" s="121">
        <f>A48</f>
        <v>1</v>
      </c>
      <c r="B50" s="123">
        <v>12</v>
      </c>
      <c r="C50" s="127" cm="1">
        <f t="array" aca="1" ref="C50" ca="1">INDIRECT("R[40]C["&amp;$A$50&amp;"]",FALSE)</f>
        <v>0</v>
      </c>
      <c r="D50" s="124" cm="1">
        <f t="array" aca="1" ref="D50" ca="1">INDIRECT("R[40]C["&amp;$A$50&amp;"]",FALSE)</f>
        <v>128.30769230769232</v>
      </c>
      <c r="E50" s="124" cm="1">
        <f t="array" aca="1" ref="E50" ca="1">INDIRECT("R[40]C["&amp;$A$50&amp;"]",FALSE)</f>
        <v>785.38461538461547</v>
      </c>
      <c r="F50" s="124" cm="1">
        <f t="array" aca="1" ref="F50" ca="1">INDIRECT("R[40]C["&amp;$A$50&amp;"]",FALSE)</f>
        <v>562.53846153846143</v>
      </c>
      <c r="G50" s="124" cm="1">
        <f t="array" aca="1" ref="G50" ca="1">INDIRECT("R[40]C["&amp;$A$50&amp;"]",FALSE)</f>
        <v>182</v>
      </c>
      <c r="H50" s="124" cm="1">
        <f t="array" aca="1" ref="H50" ca="1">INDIRECT("R[40]C["&amp;$A$50&amp;"]",FALSE)</f>
        <v>0</v>
      </c>
      <c r="I50" s="124" cm="1">
        <f t="array" aca="1" ref="I50" ca="1">INDIRECT("R[40]C["&amp;$A$50&amp;"]",FALSE)</f>
        <v>0</v>
      </c>
      <c r="J50" s="124" cm="1">
        <f t="array" aca="1" ref="J50" ca="1">INDIRECT("R[40]C["&amp;$A$50&amp;"]",FALSE)</f>
        <v>0</v>
      </c>
      <c r="K50" s="124" cm="1">
        <f t="array" aca="1" ref="K50" ca="1">INDIRECT("R[40]C["&amp;$A$50&amp;"]",FALSE)</f>
        <v>0</v>
      </c>
      <c r="L50" s="124" cm="1">
        <f t="array" aca="1" ref="L50" ca="1">INDIRECT("R[40]C["&amp;$A$50&amp;"]",FALSE)</f>
        <v>0</v>
      </c>
      <c r="M50" s="124" cm="1">
        <f t="array" aca="1" ref="M50" ca="1">INDIRECT("R[40]C["&amp;$A$50&amp;"]",FALSE)</f>
        <v>0</v>
      </c>
      <c r="N50" s="124" cm="1">
        <f t="array" aca="1" ref="N50" ca="1">INDIRECT("R[40]C["&amp;$A$50&amp;"]",FALSE)</f>
        <v>0</v>
      </c>
      <c r="O50" s="124" cm="1">
        <f t="array" aca="1" ref="O50" ca="1">INDIRECT("R[40]C["&amp;$A$50&amp;"]",FALSE)</f>
        <v>0</v>
      </c>
      <c r="P50" s="124" cm="1">
        <f t="array" aca="1" ref="P50" ca="1">INDIRECT("R[40]C["&amp;$A$50&amp;"]",FALSE)</f>
        <v>0</v>
      </c>
      <c r="Q50" s="124"/>
      <c r="R50" s="128">
        <f ca="1">SUM(D50:P50)</f>
        <v>1658.2307692307693</v>
      </c>
    </row>
    <row r="51" spans="1:18" ht="15.5" x14ac:dyDescent="0.35">
      <c r="A51" s="121">
        <f>A50</f>
        <v>1</v>
      </c>
      <c r="B51" s="123">
        <v>15</v>
      </c>
      <c r="C51" s="127" cm="1">
        <f t="array" aca="1" ref="C51" ca="1">INDIRECT("R[40]C["&amp;$A$50&amp;"]",FALSE)</f>
        <v>0</v>
      </c>
      <c r="D51" s="124" cm="1">
        <f t="array" aca="1" ref="D51" ca="1">INDIRECT("R[40]C["&amp;$A$50&amp;"]",FALSE)</f>
        <v>0</v>
      </c>
      <c r="E51" s="124" cm="1">
        <f t="array" aca="1" ref="E51" ca="1">INDIRECT("R[40]C["&amp;$A$50&amp;"]",FALSE)</f>
        <v>229.56302521008405</v>
      </c>
      <c r="F51" s="124" cm="1">
        <f t="array" aca="1" ref="F51" ca="1">INDIRECT("R[40]C["&amp;$A$50&amp;"]",FALSE)</f>
        <v>307</v>
      </c>
      <c r="G51" s="124" cm="1">
        <f t="array" aca="1" ref="G51" ca="1">INDIRECT("R[40]C["&amp;$A$50&amp;"]",FALSE)</f>
        <v>549.20000000000005</v>
      </c>
      <c r="H51" s="124" cm="1">
        <f t="array" aca="1" ref="H51" ca="1">INDIRECT("R[40]C["&amp;$A$50&amp;"]",FALSE)</f>
        <v>580.91999999999996</v>
      </c>
      <c r="I51" s="124" cm="1">
        <f t="array" aca="1" ref="I51" ca="1">INDIRECT("R[40]C["&amp;$A$50&amp;"]",FALSE)</f>
        <v>1225.2338099747394</v>
      </c>
      <c r="J51" s="124" cm="1">
        <f t="array" aca="1" ref="J51" ca="1">INDIRECT("R[40]C["&amp;$A$50&amp;"]",FALSE)</f>
        <v>658.83825778893936</v>
      </c>
      <c r="K51" s="124" cm="1">
        <f t="array" aca="1" ref="K51" ca="1">INDIRECT("R[40]C["&amp;$A$50&amp;"]",FALSE)</f>
        <v>1145.8257958240242</v>
      </c>
      <c r="L51" s="124" cm="1">
        <f t="array" aca="1" ref="L51" ca="1">INDIRECT("R[40]C["&amp;$A$50&amp;"]",FALSE)</f>
        <v>0</v>
      </c>
      <c r="M51" s="124" cm="1">
        <f t="array" aca="1" ref="M51" ca="1">INDIRECT("R[40]C["&amp;$A$50&amp;"]",FALSE)</f>
        <v>0</v>
      </c>
      <c r="N51" s="124" cm="1">
        <f t="array" aca="1" ref="N51" ca="1">INDIRECT("R[40]C["&amp;$A$50&amp;"]",FALSE)</f>
        <v>0</v>
      </c>
      <c r="O51" s="124" cm="1">
        <f t="array" aca="1" ref="O51" ca="1">INDIRECT("R[40]C["&amp;$A$50&amp;"]",FALSE)</f>
        <v>0</v>
      </c>
      <c r="P51" s="124" cm="1">
        <f t="array" aca="1" ref="P51" ca="1">INDIRECT("R[40]C["&amp;$A$50&amp;"]",FALSE)</f>
        <v>0</v>
      </c>
      <c r="Q51" s="124"/>
      <c r="R51" s="128">
        <f ca="1">SUM(D51:P51)</f>
        <v>4696.5808887977873</v>
      </c>
    </row>
    <row r="52" spans="1:18" ht="15.5" x14ac:dyDescent="0.35">
      <c r="A52" s="121">
        <f>A51</f>
        <v>1</v>
      </c>
      <c r="B52" s="123">
        <v>18</v>
      </c>
      <c r="C52" s="127" cm="1">
        <f t="array" aca="1" ref="C52" ca="1">INDIRECT("R[40]C["&amp;$A$50&amp;"]",FALSE)</f>
        <v>0</v>
      </c>
      <c r="D52" s="124" cm="1">
        <f t="array" aca="1" ref="D52" ca="1">INDIRECT("R[40]C["&amp;$A$50&amp;"]",FALSE)</f>
        <v>0</v>
      </c>
      <c r="E52" s="124" cm="1">
        <f t="array" aca="1" ref="E52" ca="1">INDIRECT("R[40]C["&amp;$A$50&amp;"]",FALSE)</f>
        <v>0</v>
      </c>
      <c r="F52" s="124" cm="1">
        <f t="array" aca="1" ref="F52" ca="1">INDIRECT("R[40]C["&amp;$A$50&amp;"]",FALSE)</f>
        <v>0</v>
      </c>
      <c r="G52" s="124" cm="1">
        <f t="array" aca="1" ref="G52" ca="1">INDIRECT("R[40]C["&amp;$A$50&amp;"]",FALSE)</f>
        <v>0</v>
      </c>
      <c r="H52" s="124" cm="1">
        <f t="array" aca="1" ref="H52" ca="1">INDIRECT("R[40]C["&amp;$A$50&amp;"]",FALSE)</f>
        <v>0</v>
      </c>
      <c r="I52" s="124" cm="1">
        <f t="array" aca="1" ref="I52" ca="1">INDIRECT("R[40]C["&amp;$A$50&amp;"]",FALSE)</f>
        <v>0</v>
      </c>
      <c r="J52" s="124" cm="1">
        <f t="array" aca="1" ref="J52" ca="1">INDIRECT("R[40]C["&amp;$A$50&amp;"]",FALSE)</f>
        <v>0</v>
      </c>
      <c r="K52" s="124" cm="1">
        <f t="array" aca="1" ref="K52" ca="1">INDIRECT("R[40]C["&amp;$A$50&amp;"]",FALSE)</f>
        <v>0</v>
      </c>
      <c r="L52" s="124" cm="1">
        <f t="array" aca="1" ref="L52" ca="1">INDIRECT("R[40]C["&amp;$A$50&amp;"]",FALSE)</f>
        <v>433.61933321935754</v>
      </c>
      <c r="M52" s="124" cm="1">
        <f t="array" aca="1" ref="M52" ca="1">INDIRECT("R[40]C["&amp;$A$50&amp;"]",FALSE)</f>
        <v>651.83372623143464</v>
      </c>
      <c r="N52" s="124" cm="1">
        <f t="array" aca="1" ref="N52" ca="1">INDIRECT("R[40]C["&amp;$A$50&amp;"]",FALSE)</f>
        <v>244.48065950247064</v>
      </c>
      <c r="O52" s="124" cm="1">
        <f t="array" aca="1" ref="O52" ca="1">INDIRECT("R[40]C["&amp;$A$50&amp;"]",FALSE)</f>
        <v>240.24860344192896</v>
      </c>
      <c r="P52" s="124" cm="1">
        <f t="array" aca="1" ref="P52" ca="1">INDIRECT("R[40]C["&amp;$A$50&amp;"]",FALSE)</f>
        <v>154</v>
      </c>
      <c r="Q52" s="124"/>
      <c r="R52" s="128">
        <f ca="1">SUM(D52:P52)</f>
        <v>1724.1823223951917</v>
      </c>
    </row>
    <row r="53" spans="1:18" ht="15.5" x14ac:dyDescent="0.35">
      <c r="A53" s="116"/>
      <c r="B53" s="129" t="s">
        <v>114</v>
      </c>
      <c r="C53" s="133"/>
      <c r="D53" s="131"/>
      <c r="E53" s="131"/>
      <c r="F53" s="131"/>
      <c r="G53" s="131"/>
      <c r="H53" s="131"/>
      <c r="I53" s="131"/>
      <c r="J53" s="131"/>
      <c r="K53" s="131"/>
      <c r="L53" s="131"/>
      <c r="M53" s="131"/>
      <c r="N53" s="131"/>
      <c r="O53" s="131"/>
      <c r="P53" s="131"/>
      <c r="Q53" s="131"/>
      <c r="R53" s="130"/>
    </row>
    <row r="54" spans="1:18" ht="15.5" x14ac:dyDescent="0.35">
      <c r="A54" s="121">
        <f>A52</f>
        <v>1</v>
      </c>
      <c r="B54" s="123">
        <v>12</v>
      </c>
      <c r="C54" s="127" cm="1">
        <f t="array" aca="1" ref="C54" ca="1">INDIRECT("R[40]C["&amp;$A$46&amp;"]",FALSE)</f>
        <v>0</v>
      </c>
      <c r="D54" s="124" cm="1">
        <f t="array" aca="1" ref="D54" ca="1">INDIRECT("R[40]C["&amp;$A$46&amp;"]",FALSE)</f>
        <v>42.769230769230774</v>
      </c>
      <c r="E54" s="124" cm="1">
        <f t="array" aca="1" ref="E54" ca="1">INDIRECT("R[40]C["&amp;$A$46&amp;"]",FALSE)</f>
        <v>261.79487179487182</v>
      </c>
      <c r="F54" s="124" cm="1">
        <f t="array" aca="1" ref="F54" ca="1">INDIRECT("R[40]C["&amp;$A$46&amp;"]",FALSE)</f>
        <v>187.5128205128205</v>
      </c>
      <c r="G54" s="124" cm="1">
        <f t="array" aca="1" ref="G54" ca="1">INDIRECT("R[40]C["&amp;$A$46&amp;"]",FALSE)</f>
        <v>60.666666666666664</v>
      </c>
      <c r="H54" s="124" cm="1">
        <f t="array" aca="1" ref="H54" ca="1">INDIRECT("R[40]C["&amp;$A$46&amp;"]",FALSE)</f>
        <v>0</v>
      </c>
      <c r="I54" s="124" cm="1">
        <f t="array" aca="1" ref="I54" ca="1">INDIRECT("R[40]C["&amp;$A$46&amp;"]",FALSE)</f>
        <v>0</v>
      </c>
      <c r="J54" s="124" cm="1">
        <f t="array" aca="1" ref="J54" ca="1">INDIRECT("R[40]C["&amp;$A$46&amp;"]",FALSE)</f>
        <v>0</v>
      </c>
      <c r="K54" s="124" cm="1">
        <f t="array" aca="1" ref="K54" ca="1">INDIRECT("R[40]C["&amp;$A$46&amp;"]",FALSE)</f>
        <v>0</v>
      </c>
      <c r="L54" s="124" cm="1">
        <f t="array" aca="1" ref="L54" ca="1">INDIRECT("R[40]C["&amp;$A$46&amp;"]",FALSE)</f>
        <v>0</v>
      </c>
      <c r="M54" s="124" cm="1">
        <f t="array" aca="1" ref="M54" ca="1">INDIRECT("R[40]C["&amp;$A$46&amp;"]",FALSE)</f>
        <v>0</v>
      </c>
      <c r="N54" s="124" cm="1">
        <f t="array" aca="1" ref="N54" ca="1">INDIRECT("R[40]C["&amp;$A$46&amp;"]",FALSE)</f>
        <v>0</v>
      </c>
      <c r="O54" s="124" cm="1">
        <f t="array" aca="1" ref="O54" ca="1">INDIRECT("R[40]C["&amp;$A$46&amp;"]",FALSE)</f>
        <v>0</v>
      </c>
      <c r="P54" s="124" cm="1">
        <f t="array" aca="1" ref="P54" ca="1">INDIRECT("R[40]C["&amp;$A$46&amp;"]",FALSE)</f>
        <v>0</v>
      </c>
      <c r="Q54" s="123"/>
      <c r="R54" s="128">
        <f ca="1">SUM(D54:P54)</f>
        <v>552.74358974358972</v>
      </c>
    </row>
    <row r="55" spans="1:18" ht="15.5" x14ac:dyDescent="0.35">
      <c r="A55" s="121">
        <f>A54</f>
        <v>1</v>
      </c>
      <c r="B55" s="123">
        <v>15</v>
      </c>
      <c r="C55" s="127" cm="1">
        <f t="array" aca="1" ref="C55" ca="1">INDIRECT("R[40]C["&amp;$A$46&amp;"]",FALSE)</f>
        <v>0</v>
      </c>
      <c r="D55" s="124" cm="1">
        <f t="array" aca="1" ref="D55" ca="1">INDIRECT("R[40]C["&amp;$A$46&amp;"]",FALSE)</f>
        <v>0</v>
      </c>
      <c r="E55" s="124" cm="1">
        <f t="array" aca="1" ref="E55" ca="1">INDIRECT("R[40]C["&amp;$A$46&amp;"]",FALSE)</f>
        <v>76.52100840336135</v>
      </c>
      <c r="F55" s="124" cm="1">
        <f t="array" aca="1" ref="F55" ca="1">INDIRECT("R[40]C["&amp;$A$46&amp;"]",FALSE)</f>
        <v>102.33333333333334</v>
      </c>
      <c r="G55" s="124" cm="1">
        <f t="array" aca="1" ref="G55" ca="1">INDIRECT("R[40]C["&amp;$A$46&amp;"]",FALSE)</f>
        <v>183.06666666666666</v>
      </c>
      <c r="H55" s="124" cm="1">
        <f t="array" aca="1" ref="H55" ca="1">INDIRECT("R[40]C["&amp;$A$46&amp;"]",FALSE)</f>
        <v>193.64</v>
      </c>
      <c r="I55" s="124" cm="1">
        <f t="array" aca="1" ref="I55" ca="1">INDIRECT("R[40]C["&amp;$A$46&amp;"]",FALSE)</f>
        <v>408.41126999157984</v>
      </c>
      <c r="J55" s="124" cm="1">
        <f t="array" aca="1" ref="J55" ca="1">INDIRECT("R[40]C["&amp;$A$46&amp;"]",FALSE)</f>
        <v>219.61275259631313</v>
      </c>
      <c r="K55" s="124" cm="1">
        <f t="array" aca="1" ref="K55" ca="1">INDIRECT("R[40]C["&amp;$A$46&amp;"]",FALSE)</f>
        <v>381.94193194134141</v>
      </c>
      <c r="L55" s="124" cm="1">
        <f t="array" aca="1" ref="L55" ca="1">INDIRECT("R[40]C["&amp;$A$46&amp;"]",FALSE)</f>
        <v>0</v>
      </c>
      <c r="M55" s="124" cm="1">
        <f t="array" aca="1" ref="M55" ca="1">INDIRECT("R[40]C["&amp;$A$46&amp;"]",FALSE)</f>
        <v>0</v>
      </c>
      <c r="N55" s="124" cm="1">
        <f t="array" aca="1" ref="N55" ca="1">INDIRECT("R[40]C["&amp;$A$46&amp;"]",FALSE)</f>
        <v>0</v>
      </c>
      <c r="O55" s="124" cm="1">
        <f t="array" aca="1" ref="O55" ca="1">INDIRECT("R[40]C["&amp;$A$46&amp;"]",FALSE)</f>
        <v>0</v>
      </c>
      <c r="P55" s="124" cm="1">
        <f t="array" aca="1" ref="P55" ca="1">INDIRECT("R[40]C["&amp;$A$46&amp;"]",FALSE)</f>
        <v>0</v>
      </c>
      <c r="Q55" s="123"/>
      <c r="R55" s="128">
        <f ca="1">SUM(D55:P55)</f>
        <v>1565.5269629325958</v>
      </c>
    </row>
    <row r="56" spans="1:18" ht="15.5" x14ac:dyDescent="0.35">
      <c r="A56" s="121">
        <f>A55</f>
        <v>1</v>
      </c>
      <c r="B56" s="123">
        <v>18</v>
      </c>
      <c r="C56" s="127" cm="1">
        <f t="array" aca="1" ref="C56" ca="1">INDIRECT("R[40]C["&amp;$A$46&amp;"]",FALSE)</f>
        <v>0</v>
      </c>
      <c r="D56" s="124" cm="1">
        <f t="array" aca="1" ref="D56" ca="1">INDIRECT("R[40]C["&amp;$A$46&amp;"]",FALSE)</f>
        <v>0</v>
      </c>
      <c r="E56" s="124" cm="1">
        <f t="array" aca="1" ref="E56" ca="1">INDIRECT("R[40]C["&amp;$A$46&amp;"]",FALSE)</f>
        <v>0</v>
      </c>
      <c r="F56" s="124" cm="1">
        <f t="array" aca="1" ref="F56" ca="1">INDIRECT("R[40]C["&amp;$A$46&amp;"]",FALSE)</f>
        <v>0</v>
      </c>
      <c r="G56" s="124" cm="1">
        <f t="array" aca="1" ref="G56" ca="1">INDIRECT("R[40]C["&amp;$A$46&amp;"]",FALSE)</f>
        <v>0</v>
      </c>
      <c r="H56" s="124" cm="1">
        <f t="array" aca="1" ref="H56" ca="1">INDIRECT("R[40]C["&amp;$A$46&amp;"]",FALSE)</f>
        <v>0</v>
      </c>
      <c r="I56" s="124" cm="1">
        <f t="array" aca="1" ref="I56" ca="1">INDIRECT("R[40]C["&amp;$A$46&amp;"]",FALSE)</f>
        <v>0</v>
      </c>
      <c r="J56" s="124" cm="1">
        <f t="array" aca="1" ref="J56" ca="1">INDIRECT("R[40]C["&amp;$A$46&amp;"]",FALSE)</f>
        <v>0</v>
      </c>
      <c r="K56" s="124" cm="1">
        <f t="array" aca="1" ref="K56" ca="1">INDIRECT("R[40]C["&amp;$A$46&amp;"]",FALSE)</f>
        <v>0</v>
      </c>
      <c r="L56" s="124" cm="1">
        <f t="array" aca="1" ref="L56" ca="1">INDIRECT("R[40]C["&amp;$A$46&amp;"]",FALSE)</f>
        <v>144.53977773978585</v>
      </c>
      <c r="M56" s="124" cm="1">
        <f t="array" aca="1" ref="M56" ca="1">INDIRECT("R[40]C["&amp;$A$46&amp;"]",FALSE)</f>
        <v>217.27790874381157</v>
      </c>
      <c r="N56" s="124" cm="1">
        <f t="array" aca="1" ref="N56" ca="1">INDIRECT("R[40]C["&amp;$A$46&amp;"]",FALSE)</f>
        <v>81.493553167490219</v>
      </c>
      <c r="O56" s="124" cm="1">
        <f t="array" aca="1" ref="O56" ca="1">INDIRECT("R[40]C["&amp;$A$46&amp;"]",FALSE)</f>
        <v>80.082867813976321</v>
      </c>
      <c r="P56" s="124" cm="1">
        <f t="array" aca="1" ref="P56" ca="1">INDIRECT("R[40]C["&amp;$A$46&amp;"]",FALSE)</f>
        <v>51.333333333333336</v>
      </c>
      <c r="Q56" s="123"/>
      <c r="R56" s="128">
        <f ca="1">SUM(D56:P56)</f>
        <v>574.72744079839731</v>
      </c>
    </row>
    <row r="57" spans="1:18" ht="15.5" x14ac:dyDescent="0.35">
      <c r="A57" s="116"/>
      <c r="B57" s="129" t="s">
        <v>352</v>
      </c>
      <c r="C57" s="133"/>
      <c r="D57" s="131"/>
      <c r="E57" s="131"/>
      <c r="F57" s="131"/>
      <c r="G57" s="131"/>
      <c r="H57" s="131"/>
      <c r="I57" s="131"/>
      <c r="J57" s="131"/>
      <c r="K57" s="131"/>
      <c r="L57" s="131"/>
      <c r="M57" s="131"/>
      <c r="N57" s="131"/>
      <c r="O57" s="131"/>
      <c r="P57" s="131"/>
      <c r="Q57" s="131"/>
      <c r="R57" s="130"/>
    </row>
    <row r="58" spans="1:18" ht="15.5" x14ac:dyDescent="0.35">
      <c r="A58" s="121">
        <f>A56</f>
        <v>1</v>
      </c>
      <c r="B58" s="123">
        <v>12</v>
      </c>
      <c r="C58" s="127" cm="1">
        <f t="array" aca="1" ref="C58" ca="1">INDIRECT("R[40]C["&amp;$A$58&amp;"]",FALSE)</f>
        <v>0</v>
      </c>
      <c r="D58" s="124" cm="1">
        <f t="array" aca="1" ref="D58" ca="1">INDIRECT("R[40]C["&amp;$A$58&amp;"]",FALSE)</f>
        <v>42.769230769230774</v>
      </c>
      <c r="E58" s="124" cm="1">
        <f t="array" aca="1" ref="E58" ca="1">INDIRECT("R[40]C["&amp;$A$58&amp;"]",FALSE)</f>
        <v>261.79487179487182</v>
      </c>
      <c r="F58" s="124" cm="1">
        <f t="array" aca="1" ref="F58" ca="1">INDIRECT("R[40]C["&amp;$A$58&amp;"]",FALSE)</f>
        <v>187.5128205128205</v>
      </c>
      <c r="G58" s="124" cm="1">
        <f t="array" aca="1" ref="G58" ca="1">INDIRECT("R[40]C["&amp;$A$58&amp;"]",FALSE)</f>
        <v>60.666666666666664</v>
      </c>
      <c r="H58" s="124" cm="1">
        <f t="array" aca="1" ref="H58" ca="1">INDIRECT("R[40]C["&amp;$A$58&amp;"]",FALSE)</f>
        <v>0</v>
      </c>
      <c r="I58" s="124" cm="1">
        <f t="array" aca="1" ref="I58" ca="1">INDIRECT("R[40]C["&amp;$A$58&amp;"]",FALSE)</f>
        <v>0</v>
      </c>
      <c r="J58" s="124" cm="1">
        <f t="array" aca="1" ref="J58" ca="1">INDIRECT("R[40]C["&amp;$A$58&amp;"]",FALSE)</f>
        <v>0</v>
      </c>
      <c r="K58" s="124" cm="1">
        <f t="array" aca="1" ref="K58" ca="1">INDIRECT("R[40]C["&amp;$A$58&amp;"]",FALSE)</f>
        <v>0</v>
      </c>
      <c r="L58" s="124" cm="1">
        <f t="array" aca="1" ref="L58" ca="1">INDIRECT("R[40]C["&amp;$A$58&amp;"]",FALSE)</f>
        <v>0</v>
      </c>
      <c r="M58" s="124" cm="1">
        <f t="array" aca="1" ref="M58" ca="1">INDIRECT("R[40]C["&amp;$A$58&amp;"]",FALSE)</f>
        <v>0</v>
      </c>
      <c r="N58" s="124" cm="1">
        <f t="array" aca="1" ref="N58" ca="1">INDIRECT("R[40]C["&amp;$A$58&amp;"]",FALSE)</f>
        <v>0</v>
      </c>
      <c r="O58" s="124" cm="1">
        <f t="array" aca="1" ref="O58" ca="1">INDIRECT("R[40]C["&amp;$A$58&amp;"]",FALSE)</f>
        <v>0</v>
      </c>
      <c r="P58" s="124" cm="1">
        <f t="array" aca="1" ref="P58" ca="1">INDIRECT("R[40]C["&amp;$A$58&amp;"]",FALSE)</f>
        <v>0</v>
      </c>
      <c r="Q58" s="123"/>
      <c r="R58" s="128">
        <f ca="1">SUM(D58:P58)</f>
        <v>552.74358974358972</v>
      </c>
    </row>
    <row r="59" spans="1:18" ht="15.5" x14ac:dyDescent="0.35">
      <c r="A59" s="121">
        <f>A56</f>
        <v>1</v>
      </c>
      <c r="B59" s="123">
        <v>15</v>
      </c>
      <c r="C59" s="127" cm="1">
        <f t="array" aca="1" ref="C59" ca="1">INDIRECT("R[40]C["&amp;$A$58&amp;"]",FALSE)</f>
        <v>0</v>
      </c>
      <c r="D59" s="124" cm="1">
        <f t="array" aca="1" ref="D59" ca="1">INDIRECT("R[40]C["&amp;$A$58&amp;"]",FALSE)</f>
        <v>0</v>
      </c>
      <c r="E59" s="124" cm="1">
        <f t="array" aca="1" ref="E59" ca="1">INDIRECT("R[40]C["&amp;$A$58&amp;"]",FALSE)</f>
        <v>76.52100840336135</v>
      </c>
      <c r="F59" s="124" cm="1">
        <f t="array" aca="1" ref="F59" ca="1">INDIRECT("R[40]C["&amp;$A$58&amp;"]",FALSE)</f>
        <v>102.33333333333334</v>
      </c>
      <c r="G59" s="124" cm="1">
        <f t="array" aca="1" ref="G59" ca="1">INDIRECT("R[40]C["&amp;$A$58&amp;"]",FALSE)</f>
        <v>183.06666666666666</v>
      </c>
      <c r="H59" s="124" cm="1">
        <f t="array" aca="1" ref="H59" ca="1">INDIRECT("R[40]C["&amp;$A$58&amp;"]",FALSE)</f>
        <v>193.64</v>
      </c>
      <c r="I59" s="124" cm="1">
        <f t="array" aca="1" ref="I59" ca="1">INDIRECT("R[40]C["&amp;$A$58&amp;"]",FALSE)</f>
        <v>408.41126999157984</v>
      </c>
      <c r="J59" s="124" cm="1">
        <f t="array" aca="1" ref="J59" ca="1">INDIRECT("R[40]C["&amp;$A$58&amp;"]",FALSE)</f>
        <v>219.61275259631313</v>
      </c>
      <c r="K59" s="124" cm="1">
        <f t="array" aca="1" ref="K59" ca="1">INDIRECT("R[40]C["&amp;$A$58&amp;"]",FALSE)</f>
        <v>381.94193194134141</v>
      </c>
      <c r="L59" s="124" cm="1">
        <f t="array" aca="1" ref="L59" ca="1">INDIRECT("R[40]C["&amp;$A$58&amp;"]",FALSE)</f>
        <v>0</v>
      </c>
      <c r="M59" s="124" cm="1">
        <f t="array" aca="1" ref="M59" ca="1">INDIRECT("R[40]C["&amp;$A$58&amp;"]",FALSE)</f>
        <v>0</v>
      </c>
      <c r="N59" s="124" cm="1">
        <f t="array" aca="1" ref="N59" ca="1">INDIRECT("R[40]C["&amp;$A$58&amp;"]",FALSE)</f>
        <v>0</v>
      </c>
      <c r="O59" s="124" cm="1">
        <f t="array" aca="1" ref="O59" ca="1">INDIRECT("R[40]C["&amp;$A$58&amp;"]",FALSE)</f>
        <v>0</v>
      </c>
      <c r="P59" s="124" cm="1">
        <f t="array" aca="1" ref="P59" ca="1">INDIRECT("R[40]C["&amp;$A$58&amp;"]",FALSE)</f>
        <v>0</v>
      </c>
      <c r="Q59" s="123"/>
      <c r="R59" s="128">
        <f ca="1">SUM(D59:P59)</f>
        <v>1565.5269629325958</v>
      </c>
    </row>
    <row r="60" spans="1:18" ht="15.5" x14ac:dyDescent="0.35">
      <c r="A60" s="121">
        <f>A56</f>
        <v>1</v>
      </c>
      <c r="B60" s="123">
        <v>18</v>
      </c>
      <c r="C60" s="127" cm="1">
        <f t="array" aca="1" ref="C60" ca="1">INDIRECT("R[40]C["&amp;$A$58&amp;"]",FALSE)</f>
        <v>0</v>
      </c>
      <c r="D60" s="124" cm="1">
        <f t="array" aca="1" ref="D60" ca="1">INDIRECT("R[40]C["&amp;$A$58&amp;"]",FALSE)</f>
        <v>0</v>
      </c>
      <c r="E60" s="124" cm="1">
        <f t="array" aca="1" ref="E60" ca="1">INDIRECT("R[40]C["&amp;$A$58&amp;"]",FALSE)</f>
        <v>0</v>
      </c>
      <c r="F60" s="124" cm="1">
        <f t="array" aca="1" ref="F60" ca="1">INDIRECT("R[40]C["&amp;$A$58&amp;"]",FALSE)</f>
        <v>0</v>
      </c>
      <c r="G60" s="124" cm="1">
        <f t="array" aca="1" ref="G60" ca="1">INDIRECT("R[40]C["&amp;$A$58&amp;"]",FALSE)</f>
        <v>0</v>
      </c>
      <c r="H60" s="124" cm="1">
        <f t="array" aca="1" ref="H60" ca="1">INDIRECT("R[40]C["&amp;$A$58&amp;"]",FALSE)</f>
        <v>0</v>
      </c>
      <c r="I60" s="124" cm="1">
        <f t="array" aca="1" ref="I60" ca="1">INDIRECT("R[40]C["&amp;$A$58&amp;"]",FALSE)</f>
        <v>0</v>
      </c>
      <c r="J60" s="124" cm="1">
        <f t="array" aca="1" ref="J60" ca="1">INDIRECT("R[40]C["&amp;$A$58&amp;"]",FALSE)</f>
        <v>0</v>
      </c>
      <c r="K60" s="124" cm="1">
        <f t="array" aca="1" ref="K60" ca="1">INDIRECT("R[40]C["&amp;$A$58&amp;"]",FALSE)</f>
        <v>0</v>
      </c>
      <c r="L60" s="124" cm="1">
        <f t="array" aca="1" ref="L60" ca="1">INDIRECT("R[40]C["&amp;$A$58&amp;"]",FALSE)</f>
        <v>144.53977773978585</v>
      </c>
      <c r="M60" s="124" cm="1">
        <f t="array" aca="1" ref="M60" ca="1">INDIRECT("R[40]C["&amp;$A$58&amp;"]",FALSE)</f>
        <v>217.27790874381157</v>
      </c>
      <c r="N60" s="124" cm="1">
        <f t="array" aca="1" ref="N60" ca="1">INDIRECT("R[40]C["&amp;$A$58&amp;"]",FALSE)</f>
        <v>81.493553167490219</v>
      </c>
      <c r="O60" s="124" cm="1">
        <f t="array" aca="1" ref="O60" ca="1">INDIRECT("R[40]C["&amp;$A$58&amp;"]",FALSE)</f>
        <v>80.082867813976321</v>
      </c>
      <c r="P60" s="124" cm="1">
        <f t="array" aca="1" ref="P60" ca="1">INDIRECT("R[40]C["&amp;$A$58&amp;"]",FALSE)</f>
        <v>51.333333333333336</v>
      </c>
      <c r="Q60" s="123"/>
      <c r="R60" s="128">
        <f ca="1">SUM(D60:P60)</f>
        <v>574.72744079839731</v>
      </c>
    </row>
    <row r="61" spans="1:18" ht="15.5" x14ac:dyDescent="0.35">
      <c r="A61" s="116"/>
      <c r="B61" s="129" t="s">
        <v>116</v>
      </c>
      <c r="C61" s="133"/>
      <c r="D61" s="131"/>
      <c r="E61" s="131"/>
      <c r="F61" s="131"/>
      <c r="G61" s="131"/>
      <c r="H61" s="131"/>
      <c r="I61" s="131"/>
      <c r="J61" s="131"/>
      <c r="K61" s="131"/>
      <c r="L61" s="131"/>
      <c r="M61" s="131"/>
      <c r="N61" s="131"/>
      <c r="O61" s="131"/>
      <c r="P61" s="131"/>
      <c r="Q61" s="131"/>
      <c r="R61" s="130"/>
    </row>
    <row r="62" spans="1:18" ht="15.5" x14ac:dyDescent="0.35">
      <c r="A62" s="121">
        <f>A60</f>
        <v>1</v>
      </c>
      <c r="B62" s="125" t="s">
        <v>257</v>
      </c>
      <c r="C62" s="127" cm="1">
        <f t="array" aca="1" ref="C62" ca="1">INDIRECT("R[40]C["&amp;$A$62&amp;"]",FALSE)</f>
        <v>0</v>
      </c>
      <c r="D62" s="124" cm="1">
        <f t="array" aca="1" ref="D62" ca="1">INDIRECT("R[40]C["&amp;$A$62&amp;"]",FALSE)</f>
        <v>32.769230769230774</v>
      </c>
      <c r="E62" s="124" cm="1">
        <f t="array" aca="1" ref="E62" ca="1">INDIRECT("R[40]C["&amp;$A$62&amp;"]",FALSE)</f>
        <v>229.49353587588882</v>
      </c>
      <c r="F62" s="124" cm="1">
        <f t="array" aca="1" ref="F62" ca="1">INDIRECT("R[40]C["&amp;$A$62&amp;"]",FALSE)</f>
        <v>179.50641025641025</v>
      </c>
      <c r="G62" s="124" cm="1">
        <f t="array" aca="1" ref="G62" ca="1">INDIRECT("R[40]C["&amp;$A$62&amp;"]",FALSE)</f>
        <v>160.73333333333332</v>
      </c>
      <c r="H62" s="124" cm="1">
        <f t="array" aca="1" ref="H62" ca="1">INDIRECT("R[40]C["&amp;$A$62&amp;"]",FALSE)</f>
        <v>97.213333333333338</v>
      </c>
      <c r="I62" s="124" cm="1">
        <f t="array" aca="1" ref="I62" ca="1">INDIRECT("R[40]C["&amp;$A$62&amp;"]",FALSE)</f>
        <v>226.77599949362576</v>
      </c>
      <c r="J62" s="124" cm="1">
        <f t="array" aca="1" ref="J62" ca="1">INDIRECT("R[40]C["&amp;$A$62&amp;"]",FALSE)</f>
        <v>150.25333333333333</v>
      </c>
      <c r="K62" s="124" cm="1">
        <f t="array" aca="1" ref="K62" ca="1">INDIRECT("R[40]C["&amp;$A$62&amp;"]",FALSE)</f>
        <v>262.03917934502823</v>
      </c>
      <c r="L62" s="124" cm="1">
        <f t="array" aca="1" ref="L62" ca="1">INDIRECT("R[40]C["&amp;$A$62&amp;"]",FALSE)</f>
        <v>38.886145644612462</v>
      </c>
      <c r="M62" s="124" cm="1">
        <f t="array" aca="1" ref="M62" ca="1">INDIRECT("R[40]C["&amp;$A$62&amp;"]",FALSE)</f>
        <v>115.79374890861638</v>
      </c>
      <c r="N62" s="124" cm="1">
        <f t="array" aca="1" ref="N62" ca="1">INDIRECT("R[40]C["&amp;$A$62&amp;"]",FALSE)</f>
        <v>41.49444444444444</v>
      </c>
      <c r="O62" s="124" cm="1">
        <f t="array" aca="1" ref="O62" ca="1">INDIRECT("R[40]C["&amp;$A$62&amp;"]",FALSE)</f>
        <v>62.732867813976327</v>
      </c>
      <c r="P62" s="124" cm="1">
        <f t="array" aca="1" ref="P62" ca="1">INDIRECT("R[40]C["&amp;$A$62&amp;"]",FALSE)</f>
        <v>35.93333333333333</v>
      </c>
      <c r="Q62" s="124"/>
      <c r="R62" s="128">
        <f t="shared" ref="R62" ca="1" si="7">SUM(D62:Q62)</f>
        <v>1633.624895885167</v>
      </c>
    </row>
    <row r="63" spans="1:18" ht="15.5" x14ac:dyDescent="0.35">
      <c r="A63" s="121">
        <f>A60</f>
        <v>1</v>
      </c>
      <c r="B63" s="125" t="s">
        <v>258</v>
      </c>
      <c r="C63" s="127" cm="1">
        <f t="array" aca="1" ref="C63" ca="1">INDIRECT("R[40]C["&amp;$A$62&amp;"]",FALSE)</f>
        <v>0</v>
      </c>
      <c r="D63" s="124" cm="1">
        <f t="array" aca="1" ref="D63" ca="1">INDIRECT("R[40]C["&amp;$A$62&amp;"]",FALSE)</f>
        <v>32.769230769230774</v>
      </c>
      <c r="E63" s="124" cm="1">
        <f t="array" aca="1" ref="E63" ca="1">INDIRECT("R[40]C["&amp;$A$62&amp;"]",FALSE)</f>
        <v>229.49353587588882</v>
      </c>
      <c r="F63" s="124" cm="1">
        <f t="array" aca="1" ref="F63" ca="1">INDIRECT("R[40]C["&amp;$A$62&amp;"]",FALSE)</f>
        <v>179.50641025641025</v>
      </c>
      <c r="G63" s="124" cm="1">
        <f t="array" aca="1" ref="G63" ca="1">INDIRECT("R[40]C["&amp;$A$62&amp;"]",FALSE)</f>
        <v>160.73333333333332</v>
      </c>
      <c r="H63" s="124" cm="1">
        <f t="array" aca="1" ref="H63" ca="1">INDIRECT("R[40]C["&amp;$A$62&amp;"]",FALSE)</f>
        <v>97.213333333333338</v>
      </c>
      <c r="I63" s="124" cm="1">
        <f t="array" aca="1" ref="I63" ca="1">INDIRECT("R[40]C["&amp;$A$62&amp;"]",FALSE)</f>
        <v>226.77599949362576</v>
      </c>
      <c r="J63" s="124" cm="1">
        <f t="array" aca="1" ref="J63" ca="1">INDIRECT("R[40]C["&amp;$A$62&amp;"]",FALSE)</f>
        <v>150.25333333333333</v>
      </c>
      <c r="K63" s="124" cm="1">
        <f t="array" aca="1" ref="K63" ca="1">INDIRECT("R[40]C["&amp;$A$62&amp;"]",FALSE)</f>
        <v>262.03917934502823</v>
      </c>
      <c r="L63" s="124" cm="1">
        <f t="array" aca="1" ref="L63" ca="1">INDIRECT("R[40]C["&amp;$A$62&amp;"]",FALSE)</f>
        <v>38.886145644612462</v>
      </c>
      <c r="M63" s="124" cm="1">
        <f t="array" aca="1" ref="M63" ca="1">INDIRECT("R[40]C["&amp;$A$62&amp;"]",FALSE)</f>
        <v>115.79374890861638</v>
      </c>
      <c r="N63" s="124" cm="1">
        <f t="array" aca="1" ref="N63" ca="1">INDIRECT("R[40]C["&amp;$A$62&amp;"]",FALSE)</f>
        <v>41.49444444444444</v>
      </c>
      <c r="O63" s="124" cm="1">
        <f t="array" aca="1" ref="O63" ca="1">INDIRECT("R[40]C["&amp;$A$62&amp;"]",FALSE)</f>
        <v>62.732867813976327</v>
      </c>
      <c r="P63" s="124" cm="1">
        <f t="array" aca="1" ref="P63" ca="1">INDIRECT("R[40]C["&amp;$A$62&amp;"]",FALSE)</f>
        <v>35.93333333333333</v>
      </c>
      <c r="Q63" s="124"/>
      <c r="R63" s="128"/>
    </row>
    <row r="64" spans="1:18" ht="15.5" x14ac:dyDescent="0.35">
      <c r="A64" s="121">
        <f>A60</f>
        <v>1</v>
      </c>
      <c r="B64" s="125" t="s">
        <v>353</v>
      </c>
      <c r="C64" s="127" cm="1">
        <f t="array" aca="1" ref="C64" ca="1">INDIRECT("R[40]C["&amp;$A$62&amp;"]",FALSE)</f>
        <v>0</v>
      </c>
      <c r="D64" s="124" cm="1">
        <f t="array" aca="1" ref="D64" ca="1">INDIRECT("R[40]C["&amp;$A$62&amp;"]",FALSE)</f>
        <v>0</v>
      </c>
      <c r="E64" s="124" cm="1">
        <f t="array" aca="1" ref="E64" ca="1">INDIRECT("R[40]C["&amp;$A$62&amp;"]",FALSE)</f>
        <v>29.142857142857142</v>
      </c>
      <c r="F64" s="124" cm="1">
        <f t="array" aca="1" ref="F64" ca="1">INDIRECT("R[40]C["&amp;$A$62&amp;"]",FALSE)</f>
        <v>12</v>
      </c>
      <c r="G64" s="124" cm="1">
        <f t="array" aca="1" ref="G64" ca="1">INDIRECT("R[40]C["&amp;$A$62&amp;"]",FALSE)</f>
        <v>11</v>
      </c>
      <c r="H64" s="124" cm="1">
        <f t="array" aca="1" ref="H64" ca="1">INDIRECT("R[40]C["&amp;$A$62&amp;"]",FALSE)</f>
        <v>5.36</v>
      </c>
      <c r="I64" s="124" cm="1">
        <f t="array" aca="1" ref="I64" ca="1">INDIRECT("R[40]C["&amp;$A$62&amp;"]",FALSE)</f>
        <v>46.23</v>
      </c>
      <c r="J64" s="124" cm="1">
        <f t="array" aca="1" ref="J64" ca="1">INDIRECT("R[40]C["&amp;$A$62&amp;"]",FALSE)</f>
        <v>10.24</v>
      </c>
      <c r="K64" s="124" cm="1">
        <f t="array" aca="1" ref="K64" ca="1">INDIRECT("R[40]C["&amp;$A$62&amp;"]",FALSE)</f>
        <v>9.7199999999999989</v>
      </c>
      <c r="L64" s="124" cm="1">
        <f t="array" aca="1" ref="L64" ca="1">INDIRECT("R[40]C["&amp;$A$62&amp;"]",FALSE)</f>
        <v>0</v>
      </c>
      <c r="M64" s="124" cm="1">
        <f t="array" aca="1" ref="M64" ca="1">INDIRECT("R[40]C["&amp;$A$62&amp;"]",FALSE)</f>
        <v>22.102231908989225</v>
      </c>
      <c r="N64" s="124" cm="1">
        <f t="array" aca="1" ref="N64" ca="1">INDIRECT("R[40]C["&amp;$A$62&amp;"]",FALSE)</f>
        <v>8.8916666666666657</v>
      </c>
      <c r="O64" s="124" cm="1">
        <f t="array" aca="1" ref="O64" ca="1">INDIRECT("R[40]C["&amp;$A$62&amp;"]",FALSE)</f>
        <v>8.6750000000000007</v>
      </c>
      <c r="P64" s="124" cm="1">
        <f t="array" aca="1" ref="P64" ca="1">INDIRECT("R[40]C["&amp;$A$62&amp;"]",FALSE)</f>
        <v>7.7</v>
      </c>
      <c r="Q64" s="124"/>
      <c r="R64" s="128">
        <f t="shared" ref="R64:R66" ca="1" si="8">SUM(D64:Q64)</f>
        <v>171.06175571851304</v>
      </c>
    </row>
    <row r="65" spans="1:18" ht="15.5" x14ac:dyDescent="0.35">
      <c r="A65" s="121">
        <f>A60</f>
        <v>1</v>
      </c>
      <c r="B65" s="125" t="s">
        <v>117</v>
      </c>
      <c r="C65" s="127" cm="1">
        <f t="array" aca="1" ref="C65" ca="1">INDIRECT("R[40]C["&amp;$A$62&amp;"]",FALSE)</f>
        <v>0</v>
      </c>
      <c r="D65" s="124" cm="1">
        <f t="array" aca="1" ref="D65" ca="1">INDIRECT("R[40]C["&amp;$A$62&amp;"]",FALSE)</f>
        <v>10</v>
      </c>
      <c r="E65" s="124" cm="1">
        <f t="array" aca="1" ref="E65" ca="1">INDIRECT("R[40]C["&amp;$A$62&amp;"]",FALSE)</f>
        <v>79.679487179487182</v>
      </c>
      <c r="F65" s="124" cm="1">
        <f t="array" aca="1" ref="F65" ca="1">INDIRECT("R[40]C["&amp;$A$62&amp;"]",FALSE)</f>
        <v>76.339743589743591</v>
      </c>
      <c r="G65" s="124" cm="1">
        <f t="array" aca="1" ref="G65" ca="1">INDIRECT("R[40]C["&amp;$A$62&amp;"]",FALSE)</f>
        <v>50</v>
      </c>
      <c r="H65" s="124" cm="1">
        <f t="array" aca="1" ref="H65" ca="1">INDIRECT("R[40]C["&amp;$A$62&amp;"]",FALSE)</f>
        <v>91.066666666666677</v>
      </c>
      <c r="I65" s="124" cm="1">
        <f t="array" aca="1" ref="I65" ca="1">INDIRECT("R[40]C["&amp;$A$62&amp;"]",FALSE)</f>
        <v>81.650000000000006</v>
      </c>
      <c r="J65" s="124" cm="1">
        <f t="array" aca="1" ref="J65" ca="1">INDIRECT("R[40]C["&amp;$A$62&amp;"]",FALSE)</f>
        <v>10.24</v>
      </c>
      <c r="K65" s="124" cm="1">
        <f t="array" aca="1" ref="K65" ca="1">INDIRECT("R[40]C["&amp;$A$62&amp;"]",FALSE)</f>
        <v>22.17</v>
      </c>
      <c r="L65" s="124" cm="1">
        <f t="array" aca="1" ref="L65" ca="1">INDIRECT("R[40]C["&amp;$A$62&amp;"]",FALSE)</f>
        <v>0</v>
      </c>
      <c r="M65" s="124" cm="1">
        <f t="array" aca="1" ref="M65" ca="1">INDIRECT("R[40]C["&amp;$A$62&amp;"]",FALSE)</f>
        <v>51.618898575655891</v>
      </c>
      <c r="N65" s="124" cm="1">
        <f t="array" aca="1" ref="N65" ca="1">INDIRECT("R[40]C["&amp;$A$62&amp;"]",FALSE)</f>
        <v>8.8916666666666657</v>
      </c>
      <c r="O65" s="124" cm="1">
        <f t="array" aca="1" ref="O65" ca="1">INDIRECT("R[40]C["&amp;$A$62&amp;"]",FALSE)</f>
        <v>8.6750000000000007</v>
      </c>
      <c r="P65" s="124" cm="1">
        <f t="array" aca="1" ref="P65" ca="1">INDIRECT("R[40]C["&amp;$A$62&amp;"]",FALSE)</f>
        <v>7.7</v>
      </c>
      <c r="Q65" s="124"/>
      <c r="R65" s="128">
        <f t="shared" ca="1" si="8"/>
        <v>498.03146267822001</v>
      </c>
    </row>
    <row r="66" spans="1:18" ht="15.5" x14ac:dyDescent="0.35">
      <c r="A66" s="121">
        <f>A60</f>
        <v>1</v>
      </c>
      <c r="B66" s="125" t="s">
        <v>354</v>
      </c>
      <c r="C66" s="127" cm="1">
        <f t="array" aca="1" ref="C66" ca="1">INDIRECT("R[40]C["&amp;$A$62&amp;"]",FALSE)</f>
        <v>0</v>
      </c>
      <c r="D66" s="124" cm="1">
        <f t="array" aca="1" ref="D66" ca="1">INDIRECT("R[40]C["&amp;$A$62&amp;"]",FALSE)</f>
        <v>2</v>
      </c>
      <c r="E66" s="124" cm="1">
        <f t="array" aca="1" ref="E66" ca="1">INDIRECT("R[40]C["&amp;$A$62&amp;"]",FALSE)</f>
        <v>10</v>
      </c>
      <c r="F66" s="124" cm="1">
        <f t="array" aca="1" ref="F66" ca="1">INDIRECT("R[40]C["&amp;$A$62&amp;"]",FALSE)</f>
        <v>9</v>
      </c>
      <c r="G66" s="124" cm="1">
        <f t="array" aca="1" ref="G66" ca="1">INDIRECT("R[40]C["&amp;$A$62&amp;"]",FALSE)</f>
        <v>7</v>
      </c>
      <c r="H66" s="124" cm="1">
        <f t="array" aca="1" ref="H66" ca="1">INDIRECT("R[40]C["&amp;$A$62&amp;"]",FALSE)</f>
        <v>5</v>
      </c>
      <c r="I66" s="124" cm="1">
        <f t="array" aca="1" ref="I66" ca="1">INDIRECT("R[40]C["&amp;$A$62&amp;"]",FALSE)</f>
        <v>8</v>
      </c>
      <c r="J66" s="124" cm="1">
        <f t="array" aca="1" ref="J66" ca="1">INDIRECT("R[40]C["&amp;$A$62&amp;"]",FALSE)</f>
        <v>5</v>
      </c>
      <c r="K66" s="124" cm="1">
        <f t="array" aca="1" ref="K66" ca="1">INDIRECT("R[40]C["&amp;$A$62&amp;"]",FALSE)</f>
        <v>11</v>
      </c>
      <c r="L66" s="124" cm="1">
        <f t="array" aca="1" ref="L66" ca="1">INDIRECT("R[40]C["&amp;$A$62&amp;"]",FALSE)</f>
        <v>1</v>
      </c>
      <c r="M66" s="124" cm="1">
        <f t="array" aca="1" ref="M66" ca="1">INDIRECT("R[40]C["&amp;$A$62&amp;"]",FALSE)</f>
        <v>6</v>
      </c>
      <c r="N66" s="124" cm="1">
        <f t="array" aca="1" ref="N66" ca="1">INDIRECT("R[40]C["&amp;$A$62&amp;"]",FALSE)</f>
        <v>2</v>
      </c>
      <c r="O66" s="124" cm="1">
        <f t="array" aca="1" ref="O66" ca="1">INDIRECT("R[40]C["&amp;$A$62&amp;"]",FALSE)</f>
        <v>3</v>
      </c>
      <c r="P66" s="124" cm="1">
        <f t="array" aca="1" ref="P66" ca="1">INDIRECT("R[40]C["&amp;$A$62&amp;"]",FALSE)</f>
        <v>2</v>
      </c>
      <c r="Q66" s="124"/>
      <c r="R66" s="128">
        <f t="shared" ca="1" si="8"/>
        <v>71</v>
      </c>
    </row>
    <row r="67" spans="1:18" ht="15.5" x14ac:dyDescent="0.35">
      <c r="A67" s="116"/>
      <c r="B67" s="129" t="s">
        <v>119</v>
      </c>
      <c r="C67" s="134"/>
      <c r="D67" s="132"/>
      <c r="E67" s="132"/>
      <c r="F67" s="132"/>
      <c r="G67" s="132"/>
      <c r="H67" s="132"/>
      <c r="I67" s="132"/>
      <c r="J67" s="132"/>
      <c r="K67" s="132"/>
      <c r="L67" s="132"/>
      <c r="M67" s="132"/>
      <c r="N67" s="132"/>
      <c r="O67" s="132"/>
      <c r="P67" s="132"/>
      <c r="Q67" s="132"/>
      <c r="R67" s="130"/>
    </row>
    <row r="68" spans="1:18" ht="15.5" x14ac:dyDescent="0.35">
      <c r="A68" s="121">
        <f>A59</f>
        <v>1</v>
      </c>
      <c r="B68" s="125" t="s">
        <v>355</v>
      </c>
      <c r="C68" s="127" cm="1">
        <f t="array" aca="1" ref="C68" ca="1">INDIRECT("R[40]C["&amp;$A$68&amp;"]",FALSE)</f>
        <v>0</v>
      </c>
      <c r="D68" s="124" cm="1">
        <f t="array" aca="1" ref="D68" ca="1">INDIRECT("R[40]C["&amp;$A$68&amp;"]",FALSE)</f>
        <v>0</v>
      </c>
      <c r="E68" s="124" cm="1">
        <f t="array" aca="1" ref="E68" ca="1">INDIRECT("R[40]C["&amp;$A$68&amp;"]",FALSE)</f>
        <v>0</v>
      </c>
      <c r="F68" s="124" cm="1">
        <f t="array" aca="1" ref="F68" ca="1">INDIRECT("R[40]C["&amp;$A$68&amp;"]",FALSE)</f>
        <v>0</v>
      </c>
      <c r="G68" s="124" cm="1">
        <f t="array" aca="1" ref="G68" ca="1">INDIRECT("R[40]C["&amp;$A$68&amp;"]",FALSE)</f>
        <v>0</v>
      </c>
      <c r="H68" s="124" cm="1">
        <f t="array" aca="1" ref="H68" ca="1">INDIRECT("R[40]C["&amp;$A$68&amp;"]",FALSE)</f>
        <v>0</v>
      </c>
      <c r="I68" s="124" cm="1">
        <f t="array" aca="1" ref="I68" ca="1">INDIRECT("R[40]C["&amp;$A$68&amp;"]",FALSE)</f>
        <v>1</v>
      </c>
      <c r="J68" s="124" cm="1">
        <f t="array" aca="1" ref="J68" ca="1">INDIRECT("R[40]C["&amp;$A$68&amp;"]",FALSE)</f>
        <v>2</v>
      </c>
      <c r="K68" s="124" cm="1">
        <f t="array" aca="1" ref="K68" ca="1">INDIRECT("R[40]C["&amp;$A$68&amp;"]",FALSE)</f>
        <v>2</v>
      </c>
      <c r="L68" s="124" cm="1">
        <f t="array" aca="1" ref="L68" ca="1">INDIRECT("R[40]C["&amp;$A$68&amp;"]",FALSE)</f>
        <v>2</v>
      </c>
      <c r="M68" s="124" cm="1">
        <f t="array" aca="1" ref="M68" ca="1">INDIRECT("R[40]C["&amp;$A$68&amp;"]",FALSE)</f>
        <v>1</v>
      </c>
      <c r="N68" s="124" cm="1">
        <f t="array" aca="1" ref="N68" ca="1">INDIRECT("R[40]C["&amp;$A$68&amp;"]",FALSE)</f>
        <v>1</v>
      </c>
      <c r="O68" s="124" cm="1">
        <f t="array" aca="1" ref="O68" ca="1">INDIRECT("R[40]C["&amp;$A$68&amp;"]",FALSE)</f>
        <v>0</v>
      </c>
      <c r="P68" s="124" cm="1">
        <f t="array" aca="1" ref="P68" ca="1">INDIRECT("R[40]C["&amp;$A$68&amp;"]",FALSE)</f>
        <v>0</v>
      </c>
      <c r="Q68" s="124"/>
      <c r="R68" s="128">
        <f t="shared" ref="R68" ca="1" si="9">SUM(D68:Q68)</f>
        <v>9</v>
      </c>
    </row>
    <row r="69" spans="1:18" ht="15.5" x14ac:dyDescent="0.35">
      <c r="A69" s="116"/>
      <c r="B69" s="129" t="s">
        <v>356</v>
      </c>
      <c r="C69" s="134"/>
      <c r="D69" s="131"/>
      <c r="E69" s="131"/>
      <c r="F69" s="131"/>
      <c r="G69" s="131"/>
      <c r="H69" s="131"/>
      <c r="I69" s="131"/>
      <c r="J69" s="131"/>
      <c r="K69" s="131"/>
      <c r="L69" s="131"/>
      <c r="M69" s="131"/>
      <c r="N69" s="131"/>
      <c r="O69" s="131"/>
      <c r="P69" s="131"/>
      <c r="Q69" s="131"/>
      <c r="R69" s="130"/>
    </row>
    <row r="70" spans="1:18" ht="15.5" x14ac:dyDescent="0.35">
      <c r="A70" s="121">
        <f>A59</f>
        <v>1</v>
      </c>
      <c r="B70" s="125" t="s">
        <v>357</v>
      </c>
      <c r="C70" s="127" cm="1">
        <f t="array" aca="1" ref="C70" ca="1">INDIRECT("R[40]C["&amp;$A$70&amp;"]",FALSE)</f>
        <v>0</v>
      </c>
      <c r="D70" s="124" cm="1">
        <f t="array" aca="1" ref="D70" ca="1">INDIRECT("R[40]C["&amp;$A$70&amp;"]",FALSE)</f>
        <v>2</v>
      </c>
      <c r="E70" s="124" cm="1">
        <f t="array" aca="1" ref="E70" ca="1">INDIRECT("R[40]C["&amp;$A$70&amp;"]",FALSE)</f>
        <v>10</v>
      </c>
      <c r="F70" s="124" cm="1">
        <f t="array" aca="1" ref="F70" ca="1">INDIRECT("R[40]C["&amp;$A$70&amp;"]",FALSE)</f>
        <v>6</v>
      </c>
      <c r="G70" s="124" cm="1">
        <f t="array" aca="1" ref="G70" ca="1">INDIRECT("R[40]C["&amp;$A$70&amp;"]",FALSE)</f>
        <v>7</v>
      </c>
      <c r="H70" s="124" cm="1">
        <f t="array" aca="1" ref="H70" ca="1">INDIRECT("R[40]C["&amp;$A$70&amp;"]",FALSE)</f>
        <v>5</v>
      </c>
      <c r="I70" s="124" cm="1">
        <f t="array" aca="1" ref="I70" ca="1">INDIRECT("R[40]C["&amp;$A$70&amp;"]",FALSE)</f>
        <v>8</v>
      </c>
      <c r="J70" s="124" cm="1">
        <f t="array" aca="1" ref="J70" ca="1">INDIRECT("R[40]C["&amp;$A$70&amp;"]",FALSE)</f>
        <v>5</v>
      </c>
      <c r="K70" s="124" cm="1">
        <f t="array" aca="1" ref="K70" ca="1">INDIRECT("R[40]C["&amp;$A$70&amp;"]",FALSE)</f>
        <v>8</v>
      </c>
      <c r="L70" s="124" cm="1">
        <f t="array" aca="1" ref="L70" ca="1">INDIRECT("R[40]C["&amp;$A$70&amp;"]",FALSE)</f>
        <v>1</v>
      </c>
      <c r="M70" s="124" cm="1">
        <f t="array" aca="1" ref="M70" ca="1">INDIRECT("R[40]C["&amp;$A$70&amp;"]",FALSE)</f>
        <v>6</v>
      </c>
      <c r="N70" s="124" cm="1">
        <f t="array" aca="1" ref="N70" ca="1">INDIRECT("R[40]C["&amp;$A$70&amp;"]",FALSE)</f>
        <v>2</v>
      </c>
      <c r="O70" s="124" cm="1">
        <f t="array" aca="1" ref="O70" ca="1">INDIRECT("R[40]C["&amp;$A$70&amp;"]",FALSE)</f>
        <v>3</v>
      </c>
      <c r="P70" s="124" cm="1">
        <f t="array" aca="1" ref="P70" ca="1">INDIRECT("R[40]C["&amp;$A$70&amp;"]",FALSE)</f>
        <v>2</v>
      </c>
      <c r="Q70" s="124"/>
      <c r="R70" s="128">
        <f t="shared" ref="R70:R71" ca="1" si="10">SUM(D70:Q70)</f>
        <v>65</v>
      </c>
    </row>
    <row r="71" spans="1:18" ht="15.5" x14ac:dyDescent="0.35">
      <c r="A71" s="121">
        <f>A59</f>
        <v>1</v>
      </c>
      <c r="B71" s="125" t="s">
        <v>358</v>
      </c>
      <c r="C71" s="127" cm="1">
        <f t="array" aca="1" ref="C71" ca="1">INDIRECT("R[40]C["&amp;$A$70&amp;"]",FALSE)</f>
        <v>0</v>
      </c>
      <c r="D71" s="124" cm="1">
        <f t="array" aca="1" ref="D71" ca="1">INDIRECT("R[40]C["&amp;$A$70&amp;"]",FALSE)</f>
        <v>0</v>
      </c>
      <c r="E71" s="124" cm="1">
        <f t="array" aca="1" ref="E71" ca="1">INDIRECT("R[40]C["&amp;$A$70&amp;"]",FALSE)</f>
        <v>0</v>
      </c>
      <c r="F71" s="124" cm="1">
        <f t="array" aca="1" ref="F71" ca="1">INDIRECT("R[40]C["&amp;$A$70&amp;"]",FALSE)</f>
        <v>0</v>
      </c>
      <c r="G71" s="124" cm="1">
        <f t="array" aca="1" ref="G71" ca="1">INDIRECT("R[40]C["&amp;$A$70&amp;"]",FALSE)</f>
        <v>0</v>
      </c>
      <c r="H71" s="124" cm="1">
        <f t="array" aca="1" ref="H71" ca="1">INDIRECT("R[40]C["&amp;$A$70&amp;"]",FALSE)</f>
        <v>0</v>
      </c>
      <c r="I71" s="124" cm="1">
        <f t="array" aca="1" ref="I71" ca="1">INDIRECT("R[40]C["&amp;$A$70&amp;"]",FALSE)</f>
        <v>1</v>
      </c>
      <c r="J71" s="124" cm="1">
        <f t="array" aca="1" ref="J71" ca="1">INDIRECT("R[40]C["&amp;$A$70&amp;"]",FALSE)</f>
        <v>2</v>
      </c>
      <c r="K71" s="124" cm="1">
        <f t="array" aca="1" ref="K71" ca="1">INDIRECT("R[40]C["&amp;$A$70&amp;"]",FALSE)</f>
        <v>2</v>
      </c>
      <c r="L71" s="124" cm="1">
        <f t="array" aca="1" ref="L71" ca="1">INDIRECT("R[40]C["&amp;$A$70&amp;"]",FALSE)</f>
        <v>2</v>
      </c>
      <c r="M71" s="124" cm="1">
        <f t="array" aca="1" ref="M71" ca="1">INDIRECT("R[40]C["&amp;$A$70&amp;"]",FALSE)</f>
        <v>1</v>
      </c>
      <c r="N71" s="124" cm="1">
        <f t="array" aca="1" ref="N71" ca="1">INDIRECT("R[40]C["&amp;$A$70&amp;"]",FALSE)</f>
        <v>1</v>
      </c>
      <c r="O71" s="124" cm="1">
        <f t="array" aca="1" ref="O71" ca="1">INDIRECT("R[40]C["&amp;$A$70&amp;"]",FALSE)</f>
        <v>0</v>
      </c>
      <c r="P71" s="124" cm="1">
        <f t="array" aca="1" ref="P71" ca="1">INDIRECT("R[40]C["&amp;$A$70&amp;"]",FALSE)</f>
        <v>0</v>
      </c>
      <c r="Q71" s="124"/>
      <c r="R71" s="128">
        <f t="shared" ca="1" si="10"/>
        <v>9</v>
      </c>
    </row>
    <row r="72" spans="1:18" ht="15.5" x14ac:dyDescent="0.35">
      <c r="A72" s="116"/>
      <c r="B72" s="129"/>
      <c r="C72" s="133"/>
      <c r="D72" s="131"/>
      <c r="E72" s="131"/>
      <c r="F72" s="131"/>
      <c r="G72" s="131"/>
      <c r="H72" s="131"/>
      <c r="I72" s="131"/>
      <c r="J72" s="131"/>
      <c r="K72" s="131"/>
      <c r="L72" s="131"/>
      <c r="M72" s="131"/>
      <c r="N72" s="131"/>
      <c r="O72" s="131"/>
      <c r="P72" s="131"/>
      <c r="Q72" s="131"/>
      <c r="R72" s="130"/>
    </row>
    <row r="73" spans="1:18" ht="15.5" x14ac:dyDescent="0.35">
      <c r="A73" s="116"/>
      <c r="B73" s="116"/>
      <c r="C73" s="116"/>
      <c r="D73" s="182"/>
      <c r="E73" s="182"/>
      <c r="F73" s="182"/>
      <c r="G73" s="182"/>
      <c r="H73" s="182"/>
      <c r="I73" s="182"/>
      <c r="J73" s="182"/>
      <c r="K73" s="182"/>
      <c r="L73" s="182"/>
      <c r="M73" s="182"/>
      <c r="N73" s="182"/>
      <c r="O73" s="182"/>
      <c r="P73" s="182"/>
      <c r="Q73" s="182"/>
      <c r="R73" s="115"/>
    </row>
    <row r="74" spans="1:18" ht="15.5" x14ac:dyDescent="0.35">
      <c r="A74" s="116"/>
      <c r="B74" s="116"/>
      <c r="C74" s="116"/>
      <c r="D74" s="182"/>
      <c r="E74" s="182"/>
      <c r="F74" s="182"/>
      <c r="G74" s="182"/>
      <c r="H74" s="182"/>
      <c r="I74" s="182"/>
      <c r="J74" s="182"/>
      <c r="K74" s="182"/>
      <c r="L74" s="182"/>
      <c r="M74" s="182"/>
      <c r="N74" s="182"/>
      <c r="O74" s="182"/>
      <c r="P74" s="182"/>
      <c r="Q74" s="182"/>
      <c r="R74" s="115"/>
    </row>
    <row r="75" spans="1:18" ht="15.5" x14ac:dyDescent="0.35">
      <c r="A75" s="116"/>
      <c r="B75" s="116" t="s">
        <v>235</v>
      </c>
      <c r="C75" s="115">
        <f ca="1">SUM(C46:C48)</f>
        <v>0</v>
      </c>
      <c r="D75" s="183">
        <f ca="1">SUM(D46:D48)</f>
        <v>42.769230769230774</v>
      </c>
      <c r="E75" s="183">
        <f t="shared" ref="E75:Q75" ca="1" si="11">SUM(E46:E48)</f>
        <v>338.31588019823317</v>
      </c>
      <c r="F75" s="183">
        <f t="shared" ca="1" si="11"/>
        <v>289.84615384615381</v>
      </c>
      <c r="G75" s="183">
        <f t="shared" ca="1" si="11"/>
        <v>243.73333333333332</v>
      </c>
      <c r="H75" s="183">
        <f t="shared" ca="1" si="11"/>
        <v>193.64</v>
      </c>
      <c r="I75" s="183">
        <f t="shared" ca="1" si="11"/>
        <v>408.41126999157984</v>
      </c>
      <c r="J75" s="183">
        <f t="shared" ca="1" si="11"/>
        <v>219.61275259631313</v>
      </c>
      <c r="K75" s="183">
        <f t="shared" ca="1" si="11"/>
        <v>381.94193194134141</v>
      </c>
      <c r="L75" s="183">
        <f t="shared" ca="1" si="11"/>
        <v>144.53977773978585</v>
      </c>
      <c r="M75" s="183">
        <f t="shared" ca="1" si="11"/>
        <v>217.27790874381157</v>
      </c>
      <c r="N75" s="183">
        <f t="shared" ca="1" si="11"/>
        <v>81.493553167490219</v>
      </c>
      <c r="O75" s="183">
        <f t="shared" ca="1" si="11"/>
        <v>80.082867813976321</v>
      </c>
      <c r="P75" s="183">
        <f t="shared" ca="1" si="11"/>
        <v>51.333333333333336</v>
      </c>
      <c r="Q75" s="183">
        <f t="shared" si="11"/>
        <v>0</v>
      </c>
      <c r="R75" s="115">
        <f ca="1">SUM(R46:R48)</f>
        <v>2692.9979934745829</v>
      </c>
    </row>
    <row r="76" spans="1:18" x14ac:dyDescent="0.35">
      <c r="D76" s="178"/>
      <c r="E76" s="178"/>
      <c r="F76" s="178"/>
      <c r="G76" s="178"/>
      <c r="H76" s="178"/>
      <c r="I76" s="178"/>
      <c r="J76" s="178"/>
      <c r="K76" s="178"/>
      <c r="L76" s="178"/>
      <c r="M76" s="178"/>
      <c r="N76" s="178"/>
      <c r="O76" s="178"/>
      <c r="P76" s="178"/>
      <c r="Q76" s="178"/>
    </row>
    <row r="77" spans="1:18" x14ac:dyDescent="0.35">
      <c r="D77" s="178"/>
      <c r="E77" s="178"/>
      <c r="F77" s="178"/>
      <c r="G77" s="178"/>
      <c r="H77" s="178"/>
      <c r="I77" s="178"/>
      <c r="J77" s="178"/>
      <c r="K77" s="178"/>
      <c r="L77" s="178"/>
      <c r="M77" s="178"/>
      <c r="N77" s="178"/>
      <c r="O77" s="178"/>
      <c r="P77" s="178"/>
      <c r="Q77" s="178"/>
      <c r="R77" s="22"/>
    </row>
    <row r="78" spans="1:18" x14ac:dyDescent="0.35">
      <c r="D78" s="178"/>
      <c r="E78" s="178"/>
      <c r="F78" s="178"/>
      <c r="G78" s="178"/>
      <c r="H78" s="178"/>
      <c r="I78" s="178"/>
      <c r="J78" s="178"/>
      <c r="K78" s="178"/>
      <c r="L78" s="178"/>
      <c r="M78" s="178"/>
      <c r="N78" s="178"/>
      <c r="O78" s="178"/>
      <c r="P78" s="178"/>
      <c r="Q78" s="178"/>
      <c r="R78" s="22"/>
    </row>
    <row r="79" spans="1:18" x14ac:dyDescent="0.35">
      <c r="D79" s="178"/>
      <c r="E79" s="178"/>
      <c r="F79" s="178"/>
      <c r="G79" s="178"/>
      <c r="H79" s="178"/>
      <c r="I79" s="178"/>
      <c r="J79" s="178"/>
      <c r="K79" s="178"/>
      <c r="L79" s="178"/>
      <c r="M79" s="178"/>
      <c r="N79" s="178"/>
      <c r="O79" s="178"/>
      <c r="P79" s="178"/>
      <c r="Q79" s="178"/>
      <c r="R79" s="22"/>
    </row>
    <row r="80" spans="1:18" x14ac:dyDescent="0.35">
      <c r="B80" s="28" t="s">
        <v>276</v>
      </c>
      <c r="C80" s="28"/>
      <c r="D80" s="197"/>
      <c r="E80" s="197"/>
      <c r="F80" s="197"/>
      <c r="G80" s="197"/>
      <c r="H80" s="197"/>
      <c r="I80" s="197"/>
      <c r="J80" s="197"/>
      <c r="K80" s="178"/>
      <c r="L80" s="178"/>
      <c r="M80" s="178"/>
      <c r="N80" s="178"/>
      <c r="O80" s="178"/>
      <c r="P80" s="178"/>
      <c r="Q80" s="178"/>
      <c r="R80" s="22"/>
    </row>
    <row r="81" spans="1:26" x14ac:dyDescent="0.35">
      <c r="B81" s="7" t="s">
        <v>170</v>
      </c>
      <c r="C81" s="7"/>
      <c r="D81" s="178"/>
      <c r="E81" s="178"/>
      <c r="F81" s="178"/>
      <c r="G81" s="178"/>
      <c r="H81" s="178"/>
      <c r="I81" s="178"/>
      <c r="J81" s="178"/>
      <c r="K81" s="178"/>
      <c r="L81" s="178"/>
      <c r="M81" s="178"/>
      <c r="N81" s="178"/>
      <c r="O81" s="178"/>
      <c r="P81" s="178"/>
      <c r="Q81" s="178"/>
      <c r="R81" s="22"/>
    </row>
    <row r="82" spans="1:26" ht="15.5" x14ac:dyDescent="0.35">
      <c r="B82" s="105" t="s">
        <v>110</v>
      </c>
      <c r="C82" s="105"/>
      <c r="D82" s="107">
        <f>D83</f>
        <v>0</v>
      </c>
      <c r="E82" s="108">
        <f>SUM($E83:E83)</f>
        <v>513.23076923076928</v>
      </c>
      <c r="F82" s="108">
        <f>SUM($E83:F83)</f>
        <v>4802.5843568196515</v>
      </c>
      <c r="G82" s="108">
        <f>SUM($E83:G83)</f>
        <v>8587.7382029734981</v>
      </c>
      <c r="H82" s="108">
        <f>SUM($E83:H83)</f>
        <v>12061.738202973498</v>
      </c>
      <c r="I82" s="108">
        <f>SUM($E83:I83)</f>
        <v>14966.338202973498</v>
      </c>
      <c r="J82" s="108">
        <f>SUM($E83:J83)</f>
        <v>21092.507252847197</v>
      </c>
      <c r="K82" s="108">
        <f>SUM($E83:K83)</f>
        <v>24386.698541791895</v>
      </c>
      <c r="L82" s="109">
        <f>SUM($E83:L83)</f>
        <v>30115.827520912018</v>
      </c>
      <c r="M82" s="108">
        <f>SUM($E83:M83)</f>
        <v>32717.543520228162</v>
      </c>
      <c r="N82" s="108">
        <f>SUM($E83:N83)</f>
        <v>36628.545877616772</v>
      </c>
      <c r="O82" s="108">
        <f>SUM($E83:O83)</f>
        <v>38095.429834631599</v>
      </c>
      <c r="P82" s="108">
        <f>SUM($E83:P83)</f>
        <v>39536.921455283176</v>
      </c>
      <c r="Q82" s="108">
        <f>SUM($E83:Q83)</f>
        <v>40460.921455283176</v>
      </c>
      <c r="R82" s="113">
        <f>Q82</f>
        <v>40460.921455283176</v>
      </c>
    </row>
    <row r="83" spans="1:26" ht="15.5" x14ac:dyDescent="0.35">
      <c r="B83" s="105" t="s">
        <v>111</v>
      </c>
      <c r="C83" s="105"/>
      <c r="D83" s="107">
        <f>SUMPRODUCT(D86:D88,$B$86:$B$88)</f>
        <v>0</v>
      </c>
      <c r="E83" s="108">
        <f>SUMPRODUCT(E86:E88,$B$86:$B$88)</f>
        <v>513.23076923076928</v>
      </c>
      <c r="F83" s="108">
        <f t="shared" ref="F83:Q83" si="12">SUMPRODUCT(F86:F88,$B$86:$B$88)</f>
        <v>4289.353587588882</v>
      </c>
      <c r="G83" s="108">
        <f t="shared" si="12"/>
        <v>3785.1538461538457</v>
      </c>
      <c r="H83" s="108">
        <f t="shared" si="12"/>
        <v>3474</v>
      </c>
      <c r="I83" s="108">
        <f>SUMPRODUCT(I86:I88,$B$86:$B$88)</f>
        <v>2904.6</v>
      </c>
      <c r="J83" s="108">
        <f>SUMPRODUCT(J86:J88,$B$86:$B$88)</f>
        <v>6126.169049873698</v>
      </c>
      <c r="K83" s="108">
        <f t="shared" si="12"/>
        <v>3294.1912889446971</v>
      </c>
      <c r="L83" s="109">
        <f t="shared" si="12"/>
        <v>5729.1289791201216</v>
      </c>
      <c r="M83" s="108">
        <f t="shared" si="12"/>
        <v>2601.7159993161454</v>
      </c>
      <c r="N83" s="108">
        <f t="shared" si="12"/>
        <v>3911.0023573886083</v>
      </c>
      <c r="O83" s="108">
        <f>SUMPRODUCT(O86:O88,$B$86:$B$88)</f>
        <v>1466.8839570148239</v>
      </c>
      <c r="P83" s="108">
        <f t="shared" si="12"/>
        <v>1441.4916206515738</v>
      </c>
      <c r="Q83" s="108">
        <f t="shared" si="12"/>
        <v>924</v>
      </c>
      <c r="R83" s="113">
        <f>SUM(D83:Q83)</f>
        <v>40460.921455283176</v>
      </c>
    </row>
    <row r="84" spans="1:26" ht="15.5" x14ac:dyDescent="0.35">
      <c r="B84" s="105" t="s">
        <v>236</v>
      </c>
      <c r="C84" s="105"/>
      <c r="D84" s="108">
        <f>'EC-known'!D84*$R$2+'WC-known'!D84*$R$4</f>
        <v>0</v>
      </c>
      <c r="E84" s="108">
        <f>'EC-known'!E84*$R$2+'WC-known'!E84*$R$4</f>
        <v>2</v>
      </c>
      <c r="F84" s="108">
        <f>'EC-known'!F84*$R$2+'WC-known'!F84*$R$4</f>
        <v>6</v>
      </c>
      <c r="G84" s="108">
        <f>'EC-known'!G84*$R$2+'WC-known'!G84*$R$4</f>
        <v>5</v>
      </c>
      <c r="H84" s="108">
        <f>'EC-known'!H84*$R$2+'WC-known'!H84*$R$4</f>
        <v>6</v>
      </c>
      <c r="I84" s="108">
        <f>'EC-known'!I84*$R$2+'WC-known'!I84*$R$4</f>
        <v>3</v>
      </c>
      <c r="J84" s="108">
        <f>'EC-known'!J84*$R$2+'WC-known'!J84*$R$4</f>
        <v>8</v>
      </c>
      <c r="K84" s="108">
        <f>'EC-known'!K84*$R$2+'WC-known'!K84*$R$4</f>
        <v>5</v>
      </c>
      <c r="L84" s="108">
        <f>'EC-known'!L84*$R$2+'WC-known'!L84*$R$4</f>
        <v>8</v>
      </c>
      <c r="M84" s="108">
        <f>'EC-known'!M84*$R$2+'WC-known'!M84*$R$4</f>
        <v>4</v>
      </c>
      <c r="N84" s="108">
        <f>'EC-known'!N84*$R$2+'WC-known'!N84*$R$4</f>
        <v>4</v>
      </c>
      <c r="O84" s="108">
        <f>'EC-known'!O84*$R$2+'WC-known'!O84*$R$4</f>
        <v>2</v>
      </c>
      <c r="P84" s="108">
        <f>'EC-known'!P84*$R$2+'WC-known'!P84*$R$4</f>
        <v>2</v>
      </c>
      <c r="Q84" s="108">
        <f>'EC-known'!Q84*$R$2+'WC-known'!Q84*$R$4</f>
        <v>1</v>
      </c>
      <c r="R84" s="113">
        <f>SUM(D84:Q84)</f>
        <v>56</v>
      </c>
    </row>
    <row r="85" spans="1:26" ht="15.5" x14ac:dyDescent="0.35">
      <c r="B85" s="135" t="s">
        <v>275</v>
      </c>
      <c r="C85" s="152">
        <v>0</v>
      </c>
      <c r="D85" s="153">
        <v>0</v>
      </c>
      <c r="E85" s="154">
        <f>SUM(E86:E88)</f>
        <v>42.769230769230774</v>
      </c>
      <c r="F85" s="154">
        <f t="shared" ref="F85:Q85" si="13">SUM(F86:F88)</f>
        <v>338.31588019823317</v>
      </c>
      <c r="G85" s="154">
        <f t="shared" si="13"/>
        <v>289.84615384615381</v>
      </c>
      <c r="H85" s="154">
        <f t="shared" si="13"/>
        <v>243.73333333333332</v>
      </c>
      <c r="I85" s="154">
        <f t="shared" si="13"/>
        <v>193.64</v>
      </c>
      <c r="J85" s="154">
        <f t="shared" si="13"/>
        <v>408.41126999157984</v>
      </c>
      <c r="K85" s="154">
        <f t="shared" si="13"/>
        <v>219.61275259631313</v>
      </c>
      <c r="L85" s="154">
        <f t="shared" si="13"/>
        <v>381.94193194134141</v>
      </c>
      <c r="M85" s="154">
        <f t="shared" si="13"/>
        <v>144.53977773978585</v>
      </c>
      <c r="N85" s="154">
        <f t="shared" si="13"/>
        <v>217.27790874381157</v>
      </c>
      <c r="O85" s="154">
        <f t="shared" si="13"/>
        <v>81.493553167490219</v>
      </c>
      <c r="P85" s="154">
        <f t="shared" si="13"/>
        <v>80.082867813976321</v>
      </c>
      <c r="Q85" s="154">
        <f t="shared" si="13"/>
        <v>51.333333333333336</v>
      </c>
      <c r="R85" s="130">
        <f>SUM(E85:Q85)</f>
        <v>2692.9979934745829</v>
      </c>
    </row>
    <row r="86" spans="1:26" ht="15.5" x14ac:dyDescent="0.35">
      <c r="A86" s="29"/>
      <c r="B86" s="111">
        <f>Assumptions!F16</f>
        <v>12</v>
      </c>
      <c r="C86" s="111"/>
      <c r="D86" s="108">
        <f>'EC-known'!D86*$R$2+'WC-known'!D86*$R$4</f>
        <v>0</v>
      </c>
      <c r="E86" s="108">
        <f>'EC-known'!E86*$R$2+'WC-known'!E86*$R$4</f>
        <v>42.769230769230774</v>
      </c>
      <c r="F86" s="108">
        <f>'EC-known'!F86*$R$2+'WC-known'!F86*$R$4</f>
        <v>261.79487179487182</v>
      </c>
      <c r="G86" s="108">
        <f>'EC-known'!G86*$R$2+'WC-known'!G86*$R$4</f>
        <v>187.5128205128205</v>
      </c>
      <c r="H86" s="108">
        <f>'EC-known'!H86*$R$2+'WC-known'!H86*$R$4</f>
        <v>60.666666666666664</v>
      </c>
      <c r="I86" s="108">
        <f>'EC-known'!I86*$R$2+'WC-known'!I86*$R$4</f>
        <v>0</v>
      </c>
      <c r="J86" s="108">
        <f>'EC-known'!J86*$R$2+'WC-known'!J86*$R$4</f>
        <v>0</v>
      </c>
      <c r="K86" s="108">
        <f>'EC-known'!K86*$R$2+'WC-known'!K86*$R$4</f>
        <v>0</v>
      </c>
      <c r="L86" s="108">
        <f>'EC-known'!L86*$R$2+'WC-known'!L86*$R$4</f>
        <v>0</v>
      </c>
      <c r="M86" s="108">
        <f>'EC-known'!M86*$R$2+'WC-known'!M86*$R$4</f>
        <v>0</v>
      </c>
      <c r="N86" s="108">
        <f>'EC-known'!N86*$R$2+'WC-known'!N86*$R$4</f>
        <v>0</v>
      </c>
      <c r="O86" s="108">
        <f>'EC-known'!O86*$R$2+'WC-known'!O86*$R$4</f>
        <v>0</v>
      </c>
      <c r="P86" s="108">
        <f>'EC-known'!P86*$R$2+'WC-known'!P86*$R$4</f>
        <v>0</v>
      </c>
      <c r="Q86" s="108">
        <f>'EC-known'!Q86*$R$2+'WC-known'!Q86*$R$4</f>
        <v>0</v>
      </c>
      <c r="R86" s="113">
        <f>SUM(D86:Q86)</f>
        <v>552.74358974358972</v>
      </c>
      <c r="S86" s="44"/>
      <c r="T86" s="30"/>
      <c r="U86" s="30"/>
      <c r="V86" s="30"/>
      <c r="W86" s="30"/>
      <c r="X86" s="30"/>
      <c r="Y86" s="30"/>
      <c r="Z86" s="30"/>
    </row>
    <row r="87" spans="1:26" ht="15.5" x14ac:dyDescent="0.35">
      <c r="B87" s="111">
        <f>Assumptions!F17</f>
        <v>15</v>
      </c>
      <c r="C87" s="111"/>
      <c r="D87" s="108">
        <f>'EC-known'!D87*$R$2+'WC-known'!D87*$R$4</f>
        <v>0</v>
      </c>
      <c r="E87" s="108">
        <f>'EC-known'!E87*$R$2+'WC-known'!E87*$R$4</f>
        <v>0</v>
      </c>
      <c r="F87" s="108">
        <f>'EC-known'!F87*$R$2+'WC-known'!F87*$R$4</f>
        <v>76.52100840336135</v>
      </c>
      <c r="G87" s="108">
        <f>'EC-known'!G87*$R$2+'WC-known'!G87*$R$4</f>
        <v>102.33333333333334</v>
      </c>
      <c r="H87" s="108">
        <f>'EC-known'!H87*$R$2+'WC-known'!H87*$R$4</f>
        <v>183.06666666666666</v>
      </c>
      <c r="I87" s="108">
        <f>'EC-known'!I87*$R$2+'WC-known'!I87*$R$4</f>
        <v>193.64</v>
      </c>
      <c r="J87" s="108">
        <f>'EC-known'!J87*$R$2+'WC-known'!J87*$R$4</f>
        <v>408.41126999157984</v>
      </c>
      <c r="K87" s="108">
        <f>'EC-known'!K87*$R$2+'WC-known'!K87*$R$4</f>
        <v>219.61275259631313</v>
      </c>
      <c r="L87" s="108">
        <f>'EC-known'!L87*$R$2+'WC-known'!L87*$R$4</f>
        <v>381.94193194134141</v>
      </c>
      <c r="M87" s="108">
        <f>'EC-known'!M87*$R$2+'WC-known'!M87*$R$4</f>
        <v>0</v>
      </c>
      <c r="N87" s="108">
        <f>'EC-known'!N87*$R$2+'WC-known'!N87*$R$4</f>
        <v>0</v>
      </c>
      <c r="O87" s="108">
        <f>'EC-known'!O87*$R$2+'WC-known'!O87*$R$4</f>
        <v>0</v>
      </c>
      <c r="P87" s="108">
        <f>'EC-known'!P87*$R$2+'WC-known'!P87*$R$4</f>
        <v>0</v>
      </c>
      <c r="Q87" s="108">
        <f>'EC-known'!Q87*$R$2+'WC-known'!Q87*$R$4</f>
        <v>0</v>
      </c>
      <c r="R87" s="113">
        <f t="shared" ref="R87:R88" si="14">SUM(D87:Q87)</f>
        <v>1565.5269629325958</v>
      </c>
      <c r="S87" s="22"/>
    </row>
    <row r="88" spans="1:26" ht="15.5" x14ac:dyDescent="0.35">
      <c r="B88" s="111">
        <f>Assumptions!F18</f>
        <v>18</v>
      </c>
      <c r="C88" s="111"/>
      <c r="D88" s="108">
        <f>'EC-known'!D88*$R$2+'WC-known'!D88*$R$4</f>
        <v>0</v>
      </c>
      <c r="E88" s="108">
        <f>'EC-known'!E88*$R$2+'WC-known'!E88*$R$4</f>
        <v>0</v>
      </c>
      <c r="F88" s="108">
        <f>'EC-known'!F88*$R$2+'WC-known'!F88*$R$4</f>
        <v>0</v>
      </c>
      <c r="G88" s="108">
        <f>'EC-known'!G88*$R$2+'WC-known'!G88*$R$4</f>
        <v>0</v>
      </c>
      <c r="H88" s="108">
        <f>'EC-known'!H88*$R$2+'WC-known'!H88*$R$4</f>
        <v>0</v>
      </c>
      <c r="I88" s="108">
        <f>'EC-known'!I88*$R$2+'WC-known'!I88*$R$4</f>
        <v>0</v>
      </c>
      <c r="J88" s="108">
        <f>'EC-known'!J88*$R$2+'WC-known'!J88*$R$4</f>
        <v>0</v>
      </c>
      <c r="K88" s="108">
        <f>'EC-known'!K88*$R$2+'WC-known'!K88*$R$4</f>
        <v>0</v>
      </c>
      <c r="L88" s="108">
        <f>'EC-known'!L88*$R$2+'WC-known'!L88*$R$4</f>
        <v>0</v>
      </c>
      <c r="M88" s="108">
        <f>'EC-known'!M88*$R$2+'WC-known'!M88*$R$4</f>
        <v>144.53977773978585</v>
      </c>
      <c r="N88" s="108">
        <f>'EC-known'!N88*$R$2+'WC-known'!N88*$R$4</f>
        <v>217.27790874381157</v>
      </c>
      <c r="O88" s="108">
        <f>'EC-known'!O88*$R$2+'WC-known'!O88*$R$4</f>
        <v>81.493553167490219</v>
      </c>
      <c r="P88" s="108">
        <f>'EC-known'!P88*$R$2+'WC-known'!P88*$R$4</f>
        <v>80.082867813976321</v>
      </c>
      <c r="Q88" s="108">
        <f>'EC-known'!Q88*$R$2+'WC-known'!Q88*$R$4</f>
        <v>51.333333333333336</v>
      </c>
      <c r="R88" s="113">
        <f t="shared" si="14"/>
        <v>574.72744079839731</v>
      </c>
      <c r="S88" s="22"/>
    </row>
    <row r="89" spans="1:26" ht="15.5" x14ac:dyDescent="0.35">
      <c r="B89" s="135" t="s">
        <v>239</v>
      </c>
      <c r="C89" s="129"/>
      <c r="D89" s="136"/>
      <c r="E89" s="132"/>
      <c r="F89" s="132"/>
      <c r="G89" s="132"/>
      <c r="H89" s="132"/>
      <c r="I89" s="132"/>
      <c r="J89" s="132"/>
      <c r="K89" s="132"/>
      <c r="L89" s="137"/>
      <c r="M89" s="132"/>
      <c r="N89" s="132"/>
      <c r="O89" s="132"/>
      <c r="P89" s="132"/>
      <c r="Q89" s="132"/>
      <c r="R89" s="130"/>
      <c r="S89" s="22"/>
    </row>
    <row r="90" spans="1:26" ht="15.5" x14ac:dyDescent="0.35">
      <c r="B90" s="111">
        <f>B86</f>
        <v>12</v>
      </c>
      <c r="C90" s="111"/>
      <c r="D90" s="107">
        <f>3*D86</f>
        <v>0</v>
      </c>
      <c r="E90" s="108">
        <f>3*E86</f>
        <v>128.30769230769232</v>
      </c>
      <c r="F90" s="108">
        <f t="shared" ref="F90:Q90" si="15">3*F86</f>
        <v>785.38461538461547</v>
      </c>
      <c r="G90" s="108">
        <f t="shared" si="15"/>
        <v>562.53846153846143</v>
      </c>
      <c r="H90" s="108">
        <f t="shared" si="15"/>
        <v>182</v>
      </c>
      <c r="I90" s="108">
        <f t="shared" si="15"/>
        <v>0</v>
      </c>
      <c r="J90" s="108">
        <f t="shared" si="15"/>
        <v>0</v>
      </c>
      <c r="K90" s="108">
        <f t="shared" si="15"/>
        <v>0</v>
      </c>
      <c r="L90" s="109">
        <f t="shared" si="15"/>
        <v>0</v>
      </c>
      <c r="M90" s="108">
        <f t="shared" si="15"/>
        <v>0</v>
      </c>
      <c r="N90" s="108">
        <f t="shared" si="15"/>
        <v>0</v>
      </c>
      <c r="O90" s="108">
        <f t="shared" si="15"/>
        <v>0</v>
      </c>
      <c r="P90" s="108">
        <f t="shared" si="15"/>
        <v>0</v>
      </c>
      <c r="Q90" s="108">
        <f t="shared" si="15"/>
        <v>0</v>
      </c>
      <c r="R90" s="113">
        <f>SUM(D90:Q90)</f>
        <v>1658.2307692307693</v>
      </c>
    </row>
    <row r="91" spans="1:26" ht="15.5" x14ac:dyDescent="0.35">
      <c r="B91" s="111">
        <f t="shared" ref="B91:B92" si="16">B87</f>
        <v>15</v>
      </c>
      <c r="C91" s="111"/>
      <c r="D91" s="107">
        <f t="shared" ref="D91:Q92" si="17">3*D87</f>
        <v>0</v>
      </c>
      <c r="E91" s="108">
        <f t="shared" si="17"/>
        <v>0</v>
      </c>
      <c r="F91" s="108">
        <f t="shared" si="17"/>
        <v>229.56302521008405</v>
      </c>
      <c r="G91" s="108">
        <f t="shared" si="17"/>
        <v>307</v>
      </c>
      <c r="H91" s="108">
        <f t="shared" si="17"/>
        <v>549.20000000000005</v>
      </c>
      <c r="I91" s="108">
        <f t="shared" si="17"/>
        <v>580.91999999999996</v>
      </c>
      <c r="J91" s="108">
        <f t="shared" si="17"/>
        <v>1225.2338099747394</v>
      </c>
      <c r="K91" s="108">
        <f t="shared" si="17"/>
        <v>658.83825778893936</v>
      </c>
      <c r="L91" s="109">
        <f t="shared" si="17"/>
        <v>1145.8257958240242</v>
      </c>
      <c r="M91" s="108">
        <f t="shared" si="17"/>
        <v>0</v>
      </c>
      <c r="N91" s="108">
        <f t="shared" si="17"/>
        <v>0</v>
      </c>
      <c r="O91" s="108">
        <f t="shared" si="17"/>
        <v>0</v>
      </c>
      <c r="P91" s="108">
        <f t="shared" si="17"/>
        <v>0</v>
      </c>
      <c r="Q91" s="108">
        <f t="shared" si="17"/>
        <v>0</v>
      </c>
      <c r="R91" s="113">
        <f t="shared" ref="R91:R92" si="18">SUM(D91:Q91)</f>
        <v>4696.5808887977873</v>
      </c>
    </row>
    <row r="92" spans="1:26" ht="15.5" x14ac:dyDescent="0.35">
      <c r="B92" s="111">
        <f t="shared" si="16"/>
        <v>18</v>
      </c>
      <c r="C92" s="111"/>
      <c r="D92" s="107">
        <f t="shared" si="17"/>
        <v>0</v>
      </c>
      <c r="E92" s="108">
        <f t="shared" si="17"/>
        <v>0</v>
      </c>
      <c r="F92" s="108">
        <f t="shared" si="17"/>
        <v>0</v>
      </c>
      <c r="G92" s="108">
        <f t="shared" si="17"/>
        <v>0</v>
      </c>
      <c r="H92" s="108">
        <f t="shared" si="17"/>
        <v>0</v>
      </c>
      <c r="I92" s="108">
        <f t="shared" si="17"/>
        <v>0</v>
      </c>
      <c r="J92" s="108">
        <f t="shared" si="17"/>
        <v>0</v>
      </c>
      <c r="K92" s="108">
        <f t="shared" si="17"/>
        <v>0</v>
      </c>
      <c r="L92" s="109">
        <f t="shared" si="17"/>
        <v>0</v>
      </c>
      <c r="M92" s="108">
        <f t="shared" si="17"/>
        <v>433.61933321935754</v>
      </c>
      <c r="N92" s="108">
        <f t="shared" si="17"/>
        <v>651.83372623143464</v>
      </c>
      <c r="O92" s="108">
        <f t="shared" si="17"/>
        <v>244.48065950247064</v>
      </c>
      <c r="P92" s="108">
        <f t="shared" si="17"/>
        <v>240.24860344192896</v>
      </c>
      <c r="Q92" s="108">
        <f t="shared" si="17"/>
        <v>154</v>
      </c>
      <c r="R92" s="113">
        <f t="shared" si="18"/>
        <v>1724.1823223951917</v>
      </c>
    </row>
    <row r="93" spans="1:26" ht="15.5" x14ac:dyDescent="0.35">
      <c r="B93" s="135" t="s">
        <v>240</v>
      </c>
      <c r="C93" s="129"/>
      <c r="D93" s="136"/>
      <c r="E93" s="132"/>
      <c r="F93" s="132"/>
      <c r="G93" s="132"/>
      <c r="H93" s="132"/>
      <c r="I93" s="132"/>
      <c r="J93" s="132"/>
      <c r="K93" s="132"/>
      <c r="L93" s="137"/>
      <c r="M93" s="132"/>
      <c r="N93" s="132"/>
      <c r="O93" s="132"/>
      <c r="P93" s="132"/>
      <c r="Q93" s="132"/>
      <c r="R93" s="130"/>
    </row>
    <row r="94" spans="1:26" ht="15.5" x14ac:dyDescent="0.35">
      <c r="B94" s="111">
        <f>B86</f>
        <v>12</v>
      </c>
      <c r="C94" s="111"/>
      <c r="D94" s="107">
        <f>D86</f>
        <v>0</v>
      </c>
      <c r="E94" s="108">
        <f t="shared" ref="E94:Q94" si="19">E86</f>
        <v>42.769230769230774</v>
      </c>
      <c r="F94" s="108">
        <f t="shared" si="19"/>
        <v>261.79487179487182</v>
      </c>
      <c r="G94" s="108">
        <f>G86</f>
        <v>187.5128205128205</v>
      </c>
      <c r="H94" s="108">
        <f t="shared" si="19"/>
        <v>60.666666666666664</v>
      </c>
      <c r="I94" s="108">
        <f t="shared" si="19"/>
        <v>0</v>
      </c>
      <c r="J94" s="108">
        <f t="shared" si="19"/>
        <v>0</v>
      </c>
      <c r="K94" s="108">
        <f t="shared" si="19"/>
        <v>0</v>
      </c>
      <c r="L94" s="109">
        <f t="shared" si="19"/>
        <v>0</v>
      </c>
      <c r="M94" s="108">
        <f t="shared" si="19"/>
        <v>0</v>
      </c>
      <c r="N94" s="108">
        <f t="shared" si="19"/>
        <v>0</v>
      </c>
      <c r="O94" s="108">
        <f t="shared" si="19"/>
        <v>0</v>
      </c>
      <c r="P94" s="108">
        <f t="shared" si="19"/>
        <v>0</v>
      </c>
      <c r="Q94" s="108">
        <f t="shared" si="19"/>
        <v>0</v>
      </c>
      <c r="R94" s="113">
        <f>SUM(D94:Q94)</f>
        <v>552.74358974358972</v>
      </c>
    </row>
    <row r="95" spans="1:26" ht="15.5" x14ac:dyDescent="0.35">
      <c r="B95" s="111">
        <f t="shared" ref="B95:B96" si="20">B87</f>
        <v>15</v>
      </c>
      <c r="C95" s="111"/>
      <c r="D95" s="107">
        <f t="shared" ref="D95:Q96" si="21">D87</f>
        <v>0</v>
      </c>
      <c r="E95" s="108">
        <f t="shared" si="21"/>
        <v>0</v>
      </c>
      <c r="F95" s="108">
        <f t="shared" si="21"/>
        <v>76.52100840336135</v>
      </c>
      <c r="G95" s="108">
        <f t="shared" si="21"/>
        <v>102.33333333333334</v>
      </c>
      <c r="H95" s="108">
        <f t="shared" si="21"/>
        <v>183.06666666666666</v>
      </c>
      <c r="I95" s="108">
        <f t="shared" si="21"/>
        <v>193.64</v>
      </c>
      <c r="J95" s="108">
        <f t="shared" si="21"/>
        <v>408.41126999157984</v>
      </c>
      <c r="K95" s="108">
        <f t="shared" si="21"/>
        <v>219.61275259631313</v>
      </c>
      <c r="L95" s="109">
        <f t="shared" si="21"/>
        <v>381.94193194134141</v>
      </c>
      <c r="M95" s="108">
        <f t="shared" si="21"/>
        <v>0</v>
      </c>
      <c r="N95" s="108">
        <f t="shared" si="21"/>
        <v>0</v>
      </c>
      <c r="O95" s="108">
        <f t="shared" si="21"/>
        <v>0</v>
      </c>
      <c r="P95" s="108">
        <f t="shared" si="21"/>
        <v>0</v>
      </c>
      <c r="Q95" s="108">
        <f t="shared" si="21"/>
        <v>0</v>
      </c>
      <c r="R95" s="113">
        <f t="shared" ref="R95:R96" si="22">SUM(D95:Q95)</f>
        <v>1565.5269629325958</v>
      </c>
    </row>
    <row r="96" spans="1:26" ht="15.5" x14ac:dyDescent="0.35">
      <c r="B96" s="111">
        <f t="shared" si="20"/>
        <v>18</v>
      </c>
      <c r="C96" s="111"/>
      <c r="D96" s="107">
        <f t="shared" si="21"/>
        <v>0</v>
      </c>
      <c r="E96" s="108">
        <f t="shared" si="21"/>
        <v>0</v>
      </c>
      <c r="F96" s="108">
        <f t="shared" si="21"/>
        <v>0</v>
      </c>
      <c r="G96" s="108">
        <f t="shared" si="21"/>
        <v>0</v>
      </c>
      <c r="H96" s="108">
        <f t="shared" si="21"/>
        <v>0</v>
      </c>
      <c r="I96" s="108">
        <f t="shared" si="21"/>
        <v>0</v>
      </c>
      <c r="J96" s="108">
        <f t="shared" si="21"/>
        <v>0</v>
      </c>
      <c r="K96" s="108">
        <f t="shared" si="21"/>
        <v>0</v>
      </c>
      <c r="L96" s="109">
        <f t="shared" si="21"/>
        <v>0</v>
      </c>
      <c r="M96" s="108">
        <f t="shared" si="21"/>
        <v>144.53977773978585</v>
      </c>
      <c r="N96" s="108">
        <f t="shared" si="21"/>
        <v>217.27790874381157</v>
      </c>
      <c r="O96" s="108">
        <f t="shared" si="21"/>
        <v>81.493553167490219</v>
      </c>
      <c r="P96" s="108">
        <f t="shared" si="21"/>
        <v>80.082867813976321</v>
      </c>
      <c r="Q96" s="108">
        <f t="shared" si="21"/>
        <v>51.333333333333336</v>
      </c>
      <c r="R96" s="113">
        <f t="shared" si="22"/>
        <v>574.72744079839731</v>
      </c>
    </row>
    <row r="97" spans="2:19" ht="15.5" x14ac:dyDescent="0.35">
      <c r="B97" s="135" t="s">
        <v>241</v>
      </c>
      <c r="C97" s="129"/>
      <c r="D97" s="136"/>
      <c r="E97" s="132"/>
      <c r="F97" s="132"/>
      <c r="G97" s="132"/>
      <c r="H97" s="132"/>
      <c r="I97" s="132"/>
      <c r="J97" s="132"/>
      <c r="K97" s="132"/>
      <c r="L97" s="137"/>
      <c r="M97" s="132"/>
      <c r="N97" s="132"/>
      <c r="O97" s="132"/>
      <c r="P97" s="132"/>
      <c r="Q97" s="132"/>
      <c r="R97" s="130"/>
    </row>
    <row r="98" spans="2:19" ht="15.5" x14ac:dyDescent="0.35">
      <c r="B98" s="111">
        <f>B86</f>
        <v>12</v>
      </c>
      <c r="C98" s="111"/>
      <c r="D98" s="107">
        <f>D86</f>
        <v>0</v>
      </c>
      <c r="E98" s="108">
        <f t="shared" ref="E98:Q98" si="23">E86</f>
        <v>42.769230769230774</v>
      </c>
      <c r="F98" s="108">
        <f t="shared" si="23"/>
        <v>261.79487179487182</v>
      </c>
      <c r="G98" s="108">
        <f t="shared" si="23"/>
        <v>187.5128205128205</v>
      </c>
      <c r="H98" s="108">
        <f t="shared" si="23"/>
        <v>60.666666666666664</v>
      </c>
      <c r="I98" s="108">
        <f t="shared" si="23"/>
        <v>0</v>
      </c>
      <c r="J98" s="108">
        <f t="shared" si="23"/>
        <v>0</v>
      </c>
      <c r="K98" s="108">
        <f t="shared" si="23"/>
        <v>0</v>
      </c>
      <c r="L98" s="109">
        <f t="shared" si="23"/>
        <v>0</v>
      </c>
      <c r="M98" s="108">
        <f t="shared" si="23"/>
        <v>0</v>
      </c>
      <c r="N98" s="108">
        <f t="shared" si="23"/>
        <v>0</v>
      </c>
      <c r="O98" s="108">
        <f t="shared" si="23"/>
        <v>0</v>
      </c>
      <c r="P98" s="108">
        <f t="shared" si="23"/>
        <v>0</v>
      </c>
      <c r="Q98" s="108">
        <f t="shared" si="23"/>
        <v>0</v>
      </c>
      <c r="R98" s="113">
        <f t="shared" ref="R98:R100" si="24">SUM(D98:Q98)</f>
        <v>552.74358974358972</v>
      </c>
    </row>
    <row r="99" spans="2:19" ht="15.5" x14ac:dyDescent="0.35">
      <c r="B99" s="111">
        <f t="shared" ref="B99:B100" si="25">B87</f>
        <v>15</v>
      </c>
      <c r="C99" s="111"/>
      <c r="D99" s="107">
        <f t="shared" ref="D99:Q100" si="26">D87</f>
        <v>0</v>
      </c>
      <c r="E99" s="108">
        <f t="shared" si="26"/>
        <v>0</v>
      </c>
      <c r="F99" s="108">
        <f t="shared" si="26"/>
        <v>76.52100840336135</v>
      </c>
      <c r="G99" s="108">
        <f t="shared" si="26"/>
        <v>102.33333333333334</v>
      </c>
      <c r="H99" s="108">
        <f t="shared" si="26"/>
        <v>183.06666666666666</v>
      </c>
      <c r="I99" s="108">
        <f t="shared" si="26"/>
        <v>193.64</v>
      </c>
      <c r="J99" s="108">
        <f t="shared" si="26"/>
        <v>408.41126999157984</v>
      </c>
      <c r="K99" s="108">
        <f t="shared" si="26"/>
        <v>219.61275259631313</v>
      </c>
      <c r="L99" s="109">
        <f t="shared" si="26"/>
        <v>381.94193194134141</v>
      </c>
      <c r="M99" s="108">
        <f t="shared" si="26"/>
        <v>0</v>
      </c>
      <c r="N99" s="108">
        <f t="shared" si="26"/>
        <v>0</v>
      </c>
      <c r="O99" s="108">
        <f t="shared" si="26"/>
        <v>0</v>
      </c>
      <c r="P99" s="108">
        <f t="shared" si="26"/>
        <v>0</v>
      </c>
      <c r="Q99" s="108">
        <f t="shared" si="26"/>
        <v>0</v>
      </c>
      <c r="R99" s="113">
        <f t="shared" si="24"/>
        <v>1565.5269629325958</v>
      </c>
    </row>
    <row r="100" spans="2:19" ht="15.5" x14ac:dyDescent="0.35">
      <c r="B100" s="111">
        <f t="shared" si="25"/>
        <v>18</v>
      </c>
      <c r="C100" s="111"/>
      <c r="D100" s="107">
        <f t="shared" si="26"/>
        <v>0</v>
      </c>
      <c r="E100" s="108">
        <f t="shared" si="26"/>
        <v>0</v>
      </c>
      <c r="F100" s="108">
        <f t="shared" si="26"/>
        <v>0</v>
      </c>
      <c r="G100" s="108">
        <f t="shared" si="26"/>
        <v>0</v>
      </c>
      <c r="H100" s="108">
        <f t="shared" si="26"/>
        <v>0</v>
      </c>
      <c r="I100" s="108">
        <f t="shared" si="26"/>
        <v>0</v>
      </c>
      <c r="J100" s="108">
        <f t="shared" si="26"/>
        <v>0</v>
      </c>
      <c r="K100" s="108">
        <f t="shared" si="26"/>
        <v>0</v>
      </c>
      <c r="L100" s="109">
        <f t="shared" si="26"/>
        <v>0</v>
      </c>
      <c r="M100" s="108">
        <f t="shared" si="26"/>
        <v>144.53977773978585</v>
      </c>
      <c r="N100" s="108">
        <f t="shared" si="26"/>
        <v>217.27790874381157</v>
      </c>
      <c r="O100" s="108">
        <f t="shared" si="26"/>
        <v>81.493553167490219</v>
      </c>
      <c r="P100" s="108">
        <f t="shared" si="26"/>
        <v>80.082867813976321</v>
      </c>
      <c r="Q100" s="108">
        <f t="shared" si="26"/>
        <v>51.333333333333336</v>
      </c>
      <c r="R100" s="113">
        <f t="shared" si="24"/>
        <v>574.72744079839731</v>
      </c>
    </row>
    <row r="101" spans="2:19" ht="15.5" x14ac:dyDescent="0.35">
      <c r="B101" s="135" t="s">
        <v>116</v>
      </c>
      <c r="C101" s="139"/>
      <c r="D101" s="151">
        <f>SUM(D103:D105)</f>
        <v>0</v>
      </c>
      <c r="E101" s="151">
        <f t="shared" ref="E101:Q101" si="27">SUM(E103:E105)</f>
        <v>42.769230769230774</v>
      </c>
      <c r="F101" s="151">
        <f t="shared" si="27"/>
        <v>338.31588019823317</v>
      </c>
      <c r="G101" s="151">
        <f t="shared" si="27"/>
        <v>267.84615384615381</v>
      </c>
      <c r="H101" s="151">
        <f t="shared" si="27"/>
        <v>221.73333333333332</v>
      </c>
      <c r="I101" s="151">
        <f t="shared" si="27"/>
        <v>193.64000000000001</v>
      </c>
      <c r="J101" s="151">
        <f t="shared" si="27"/>
        <v>354.65599949362581</v>
      </c>
      <c r="K101" s="151">
        <f t="shared" si="27"/>
        <v>170.73333333333335</v>
      </c>
      <c r="L101" s="151">
        <f t="shared" si="27"/>
        <v>293.92917934502822</v>
      </c>
      <c r="M101" s="151">
        <f t="shared" si="27"/>
        <v>38.886145644612462</v>
      </c>
      <c r="N101" s="151">
        <f t="shared" si="27"/>
        <v>189.51487939326151</v>
      </c>
      <c r="O101" s="151">
        <f t="shared" si="27"/>
        <v>59.277777777777771</v>
      </c>
      <c r="P101" s="151">
        <f t="shared" si="27"/>
        <v>80.082867813976321</v>
      </c>
      <c r="Q101" s="151">
        <f t="shared" si="27"/>
        <v>51.333333333333336</v>
      </c>
      <c r="R101" s="130">
        <f>SUM(C101:Q101)</f>
        <v>2302.7181142819004</v>
      </c>
    </row>
    <row r="102" spans="2:19" ht="15.5" x14ac:dyDescent="0.35">
      <c r="B102" s="106" t="s">
        <v>257</v>
      </c>
      <c r="C102" s="106"/>
      <c r="D102" s="108">
        <f>'EC-known'!D102*$R$2</f>
        <v>0</v>
      </c>
      <c r="E102" s="108">
        <f>'EC-known'!E102*$R$2</f>
        <v>32.769230769230774</v>
      </c>
      <c r="F102" s="108">
        <f>'EC-known'!F102*$R$2</f>
        <v>229.49353587588882</v>
      </c>
      <c r="G102" s="108">
        <f>'EC-known'!G102*$R$2</f>
        <v>179.50641025641025</v>
      </c>
      <c r="H102" s="108">
        <f>'EC-known'!H102*$R$2</f>
        <v>160.73333333333332</v>
      </c>
      <c r="I102" s="108">
        <f>'EC-known'!I102*$R$2</f>
        <v>97.213333333333338</v>
      </c>
      <c r="J102" s="108">
        <f>'EC-known'!J102*$R$2</f>
        <v>226.77599949362576</v>
      </c>
      <c r="K102" s="108">
        <f>'EC-known'!K102*$R$2</f>
        <v>150.25333333333333</v>
      </c>
      <c r="L102" s="108">
        <f>'EC-known'!L102*$R$2</f>
        <v>262.03917934502823</v>
      </c>
      <c r="M102" s="108">
        <f>'EC-known'!M102*$R$2</f>
        <v>38.886145644612462</v>
      </c>
      <c r="N102" s="108">
        <f>'EC-known'!N102*$R$2</f>
        <v>115.79374890861638</v>
      </c>
      <c r="O102" s="108">
        <f>'EC-known'!O102*$R$2</f>
        <v>41.49444444444444</v>
      </c>
      <c r="P102" s="108">
        <f>'EC-known'!P102*$R$2</f>
        <v>62.732867813976327</v>
      </c>
      <c r="Q102" s="108">
        <f>'EC-known'!Q102*$R$2</f>
        <v>35.93333333333333</v>
      </c>
      <c r="R102" s="113">
        <f t="shared" ref="R102:R116" si="28">SUM(D102:Q102)</f>
        <v>1633.624895885167</v>
      </c>
    </row>
    <row r="103" spans="2:19" ht="15.5" x14ac:dyDescent="0.35">
      <c r="B103" s="106" t="s">
        <v>258</v>
      </c>
      <c r="C103" s="106"/>
      <c r="D103" s="108">
        <f>'EC-known'!D103*$R$2</f>
        <v>0</v>
      </c>
      <c r="E103" s="108">
        <f>'EC-known'!E103*$R$2</f>
        <v>32.769230769230774</v>
      </c>
      <c r="F103" s="108">
        <f>'EC-known'!F103*$R$2</f>
        <v>229.49353587588882</v>
      </c>
      <c r="G103" s="108">
        <f>'EC-known'!G103*$R$2</f>
        <v>179.50641025641025</v>
      </c>
      <c r="H103" s="108">
        <f>'EC-known'!H103*$R$2</f>
        <v>160.73333333333332</v>
      </c>
      <c r="I103" s="108">
        <f>'EC-known'!I103*$R$2</f>
        <v>97.213333333333338</v>
      </c>
      <c r="J103" s="108">
        <f>'EC-known'!J103*$R$2</f>
        <v>226.77599949362576</v>
      </c>
      <c r="K103" s="108">
        <f>'EC-known'!K103*$R$2</f>
        <v>150.25333333333333</v>
      </c>
      <c r="L103" s="108">
        <f>'EC-known'!L103*$R$2</f>
        <v>262.03917934502823</v>
      </c>
      <c r="M103" s="108">
        <f>'EC-known'!M103*$R$2</f>
        <v>38.886145644612462</v>
      </c>
      <c r="N103" s="108">
        <f>'EC-known'!N103*$R$2</f>
        <v>115.79374890861638</v>
      </c>
      <c r="O103" s="108">
        <f>'EC-known'!O103*$R$2</f>
        <v>41.49444444444444</v>
      </c>
      <c r="P103" s="108">
        <f>'EC-known'!P103*$R$2</f>
        <v>62.732867813976327</v>
      </c>
      <c r="Q103" s="108">
        <f>'EC-known'!Q103*$R$2</f>
        <v>35.93333333333333</v>
      </c>
      <c r="R103" s="113">
        <f t="shared" si="28"/>
        <v>1633.624895885167</v>
      </c>
      <c r="S103" s="140"/>
    </row>
    <row r="104" spans="2:19" ht="15.5" x14ac:dyDescent="0.35">
      <c r="B104" s="106" t="s">
        <v>117</v>
      </c>
      <c r="C104" s="106"/>
      <c r="D104" s="108">
        <f>'EC-known'!D104*$R$2</f>
        <v>0</v>
      </c>
      <c r="E104" s="108">
        <f>'EC-known'!E104*$R$2</f>
        <v>0</v>
      </c>
      <c r="F104" s="108">
        <f>'EC-known'!F104*$R$2</f>
        <v>29.142857142857142</v>
      </c>
      <c r="G104" s="108">
        <f>'EC-known'!G104*$R$2</f>
        <v>12</v>
      </c>
      <c r="H104" s="108">
        <f>'EC-known'!H104*$R$2</f>
        <v>11</v>
      </c>
      <c r="I104" s="108">
        <f>'EC-known'!I104*$R$2</f>
        <v>5.36</v>
      </c>
      <c r="J104" s="108">
        <f>'EC-known'!J104*$R$2</f>
        <v>46.23</v>
      </c>
      <c r="K104" s="108">
        <f>'EC-known'!K104*$R$2</f>
        <v>10.24</v>
      </c>
      <c r="L104" s="108">
        <f>'EC-known'!L104*$R$2</f>
        <v>9.7199999999999989</v>
      </c>
      <c r="M104" s="108">
        <f>'EC-known'!M104*$R$2</f>
        <v>0</v>
      </c>
      <c r="N104" s="108">
        <f>'EC-known'!N104*$R$2</f>
        <v>22.102231908989225</v>
      </c>
      <c r="O104" s="108">
        <f>'EC-known'!O104*$R$2</f>
        <v>8.8916666666666657</v>
      </c>
      <c r="P104" s="108">
        <f>'EC-known'!P104*$R$2</f>
        <v>8.6750000000000007</v>
      </c>
      <c r="Q104" s="108">
        <f>'EC-known'!Q104*$R$2</f>
        <v>7.7</v>
      </c>
      <c r="R104" s="113">
        <f t="shared" si="28"/>
        <v>171.06175571851304</v>
      </c>
      <c r="S104" s="140"/>
    </row>
    <row r="105" spans="2:19" ht="15.5" x14ac:dyDescent="0.35">
      <c r="B105" s="106" t="s">
        <v>118</v>
      </c>
      <c r="C105" s="106"/>
      <c r="D105" s="108">
        <f>'EC-known'!D105*$R$2</f>
        <v>0</v>
      </c>
      <c r="E105" s="108">
        <f>'EC-known'!E105*$R$2</f>
        <v>10</v>
      </c>
      <c r="F105" s="108">
        <f>'EC-known'!F105*$R$2</f>
        <v>79.679487179487182</v>
      </c>
      <c r="G105" s="108">
        <f>'EC-known'!G105*$R$2</f>
        <v>76.339743589743591</v>
      </c>
      <c r="H105" s="108">
        <f>'EC-known'!H105*$R$2</f>
        <v>50</v>
      </c>
      <c r="I105" s="108">
        <f>'EC-known'!I105*$R$2</f>
        <v>91.066666666666677</v>
      </c>
      <c r="J105" s="108">
        <f>'EC-known'!J105*$R$2</f>
        <v>81.650000000000006</v>
      </c>
      <c r="K105" s="108">
        <f>'EC-known'!K105*$R$2</f>
        <v>10.24</v>
      </c>
      <c r="L105" s="108">
        <f>'EC-known'!L105*$R$2</f>
        <v>22.17</v>
      </c>
      <c r="M105" s="108">
        <f>'EC-known'!M105*$R$2</f>
        <v>0</v>
      </c>
      <c r="N105" s="108">
        <f>'EC-known'!N105*$R$2</f>
        <v>51.618898575655891</v>
      </c>
      <c r="O105" s="108">
        <f>'EC-known'!O105*$R$2</f>
        <v>8.8916666666666657</v>
      </c>
      <c r="P105" s="108">
        <f>'EC-known'!P105*$R$2</f>
        <v>8.6750000000000007</v>
      </c>
      <c r="Q105" s="108">
        <f>'EC-known'!Q105*$R$2</f>
        <v>7.7</v>
      </c>
      <c r="R105" s="113">
        <f t="shared" si="28"/>
        <v>498.03146267822001</v>
      </c>
      <c r="S105" s="140"/>
    </row>
    <row r="106" spans="2:19" ht="15.5" x14ac:dyDescent="0.35">
      <c r="B106" s="106" t="s">
        <v>259</v>
      </c>
      <c r="C106" s="106"/>
      <c r="D106" s="108">
        <f>'EC-known'!D106*$R$2</f>
        <v>0</v>
      </c>
      <c r="E106" s="108">
        <f>'EC-known'!E106*$R$2</f>
        <v>2</v>
      </c>
      <c r="F106" s="108">
        <f>'EC-known'!F106*$R$2</f>
        <v>10</v>
      </c>
      <c r="G106" s="108">
        <f>'EC-known'!G106*$R$2</f>
        <v>9</v>
      </c>
      <c r="H106" s="108">
        <f>'EC-known'!H106*$R$2</f>
        <v>7</v>
      </c>
      <c r="I106" s="108">
        <f>'EC-known'!I106*$R$2</f>
        <v>5</v>
      </c>
      <c r="J106" s="108">
        <f>'EC-known'!J106*$R$2</f>
        <v>8</v>
      </c>
      <c r="K106" s="108">
        <f>'EC-known'!K106*$R$2</f>
        <v>5</v>
      </c>
      <c r="L106" s="108">
        <f>'EC-known'!L106*$R$2</f>
        <v>11</v>
      </c>
      <c r="M106" s="108">
        <f>'EC-known'!M106*$R$2</f>
        <v>1</v>
      </c>
      <c r="N106" s="108">
        <f>'EC-known'!N106*$R$2</f>
        <v>6</v>
      </c>
      <c r="O106" s="108">
        <f>'EC-known'!O106*$R$2</f>
        <v>2</v>
      </c>
      <c r="P106" s="108">
        <f>'EC-known'!P106*$R$2</f>
        <v>3</v>
      </c>
      <c r="Q106" s="108">
        <f>'EC-known'!Q106*$R$2</f>
        <v>2</v>
      </c>
      <c r="R106" s="113">
        <f t="shared" si="28"/>
        <v>71</v>
      </c>
    </row>
    <row r="107" spans="2:19" ht="15.5" x14ac:dyDescent="0.35">
      <c r="B107" s="106" t="s">
        <v>267</v>
      </c>
      <c r="C107" s="106"/>
      <c r="D107" s="108">
        <f>'WC-known'!D105*$R$4</f>
        <v>0</v>
      </c>
      <c r="E107" s="108">
        <f>'WC-known'!E105*$R$4</f>
        <v>0</v>
      </c>
      <c r="F107" s="108">
        <f>'WC-known'!F105*$R$4</f>
        <v>0</v>
      </c>
      <c r="G107" s="108">
        <f>'WC-known'!G105*$R$4</f>
        <v>0</v>
      </c>
      <c r="H107" s="108">
        <f>'WC-known'!H105*$R$4</f>
        <v>0</v>
      </c>
      <c r="I107" s="108">
        <f>'WC-known'!I105*$R$4</f>
        <v>0</v>
      </c>
      <c r="J107" s="108">
        <f>'WC-known'!J105*$R$4</f>
        <v>33.345014087697692</v>
      </c>
      <c r="K107" s="108">
        <f>'WC-known'!K105*$R$4</f>
        <v>66.679419262979792</v>
      </c>
      <c r="L107" s="108">
        <f>'WC-known'!L105*$R$4</f>
        <v>66.679419262979792</v>
      </c>
      <c r="M107" s="108">
        <f>'WC-known'!M105*$R$4</f>
        <v>61.087673353013642</v>
      </c>
      <c r="N107" s="108">
        <f>'WC-known'!N105*$R$4</f>
        <v>27.76302935055006</v>
      </c>
      <c r="O107" s="108">
        <f>'WC-known'!O105*$R$4</f>
        <v>22.215775389712444</v>
      </c>
      <c r="P107" s="108">
        <f>'WC-known'!P105*$R$4</f>
        <v>0</v>
      </c>
      <c r="Q107" s="108">
        <f>'WC-known'!Q105*$R$4</f>
        <v>0</v>
      </c>
      <c r="R107" s="113">
        <f t="shared" si="28"/>
        <v>277.77033070693341</v>
      </c>
    </row>
    <row r="108" spans="2:19" ht="15.5" x14ac:dyDescent="0.35">
      <c r="B108" s="106" t="s">
        <v>268</v>
      </c>
      <c r="C108" s="106"/>
      <c r="D108" s="108">
        <f>'WC-known'!D106*$R$4</f>
        <v>0</v>
      </c>
      <c r="E108" s="108">
        <f>'WC-known'!E106*$R$4</f>
        <v>0</v>
      </c>
      <c r="F108" s="108">
        <f>'WC-known'!F106*$R$4</f>
        <v>0</v>
      </c>
      <c r="G108" s="108">
        <f>'WC-known'!G106*$R$4</f>
        <v>0</v>
      </c>
      <c r="H108" s="108">
        <f>'WC-known'!H106*$R$4</f>
        <v>0</v>
      </c>
      <c r="I108" s="108">
        <f>'WC-known'!I106*$R$4</f>
        <v>0</v>
      </c>
      <c r="J108" s="108">
        <f>'WC-known'!J106*$R$4</f>
        <v>1</v>
      </c>
      <c r="K108" s="108">
        <f>'WC-known'!K106*$R$4</f>
        <v>2</v>
      </c>
      <c r="L108" s="108">
        <f>'WC-known'!L106*$R$4</f>
        <v>2</v>
      </c>
      <c r="M108" s="108">
        <f>'WC-known'!M106*$R$4</f>
        <v>2</v>
      </c>
      <c r="N108" s="108">
        <f>'WC-known'!N106*$R$4</f>
        <v>1</v>
      </c>
      <c r="O108" s="108">
        <f>'WC-known'!O106*$R$4</f>
        <v>1</v>
      </c>
      <c r="P108" s="108">
        <f>'WC-known'!P106*$R$4</f>
        <v>0</v>
      </c>
      <c r="Q108" s="108">
        <f>'WC-known'!Q106*$R$4</f>
        <v>0</v>
      </c>
      <c r="R108" s="113">
        <f t="shared" si="28"/>
        <v>9</v>
      </c>
    </row>
    <row r="109" spans="2:19" ht="15.5" x14ac:dyDescent="0.35">
      <c r="B109" s="135" t="s">
        <v>119</v>
      </c>
      <c r="C109" s="129"/>
      <c r="D109" s="132"/>
      <c r="E109" s="132"/>
      <c r="F109" s="132"/>
      <c r="G109" s="132"/>
      <c r="H109" s="132"/>
      <c r="I109" s="132"/>
      <c r="J109" s="132"/>
      <c r="K109" s="132"/>
      <c r="L109" s="132"/>
      <c r="M109" s="132"/>
      <c r="N109" s="132"/>
      <c r="O109" s="132"/>
      <c r="P109" s="132"/>
      <c r="Q109" s="132"/>
      <c r="R109" s="130"/>
    </row>
    <row r="110" spans="2:19" ht="15.5" x14ac:dyDescent="0.35">
      <c r="B110" s="106" t="s">
        <v>303</v>
      </c>
      <c r="C110" s="106"/>
      <c r="D110" s="108">
        <f>'EC-known'!D108*$R$2</f>
        <v>0</v>
      </c>
      <c r="E110" s="108">
        <f>'EC-known'!E108*$R$2</f>
        <v>2</v>
      </c>
      <c r="F110" s="108">
        <f>'EC-known'!F108*$R$2</f>
        <v>10</v>
      </c>
      <c r="G110" s="108">
        <f>'EC-known'!G108*$R$2</f>
        <v>6</v>
      </c>
      <c r="H110" s="108">
        <f>'EC-known'!H108*$R$2</f>
        <v>7</v>
      </c>
      <c r="I110" s="108">
        <f>'EC-known'!I108*$R$2</f>
        <v>5</v>
      </c>
      <c r="J110" s="108">
        <f>'EC-known'!J108*$R$2</f>
        <v>8</v>
      </c>
      <c r="K110" s="108">
        <f>'EC-known'!K108*$R$2</f>
        <v>5</v>
      </c>
      <c r="L110" s="108">
        <f>'EC-known'!L108*$R$2</f>
        <v>8</v>
      </c>
      <c r="M110" s="108">
        <f>'EC-known'!M108*$R$2</f>
        <v>1</v>
      </c>
      <c r="N110" s="108">
        <f>'EC-known'!N108*$R$2</f>
        <v>6</v>
      </c>
      <c r="O110" s="108">
        <f>'EC-known'!O108*$R$2</f>
        <v>2</v>
      </c>
      <c r="P110" s="108">
        <f>'EC-known'!P108*$R$2</f>
        <v>3</v>
      </c>
      <c r="Q110" s="108">
        <f>'EC-known'!Q108*$R$2</f>
        <v>2</v>
      </c>
      <c r="R110" s="113">
        <f t="shared" si="28"/>
        <v>65</v>
      </c>
    </row>
    <row r="111" spans="2:19" ht="15.5" x14ac:dyDescent="0.35">
      <c r="B111" s="106" t="s">
        <v>304</v>
      </c>
      <c r="C111" s="106"/>
      <c r="D111" s="108">
        <f>'WC-known'!D108*$R$4</f>
        <v>0</v>
      </c>
      <c r="E111" s="108">
        <f>'WC-known'!E108*$R$4</f>
        <v>0</v>
      </c>
      <c r="F111" s="108">
        <f>'WC-known'!F108*$R$4</f>
        <v>0</v>
      </c>
      <c r="G111" s="108">
        <f>'WC-known'!G108*$R$4</f>
        <v>0</v>
      </c>
      <c r="H111" s="108">
        <f>'WC-known'!H108*$R$4</f>
        <v>0</v>
      </c>
      <c r="I111" s="108">
        <f>'WC-known'!I108*$R$4</f>
        <v>0</v>
      </c>
      <c r="J111" s="108">
        <f>'WC-known'!J108*$R$4</f>
        <v>1</v>
      </c>
      <c r="K111" s="108">
        <f>'WC-known'!K108*$R$4</f>
        <v>2</v>
      </c>
      <c r="L111" s="108">
        <f>'WC-known'!L108*$R$4</f>
        <v>2</v>
      </c>
      <c r="M111" s="108">
        <f>'WC-known'!M108*$R$4</f>
        <v>2</v>
      </c>
      <c r="N111" s="108">
        <f>'WC-known'!N108*$R$4</f>
        <v>1</v>
      </c>
      <c r="O111" s="108">
        <f>'WC-known'!O108*$R$4</f>
        <v>1</v>
      </c>
      <c r="P111" s="108">
        <f>'WC-known'!P108*$R$4</f>
        <v>0</v>
      </c>
      <c r="Q111" s="108">
        <f>'WC-known'!Q108*$R$4</f>
        <v>0</v>
      </c>
      <c r="R111" s="113">
        <f t="shared" si="28"/>
        <v>9</v>
      </c>
    </row>
    <row r="112" spans="2:19" ht="15.5" x14ac:dyDescent="0.35">
      <c r="B112" s="135" t="s">
        <v>120</v>
      </c>
      <c r="C112" s="129"/>
      <c r="D112" s="132"/>
      <c r="E112" s="132"/>
      <c r="F112" s="132"/>
      <c r="G112" s="132"/>
      <c r="H112" s="132"/>
      <c r="I112" s="132"/>
      <c r="J112" s="132"/>
      <c r="K112" s="132"/>
      <c r="L112" s="132"/>
      <c r="M112" s="132"/>
      <c r="N112" s="132"/>
      <c r="O112" s="132"/>
      <c r="P112" s="132"/>
      <c r="Q112" s="132"/>
      <c r="R112" s="130"/>
    </row>
    <row r="113" spans="2:21" ht="15.5" x14ac:dyDescent="0.35">
      <c r="B113" s="106" t="s">
        <v>272</v>
      </c>
      <c r="C113" s="106"/>
      <c r="D113" s="108">
        <f>'EC-known'!D110*$R$2</f>
        <v>0</v>
      </c>
      <c r="E113" s="108">
        <f>'EC-known'!E110*$R$2</f>
        <v>125.50240000000001</v>
      </c>
      <c r="F113" s="108">
        <f>'EC-known'!F110*$R$2</f>
        <v>862.25390096961871</v>
      </c>
      <c r="G113" s="108">
        <f>'EC-known'!G110*$R$2</f>
        <v>725.58714358974362</v>
      </c>
      <c r="H113" s="108">
        <f>'EC-known'!H110*$R$2</f>
        <v>520.27304000000004</v>
      </c>
      <c r="I113" s="108">
        <f>'EC-known'!I110*$R$2</f>
        <v>417.65050133333341</v>
      </c>
      <c r="J113" s="108">
        <f>'EC-known'!J110*$R$2</f>
        <v>1004.9766712982587</v>
      </c>
      <c r="K113" s="108">
        <f>J113</f>
        <v>1004.9766712982587</v>
      </c>
      <c r="L113" s="108">
        <f>'EC-known'!L110*$R$2</f>
        <v>954.2356778416821</v>
      </c>
      <c r="M113" s="108">
        <f>'EC-known'!M110*$R$2</f>
        <v>85.39397583556898</v>
      </c>
      <c r="N113" s="108">
        <f>'EC-known'!N110*$R$2</f>
        <v>622.85067514760226</v>
      </c>
      <c r="O113" s="108">
        <f>'EC-known'!O110*$R$2</f>
        <v>130.17400000000001</v>
      </c>
      <c r="P113" s="108">
        <f>'EC-known'!P110*$R$2</f>
        <v>175.86197771949202</v>
      </c>
      <c r="Q113" s="108">
        <f>'EC-known'!Q110*$R$2</f>
        <v>112.72800000000001</v>
      </c>
      <c r="R113" s="113">
        <f t="shared" si="28"/>
        <v>6742.4646350335588</v>
      </c>
    </row>
    <row r="114" spans="2:21" ht="15.5" x14ac:dyDescent="0.35">
      <c r="B114" s="106" t="s">
        <v>273</v>
      </c>
      <c r="C114" s="106"/>
      <c r="D114" s="108">
        <f>'EC-known'!D111*$R$2</f>
        <v>0</v>
      </c>
      <c r="E114" s="108">
        <f>'EC-known'!E111*$R$2</f>
        <v>256</v>
      </c>
      <c r="F114" s="108">
        <f>'EC-known'!F111*$R$2</f>
        <v>926.41359999999997</v>
      </c>
      <c r="G114" s="108">
        <f>'EC-known'!G111*$R$2</f>
        <v>505.5</v>
      </c>
      <c r="H114" s="108">
        <f>'EC-known'!H111*$R$2</f>
        <v>498.67899999999997</v>
      </c>
      <c r="I114" s="108">
        <f>'EC-known'!I111*$R$2</f>
        <v>526</v>
      </c>
      <c r="J114" s="108">
        <f>'EC-known'!J111*$R$2</f>
        <v>658.6653</v>
      </c>
      <c r="K114" s="108">
        <f>'EC-known'!K111*$R$2</f>
        <v>690.26030000000003</v>
      </c>
      <c r="L114" s="108">
        <f>'EC-known'!L111*$R$2</f>
        <v>679.90499999999997</v>
      </c>
      <c r="M114" s="108">
        <f>'EC-known'!M111*$R$2</f>
        <v>63</v>
      </c>
      <c r="N114" s="108">
        <f>'EC-known'!N111*$R$2</f>
        <v>802.40499999999997</v>
      </c>
      <c r="O114" s="108">
        <f>'EC-known'!O111*$R$2</f>
        <v>300</v>
      </c>
      <c r="P114" s="108">
        <f>'EC-known'!P111*$R$2</f>
        <v>372.40499999999997</v>
      </c>
      <c r="Q114" s="108">
        <f>'EC-known'!Q111*$R$2</f>
        <v>280</v>
      </c>
      <c r="R114" s="113">
        <f t="shared" si="28"/>
        <v>6559.2331999999997</v>
      </c>
    </row>
    <row r="115" spans="2:21" ht="15.5" x14ac:dyDescent="0.35">
      <c r="B115" s="106" t="s">
        <v>274</v>
      </c>
      <c r="C115" s="106"/>
      <c r="D115" s="108">
        <f>'WC-known'!D110*$R$4</f>
        <v>0</v>
      </c>
      <c r="E115" s="108">
        <f>'WC-known'!E110*$R$4</f>
        <v>0</v>
      </c>
      <c r="F115" s="108">
        <f>'WC-known'!F110*$R$4</f>
        <v>0</v>
      </c>
      <c r="G115" s="108">
        <f>'WC-known'!G110*$R$4</f>
        <v>0</v>
      </c>
      <c r="H115" s="108">
        <f>'WC-known'!H110*$R$4</f>
        <v>0</v>
      </c>
      <c r="I115" s="108">
        <f>'WC-known'!I110*$R$4</f>
        <v>0</v>
      </c>
      <c r="J115" s="108">
        <f>'WC-known'!J110*$R$4</f>
        <v>122.04275156097356</v>
      </c>
      <c r="K115" s="108">
        <f>'WC-known'!K110*$R$4</f>
        <v>244.04667450250608</v>
      </c>
      <c r="L115" s="108">
        <f>'WC-known'!L110*$R$4</f>
        <v>244.04667450250608</v>
      </c>
      <c r="M115" s="108">
        <f>'WC-known'!M110*$R$4</f>
        <v>223.58088447202994</v>
      </c>
      <c r="N115" s="108">
        <f>'WC-known'!N110*$R$4</f>
        <v>101.61268742301323</v>
      </c>
      <c r="O115" s="108">
        <f>'WC-known'!O110*$R$4</f>
        <v>81.309737926347552</v>
      </c>
      <c r="P115" s="108">
        <f>'WC-known'!P110*$R$4</f>
        <v>0</v>
      </c>
      <c r="Q115" s="108">
        <f>'WC-known'!Q110*$R$4</f>
        <v>0</v>
      </c>
      <c r="R115" s="113">
        <f t="shared" si="28"/>
        <v>1016.6394103873765</v>
      </c>
    </row>
    <row r="116" spans="2:21" ht="15.5" x14ac:dyDescent="0.35">
      <c r="B116" s="106" t="s">
        <v>274</v>
      </c>
      <c r="C116" s="106"/>
      <c r="D116" s="108">
        <f>'WC-known'!D111*$R$4</f>
        <v>0</v>
      </c>
      <c r="E116" s="108">
        <f>'WC-known'!E111*$R$4</f>
        <v>0</v>
      </c>
      <c r="F116" s="108">
        <f>'WC-known'!F111*$R$4</f>
        <v>0</v>
      </c>
      <c r="G116" s="108">
        <f>'WC-known'!G111*$R$4</f>
        <v>0</v>
      </c>
      <c r="H116" s="108">
        <f>'WC-known'!H111*$R$4</f>
        <v>0</v>
      </c>
      <c r="I116" s="108">
        <f>'WC-known'!I111*$R$4</f>
        <v>0</v>
      </c>
      <c r="J116" s="108">
        <f>'WC-known'!J111*$R$4</f>
        <v>120</v>
      </c>
      <c r="K116" s="108">
        <f>'WC-known'!K111*$R$4</f>
        <v>210</v>
      </c>
      <c r="L116" s="108">
        <f>'WC-known'!L111*$R$4</f>
        <v>210</v>
      </c>
      <c r="M116" s="108">
        <f>'WC-known'!M111*$R$4</f>
        <v>205</v>
      </c>
      <c r="N116" s="108">
        <f>'WC-known'!N111*$R$4</f>
        <v>105</v>
      </c>
      <c r="O116" s="108">
        <f>'WC-known'!O111*$R$4</f>
        <v>105</v>
      </c>
      <c r="P116" s="108">
        <f>'WC-known'!P111*$R$4</f>
        <v>0</v>
      </c>
      <c r="Q116" s="108">
        <f>'WC-known'!Q111*$R$4</f>
        <v>0</v>
      </c>
      <c r="R116" s="113">
        <f t="shared" si="28"/>
        <v>955</v>
      </c>
    </row>
    <row r="117" spans="2:21" ht="15.5" x14ac:dyDescent="0.35">
      <c r="B117" s="135" t="s">
        <v>244</v>
      </c>
      <c r="C117" s="129"/>
      <c r="D117" s="136"/>
      <c r="E117" s="132"/>
      <c r="F117" s="132"/>
      <c r="G117" s="132"/>
      <c r="H117" s="132"/>
      <c r="I117" s="132"/>
      <c r="J117" s="132"/>
      <c r="K117" s="132"/>
      <c r="L117" s="137"/>
      <c r="M117" s="132"/>
      <c r="N117" s="132"/>
      <c r="O117" s="132"/>
      <c r="P117" s="132"/>
      <c r="Q117" s="132"/>
      <c r="R117" s="130"/>
    </row>
    <row r="118" spans="2:21" ht="15.5" x14ac:dyDescent="0.35">
      <c r="B118" s="106" t="s">
        <v>121</v>
      </c>
      <c r="C118" s="106"/>
      <c r="D118" s="108">
        <f>D86*Assumptions!$K$25/24</f>
        <v>0</v>
      </c>
      <c r="E118" s="108">
        <f>E86*Assumptions!$K$25/24</f>
        <v>64.15384615384616</v>
      </c>
      <c r="F118" s="108">
        <f>F86*Assumptions!$K$25/24</f>
        <v>392.69230769230779</v>
      </c>
      <c r="G118" s="108">
        <f>G86*Assumptions!$K$25/24</f>
        <v>281.26923076923077</v>
      </c>
      <c r="H118" s="108">
        <f>H86*Assumptions!$K$25/24</f>
        <v>91</v>
      </c>
      <c r="I118" s="108">
        <f>I86*Assumptions!$K$25/24</f>
        <v>0</v>
      </c>
      <c r="J118" s="108">
        <f>J86*Assumptions!$K$25/24</f>
        <v>0</v>
      </c>
      <c r="K118" s="108">
        <f>K86*Assumptions!$K$25/24</f>
        <v>0</v>
      </c>
      <c r="L118" s="109">
        <f>L86*Assumptions!$K$25/24</f>
        <v>0</v>
      </c>
      <c r="M118" s="108">
        <f>M86*Assumptions!$K$25/24</f>
        <v>0</v>
      </c>
      <c r="N118" s="108">
        <f>N86*Assumptions!$K$25/24</f>
        <v>0</v>
      </c>
      <c r="O118" s="108">
        <f>O86*Assumptions!$K$25/24</f>
        <v>0</v>
      </c>
      <c r="P118" s="108">
        <f>P86*Assumptions!$K$25/24</f>
        <v>0</v>
      </c>
      <c r="Q118" s="108">
        <f>Q86*Assumptions!$K$25/24</f>
        <v>0</v>
      </c>
      <c r="R118" s="113"/>
      <c r="T118" t="s">
        <v>139</v>
      </c>
    </row>
    <row r="119" spans="2:21" ht="15.5" x14ac:dyDescent="0.35">
      <c r="B119" s="106" t="s">
        <v>122</v>
      </c>
      <c r="C119" s="106"/>
      <c r="D119" s="108">
        <f>D87*Assumptions!$K$25/24</f>
        <v>0</v>
      </c>
      <c r="E119" s="108">
        <f>E87*Assumptions!$K$25/24</f>
        <v>0</v>
      </c>
      <c r="F119" s="108">
        <f>F87*Assumptions!$K$25/24</f>
        <v>114.78151260504201</v>
      </c>
      <c r="G119" s="108">
        <f>G87*Assumptions!$K$25/24</f>
        <v>153.50000000000003</v>
      </c>
      <c r="H119" s="108">
        <f>H87*Assumptions!$K$25/24</f>
        <v>274.59999999999997</v>
      </c>
      <c r="I119" s="108">
        <f>I87*Assumptions!$K$25/24</f>
        <v>290.45999999999998</v>
      </c>
      <c r="J119" s="108">
        <f>J87*Assumptions!$K$25/24</f>
        <v>612.61690498736982</v>
      </c>
      <c r="K119" s="108">
        <f>K87*Assumptions!$K$25/24</f>
        <v>329.41912889446968</v>
      </c>
      <c r="L119" s="109">
        <f>L87*Assumptions!$K$25/24</f>
        <v>572.91289791201211</v>
      </c>
      <c r="M119" s="108">
        <f>M87*Assumptions!$K$25/24</f>
        <v>0</v>
      </c>
      <c r="N119" s="108">
        <f>N87*Assumptions!$K$25/24</f>
        <v>0</v>
      </c>
      <c r="O119" s="108">
        <f>O87*Assumptions!$K$25/24</f>
        <v>0</v>
      </c>
      <c r="P119" s="108">
        <f>P87*Assumptions!$K$25/24</f>
        <v>0</v>
      </c>
      <c r="Q119" s="108">
        <f>Q87*Assumptions!$K$25/24</f>
        <v>0</v>
      </c>
      <c r="R119" s="113"/>
      <c r="T119" t="s">
        <v>148</v>
      </c>
    </row>
    <row r="120" spans="2:21" ht="15.5" x14ac:dyDescent="0.35">
      <c r="B120" s="106" t="s">
        <v>123</v>
      </c>
      <c r="C120" s="106"/>
      <c r="D120" s="108">
        <f>D88*Assumptions!$K$25/24</f>
        <v>0</v>
      </c>
      <c r="E120" s="108">
        <f>E88*Assumptions!$K$25/24</f>
        <v>0</v>
      </c>
      <c r="F120" s="108">
        <f>F88*Assumptions!$K$25/24</f>
        <v>0</v>
      </c>
      <c r="G120" s="108">
        <f>G88*Assumptions!$K$25/24</f>
        <v>0</v>
      </c>
      <c r="H120" s="108">
        <f>H88*Assumptions!$K$25/24</f>
        <v>0</v>
      </c>
      <c r="I120" s="108">
        <f>I88*Assumptions!$K$25/24</f>
        <v>0</v>
      </c>
      <c r="J120" s="108">
        <f>J88*Assumptions!$K$25/24</f>
        <v>0</v>
      </c>
      <c r="K120" s="108">
        <f>K88*Assumptions!$K$25/24</f>
        <v>0</v>
      </c>
      <c r="L120" s="109">
        <f>L88*Assumptions!$K$25/24</f>
        <v>0</v>
      </c>
      <c r="M120" s="108">
        <f>M88*Assumptions!$K$25/24</f>
        <v>216.80966660967877</v>
      </c>
      <c r="N120" s="108">
        <f>N88*Assumptions!$K$25/24</f>
        <v>325.91686311571738</v>
      </c>
      <c r="O120" s="108">
        <f>O88*Assumptions!$K$25/24</f>
        <v>122.24032975123532</v>
      </c>
      <c r="P120" s="108">
        <f>P88*Assumptions!$K$25/24</f>
        <v>120.12430172096448</v>
      </c>
      <c r="Q120" s="108">
        <f>Q88*Assumptions!$K$25/24</f>
        <v>77</v>
      </c>
      <c r="R120" s="113"/>
      <c r="U120" t="s">
        <v>150</v>
      </c>
    </row>
    <row r="121" spans="2:21" ht="15.5" x14ac:dyDescent="0.35">
      <c r="B121" s="106" t="s">
        <v>140</v>
      </c>
      <c r="C121" s="106"/>
      <c r="D121" s="108">
        <f>(D102+D105)*Assumptions!$K$26/24</f>
        <v>0</v>
      </c>
      <c r="E121" s="108">
        <f>(E102+E105)*Assumptions!$K$26/24</f>
        <v>64.15384615384616</v>
      </c>
      <c r="F121" s="108">
        <f>(F102+F105)*Assumptions!$K$26/24</f>
        <v>463.75953458306395</v>
      </c>
      <c r="G121" s="108">
        <f>(G102+G105)*Assumptions!$K$26/24</f>
        <v>383.76923076923077</v>
      </c>
      <c r="H121" s="108">
        <f>(H102+H105)*Assumptions!$K$26/24</f>
        <v>316.09999999999997</v>
      </c>
      <c r="I121" s="108">
        <f>(I102+I105)*Assumptions!$K$26/24</f>
        <v>282.42</v>
      </c>
      <c r="J121" s="108">
        <f>(J102+J105)*Assumptions!$K$26/24</f>
        <v>462.63899924043864</v>
      </c>
      <c r="K121" s="108">
        <f>(K102+K105)*Assumptions!$K$26/24</f>
        <v>240.74</v>
      </c>
      <c r="L121" s="109">
        <f>(L102+L105)*Assumptions!$K$26/24</f>
        <v>426.31376901754237</v>
      </c>
      <c r="M121" s="108">
        <f>(M102+M105)*Assumptions!$K$26/24</f>
        <v>58.32921846691869</v>
      </c>
      <c r="N121" s="108">
        <f>(N102+N105)*Assumptions!$K$26/24</f>
        <v>251.11897122640843</v>
      </c>
      <c r="O121" s="108">
        <f>(O102+O105)*Assumptions!$K$26/24</f>
        <v>75.579166666666666</v>
      </c>
      <c r="P121" s="108">
        <f>(P102+P105)*Assumptions!$K$26/24</f>
        <v>107.11180172096448</v>
      </c>
      <c r="Q121" s="108">
        <f>(Q102+Q105)*Assumptions!$K$26/24</f>
        <v>65.45</v>
      </c>
      <c r="R121" s="113"/>
    </row>
    <row r="122" spans="2:21" ht="15.5" x14ac:dyDescent="0.35">
      <c r="B122" s="106" t="s">
        <v>252</v>
      </c>
      <c r="C122" s="106"/>
      <c r="D122" s="108"/>
      <c r="E122" s="108">
        <f>SUM(E118:E121)</f>
        <v>128.30769230769232</v>
      </c>
      <c r="F122" s="108">
        <f t="shared" ref="F122:Q122" si="29">SUM(F118:F121)</f>
        <v>971.2333548804138</v>
      </c>
      <c r="G122" s="108">
        <f t="shared" si="29"/>
        <v>818.53846153846166</v>
      </c>
      <c r="H122" s="108">
        <f t="shared" si="29"/>
        <v>681.69999999999993</v>
      </c>
      <c r="I122" s="108">
        <f t="shared" si="29"/>
        <v>572.88</v>
      </c>
      <c r="J122" s="108">
        <f t="shared" si="29"/>
        <v>1075.2559042278085</v>
      </c>
      <c r="K122" s="108">
        <f>SUM(K118:K121)</f>
        <v>570.15912889446963</v>
      </c>
      <c r="L122" s="108">
        <f t="shared" si="29"/>
        <v>999.22666692955454</v>
      </c>
      <c r="M122" s="108">
        <f t="shared" si="29"/>
        <v>275.13888507659749</v>
      </c>
      <c r="N122" s="108">
        <f t="shared" si="29"/>
        <v>577.03583434212578</v>
      </c>
      <c r="O122" s="108">
        <f t="shared" si="29"/>
        <v>197.81949641790197</v>
      </c>
      <c r="P122" s="108">
        <f t="shared" si="29"/>
        <v>227.23610344192895</v>
      </c>
      <c r="Q122" s="108">
        <f t="shared" si="29"/>
        <v>142.44999999999999</v>
      </c>
      <c r="R122" s="113"/>
    </row>
    <row r="123" spans="2:21" ht="15.5" x14ac:dyDescent="0.35">
      <c r="B123" s="106" t="s">
        <v>138</v>
      </c>
      <c r="C123" s="106"/>
      <c r="D123" s="108">
        <f>D110*Assumptions!$K$27/24</f>
        <v>0</v>
      </c>
      <c r="E123" s="108">
        <f>E110*Assumptions!$K$27/24</f>
        <v>20</v>
      </c>
      <c r="F123" s="108">
        <f>F110*Assumptions!$K$27/24</f>
        <v>100</v>
      </c>
      <c r="G123" s="108">
        <f>G110*Assumptions!$K$27/24</f>
        <v>60</v>
      </c>
      <c r="H123" s="108">
        <f>H110*Assumptions!$K$27/24</f>
        <v>70</v>
      </c>
      <c r="I123" s="108">
        <f>I110*Assumptions!$K$27/24</f>
        <v>50</v>
      </c>
      <c r="J123" s="108">
        <f>J110*Assumptions!$K$27/24</f>
        <v>80</v>
      </c>
      <c r="K123" s="108">
        <f>K110*Assumptions!$K$27/24</f>
        <v>50</v>
      </c>
      <c r="L123" s="109">
        <f>L110*Assumptions!$K$27/24</f>
        <v>80</v>
      </c>
      <c r="M123" s="108">
        <f>M110*Assumptions!$K$27/24</f>
        <v>10</v>
      </c>
      <c r="N123" s="108">
        <f>N110*Assumptions!$K$27/24</f>
        <v>60</v>
      </c>
      <c r="O123" s="108">
        <f>O110*Assumptions!$K$27/24</f>
        <v>20</v>
      </c>
      <c r="P123" s="108">
        <f>P110*Assumptions!$K$27/24</f>
        <v>30</v>
      </c>
      <c r="Q123" s="108">
        <f>Q110*Assumptions!$K$27/24</f>
        <v>20</v>
      </c>
      <c r="R123" s="113"/>
    </row>
    <row r="124" spans="2:21" ht="15.5" x14ac:dyDescent="0.35">
      <c r="B124" s="106" t="s">
        <v>195</v>
      </c>
      <c r="C124" s="106"/>
      <c r="D124" s="108">
        <f>(ROUNDUP(D83/400,1)+D84)*Assumptions!$K$45+SUM(D113:D114)/Assumptions!$K$44</f>
        <v>0</v>
      </c>
      <c r="E124" s="108">
        <f>(ROUNDUP(E83/400,1)+E84)*Assumptions!$K$45+SUM(E113:E114)/Assumptions!$K$44</f>
        <v>161.37560000000002</v>
      </c>
      <c r="F124" s="108">
        <f>(ROUNDUP(F83/400,1)+F84)*Assumptions!$K$45+SUM(F113:F114)/Assumptions!$K$44</f>
        <v>783.16687524240456</v>
      </c>
      <c r="G124" s="108">
        <f>(ROUNDUP(G83/400,1)+G84)*Assumptions!$K$45+SUM(G113:G114)/Assumptions!$K$44</f>
        <v>597.77178589743585</v>
      </c>
      <c r="H124" s="108">
        <f>(ROUNDUP(H83/400,1)+H84)*Assumptions!$K$45+SUM(H113:H114)/Assumptions!$K$44</f>
        <v>548.73801000000003</v>
      </c>
      <c r="I124" s="108">
        <f>(ROUNDUP(I83/400,1)+I84)*Assumptions!$K$45+SUM(I113:I114)/Assumptions!$K$44</f>
        <v>441.91262533333338</v>
      </c>
      <c r="J124" s="108">
        <f>(ROUNDUP(J83/400,1)+J84)*Assumptions!$K$45+SUM(J113:J114)/Assumptions!$K$44</f>
        <v>883.9104928245647</v>
      </c>
      <c r="K124" s="108">
        <f>(ROUNDUP(K83/400,1)+K84)*Assumptions!$K$45+SUM(K113:K114)/Assumptions!$K$44</f>
        <v>689.80924282456465</v>
      </c>
      <c r="L124" s="109">
        <f>(ROUNDUP(L83/400,1)+L84)*Assumptions!$K$45+SUM(L113:L114)/Assumptions!$K$44</f>
        <v>856.53516946042055</v>
      </c>
      <c r="M124" s="108">
        <f>(ROUNDUP(M83/400,1)+M84)*Assumptions!$K$45+SUM(M113:M114)/Assumptions!$K$44</f>
        <v>249.09849395889225</v>
      </c>
      <c r="N124" s="108">
        <f>(ROUNDUP(N83/400,1)+N84)*Assumptions!$K$45+SUM(N113:N114)/Assumptions!$K$44</f>
        <v>632.31391878690056</v>
      </c>
      <c r="O124" s="108">
        <f>(ROUNDUP(O83/400,1)+O84)*Assumptions!$K$45+SUM(O113:O114)/Assumptions!$K$44</f>
        <v>221.54349999999999</v>
      </c>
      <c r="P124" s="108">
        <f>(ROUNDUP(P83/400,1)+P84)*Assumptions!$K$45+SUM(P113:P114)/Assumptions!$K$44</f>
        <v>251.06674442987298</v>
      </c>
      <c r="Q124" s="108">
        <f>(ROUNDUP(Q83/400,1)+Q84)*Assumptions!$K$45+SUM(Q113:Q114)/Assumptions!$K$44</f>
        <v>166.18200000000002</v>
      </c>
      <c r="R124" s="113"/>
    </row>
    <row r="125" spans="2:21" ht="15.5" x14ac:dyDescent="0.35">
      <c r="B125" s="106" t="s">
        <v>297</v>
      </c>
      <c r="C125" s="106"/>
      <c r="D125" s="108">
        <f>D102*Assumptions!$K$28/24</f>
        <v>0</v>
      </c>
      <c r="E125" s="108">
        <f>E102*Assumptions!$K$28/24</f>
        <v>49.15384615384616</v>
      </c>
      <c r="F125" s="108">
        <f>F102*Assumptions!$K$28/24</f>
        <v>344.24030381383324</v>
      </c>
      <c r="G125" s="108">
        <f>G102*Assumptions!$K$28/24</f>
        <v>269.25961538461536</v>
      </c>
      <c r="H125" s="108">
        <f>H102*Assumptions!$K$28/24</f>
        <v>241.1</v>
      </c>
      <c r="I125" s="108">
        <f>I102*Assumptions!$K$28/24</f>
        <v>145.82000000000002</v>
      </c>
      <c r="J125" s="108">
        <f>J102*Assumptions!$K$28/24</f>
        <v>340.16399924043861</v>
      </c>
      <c r="K125" s="108">
        <f>K102*Assumptions!$K$28/24</f>
        <v>225.38</v>
      </c>
      <c r="L125" s="108">
        <f>L102*Assumptions!$K$28/24</f>
        <v>393.05876901754232</v>
      </c>
      <c r="M125" s="108">
        <f>M102*Assumptions!$K$28/24</f>
        <v>58.32921846691869</v>
      </c>
      <c r="N125" s="108">
        <f>N102*Assumptions!$K$28/24</f>
        <v>173.69062336292458</v>
      </c>
      <c r="O125" s="108">
        <f>O102*Assumptions!$K$28/24</f>
        <v>62.241666666666653</v>
      </c>
      <c r="P125" s="108">
        <f>P102*Assumptions!$K$28/24</f>
        <v>94.09930172096449</v>
      </c>
      <c r="Q125" s="108">
        <f>Q102*Assumptions!$K$28/24</f>
        <v>53.9</v>
      </c>
      <c r="R125" s="113"/>
    </row>
    <row r="126" spans="2:21" ht="15.5" x14ac:dyDescent="0.35">
      <c r="B126" s="135" t="s">
        <v>243</v>
      </c>
      <c r="C126" s="129"/>
      <c r="D126" s="136"/>
      <c r="E126" s="132"/>
      <c r="F126" s="132"/>
      <c r="G126" s="132"/>
      <c r="H126" s="132"/>
      <c r="I126" s="132"/>
      <c r="J126" s="132"/>
      <c r="K126" s="132"/>
      <c r="L126" s="137"/>
      <c r="M126" s="132"/>
      <c r="N126" s="132"/>
      <c r="O126" s="132"/>
      <c r="P126" s="132"/>
      <c r="Q126" s="132"/>
      <c r="R126" s="130"/>
    </row>
    <row r="127" spans="2:21" ht="15.5" x14ac:dyDescent="0.35">
      <c r="B127" s="106" t="s">
        <v>121</v>
      </c>
      <c r="C127" s="106"/>
      <c r="D127" s="108">
        <f>'EC-known'!D122*$R$2</f>
        <v>0</v>
      </c>
      <c r="E127" s="108">
        <f>'EC-known'!E122*$R$2</f>
        <v>1</v>
      </c>
      <c r="F127" s="108">
        <f>'EC-known'!F122*$R$2</f>
        <v>2</v>
      </c>
      <c r="G127" s="108">
        <f>'EC-known'!G122*$R$2</f>
        <v>2</v>
      </c>
      <c r="H127" s="108">
        <f>'EC-known'!H122*$R$2</f>
        <v>1</v>
      </c>
      <c r="I127" s="108">
        <f>'EC-known'!I122*$R$2</f>
        <v>0</v>
      </c>
      <c r="J127" s="108">
        <f>'EC-known'!J122*$R$2</f>
        <v>0</v>
      </c>
      <c r="K127" s="108">
        <f>'EC-known'!K122*$R$2</f>
        <v>0</v>
      </c>
      <c r="L127" s="108">
        <f>'EC-known'!L122*$R$2</f>
        <v>0</v>
      </c>
      <c r="M127" s="108">
        <f>'EC-known'!M122*$R$2</f>
        <v>0</v>
      </c>
      <c r="N127" s="108">
        <f>'EC-known'!N122*$R$2</f>
        <v>0</v>
      </c>
      <c r="O127" s="108">
        <f>'EC-known'!O122*$R$2</f>
        <v>0</v>
      </c>
      <c r="P127" s="108">
        <f>'EC-known'!P122*$R$2</f>
        <v>0</v>
      </c>
      <c r="Q127" s="108">
        <f>'EC-known'!Q122*$R$2</f>
        <v>0</v>
      </c>
      <c r="R127" s="113"/>
    </row>
    <row r="128" spans="2:21" ht="15.5" x14ac:dyDescent="0.35">
      <c r="B128" s="106" t="s">
        <v>122</v>
      </c>
      <c r="C128" s="106"/>
      <c r="D128" s="108">
        <f>'EC-known'!D123*$R$2</f>
        <v>0</v>
      </c>
      <c r="E128" s="108">
        <f>'EC-known'!E123*$R$2</f>
        <v>0</v>
      </c>
      <c r="F128" s="108">
        <f>'EC-known'!F123*$R$2</f>
        <v>1</v>
      </c>
      <c r="G128" s="108">
        <f>'EC-known'!G123*$R$2</f>
        <v>1</v>
      </c>
      <c r="H128" s="108">
        <f>'EC-known'!H123*$R$2</f>
        <v>2</v>
      </c>
      <c r="I128" s="108">
        <f>'EC-known'!I123*$R$2</f>
        <v>2</v>
      </c>
      <c r="J128" s="108">
        <f>'EC-known'!J123*$R$2</f>
        <v>3</v>
      </c>
      <c r="K128" s="108">
        <f>'EC-known'!K123*$R$2</f>
        <v>1</v>
      </c>
      <c r="L128" s="108">
        <f>'EC-known'!L123*$R$2</f>
        <v>2</v>
      </c>
      <c r="M128" s="108">
        <f>'EC-known'!M123*$R$2</f>
        <v>0</v>
      </c>
      <c r="N128" s="108">
        <f>'EC-known'!N123*$R$2</f>
        <v>0</v>
      </c>
      <c r="O128" s="108">
        <f>'EC-known'!O123*$R$2</f>
        <v>0</v>
      </c>
      <c r="P128" s="108">
        <f>'EC-known'!P123*$R$2</f>
        <v>0</v>
      </c>
      <c r="Q128" s="108">
        <f>'EC-known'!Q123*$R$2</f>
        <v>0</v>
      </c>
      <c r="R128" s="113"/>
    </row>
    <row r="129" spans="2:18" ht="15.5" x14ac:dyDescent="0.35">
      <c r="B129" s="106" t="s">
        <v>123</v>
      </c>
      <c r="C129" s="106"/>
      <c r="D129" s="108">
        <f>'EC-known'!D124*$R$2</f>
        <v>0</v>
      </c>
      <c r="E129" s="108">
        <f>'EC-known'!E124*$R$2</f>
        <v>0</v>
      </c>
      <c r="F129" s="108">
        <f>'EC-known'!F124*$R$2</f>
        <v>0</v>
      </c>
      <c r="G129" s="108">
        <f>'EC-known'!G124*$R$2</f>
        <v>0</v>
      </c>
      <c r="H129" s="108">
        <f>'EC-known'!H124*$R$2</f>
        <v>0</v>
      </c>
      <c r="I129" s="108">
        <f>'EC-known'!I124*$R$2</f>
        <v>0</v>
      </c>
      <c r="J129" s="108">
        <f>'EC-known'!J124*$R$2</f>
        <v>0</v>
      </c>
      <c r="K129" s="108">
        <f>'EC-known'!K124*$R$2</f>
        <v>0</v>
      </c>
      <c r="L129" s="108">
        <f>'EC-known'!L124*$R$2</f>
        <v>0</v>
      </c>
      <c r="M129" s="108">
        <f>'EC-known'!M124*$R$2</f>
        <v>1</v>
      </c>
      <c r="N129" s="108">
        <f>'EC-known'!N124*$R$2</f>
        <v>2</v>
      </c>
      <c r="O129" s="108">
        <f>'EC-known'!O124*$R$2</f>
        <v>1</v>
      </c>
      <c r="P129" s="108">
        <f>'EC-known'!P124*$R$2</f>
        <v>1</v>
      </c>
      <c r="Q129" s="108">
        <f>'EC-known'!Q124*$R$2</f>
        <v>1</v>
      </c>
      <c r="R129" s="113"/>
    </row>
    <row r="130" spans="2:18" ht="15.5" x14ac:dyDescent="0.35">
      <c r="B130" s="106" t="s">
        <v>140</v>
      </c>
      <c r="C130" s="106"/>
      <c r="D130" s="108">
        <f>'EC-known'!D125*$R$2</f>
        <v>0</v>
      </c>
      <c r="E130" s="108">
        <f>'EC-known'!E125*$R$2</f>
        <v>1</v>
      </c>
      <c r="F130" s="108">
        <f>'EC-known'!F125*$R$2</f>
        <v>2</v>
      </c>
      <c r="G130" s="108">
        <f>'EC-known'!G125*$R$2</f>
        <v>2</v>
      </c>
      <c r="H130" s="108">
        <f>'EC-known'!H125*$R$2</f>
        <v>2</v>
      </c>
      <c r="I130" s="108">
        <f>'EC-known'!I125*$R$2</f>
        <v>2</v>
      </c>
      <c r="J130" s="108">
        <f>'EC-known'!J125*$R$2</f>
        <v>2</v>
      </c>
      <c r="K130" s="108">
        <f>'EC-known'!K125*$R$2</f>
        <v>1</v>
      </c>
      <c r="L130" s="108">
        <f>'EC-known'!L125*$R$2</f>
        <v>2</v>
      </c>
      <c r="M130" s="108">
        <f>'EC-known'!M125*$R$2</f>
        <v>1</v>
      </c>
      <c r="N130" s="108">
        <f>'EC-known'!N125*$R$2</f>
        <v>2</v>
      </c>
      <c r="O130" s="108">
        <f>'EC-known'!O125*$R$2</f>
        <v>1</v>
      </c>
      <c r="P130" s="108">
        <f>'EC-known'!P125*$R$2</f>
        <v>1</v>
      </c>
      <c r="Q130" s="108">
        <f>'EC-known'!Q125*$R$2</f>
        <v>1</v>
      </c>
      <c r="R130" s="113"/>
    </row>
    <row r="131" spans="2:18" ht="15.5" x14ac:dyDescent="0.35">
      <c r="B131" s="105" t="s">
        <v>149</v>
      </c>
      <c r="C131" s="106"/>
      <c r="D131" s="108">
        <f t="shared" ref="D131" si="30">SUM(D127:D130)</f>
        <v>0</v>
      </c>
      <c r="E131" s="108">
        <f t="shared" ref="E131:Q131" si="31">SUM(E127:E130)</f>
        <v>2</v>
      </c>
      <c r="F131" s="108">
        <f t="shared" si="31"/>
        <v>5</v>
      </c>
      <c r="G131" s="108">
        <f t="shared" si="31"/>
        <v>5</v>
      </c>
      <c r="H131" s="108">
        <f t="shared" si="31"/>
        <v>5</v>
      </c>
      <c r="I131" s="108">
        <f t="shared" si="31"/>
        <v>4</v>
      </c>
      <c r="J131" s="108">
        <f t="shared" si="31"/>
        <v>5</v>
      </c>
      <c r="K131" s="108">
        <f t="shared" si="31"/>
        <v>2</v>
      </c>
      <c r="L131" s="108">
        <f t="shared" si="31"/>
        <v>4</v>
      </c>
      <c r="M131" s="108">
        <f t="shared" si="31"/>
        <v>2</v>
      </c>
      <c r="N131" s="108">
        <f t="shared" si="31"/>
        <v>4</v>
      </c>
      <c r="O131" s="108">
        <f t="shared" si="31"/>
        <v>2</v>
      </c>
      <c r="P131" s="108">
        <f t="shared" si="31"/>
        <v>2</v>
      </c>
      <c r="Q131" s="108">
        <f t="shared" si="31"/>
        <v>2</v>
      </c>
      <c r="R131" s="113"/>
    </row>
    <row r="132" spans="2:18" ht="15.5" x14ac:dyDescent="0.35">
      <c r="B132" s="105"/>
      <c r="C132" s="106"/>
      <c r="D132" s="108"/>
      <c r="E132" s="108">
        <f>ROUNDUP(E122/(Assumptions!$C$36*365),0)</f>
        <v>1</v>
      </c>
      <c r="F132" s="108">
        <f>ROUNDUP(F122/(Assumptions!$C$36*365),0)</f>
        <v>4</v>
      </c>
      <c r="G132" s="108">
        <f>ROUNDUP(G122/(Assumptions!$C$36*365),0)</f>
        <v>4</v>
      </c>
      <c r="H132" s="108">
        <f>ROUNDUP(H122/(Assumptions!$C$36*365),0)</f>
        <v>3</v>
      </c>
      <c r="I132" s="108">
        <f>ROUNDUP(I122/(Assumptions!$C$36*365),0)</f>
        <v>3</v>
      </c>
      <c r="J132" s="108">
        <f>ROUNDUP(J122/(Assumptions!$C$36*365),0)</f>
        <v>5</v>
      </c>
      <c r="K132" s="108">
        <f>ROUNDUP(K122/(Assumptions!$C$36*365),0)</f>
        <v>3</v>
      </c>
      <c r="L132" s="108">
        <f>ROUNDUP(L122/(Assumptions!$C$36*365),0)</f>
        <v>5</v>
      </c>
      <c r="M132" s="108">
        <f>ROUNDUP(M122/(Assumptions!$C$36*365),0)</f>
        <v>2</v>
      </c>
      <c r="N132" s="108">
        <f>ROUNDUP(N122/(Assumptions!$C$36*365),0)</f>
        <v>3</v>
      </c>
      <c r="O132" s="108">
        <f>ROUNDUP(O122/(Assumptions!$C$36*365),0)</f>
        <v>1</v>
      </c>
      <c r="P132" s="108">
        <f>ROUNDUP(P122/(Assumptions!$C$36*365),0)</f>
        <v>1</v>
      </c>
      <c r="Q132" s="108">
        <f>ROUNDUP(Q122/(Assumptions!$C$36*365),0)</f>
        <v>1</v>
      </c>
      <c r="R132" s="113"/>
    </row>
    <row r="133" spans="2:18" ht="15.5" x14ac:dyDescent="0.35">
      <c r="B133" s="106" t="s">
        <v>138</v>
      </c>
      <c r="C133" s="106"/>
      <c r="D133" s="108">
        <f>ROUNDUP(D123/(Assumptions!$C$36*365),0)</f>
        <v>0</v>
      </c>
      <c r="E133" s="108">
        <f>ROUNDUP(E123/(Assumptions!$C$36*365),0)</f>
        <v>1</v>
      </c>
      <c r="F133" s="108">
        <f>ROUNDUP(F123/(Assumptions!$C$36*365),0)</f>
        <v>1</v>
      </c>
      <c r="G133" s="108">
        <f>ROUNDUP(G123/(Assumptions!$C$36*365),0)</f>
        <v>1</v>
      </c>
      <c r="H133" s="108">
        <f>ROUNDUP(H123/(Assumptions!$C$36*365),0)</f>
        <v>1</v>
      </c>
      <c r="I133" s="108">
        <f>ROUNDUP(I123/(Assumptions!$C$36*365),0)</f>
        <v>1</v>
      </c>
      <c r="J133" s="108">
        <f>ROUNDUP(J123/(Assumptions!$C$36*365),0)</f>
        <v>1</v>
      </c>
      <c r="K133" s="108">
        <f>ROUNDUP(K123/(Assumptions!$C$36*365),0)</f>
        <v>1</v>
      </c>
      <c r="L133" s="109">
        <f>ROUNDUP(L123/(Assumptions!$C$36*365),0)</f>
        <v>1</v>
      </c>
      <c r="M133" s="108">
        <f>ROUNDUP(M123/(Assumptions!$C$36*365),0)</f>
        <v>1</v>
      </c>
      <c r="N133" s="108">
        <f>ROUNDUP(N123/(Assumptions!$C$36*365),0)</f>
        <v>1</v>
      </c>
      <c r="O133" s="108">
        <f>ROUNDUP(O123/(Assumptions!$C$36*365),0)</f>
        <v>1</v>
      </c>
      <c r="P133" s="108">
        <f>ROUNDUP(P123/(Assumptions!$C$36*365),0)</f>
        <v>1</v>
      </c>
      <c r="Q133" s="108">
        <f>ROUNDUP(Q123/(Assumptions!$C$36*365),0)</f>
        <v>1</v>
      </c>
      <c r="R133" s="113"/>
    </row>
    <row r="134" spans="2:18" ht="15.5" x14ac:dyDescent="0.35">
      <c r="B134" s="106" t="s">
        <v>242</v>
      </c>
      <c r="C134" s="106"/>
      <c r="D134" s="108">
        <f t="shared" ref="D134:Q134" si="32">D131*2</f>
        <v>0</v>
      </c>
      <c r="E134" s="108">
        <f t="shared" si="32"/>
        <v>4</v>
      </c>
      <c r="F134" s="108">
        <f t="shared" si="32"/>
        <v>10</v>
      </c>
      <c r="G134" s="108">
        <f t="shared" si="32"/>
        <v>10</v>
      </c>
      <c r="H134" s="108">
        <f t="shared" si="32"/>
        <v>10</v>
      </c>
      <c r="I134" s="108">
        <f t="shared" si="32"/>
        <v>8</v>
      </c>
      <c r="J134" s="108">
        <f t="shared" si="32"/>
        <v>10</v>
      </c>
      <c r="K134" s="108">
        <f t="shared" si="32"/>
        <v>4</v>
      </c>
      <c r="L134" s="109">
        <f t="shared" si="32"/>
        <v>8</v>
      </c>
      <c r="M134" s="108">
        <f t="shared" si="32"/>
        <v>4</v>
      </c>
      <c r="N134" s="108">
        <f t="shared" si="32"/>
        <v>8</v>
      </c>
      <c r="O134" s="108">
        <f t="shared" si="32"/>
        <v>4</v>
      </c>
      <c r="P134" s="108">
        <f t="shared" si="32"/>
        <v>4</v>
      </c>
      <c r="Q134" s="108">
        <f t="shared" si="32"/>
        <v>4</v>
      </c>
      <c r="R134" s="113"/>
    </row>
    <row r="135" spans="2:18" ht="15.5" x14ac:dyDescent="0.35">
      <c r="B135" s="106" t="s">
        <v>179</v>
      </c>
      <c r="C135" s="106"/>
      <c r="D135" s="108">
        <v>0</v>
      </c>
      <c r="E135" s="108">
        <f>IF(E82=0,0,E84*Assumptions!$K$35+D84*Assumptions!$K$36+SUM($C84:C84)*Assumptions!$K$37+Assumptions!$K$38)</f>
        <v>6</v>
      </c>
      <c r="F135" s="108">
        <f>IF(F82=0,0,F84*Assumptions!$K$35+E84*Assumptions!$K$36+SUM($C84:D84)*Assumptions!$K$37+Assumptions!$K$38)</f>
        <v>18</v>
      </c>
      <c r="G135" s="108">
        <f>IF(G82=0,0,G84*Assumptions!$K$35+F84*Assumptions!$K$36+SUM($C84:E84)*Assumptions!$K$37+Assumptions!$K$38)</f>
        <v>26</v>
      </c>
      <c r="H135" s="108">
        <f>IF(H82=0,0,H84*Assumptions!$K$35+G84*Assumptions!$K$36+SUM($C84:F84)*Assumptions!$K$37+Assumptions!$K$38)</f>
        <v>32</v>
      </c>
      <c r="I135" s="108">
        <f>IF(I82=0,0,I84*Assumptions!$K$35+H84*Assumptions!$K$36+SUM($C84:G84)*Assumptions!$K$37+Assumptions!$K$38)</f>
        <v>33</v>
      </c>
      <c r="J135" s="108">
        <f>IF(J82=0,0,J84*Assumptions!$K$35+I84*Assumptions!$K$36+SUM($C84:H84)*Assumptions!$K$37+Assumptions!$K$38)</f>
        <v>43</v>
      </c>
      <c r="K135" s="108">
        <f>IF(K82=0,0,K84*Assumptions!$K$35+J84*Assumptions!$K$36+SUM($C84:I84)*Assumptions!$K$37+Assumptions!$K$38)</f>
        <v>50</v>
      </c>
      <c r="L135" s="108">
        <f>IF(L82=0,0,L84*Assumptions!$K$35+K84*Assumptions!$K$36+SUM($C84:J84)*Assumptions!$K$37+Assumptions!$K$38)</f>
        <v>58</v>
      </c>
      <c r="M135" s="108">
        <f>IF(M82=0,0,M84*Assumptions!$K$35+L84*Assumptions!$K$36+SUM($C84:K84)*Assumptions!$K$37+Assumptions!$K$38)</f>
        <v>61</v>
      </c>
      <c r="N135" s="108">
        <f>IF(N82=0,0,N84*Assumptions!$K$35+M84*Assumptions!$K$36+SUM($C84:L84)*Assumptions!$K$37+Assumptions!$K$38)</f>
        <v>61</v>
      </c>
      <c r="O135" s="108">
        <f>IF(O82=0,0,O84*Assumptions!$K$35+N84*Assumptions!$K$36+SUM($C84:M84)*Assumptions!$K$37+Assumptions!$K$38)</f>
        <v>61</v>
      </c>
      <c r="P135" s="108">
        <f>IF(P82=0,0,P84*Assumptions!$K$35+O84*Assumptions!$K$36+SUM($C84:N84)*Assumptions!$K$37+Assumptions!$K$38)</f>
        <v>61</v>
      </c>
      <c r="Q135" s="108">
        <f>IF(Q82=0,0,Q84*Assumptions!$K$35+P84*Assumptions!$K$36+SUM($C84:O84)*Assumptions!$K$37+Assumptions!$K$38)</f>
        <v>61</v>
      </c>
      <c r="R135" s="113">
        <f>Q135</f>
        <v>61</v>
      </c>
    </row>
    <row r="136" spans="2:18" ht="15.5" x14ac:dyDescent="0.35">
      <c r="B136" s="106" t="s">
        <v>343</v>
      </c>
      <c r="C136" s="106"/>
      <c r="D136" s="108">
        <v>0</v>
      </c>
      <c r="E136" s="108">
        <f>ROUNDUP((SUM($E86:E88)+D136)/Assumptions!$K$41,0)</f>
        <v>1</v>
      </c>
      <c r="F136" s="108">
        <f>ROUNDUP((SUM($E86:F88)+E136)/Assumptions!$K$41,0)</f>
        <v>2</v>
      </c>
      <c r="G136" s="108">
        <f>ROUNDUP((SUM($E86:G88)+F136)/Assumptions!$K$41,0)</f>
        <v>4</v>
      </c>
      <c r="H136" s="108">
        <f>ROUNDUP((SUM($E86:H88)+G136)/Assumptions!$K$41,0)</f>
        <v>5</v>
      </c>
      <c r="I136" s="108">
        <f>ROUNDUP((SUM($E86:I88)+H136)/Assumptions!$K$41,0)</f>
        <v>6</v>
      </c>
      <c r="J136" s="108">
        <f>ROUNDUP((SUM($E86:J88)+I136)/Assumptions!$K$41,0)</f>
        <v>8</v>
      </c>
      <c r="K136" s="108">
        <f>ROUNDUP((SUM($E86:K88)+J136)/Assumptions!$K$41,0)</f>
        <v>9</v>
      </c>
      <c r="L136" s="108">
        <f>ROUNDUP((SUM($E86:L88)+K136)/Assumptions!$K$41,0)</f>
        <v>11</v>
      </c>
      <c r="M136" s="108">
        <f>ROUNDUP((SUM($E86:M88)+L136)/Assumptions!$K$41,0)</f>
        <v>12</v>
      </c>
      <c r="N136" s="108">
        <f>ROUNDUP((SUM($E86:N88)+M136)/Assumptions!$K$41,0)</f>
        <v>13</v>
      </c>
      <c r="O136" s="108">
        <f>ROUNDUP((SUM($E86:O88)+N136)/Assumptions!$K$41,0)</f>
        <v>13</v>
      </c>
      <c r="P136" s="108">
        <f>ROUNDUP((SUM($E86:P88)+O136)/Assumptions!$K$41,0)</f>
        <v>14</v>
      </c>
      <c r="Q136" s="108">
        <f>ROUNDUP((SUM($E86:Q88)+P136)/Assumptions!$K$41,0)</f>
        <v>14</v>
      </c>
      <c r="R136" s="113">
        <f>Q136</f>
        <v>14</v>
      </c>
    </row>
    <row r="137" spans="2:18" ht="15.5" x14ac:dyDescent="0.35">
      <c r="B137" s="106" t="s">
        <v>195</v>
      </c>
      <c r="C137" s="106"/>
      <c r="D137" s="108">
        <f>ROUNDUP(D124/(Assumptions!$C$36*365),0)</f>
        <v>0</v>
      </c>
      <c r="E137" s="108">
        <f>ROUNDUP(E124/(Assumptions!$C$36*365),0)</f>
        <v>1</v>
      </c>
      <c r="F137" s="108">
        <f>ROUNDUP(F124/(Assumptions!$C$36*365),0)</f>
        <v>4</v>
      </c>
      <c r="G137" s="108">
        <f>ROUNDUP(G124/(Assumptions!$C$36*365),0)</f>
        <v>3</v>
      </c>
      <c r="H137" s="108">
        <f>ROUNDUP(H124/(Assumptions!$C$36*365),0)</f>
        <v>3</v>
      </c>
      <c r="I137" s="108">
        <f>ROUNDUP(I124/(Assumptions!$C$36*365),0)</f>
        <v>2</v>
      </c>
      <c r="J137" s="108">
        <f>ROUNDUP(J124/(Assumptions!$C$36*365),0)</f>
        <v>4</v>
      </c>
      <c r="K137" s="108">
        <f>ROUNDUP(K124/(Assumptions!$C$36*365),0)</f>
        <v>3</v>
      </c>
      <c r="L137" s="109">
        <f>ROUNDUP(L124/(Assumptions!$C$36*365),0)</f>
        <v>4</v>
      </c>
      <c r="M137" s="108">
        <f>ROUNDUP(M124/(Assumptions!$C$36*365),0)</f>
        <v>2</v>
      </c>
      <c r="N137" s="108">
        <f>ROUNDUP(N124/(Assumptions!$C$36*365),0)</f>
        <v>3</v>
      </c>
      <c r="O137" s="108">
        <f>ROUNDUP(O124/(Assumptions!$C$36*365),0)</f>
        <v>1</v>
      </c>
      <c r="P137" s="108">
        <f>ROUNDUP(P124/(Assumptions!$C$36*365),0)</f>
        <v>2</v>
      </c>
      <c r="Q137" s="108">
        <f>ROUNDUP(Q124/(Assumptions!$C$36*365),0)</f>
        <v>1</v>
      </c>
      <c r="R137" s="114"/>
    </row>
    <row r="138" spans="2:18" ht="15.5" x14ac:dyDescent="0.35">
      <c r="B138" s="106" t="s">
        <v>305</v>
      </c>
      <c r="C138" s="106"/>
      <c r="D138" s="108">
        <f>ROUNDUP(D125/(Assumptions!$C$36*365),0)</f>
        <v>0</v>
      </c>
      <c r="E138" s="108">
        <f>ROUNDUP(E125/(Assumptions!$C$36*365),0)</f>
        <v>1</v>
      </c>
      <c r="F138" s="108">
        <f>ROUNDUP(F125/(Assumptions!$C$36*365),0)</f>
        <v>2</v>
      </c>
      <c r="G138" s="108">
        <f>ROUNDUP(G125/(Assumptions!$C$36*365),0)</f>
        <v>2</v>
      </c>
      <c r="H138" s="108">
        <f>ROUNDUP(H125/(Assumptions!$C$36*365),0)</f>
        <v>1</v>
      </c>
      <c r="I138" s="108">
        <f>ROUNDUP(I125/(Assumptions!$C$36*365),0)</f>
        <v>1</v>
      </c>
      <c r="J138" s="108">
        <f>ROUNDUP(J125/(Assumptions!$C$36*365),0)</f>
        <v>2</v>
      </c>
      <c r="K138" s="108">
        <f>ROUNDUP(K125/(Assumptions!$C$36*365),0)</f>
        <v>1</v>
      </c>
      <c r="L138" s="108">
        <f>ROUNDUP(L125/(Assumptions!$C$36*365),0)</f>
        <v>2</v>
      </c>
      <c r="M138" s="108">
        <f>ROUNDUP(M125/(Assumptions!$C$36*365),0)</f>
        <v>1</v>
      </c>
      <c r="N138" s="108">
        <f>ROUNDUP(N125/(Assumptions!$C$36*365),0)</f>
        <v>1</v>
      </c>
      <c r="O138" s="108">
        <f>ROUNDUP(O125/(Assumptions!$C$36*365),0)</f>
        <v>1</v>
      </c>
      <c r="P138" s="108">
        <f>ROUNDUP(P125/(Assumptions!$C$36*365),0)</f>
        <v>1</v>
      </c>
      <c r="Q138" s="108">
        <f>ROUNDUP(Q125/(Assumptions!$C$36*365),0)</f>
        <v>1</v>
      </c>
      <c r="R138" s="114"/>
    </row>
    <row r="139" spans="2:18" ht="15.5" x14ac:dyDescent="0.35">
      <c r="B139" s="106"/>
      <c r="C139" s="106"/>
      <c r="D139" s="107"/>
      <c r="E139" s="108"/>
      <c r="F139" s="108"/>
      <c r="G139" s="108"/>
      <c r="H139" s="108"/>
      <c r="I139" s="108"/>
      <c r="J139" s="108"/>
      <c r="K139" s="108"/>
      <c r="L139" s="109"/>
      <c r="M139" s="108"/>
      <c r="N139" s="108"/>
      <c r="O139" s="108"/>
      <c r="P139" s="108"/>
      <c r="Q139" s="108"/>
      <c r="R139" s="114"/>
    </row>
    <row r="140" spans="2:18" ht="15.5" x14ac:dyDescent="0.35">
      <c r="B140" s="135" t="s">
        <v>253</v>
      </c>
      <c r="C140" s="143"/>
      <c r="D140" s="198"/>
      <c r="E140" s="198"/>
      <c r="F140" s="198"/>
      <c r="G140" s="198"/>
      <c r="H140" s="198"/>
      <c r="I140" s="198"/>
      <c r="J140" s="198"/>
      <c r="K140" s="198"/>
      <c r="L140" s="198"/>
      <c r="M140" s="198"/>
      <c r="N140" s="198"/>
      <c r="O140" s="198"/>
      <c r="P140" s="198"/>
      <c r="Q140" s="198"/>
      <c r="R140" s="143"/>
    </row>
    <row r="141" spans="2:18" ht="15.5" x14ac:dyDescent="0.35">
      <c r="B141" s="135"/>
      <c r="C141" s="143">
        <f t="shared" ref="C141:Q141" si="33">C6</f>
        <v>2021</v>
      </c>
      <c r="D141" s="198">
        <f t="shared" si="33"/>
        <v>2022</v>
      </c>
      <c r="E141" s="198">
        <f t="shared" si="33"/>
        <v>2023</v>
      </c>
      <c r="F141" s="198">
        <f t="shared" si="33"/>
        <v>2024</v>
      </c>
      <c r="G141" s="198">
        <f t="shared" si="33"/>
        <v>2025</v>
      </c>
      <c r="H141" s="198">
        <f t="shared" si="33"/>
        <v>2026</v>
      </c>
      <c r="I141" s="198">
        <f t="shared" si="33"/>
        <v>2027</v>
      </c>
      <c r="J141" s="198">
        <f t="shared" si="33"/>
        <v>2028</v>
      </c>
      <c r="K141" s="198">
        <f t="shared" si="33"/>
        <v>2029</v>
      </c>
      <c r="L141" s="198">
        <f t="shared" si="33"/>
        <v>2030</v>
      </c>
      <c r="M141" s="198">
        <f t="shared" si="33"/>
        <v>2031</v>
      </c>
      <c r="N141" s="198">
        <f t="shared" si="33"/>
        <v>2032</v>
      </c>
      <c r="O141" s="198">
        <f t="shared" si="33"/>
        <v>2033</v>
      </c>
      <c r="P141" s="198">
        <f t="shared" si="33"/>
        <v>2034</v>
      </c>
      <c r="Q141" s="198">
        <f t="shared" si="33"/>
        <v>2035</v>
      </c>
      <c r="R141" s="143"/>
    </row>
    <row r="142" spans="2:18" x14ac:dyDescent="0.35">
      <c r="B142" s="144" t="s">
        <v>254</v>
      </c>
      <c r="C142" s="165"/>
      <c r="D142" s="165">
        <f t="shared" ref="D142:Q142" si="34">ROUNDUP(D131*1.5,0)</f>
        <v>0</v>
      </c>
      <c r="E142" s="165">
        <f>ROUNDUP(E131*1.5,0)</f>
        <v>3</v>
      </c>
      <c r="F142" s="165">
        <f t="shared" si="34"/>
        <v>8</v>
      </c>
      <c r="G142" s="165">
        <f t="shared" si="34"/>
        <v>8</v>
      </c>
      <c r="H142" s="165">
        <f t="shared" si="34"/>
        <v>8</v>
      </c>
      <c r="I142" s="165">
        <f t="shared" si="34"/>
        <v>6</v>
      </c>
      <c r="J142" s="165">
        <f t="shared" si="34"/>
        <v>8</v>
      </c>
      <c r="K142" s="165">
        <f t="shared" si="34"/>
        <v>3</v>
      </c>
      <c r="L142" s="165">
        <f t="shared" si="34"/>
        <v>6</v>
      </c>
      <c r="M142" s="165">
        <f t="shared" si="34"/>
        <v>3</v>
      </c>
      <c r="N142" s="165">
        <f t="shared" si="34"/>
        <v>6</v>
      </c>
      <c r="O142" s="165">
        <f t="shared" si="34"/>
        <v>3</v>
      </c>
      <c r="P142" s="165">
        <f t="shared" si="34"/>
        <v>3</v>
      </c>
      <c r="Q142" s="165">
        <f t="shared" si="34"/>
        <v>3</v>
      </c>
      <c r="R142" s="144"/>
    </row>
    <row r="143" spans="2:18" x14ac:dyDescent="0.35">
      <c r="B143" s="144" t="s">
        <v>269</v>
      </c>
      <c r="C143" s="166"/>
      <c r="D143" s="166">
        <f>'EC-known'!D138*$R$2</f>
        <v>0</v>
      </c>
      <c r="E143" s="166">
        <f>'EC-known'!E138*$R$2</f>
        <v>40</v>
      </c>
      <c r="F143" s="166">
        <f>'EC-known'!F138*$R$2</f>
        <v>160</v>
      </c>
      <c r="G143" s="166">
        <f>'EC-known'!G138*$R$2</f>
        <v>160</v>
      </c>
      <c r="H143" s="166">
        <f>'EC-known'!H138*$R$2</f>
        <v>120</v>
      </c>
      <c r="I143" s="166">
        <f>'EC-known'!I138*$R$2</f>
        <v>120</v>
      </c>
      <c r="J143" s="166">
        <f>'EC-known'!J138*$R$2</f>
        <v>200</v>
      </c>
      <c r="K143" s="166">
        <f>'EC-known'!K138*$R$2</f>
        <v>80</v>
      </c>
      <c r="L143" s="166">
        <f>'EC-known'!L138*$R$2</f>
        <v>160</v>
      </c>
      <c r="M143" s="166">
        <f>'EC-known'!M138*$R$2</f>
        <v>40</v>
      </c>
      <c r="N143" s="166">
        <f>'EC-known'!N138*$R$2</f>
        <v>120</v>
      </c>
      <c r="O143" s="166">
        <f>'EC-known'!O138*$R$2</f>
        <v>40</v>
      </c>
      <c r="P143" s="166">
        <f>'EC-known'!P138*$R$2</f>
        <v>40</v>
      </c>
      <c r="Q143" s="166">
        <f>'EC-known'!Q138*$R$2</f>
        <v>40</v>
      </c>
      <c r="R143" s="144"/>
    </row>
    <row r="144" spans="2:18" x14ac:dyDescent="0.35">
      <c r="B144" s="59" t="s">
        <v>270</v>
      </c>
      <c r="C144" s="165"/>
      <c r="D144" s="166">
        <f>'WC-known'!D130*$R$4</f>
        <v>0</v>
      </c>
      <c r="E144" s="166">
        <f>'WC-known'!E130*$R$4</f>
        <v>0</v>
      </c>
      <c r="F144" s="166">
        <f>'WC-known'!F130*$R$4</f>
        <v>0</v>
      </c>
      <c r="G144" s="166">
        <f>'WC-known'!G130*$R$4</f>
        <v>0</v>
      </c>
      <c r="H144" s="166">
        <f>'WC-known'!H130*$R$4</f>
        <v>0</v>
      </c>
      <c r="I144" s="166">
        <f>'WC-known'!I130*$R$4</f>
        <v>0</v>
      </c>
      <c r="J144" s="166">
        <f>'WC-known'!J130*$R$4</f>
        <v>66.690028175395383</v>
      </c>
      <c r="K144" s="166">
        <f>'WC-known'!K130*$R$4</f>
        <v>133.35883852595958</v>
      </c>
      <c r="L144" s="166">
        <f>'WC-known'!L130*$R$4</f>
        <v>133.35883852595958</v>
      </c>
      <c r="M144" s="166">
        <f>'WC-known'!M130*$R$4</f>
        <v>122.17534670602728</v>
      </c>
      <c r="N144" s="166">
        <f>'WC-known'!N130*$R$4</f>
        <v>55.526058701100119</v>
      </c>
      <c r="O144" s="166">
        <f>'WC-known'!O130*$R$4</f>
        <v>44.431550779424889</v>
      </c>
      <c r="P144" s="166">
        <f>'WC-known'!P130*$R$4</f>
        <v>0</v>
      </c>
      <c r="Q144" s="166">
        <f>'WC-known'!Q130*$R$4</f>
        <v>0</v>
      </c>
      <c r="R144" s="59"/>
    </row>
    <row r="146" spans="4:18" ht="15.5" x14ac:dyDescent="0.35">
      <c r="D146" s="115"/>
      <c r="E146" s="115"/>
      <c r="F146" s="115"/>
      <c r="G146" s="115"/>
      <c r="H146" s="115"/>
      <c r="I146" s="115"/>
      <c r="J146" s="115"/>
      <c r="K146" s="115"/>
      <c r="L146" s="115"/>
      <c r="M146" s="115"/>
      <c r="N146" s="115"/>
      <c r="O146" s="115"/>
      <c r="P146" s="115"/>
      <c r="Q146" s="115"/>
      <c r="R146" s="115"/>
    </row>
    <row r="150" spans="4:18" x14ac:dyDescent="0.35">
      <c r="F150" s="22"/>
      <c r="G150" s="22"/>
      <c r="H150" s="22"/>
      <c r="I150" s="22"/>
      <c r="J150" s="22"/>
      <c r="K150" s="22"/>
      <c r="L150" s="22"/>
      <c r="M150" s="22"/>
      <c r="N150" s="22"/>
      <c r="O150" s="22"/>
      <c r="P150" s="22"/>
      <c r="Q150" s="22"/>
    </row>
    <row r="151" spans="4:18" x14ac:dyDescent="0.35">
      <c r="F151" s="22"/>
      <c r="G151" s="22"/>
      <c r="H151" s="22"/>
      <c r="I151" s="22"/>
      <c r="J151" s="22"/>
      <c r="K151" s="22"/>
      <c r="L151" s="22"/>
      <c r="M151" s="22"/>
      <c r="N151" s="22"/>
      <c r="O151" s="22"/>
      <c r="P151" s="22"/>
      <c r="Q151" s="22"/>
    </row>
    <row r="152" spans="4:18" x14ac:dyDescent="0.35">
      <c r="F152" s="22"/>
      <c r="G152" s="22"/>
      <c r="H152" s="22"/>
      <c r="I152" s="22"/>
      <c r="J152" s="22"/>
      <c r="K152" s="22"/>
      <c r="L152" s="22"/>
      <c r="M152" s="22"/>
      <c r="N152" s="22"/>
      <c r="O152" s="22"/>
      <c r="P152" s="22"/>
      <c r="Q152" s="22"/>
    </row>
    <row r="154" spans="4:18" x14ac:dyDescent="0.35">
      <c r="F154" s="58"/>
      <c r="G154" s="58"/>
      <c r="H154" s="58"/>
      <c r="I154" s="58"/>
      <c r="J154" s="58"/>
      <c r="K154" s="58"/>
      <c r="L154" s="58"/>
      <c r="M154" s="58"/>
      <c r="N154" s="58"/>
      <c r="O154" s="58"/>
      <c r="P154" s="58"/>
      <c r="Q154" s="58"/>
    </row>
    <row r="155" spans="4:18" x14ac:dyDescent="0.35">
      <c r="F155" s="58"/>
      <c r="G155" s="58"/>
      <c r="H155" s="58"/>
      <c r="I155" s="58"/>
      <c r="J155" s="58"/>
      <c r="K155" s="58"/>
      <c r="L155" s="58"/>
      <c r="M155" s="58"/>
      <c r="N155" s="58"/>
      <c r="O155" s="58"/>
      <c r="P155" s="58"/>
      <c r="Q155" s="58"/>
    </row>
    <row r="156" spans="4:18" x14ac:dyDescent="0.35">
      <c r="F156" s="58"/>
      <c r="G156" s="58"/>
      <c r="H156" s="58"/>
      <c r="I156" s="58"/>
      <c r="J156" s="58"/>
      <c r="K156" s="58"/>
      <c r="L156" s="58"/>
      <c r="M156" s="58"/>
      <c r="N156" s="58"/>
      <c r="O156" s="58"/>
      <c r="P156" s="58"/>
      <c r="Q156" s="58"/>
    </row>
    <row r="157" spans="4:18" x14ac:dyDescent="0.35">
      <c r="F157" s="58"/>
      <c r="G157" s="58"/>
      <c r="H157" s="58"/>
      <c r="I157" s="58"/>
      <c r="J157" s="58"/>
      <c r="K157" s="58"/>
      <c r="L157" s="58"/>
      <c r="M157" s="58"/>
      <c r="N157" s="58"/>
      <c r="O157" s="58"/>
      <c r="P157" s="58"/>
      <c r="Q157" s="58"/>
    </row>
  </sheetData>
  <conditionalFormatting sqref="C10:Q12">
    <cfRule type="colorScale" priority="53">
      <colorScale>
        <cfvo type="min"/>
        <cfvo type="max"/>
        <color theme="0"/>
        <color rgb="FF5D9732"/>
      </colorScale>
    </cfRule>
  </conditionalFormatting>
  <conditionalFormatting sqref="C18:Q20">
    <cfRule type="colorScale" priority="52">
      <colorScale>
        <cfvo type="min"/>
        <cfvo type="max"/>
        <color theme="0"/>
        <color rgb="FF5D9732"/>
      </colorScale>
    </cfRule>
  </conditionalFormatting>
  <conditionalFormatting sqref="C30:Q32">
    <cfRule type="colorScale" priority="51">
      <colorScale>
        <cfvo type="min"/>
        <cfvo type="max"/>
        <color theme="0"/>
        <color rgb="FF5D9732"/>
      </colorScale>
    </cfRule>
  </conditionalFormatting>
  <conditionalFormatting sqref="C34:Q35">
    <cfRule type="colorScale" priority="50">
      <colorScale>
        <cfvo type="min"/>
        <cfvo type="max"/>
        <color theme="0"/>
        <color rgb="FF5D9732"/>
      </colorScale>
    </cfRule>
  </conditionalFormatting>
  <conditionalFormatting sqref="D67:Q67">
    <cfRule type="colorScale" priority="49">
      <colorScale>
        <cfvo type="min"/>
        <cfvo type="max"/>
        <color rgb="FFFCFCFF"/>
        <color rgb="FF00B050"/>
      </colorScale>
    </cfRule>
  </conditionalFormatting>
  <conditionalFormatting sqref="C50:Q52">
    <cfRule type="colorScale" priority="48">
      <colorScale>
        <cfvo type="min"/>
        <cfvo type="max"/>
        <color theme="0"/>
        <color rgb="FF5D9732"/>
      </colorScale>
    </cfRule>
  </conditionalFormatting>
  <conditionalFormatting sqref="Q58:Q60">
    <cfRule type="colorScale" priority="47">
      <colorScale>
        <cfvo type="min"/>
        <cfvo type="max"/>
        <color theme="0"/>
        <color rgb="FF00B050"/>
      </colorScale>
    </cfRule>
  </conditionalFormatting>
  <conditionalFormatting sqref="C68:Q68">
    <cfRule type="colorScale" priority="46">
      <colorScale>
        <cfvo type="min"/>
        <cfvo type="max"/>
        <color theme="0"/>
        <color rgb="FF5D9732"/>
      </colorScale>
    </cfRule>
  </conditionalFormatting>
  <conditionalFormatting sqref="C70:Q71">
    <cfRule type="colorScale" priority="45">
      <colorScale>
        <cfvo type="min"/>
        <cfvo type="max"/>
        <color theme="0"/>
        <color rgb="FF5D9732"/>
      </colorScale>
    </cfRule>
  </conditionalFormatting>
  <conditionalFormatting sqref="D86:Q88">
    <cfRule type="colorScale" priority="44">
      <colorScale>
        <cfvo type="min"/>
        <cfvo type="max"/>
        <color theme="0"/>
        <color rgb="FF5D9732"/>
      </colorScale>
    </cfRule>
  </conditionalFormatting>
  <conditionalFormatting sqref="D90:Q92">
    <cfRule type="colorScale" priority="43">
      <colorScale>
        <cfvo type="min"/>
        <cfvo type="max"/>
        <color theme="0"/>
        <color rgb="FF5D9732"/>
      </colorScale>
    </cfRule>
  </conditionalFormatting>
  <conditionalFormatting sqref="D94:Q96">
    <cfRule type="colorScale" priority="42">
      <colorScale>
        <cfvo type="min"/>
        <cfvo type="max"/>
        <color theme="0"/>
        <color rgb="FF5D9732"/>
      </colorScale>
    </cfRule>
  </conditionalFormatting>
  <conditionalFormatting sqref="D98:Q100">
    <cfRule type="colorScale" priority="41">
      <colorScale>
        <cfvo type="min"/>
        <cfvo type="max"/>
        <color theme="0"/>
        <color rgb="FF5D9732"/>
      </colorScale>
    </cfRule>
  </conditionalFormatting>
  <conditionalFormatting sqref="C14:Q16">
    <cfRule type="colorScale" priority="39">
      <colorScale>
        <cfvo type="min"/>
        <cfvo type="max"/>
        <color theme="0"/>
        <color rgb="FF5D9732"/>
      </colorScale>
    </cfRule>
  </conditionalFormatting>
  <conditionalFormatting sqref="C46:Q48">
    <cfRule type="colorScale" priority="38">
      <colorScale>
        <cfvo type="min"/>
        <cfvo type="max"/>
        <color theme="0"/>
        <color rgb="FF5D9732"/>
      </colorScale>
    </cfRule>
  </conditionalFormatting>
  <conditionalFormatting sqref="C54:Q60">
    <cfRule type="colorScale" priority="37">
      <colorScale>
        <cfvo type="min"/>
        <cfvo type="max"/>
        <color theme="0"/>
        <color rgb="FF5D9732"/>
      </colorScale>
    </cfRule>
  </conditionalFormatting>
  <conditionalFormatting sqref="D77:Q80">
    <cfRule type="colorScale" priority="55">
      <colorScale>
        <cfvo type="min"/>
        <cfvo type="max"/>
        <color rgb="FFFCFCFF"/>
        <color rgb="FF00B050"/>
      </colorScale>
    </cfRule>
  </conditionalFormatting>
  <conditionalFormatting sqref="D84:Q84">
    <cfRule type="colorScale" priority="31">
      <colorScale>
        <cfvo type="min"/>
        <cfvo type="max"/>
        <color rgb="FFFCFCFF"/>
        <color rgb="FF5D9732"/>
      </colorScale>
    </cfRule>
  </conditionalFormatting>
  <conditionalFormatting sqref="C62:Q65">
    <cfRule type="colorScale" priority="34">
      <colorScale>
        <cfvo type="min"/>
        <cfvo type="max"/>
        <color theme="0"/>
        <color rgb="FF5D9732"/>
      </colorScale>
    </cfRule>
  </conditionalFormatting>
  <conditionalFormatting sqref="C22:Q24">
    <cfRule type="colorScale" priority="33">
      <colorScale>
        <cfvo type="min"/>
        <cfvo type="max"/>
        <color theme="0"/>
        <color rgb="FF5D9732"/>
      </colorScale>
    </cfRule>
  </conditionalFormatting>
  <conditionalFormatting sqref="C26:Q29">
    <cfRule type="colorScale" priority="32">
      <colorScale>
        <cfvo type="min"/>
        <cfvo type="max"/>
        <color theme="0"/>
        <color rgb="FF5D9732"/>
      </colorScale>
    </cfRule>
  </conditionalFormatting>
  <conditionalFormatting sqref="C66:P66">
    <cfRule type="colorScale" priority="30">
      <colorScale>
        <cfvo type="min"/>
        <cfvo type="max"/>
        <color rgb="FFFCFCFF"/>
        <color rgb="FF5D9732"/>
      </colorScale>
    </cfRule>
  </conditionalFormatting>
  <conditionalFormatting sqref="D102:Q108">
    <cfRule type="colorScale" priority="27">
      <colorScale>
        <cfvo type="min"/>
        <cfvo type="max"/>
        <color theme="0"/>
        <color rgb="FF5D9732"/>
      </colorScale>
    </cfRule>
  </conditionalFormatting>
  <conditionalFormatting sqref="D109:Q111">
    <cfRule type="colorScale" priority="56">
      <colorScale>
        <cfvo type="min"/>
        <cfvo type="max"/>
        <color rgb="FFFCFCFF"/>
        <color rgb="FF5D9732"/>
      </colorScale>
    </cfRule>
  </conditionalFormatting>
  <conditionalFormatting sqref="D113:Q114">
    <cfRule type="colorScale" priority="25">
      <colorScale>
        <cfvo type="min"/>
        <cfvo type="max"/>
        <color rgb="FFFCFCFF"/>
        <color rgb="FF5D9732"/>
      </colorScale>
    </cfRule>
  </conditionalFormatting>
  <conditionalFormatting sqref="D115:Q116">
    <cfRule type="colorScale" priority="24">
      <colorScale>
        <cfvo type="min"/>
        <cfvo type="max"/>
        <color rgb="FFFCFCFF"/>
        <color rgb="FF5D9732"/>
      </colorScale>
    </cfRule>
  </conditionalFormatting>
  <conditionalFormatting sqref="C143:Q144">
    <cfRule type="colorScale" priority="18">
      <colorScale>
        <cfvo type="min"/>
        <cfvo type="max"/>
        <color theme="0"/>
        <color rgb="FF5D9732"/>
      </colorScale>
    </cfRule>
  </conditionalFormatting>
  <conditionalFormatting sqref="D127:Q130">
    <cfRule type="colorScale" priority="17">
      <colorScale>
        <cfvo type="min"/>
        <cfvo type="max"/>
        <color rgb="FFFCFCFF"/>
        <color rgb="FF5D9732"/>
      </colorScale>
    </cfRule>
  </conditionalFormatting>
  <conditionalFormatting sqref="D118:Q121 D123:Q124">
    <cfRule type="colorScale" priority="13">
      <colorScale>
        <cfvo type="min"/>
        <cfvo type="max"/>
        <color rgb="FFFCFCFF"/>
        <color rgb="FF5D9732"/>
      </colorScale>
    </cfRule>
  </conditionalFormatting>
  <conditionalFormatting sqref="D122:Q122">
    <cfRule type="colorScale" priority="12">
      <colorScale>
        <cfvo type="min"/>
        <cfvo type="max"/>
        <color rgb="FFFCFCFF"/>
        <color rgb="FF5D9732"/>
      </colorScale>
    </cfRule>
  </conditionalFormatting>
  <conditionalFormatting sqref="D125:Q125">
    <cfRule type="colorScale" priority="9">
      <colorScale>
        <cfvo type="min"/>
        <cfvo type="max"/>
        <color rgb="FFFCFCFF"/>
        <color rgb="FF5D9732"/>
      </colorScale>
    </cfRule>
  </conditionalFormatting>
  <conditionalFormatting sqref="C142:Q142">
    <cfRule type="colorScale" priority="8">
      <colorScale>
        <cfvo type="min"/>
        <cfvo type="max"/>
        <color theme="0"/>
        <color rgb="FF5D9732"/>
      </colorScale>
    </cfRule>
  </conditionalFormatting>
  <conditionalFormatting sqref="D133:Q133 D131:Q131">
    <cfRule type="colorScale" priority="7">
      <colorScale>
        <cfvo type="min"/>
        <cfvo type="max"/>
        <color rgb="FFFCFCFF"/>
        <color rgb="FF5D9732"/>
      </colorScale>
    </cfRule>
  </conditionalFormatting>
  <conditionalFormatting sqref="E134:Q135 E139:Q139 E137:Q137">
    <cfRule type="colorScale" priority="6">
      <colorScale>
        <cfvo type="min"/>
        <cfvo type="max"/>
        <color rgb="FFFCFCFF"/>
        <color rgb="FF5D9732"/>
      </colorScale>
    </cfRule>
  </conditionalFormatting>
  <conditionalFormatting sqref="D132:Q132">
    <cfRule type="colorScale" priority="5">
      <colorScale>
        <cfvo type="min"/>
        <cfvo type="max"/>
        <color rgb="FFFCFCFF"/>
        <color rgb="FF5D9732"/>
      </colorScale>
    </cfRule>
  </conditionalFormatting>
  <conditionalFormatting sqref="E137:Q137">
    <cfRule type="colorScale" priority="4">
      <colorScale>
        <cfvo type="min"/>
        <cfvo type="max"/>
        <color theme="0"/>
        <color rgb="FF5D9732"/>
      </colorScale>
    </cfRule>
  </conditionalFormatting>
  <conditionalFormatting sqref="D138:Q138">
    <cfRule type="colorScale" priority="3">
      <colorScale>
        <cfvo type="min"/>
        <cfvo type="max"/>
        <color theme="0"/>
        <color rgb="FF5D9732"/>
      </colorScale>
    </cfRule>
  </conditionalFormatting>
  <conditionalFormatting sqref="D136:Q136">
    <cfRule type="colorScale" priority="1">
      <colorScale>
        <cfvo type="min"/>
        <cfvo type="max"/>
        <color theme="0"/>
        <color rgb="FF5D9732"/>
      </colorScale>
    </cfRule>
  </conditionalFormatting>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BA3B-CFB5-4739-AA1D-3F8F5E69E9D2}">
  <sheetPr>
    <tabColor rgb="FF8CC63F"/>
  </sheetPr>
  <dimension ref="A1:Z157"/>
  <sheetViews>
    <sheetView zoomScale="80" zoomScaleNormal="80" workbookViewId="0">
      <pane ySplit="6" topLeftCell="A95" activePane="bottomLeft" state="frozen"/>
      <selection activeCell="D1" sqref="D1"/>
      <selection pane="bottomLeft" activeCell="U109" sqref="U109"/>
    </sheetView>
  </sheetViews>
  <sheetFormatPr defaultRowHeight="14.5" x14ac:dyDescent="0.35"/>
  <cols>
    <col min="1" max="1" width="5.08984375" customWidth="1"/>
    <col min="2" max="2" width="25.1796875" customWidth="1"/>
    <col min="3" max="3" width="6.36328125" bestFit="1" customWidth="1"/>
    <col min="4" max="5" width="9" bestFit="1" customWidth="1"/>
    <col min="6" max="9" width="9.453125" bestFit="1" customWidth="1"/>
    <col min="10" max="12" width="12.1796875" customWidth="1"/>
    <col min="13" max="13" width="11.54296875" customWidth="1"/>
    <col min="14" max="16" width="9.453125" bestFit="1" customWidth="1"/>
    <col min="17" max="17" width="10.08984375" customWidth="1"/>
  </cols>
  <sheetData>
    <row r="1" spans="1:20" x14ac:dyDescent="0.35">
      <c r="Q1" s="4" t="s">
        <v>366</v>
      </c>
      <c r="R1" s="23">
        <v>1</v>
      </c>
      <c r="S1" t="s">
        <v>104</v>
      </c>
    </row>
    <row r="2" spans="1:20" x14ac:dyDescent="0.35">
      <c r="A2" s="30"/>
      <c r="B2" s="7" t="s">
        <v>298</v>
      </c>
      <c r="C2" s="30"/>
      <c r="D2" s="30"/>
      <c r="E2" s="30"/>
      <c r="F2" s="30"/>
      <c r="G2" s="30"/>
      <c r="Q2" s="4" t="s">
        <v>367</v>
      </c>
      <c r="R2" s="23">
        <v>1</v>
      </c>
    </row>
    <row r="3" spans="1:20" x14ac:dyDescent="0.35">
      <c r="Q3" s="4" t="s">
        <v>349</v>
      </c>
      <c r="R3" s="23">
        <v>1</v>
      </c>
      <c r="T3" s="138" t="s">
        <v>133</v>
      </c>
    </row>
    <row r="4" spans="1:20" x14ac:dyDescent="0.35">
      <c r="Q4" s="4" t="s">
        <v>348</v>
      </c>
      <c r="R4" s="23">
        <v>1</v>
      </c>
      <c r="T4" s="138" t="s">
        <v>134</v>
      </c>
    </row>
    <row r="5" spans="1:20" x14ac:dyDescent="0.35">
      <c r="C5" t="s">
        <v>105</v>
      </c>
      <c r="T5" s="138" t="s">
        <v>135</v>
      </c>
    </row>
    <row r="6" spans="1:20" ht="21" x14ac:dyDescent="0.5">
      <c r="B6" s="102"/>
      <c r="C6" s="103">
        <v>2021</v>
      </c>
      <c r="D6" s="194">
        <v>2022</v>
      </c>
      <c r="E6" s="194">
        <f t="shared" ref="E6:Q6" si="0">D6+1</f>
        <v>2023</v>
      </c>
      <c r="F6" s="194">
        <f t="shared" si="0"/>
        <v>2024</v>
      </c>
      <c r="G6" s="194">
        <f t="shared" si="0"/>
        <v>2025</v>
      </c>
      <c r="H6" s="194">
        <f t="shared" si="0"/>
        <v>2026</v>
      </c>
      <c r="I6" s="194">
        <f t="shared" si="0"/>
        <v>2027</v>
      </c>
      <c r="J6" s="194">
        <f t="shared" si="0"/>
        <v>2028</v>
      </c>
      <c r="K6" s="194">
        <f t="shared" si="0"/>
        <v>2029</v>
      </c>
      <c r="L6" s="195">
        <f t="shared" si="0"/>
        <v>2030</v>
      </c>
      <c r="M6" s="194">
        <f t="shared" si="0"/>
        <v>2031</v>
      </c>
      <c r="N6" s="194">
        <f t="shared" si="0"/>
        <v>2032</v>
      </c>
      <c r="O6" s="194">
        <f t="shared" si="0"/>
        <v>2033</v>
      </c>
      <c r="P6" s="194">
        <f t="shared" si="0"/>
        <v>2034</v>
      </c>
      <c r="Q6" s="194">
        <f t="shared" si="0"/>
        <v>2035</v>
      </c>
      <c r="R6" s="112" t="s">
        <v>96</v>
      </c>
      <c r="T6" s="138" t="s">
        <v>136</v>
      </c>
    </row>
    <row r="7" spans="1:20" ht="15.5" x14ac:dyDescent="0.35">
      <c r="A7" s="116" t="s">
        <v>132</v>
      </c>
      <c r="B7" s="117" t="s">
        <v>107</v>
      </c>
      <c r="C7" s="117"/>
      <c r="D7" s="196"/>
      <c r="E7" s="196"/>
      <c r="F7" s="196"/>
      <c r="G7" s="196"/>
      <c r="H7" s="196"/>
      <c r="I7" s="196"/>
      <c r="J7" s="196"/>
      <c r="K7" s="196"/>
      <c r="L7" s="196"/>
      <c r="M7" s="196"/>
      <c r="N7" s="196"/>
      <c r="O7" s="196"/>
      <c r="P7" s="196"/>
      <c r="Q7" s="196"/>
      <c r="R7" s="119"/>
    </row>
    <row r="8" spans="1:20" ht="15.5" x14ac:dyDescent="0.35">
      <c r="A8" s="116"/>
      <c r="B8" s="120" t="s">
        <v>108</v>
      </c>
      <c r="C8" s="120"/>
      <c r="D8" s="182"/>
      <c r="E8" s="182"/>
      <c r="F8" s="182"/>
      <c r="G8" s="182"/>
      <c r="H8" s="182"/>
      <c r="I8" s="182"/>
      <c r="J8" s="182"/>
      <c r="K8" s="182"/>
      <c r="L8" s="182"/>
      <c r="M8" s="182"/>
      <c r="N8" s="182"/>
      <c r="O8" s="182"/>
      <c r="P8" s="182"/>
      <c r="Q8" s="182"/>
      <c r="R8" s="115"/>
    </row>
    <row r="9" spans="1:20" ht="15.5" x14ac:dyDescent="0.35">
      <c r="A9" s="116"/>
      <c r="B9" s="129" t="s">
        <v>350</v>
      </c>
      <c r="C9" s="129"/>
      <c r="D9" s="131"/>
      <c r="E9" s="131"/>
      <c r="F9" s="131"/>
      <c r="G9" s="131"/>
      <c r="H9" s="131"/>
      <c r="I9" s="131"/>
      <c r="J9" s="131"/>
      <c r="K9" s="131"/>
      <c r="L9" s="131"/>
      <c r="M9" s="131"/>
      <c r="N9" s="131"/>
      <c r="O9" s="131"/>
      <c r="P9" s="131"/>
      <c r="Q9" s="131"/>
      <c r="R9" s="130"/>
    </row>
    <row r="10" spans="1:20" ht="15.5" x14ac:dyDescent="0.35">
      <c r="A10" s="121">
        <f>MAX(Assumptions!C$45:C$47)</f>
        <v>1</v>
      </c>
      <c r="B10" s="111">
        <v>12</v>
      </c>
      <c r="C10" s="108" cm="1">
        <f t="array" aca="1" ref="C10" ca="1">INDIRECT("R[36]C["&amp;$A$10&amp;"]",FALSE)</f>
        <v>42.769230769230774</v>
      </c>
      <c r="D10" s="108" cm="1">
        <f t="array" aca="1" ref="D10" ca="1">INDIRECT("R[36]C["&amp;$A$10&amp;"]",FALSE)</f>
        <v>261.79487179487182</v>
      </c>
      <c r="E10" s="108" cm="1">
        <f t="array" aca="1" ref="E10" ca="1">INDIRECT("R[36]C["&amp;$A$10&amp;"]",FALSE)</f>
        <v>187.5128205128205</v>
      </c>
      <c r="F10" s="108" cm="1">
        <f t="array" aca="1" ref="F10" ca="1">INDIRECT("R[36]C["&amp;$A$10&amp;"]",FALSE)</f>
        <v>60.666666666666664</v>
      </c>
      <c r="G10" s="108" cm="1">
        <f t="array" aca="1" ref="G10" ca="1">INDIRECT("R[36]C["&amp;$A$10&amp;"]",FALSE)</f>
        <v>0</v>
      </c>
      <c r="H10" s="108" cm="1">
        <f t="array" aca="1" ref="H10" ca="1">INDIRECT("R[36]C["&amp;$A$10&amp;"]",FALSE)</f>
        <v>0</v>
      </c>
      <c r="I10" s="108" cm="1">
        <f t="array" aca="1" ref="I10" ca="1">INDIRECT("R[36]C["&amp;$A$10&amp;"]",FALSE)</f>
        <v>0</v>
      </c>
      <c r="J10" s="108" cm="1">
        <f t="array" aca="1" ref="J10" ca="1">INDIRECT("R[36]C["&amp;$A$10&amp;"]",FALSE)</f>
        <v>0</v>
      </c>
      <c r="K10" s="108" cm="1">
        <f t="array" aca="1" ref="K10" ca="1">INDIRECT("R[36]C["&amp;$A$10&amp;"]",FALSE)</f>
        <v>0</v>
      </c>
      <c r="L10" s="108" cm="1">
        <f t="array" aca="1" ref="L10" ca="1">INDIRECT("R[36]C["&amp;$A$10&amp;"]",FALSE)</f>
        <v>0</v>
      </c>
      <c r="M10" s="108" cm="1">
        <f t="array" aca="1" ref="M10" ca="1">INDIRECT("R[36]C["&amp;$A$10&amp;"]",FALSE)</f>
        <v>0</v>
      </c>
      <c r="N10" s="108" cm="1">
        <f t="array" aca="1" ref="N10" ca="1">INDIRECT("R[36]C["&amp;$A$10&amp;"]",FALSE)</f>
        <v>0</v>
      </c>
      <c r="O10" s="108" cm="1">
        <f t="array" aca="1" ref="O10" ca="1">INDIRECT("R[36]C["&amp;$A$10&amp;"]",FALSE)</f>
        <v>0</v>
      </c>
      <c r="P10" s="108"/>
      <c r="Q10" s="108"/>
      <c r="R10" s="113">
        <f ca="1">SUM(C10:P10)</f>
        <v>552.74358974358972</v>
      </c>
    </row>
    <row r="11" spans="1:20" ht="15.5" x14ac:dyDescent="0.35">
      <c r="A11" s="121">
        <f>MAX(Assumptions!C$45:C$47)</f>
        <v>1</v>
      </c>
      <c r="B11" s="111">
        <v>15</v>
      </c>
      <c r="C11" s="108" cm="1">
        <f t="array" aca="1" ref="C11" ca="1">INDIRECT("R[36]C["&amp;$A$11&amp;"]",FALSE)</f>
        <v>0</v>
      </c>
      <c r="D11" s="108" cm="1">
        <f t="array" aca="1" ref="D11" ca="1">INDIRECT("R[36]C["&amp;$A$11&amp;"]",FALSE)</f>
        <v>76.52100840336135</v>
      </c>
      <c r="E11" s="108" cm="1">
        <f t="array" aca="1" ref="E11" ca="1">INDIRECT("R[36]C["&amp;$A$11&amp;"]",FALSE)</f>
        <v>102.33333333333334</v>
      </c>
      <c r="F11" s="108" cm="1">
        <f t="array" aca="1" ref="F11" ca="1">INDIRECT("R[36]C["&amp;$A$11&amp;"]",FALSE)</f>
        <v>183.06666666666666</v>
      </c>
      <c r="G11" s="108" cm="1">
        <f t="array" aca="1" ref="G11" ca="1">INDIRECT("R[36]C["&amp;$A$11&amp;"]",FALSE)</f>
        <v>193.64</v>
      </c>
      <c r="H11" s="108" cm="1">
        <f t="array" aca="1" ref="H11" ca="1">INDIRECT("R[36]C["&amp;$A$11&amp;"]",FALSE)</f>
        <v>408.41126999157984</v>
      </c>
      <c r="I11" s="108" cm="1">
        <f t="array" aca="1" ref="I11" ca="1">INDIRECT("R[36]C["&amp;$A$11&amp;"]",FALSE)</f>
        <v>219.61275259631313</v>
      </c>
      <c r="J11" s="108" cm="1">
        <f t="array" aca="1" ref="J11" ca="1">INDIRECT("R[36]C["&amp;$A$11&amp;"]",FALSE)</f>
        <v>381.94193194134141</v>
      </c>
      <c r="K11" s="108" cm="1">
        <f t="array" aca="1" ref="K11" ca="1">INDIRECT("R[36]C["&amp;$A$11&amp;"]",FALSE)</f>
        <v>0</v>
      </c>
      <c r="L11" s="108" cm="1">
        <f t="array" aca="1" ref="L11" ca="1">INDIRECT("R[36]C["&amp;$A$11&amp;"]",FALSE)</f>
        <v>0</v>
      </c>
      <c r="M11" s="108" cm="1">
        <f t="array" aca="1" ref="M11" ca="1">INDIRECT("R[36]C["&amp;$A$11&amp;"]",FALSE)</f>
        <v>0</v>
      </c>
      <c r="N11" s="108" cm="1">
        <f t="array" aca="1" ref="N11" ca="1">INDIRECT("R[36]C["&amp;$A$11&amp;"]",FALSE)</f>
        <v>0</v>
      </c>
      <c r="O11" s="108" cm="1">
        <f t="array" aca="1" ref="O11" ca="1">INDIRECT("R[36]C["&amp;$A$11&amp;"]",FALSE)</f>
        <v>0</v>
      </c>
      <c r="P11" s="108"/>
      <c r="Q11" s="108"/>
      <c r="R11" s="113">
        <f t="shared" ref="R11:R12" ca="1" si="1">SUM(C11:P11)</f>
        <v>1565.5269629325958</v>
      </c>
    </row>
    <row r="12" spans="1:20" ht="15.5" x14ac:dyDescent="0.35">
      <c r="A12" s="121">
        <f>MAX(Assumptions!C$45:C$47)</f>
        <v>1</v>
      </c>
      <c r="B12" s="111">
        <v>18</v>
      </c>
      <c r="C12" s="108" cm="1">
        <f t="array" aca="1" ref="C12" ca="1">INDIRECT("R[36]C["&amp;$A$12&amp;"]",FALSE)</f>
        <v>0</v>
      </c>
      <c r="D12" s="108" cm="1">
        <f t="array" aca="1" ref="D12" ca="1">INDIRECT("R[36]C["&amp;$A$12&amp;"]",FALSE)</f>
        <v>0</v>
      </c>
      <c r="E12" s="108" cm="1">
        <f t="array" aca="1" ref="E12" ca="1">INDIRECT("R[36]C["&amp;$A$12&amp;"]",FALSE)</f>
        <v>0</v>
      </c>
      <c r="F12" s="108" cm="1">
        <f t="array" aca="1" ref="F12" ca="1">INDIRECT("R[36]C["&amp;$A$12&amp;"]",FALSE)</f>
        <v>0</v>
      </c>
      <c r="G12" s="108" cm="1">
        <f t="array" aca="1" ref="G12" ca="1">INDIRECT("R[36]C["&amp;$A$12&amp;"]",FALSE)</f>
        <v>0</v>
      </c>
      <c r="H12" s="108" cm="1">
        <f t="array" aca="1" ref="H12" ca="1">INDIRECT("R[36]C["&amp;$A$12&amp;"]",FALSE)</f>
        <v>0</v>
      </c>
      <c r="I12" s="108" cm="1">
        <f t="array" aca="1" ref="I12" ca="1">INDIRECT("R[36]C["&amp;$A$12&amp;"]",FALSE)</f>
        <v>0</v>
      </c>
      <c r="J12" s="108" cm="1">
        <f t="array" aca="1" ref="J12" ca="1">INDIRECT("R[36]C["&amp;$A$12&amp;"]",FALSE)</f>
        <v>0</v>
      </c>
      <c r="K12" s="108" cm="1">
        <f t="array" aca="1" ref="K12" ca="1">INDIRECT("R[36]C["&amp;$A$12&amp;"]",FALSE)</f>
        <v>319.20644440645248</v>
      </c>
      <c r="L12" s="108" cm="1">
        <f t="array" aca="1" ref="L12" ca="1">INDIRECT("R[36]C["&amp;$A$12&amp;"]",FALSE)</f>
        <v>356.16679763270048</v>
      </c>
      <c r="M12" s="108" cm="1">
        <f t="array" aca="1" ref="M12" ca="1">INDIRECT("R[36]C["&amp;$A$12&amp;"]",FALSE)</f>
        <v>398.16021983415686</v>
      </c>
      <c r="N12" s="108" cm="1">
        <f t="array" aca="1" ref="N12" ca="1">INDIRECT("R[36]C["&amp;$A$12&amp;"]",FALSE)</f>
        <v>274.52731225842081</v>
      </c>
      <c r="O12" s="108" cm="1">
        <f t="array" aca="1" ref="O12" ca="1">INDIRECT("R[36]C["&amp;$A$12&amp;"]",FALSE)</f>
        <v>301.33333333333331</v>
      </c>
      <c r="P12" s="108"/>
      <c r="Q12" s="108"/>
      <c r="R12" s="113">
        <f t="shared" ca="1" si="1"/>
        <v>1649.3941074650638</v>
      </c>
      <c r="S12" t="s">
        <v>91</v>
      </c>
    </row>
    <row r="13" spans="1:20" ht="15.5" x14ac:dyDescent="0.35">
      <c r="A13" s="116"/>
      <c r="B13" s="129" t="s">
        <v>351</v>
      </c>
      <c r="C13" s="129"/>
      <c r="D13" s="131"/>
      <c r="E13" s="131"/>
      <c r="F13" s="131"/>
      <c r="G13" s="131"/>
      <c r="H13" s="131"/>
      <c r="I13" s="131"/>
      <c r="J13" s="131"/>
      <c r="K13" s="131"/>
      <c r="L13" s="131"/>
      <c r="M13" s="131"/>
      <c r="N13" s="131"/>
      <c r="O13" s="131"/>
      <c r="P13" s="131"/>
      <c r="Q13" s="131"/>
      <c r="R13" s="130"/>
    </row>
    <row r="14" spans="1:20" ht="15.5" x14ac:dyDescent="0.35">
      <c r="A14" s="121">
        <f>Assumptions!C$45</f>
        <v>1</v>
      </c>
      <c r="B14" s="111">
        <v>12</v>
      </c>
      <c r="C14" s="108" cm="1">
        <f t="array" aca="1" ref="C14" ca="1">INDIRECT("R[36]C["&amp;$A$14&amp;"]",FALSE)</f>
        <v>128.30769230769232</v>
      </c>
      <c r="D14" s="108" cm="1">
        <f t="array" aca="1" ref="D14" ca="1">INDIRECT("R[36]C["&amp;$A$14&amp;"]",FALSE)</f>
        <v>785.38461538461547</v>
      </c>
      <c r="E14" s="108" cm="1">
        <f t="array" aca="1" ref="E14" ca="1">INDIRECT("R[36]C["&amp;$A$14&amp;"]",FALSE)</f>
        <v>562.53846153846143</v>
      </c>
      <c r="F14" s="108" cm="1">
        <f t="array" aca="1" ref="F14" ca="1">INDIRECT("R[36]C["&amp;$A$14&amp;"]",FALSE)</f>
        <v>182</v>
      </c>
      <c r="G14" s="108" cm="1">
        <f t="array" aca="1" ref="G14" ca="1">INDIRECT("R[36]C["&amp;$A$14&amp;"]",FALSE)</f>
        <v>0</v>
      </c>
      <c r="H14" s="108" cm="1">
        <f t="array" aca="1" ref="H14" ca="1">INDIRECT("R[36]C["&amp;$A$14&amp;"]",FALSE)</f>
        <v>0</v>
      </c>
      <c r="I14" s="108" cm="1">
        <f t="array" aca="1" ref="I14" ca="1">INDIRECT("R[36]C["&amp;$A$14&amp;"]",FALSE)</f>
        <v>0</v>
      </c>
      <c r="J14" s="108" cm="1">
        <f t="array" aca="1" ref="J14" ca="1">INDIRECT("R[36]C["&amp;$A$14&amp;"]",FALSE)</f>
        <v>0</v>
      </c>
      <c r="K14" s="108" cm="1">
        <f t="array" aca="1" ref="K14" ca="1">INDIRECT("R[36]C["&amp;$A$14&amp;"]",FALSE)</f>
        <v>0</v>
      </c>
      <c r="L14" s="108" cm="1">
        <f t="array" aca="1" ref="L14" ca="1">INDIRECT("R[36]C["&amp;$A$14&amp;"]",FALSE)</f>
        <v>0</v>
      </c>
      <c r="M14" s="108" cm="1">
        <f t="array" aca="1" ref="M14" ca="1">INDIRECT("R[36]C["&amp;$A$14&amp;"]",FALSE)</f>
        <v>0</v>
      </c>
      <c r="N14" s="108" cm="1">
        <f t="array" aca="1" ref="N14" ca="1">INDIRECT("R[36]C["&amp;$A$14&amp;"]",FALSE)</f>
        <v>0</v>
      </c>
      <c r="O14" s="108" cm="1">
        <f t="array" aca="1" ref="O14" ca="1">INDIRECT("R[36]C["&amp;$A$14&amp;"]",FALSE)</f>
        <v>0</v>
      </c>
      <c r="P14" s="111"/>
      <c r="Q14" s="111"/>
      <c r="R14" s="113">
        <f ca="1">SUM(C14:P14)</f>
        <v>1658.2307692307693</v>
      </c>
    </row>
    <row r="15" spans="1:20" ht="15.5" x14ac:dyDescent="0.35">
      <c r="A15" s="121">
        <f>Assumptions!C$45</f>
        <v>1</v>
      </c>
      <c r="B15" s="111">
        <v>15</v>
      </c>
      <c r="C15" s="108" cm="1">
        <f t="array" aca="1" ref="C15" ca="1">INDIRECT("R[36]C["&amp;$A$15&amp;"]",FALSE)</f>
        <v>0</v>
      </c>
      <c r="D15" s="108" cm="1">
        <f t="array" aca="1" ref="D15" ca="1">INDIRECT("R[36]C["&amp;$A$15&amp;"]",FALSE)</f>
        <v>229.56302521008405</v>
      </c>
      <c r="E15" s="108" cm="1">
        <f t="array" aca="1" ref="E15" ca="1">INDIRECT("R[36]C["&amp;$A$15&amp;"]",FALSE)</f>
        <v>307</v>
      </c>
      <c r="F15" s="108" cm="1">
        <f t="array" aca="1" ref="F15" ca="1">INDIRECT("R[36]C["&amp;$A$15&amp;"]",FALSE)</f>
        <v>549.20000000000005</v>
      </c>
      <c r="G15" s="108" cm="1">
        <f t="array" aca="1" ref="G15" ca="1">INDIRECT("R[36]C["&amp;$A$15&amp;"]",FALSE)</f>
        <v>580.91999999999996</v>
      </c>
      <c r="H15" s="108" cm="1">
        <f t="array" aca="1" ref="H15" ca="1">INDIRECT("R[36]C["&amp;$A$15&amp;"]",FALSE)</f>
        <v>1225.2338099747394</v>
      </c>
      <c r="I15" s="108" cm="1">
        <f t="array" aca="1" ref="I15" ca="1">INDIRECT("R[36]C["&amp;$A$15&amp;"]",FALSE)</f>
        <v>658.83825778893936</v>
      </c>
      <c r="J15" s="108" cm="1">
        <f t="array" aca="1" ref="J15" ca="1">INDIRECT("R[36]C["&amp;$A$15&amp;"]",FALSE)</f>
        <v>1145.8257958240242</v>
      </c>
      <c r="K15" s="108" cm="1">
        <f t="array" aca="1" ref="K15" ca="1">INDIRECT("R[36]C["&amp;$A$15&amp;"]",FALSE)</f>
        <v>0</v>
      </c>
      <c r="L15" s="108" cm="1">
        <f t="array" aca="1" ref="L15" ca="1">INDIRECT("R[36]C["&amp;$A$15&amp;"]",FALSE)</f>
        <v>0</v>
      </c>
      <c r="M15" s="108" cm="1">
        <f t="array" aca="1" ref="M15" ca="1">INDIRECT("R[36]C["&amp;$A$15&amp;"]",FALSE)</f>
        <v>0</v>
      </c>
      <c r="N15" s="108" cm="1">
        <f t="array" aca="1" ref="N15" ca="1">INDIRECT("R[36]C["&amp;$A$15&amp;"]",FALSE)</f>
        <v>0</v>
      </c>
      <c r="O15" s="108" cm="1">
        <f t="array" aca="1" ref="O15" ca="1">INDIRECT("R[36]C["&amp;$A$15&amp;"]",FALSE)</f>
        <v>0</v>
      </c>
      <c r="P15" s="111"/>
      <c r="Q15" s="111"/>
      <c r="R15" s="113">
        <f t="shared" ref="R15:R16" ca="1" si="2">SUM(C15:P15)</f>
        <v>4696.5808887977873</v>
      </c>
    </row>
    <row r="16" spans="1:20" ht="15.5" x14ac:dyDescent="0.35">
      <c r="A16" s="121">
        <f>Assumptions!C$45</f>
        <v>1</v>
      </c>
      <c r="B16" s="111">
        <v>18</v>
      </c>
      <c r="C16" s="108" cm="1">
        <f t="array" aca="1" ref="C16" ca="1">INDIRECT("R[36]C["&amp;$A$16&amp;"]",FALSE)</f>
        <v>0</v>
      </c>
      <c r="D16" s="108" cm="1">
        <f t="array" aca="1" ref="D16" ca="1">INDIRECT("R[36]C["&amp;$A$16&amp;"]",FALSE)</f>
        <v>0</v>
      </c>
      <c r="E16" s="108" cm="1">
        <f t="array" aca="1" ref="E16" ca="1">INDIRECT("R[36]C["&amp;$A$16&amp;"]",FALSE)</f>
        <v>0</v>
      </c>
      <c r="F16" s="108" cm="1">
        <f t="array" aca="1" ref="F16" ca="1">INDIRECT("R[36]C["&amp;$A$16&amp;"]",FALSE)</f>
        <v>0</v>
      </c>
      <c r="G16" s="108" cm="1">
        <f t="array" aca="1" ref="G16" ca="1">INDIRECT("R[36]C["&amp;$A$16&amp;"]",FALSE)</f>
        <v>0</v>
      </c>
      <c r="H16" s="108" cm="1">
        <f t="array" aca="1" ref="H16" ca="1">INDIRECT("R[36]C["&amp;$A$16&amp;"]",FALSE)</f>
        <v>0</v>
      </c>
      <c r="I16" s="108" cm="1">
        <f t="array" aca="1" ref="I16" ca="1">INDIRECT("R[36]C["&amp;$A$16&amp;"]",FALSE)</f>
        <v>0</v>
      </c>
      <c r="J16" s="108" cm="1">
        <f t="array" aca="1" ref="J16" ca="1">INDIRECT("R[36]C["&amp;$A$16&amp;"]",FALSE)</f>
        <v>0</v>
      </c>
      <c r="K16" s="108" cm="1">
        <f t="array" aca="1" ref="K16" ca="1">INDIRECT("R[36]C["&amp;$A$16&amp;"]",FALSE)</f>
        <v>957.61933321935749</v>
      </c>
      <c r="L16" s="108" cm="1">
        <f t="array" aca="1" ref="L16" ca="1">INDIRECT("R[36]C["&amp;$A$16&amp;"]",FALSE)</f>
        <v>1068.5003928981014</v>
      </c>
      <c r="M16" s="108" cm="1">
        <f t="array" aca="1" ref="M16" ca="1">INDIRECT("R[36]C["&amp;$A$16&amp;"]",FALSE)</f>
        <v>1194.4806595024706</v>
      </c>
      <c r="N16" s="108" cm="1">
        <f t="array" aca="1" ref="N16" ca="1">INDIRECT("R[36]C["&amp;$A$16&amp;"]",FALSE)</f>
        <v>823.58193677526242</v>
      </c>
      <c r="O16" s="108" cm="1">
        <f t="array" aca="1" ref="O16" ca="1">INDIRECT("R[36]C["&amp;$A$16&amp;"]",FALSE)</f>
        <v>904</v>
      </c>
      <c r="P16" s="111"/>
      <c r="Q16" s="111"/>
      <c r="R16" s="113">
        <f t="shared" ca="1" si="2"/>
        <v>4948.1823223951924</v>
      </c>
    </row>
    <row r="17" spans="1:18" ht="15.5" x14ac:dyDescent="0.35">
      <c r="A17" s="116"/>
      <c r="B17" s="129" t="s">
        <v>114</v>
      </c>
      <c r="C17" s="129"/>
      <c r="D17" s="131"/>
      <c r="E17" s="131"/>
      <c r="F17" s="131"/>
      <c r="G17" s="131"/>
      <c r="H17" s="131"/>
      <c r="I17" s="131"/>
      <c r="J17" s="131"/>
      <c r="K17" s="131"/>
      <c r="L17" s="131"/>
      <c r="M17" s="131"/>
      <c r="N17" s="131"/>
      <c r="O17" s="131"/>
      <c r="P17" s="131"/>
      <c r="Q17" s="131"/>
      <c r="R17" s="130"/>
    </row>
    <row r="18" spans="1:18" ht="15.5" x14ac:dyDescent="0.35">
      <c r="A18" s="121">
        <f>Assumptions!C46</f>
        <v>1</v>
      </c>
      <c r="B18" s="111">
        <v>12</v>
      </c>
      <c r="C18" s="108" cm="1">
        <f t="array" aca="1" ref="C18" ca="1">INDIRECT("R[36]C["&amp;$A$18&amp;"]",FALSE)</f>
        <v>42.769230769230774</v>
      </c>
      <c r="D18" s="108" cm="1">
        <f t="array" aca="1" ref="D18" ca="1">INDIRECT("R[36]C["&amp;$A$18&amp;"]",FALSE)</f>
        <v>261.79487179487182</v>
      </c>
      <c r="E18" s="108" cm="1">
        <f t="array" aca="1" ref="E18" ca="1">INDIRECT("R[36]C["&amp;$A$18&amp;"]",FALSE)</f>
        <v>187.5128205128205</v>
      </c>
      <c r="F18" s="108" cm="1">
        <f t="array" aca="1" ref="F18" ca="1">INDIRECT("R[36]C["&amp;$A$18&amp;"]",FALSE)</f>
        <v>60.666666666666664</v>
      </c>
      <c r="G18" s="108" cm="1">
        <f t="array" aca="1" ref="G18" ca="1">INDIRECT("R[36]C["&amp;$A$18&amp;"]",FALSE)</f>
        <v>0</v>
      </c>
      <c r="H18" s="108" cm="1">
        <f t="array" aca="1" ref="H18" ca="1">INDIRECT("R[36]C["&amp;$A$18&amp;"]",FALSE)</f>
        <v>0</v>
      </c>
      <c r="I18" s="108" cm="1">
        <f t="array" aca="1" ref="I18" ca="1">INDIRECT("R[36]C["&amp;$A$18&amp;"]",FALSE)</f>
        <v>0</v>
      </c>
      <c r="J18" s="108" cm="1">
        <f t="array" aca="1" ref="J18" ca="1">INDIRECT("R[36]C["&amp;$A$18&amp;"]",FALSE)</f>
        <v>0</v>
      </c>
      <c r="K18" s="108" cm="1">
        <f t="array" aca="1" ref="K18" ca="1">INDIRECT("R[36]C["&amp;$A$18&amp;"]",FALSE)</f>
        <v>0</v>
      </c>
      <c r="L18" s="108" cm="1">
        <f t="array" aca="1" ref="L18" ca="1">INDIRECT("R[36]C["&amp;$A$18&amp;"]",FALSE)</f>
        <v>0</v>
      </c>
      <c r="M18" s="108" cm="1">
        <f t="array" aca="1" ref="M18" ca="1">INDIRECT("R[36]C["&amp;$A$18&amp;"]",FALSE)</f>
        <v>0</v>
      </c>
      <c r="N18" s="108" cm="1">
        <f t="array" aca="1" ref="N18" ca="1">INDIRECT("R[36]C["&amp;$A$18&amp;"]",FALSE)</f>
        <v>0</v>
      </c>
      <c r="O18" s="108" cm="1">
        <f t="array" aca="1" ref="O18" ca="1">INDIRECT("R[36]C["&amp;$A$18&amp;"]",FALSE)</f>
        <v>0</v>
      </c>
      <c r="P18" s="111"/>
      <c r="Q18" s="111"/>
      <c r="R18" s="113">
        <f ca="1">SUM(C18:P18)</f>
        <v>552.74358974358972</v>
      </c>
    </row>
    <row r="19" spans="1:18" ht="15.5" x14ac:dyDescent="0.35">
      <c r="A19" s="121">
        <f>A18</f>
        <v>1</v>
      </c>
      <c r="B19" s="111">
        <v>15</v>
      </c>
      <c r="C19" s="108" cm="1">
        <f t="array" aca="1" ref="C19" ca="1">INDIRECT("R[36]C["&amp;$A$19&amp;"]",FALSE)</f>
        <v>0</v>
      </c>
      <c r="D19" s="108" cm="1">
        <f t="array" aca="1" ref="D19" ca="1">INDIRECT("R[36]C["&amp;$A$19&amp;"]",FALSE)</f>
        <v>76.52100840336135</v>
      </c>
      <c r="E19" s="108" cm="1">
        <f t="array" aca="1" ref="E19" ca="1">INDIRECT("R[36]C["&amp;$A$19&amp;"]",FALSE)</f>
        <v>102.33333333333334</v>
      </c>
      <c r="F19" s="108" cm="1">
        <f t="array" aca="1" ref="F19" ca="1">INDIRECT("R[36]C["&amp;$A$19&amp;"]",FALSE)</f>
        <v>183.06666666666666</v>
      </c>
      <c r="G19" s="108" cm="1">
        <f t="array" aca="1" ref="G19" ca="1">INDIRECT("R[36]C["&amp;$A$19&amp;"]",FALSE)</f>
        <v>193.64</v>
      </c>
      <c r="H19" s="108" cm="1">
        <f t="array" aca="1" ref="H19" ca="1">INDIRECT("R[36]C["&amp;$A$19&amp;"]",FALSE)</f>
        <v>408.41126999157984</v>
      </c>
      <c r="I19" s="108" cm="1">
        <f t="array" aca="1" ref="I19" ca="1">INDIRECT("R[36]C["&amp;$A$19&amp;"]",FALSE)</f>
        <v>219.61275259631313</v>
      </c>
      <c r="J19" s="108" cm="1">
        <f t="array" aca="1" ref="J19" ca="1">INDIRECT("R[36]C["&amp;$A$19&amp;"]",FALSE)</f>
        <v>381.94193194134141</v>
      </c>
      <c r="K19" s="108" cm="1">
        <f t="array" aca="1" ref="K19" ca="1">INDIRECT("R[36]C["&amp;$A$19&amp;"]",FALSE)</f>
        <v>0</v>
      </c>
      <c r="L19" s="108" cm="1">
        <f t="array" aca="1" ref="L19" ca="1">INDIRECT("R[36]C["&amp;$A$19&amp;"]",FALSE)</f>
        <v>0</v>
      </c>
      <c r="M19" s="108" cm="1">
        <f t="array" aca="1" ref="M19" ca="1">INDIRECT("R[36]C["&amp;$A$19&amp;"]",FALSE)</f>
        <v>0</v>
      </c>
      <c r="N19" s="108" cm="1">
        <f t="array" aca="1" ref="N19" ca="1">INDIRECT("R[36]C["&amp;$A$19&amp;"]",FALSE)</f>
        <v>0</v>
      </c>
      <c r="O19" s="108" cm="1">
        <f t="array" aca="1" ref="O19" ca="1">INDIRECT("R[36]C["&amp;$A$19&amp;"]",FALSE)</f>
        <v>0</v>
      </c>
      <c r="P19" s="111"/>
      <c r="Q19" s="111"/>
      <c r="R19" s="113">
        <f t="shared" ref="R19:R20" ca="1" si="3">SUM(C19:P19)</f>
        <v>1565.5269629325958</v>
      </c>
    </row>
    <row r="20" spans="1:18" ht="15.5" x14ac:dyDescent="0.35">
      <c r="A20" s="121">
        <f>A18</f>
        <v>1</v>
      </c>
      <c r="B20" s="111">
        <v>18</v>
      </c>
      <c r="C20" s="108" cm="1">
        <f t="array" aca="1" ref="C20" ca="1">INDIRECT("R[36]C["&amp;$A$20&amp;"]",FALSE)</f>
        <v>0</v>
      </c>
      <c r="D20" s="108" cm="1">
        <f t="array" aca="1" ref="D20" ca="1">INDIRECT("R[36]C["&amp;$A$20&amp;"]",FALSE)</f>
        <v>0</v>
      </c>
      <c r="E20" s="108" cm="1">
        <f t="array" aca="1" ref="E20" ca="1">INDIRECT("R[36]C["&amp;$A$20&amp;"]",FALSE)</f>
        <v>0</v>
      </c>
      <c r="F20" s="108" cm="1">
        <f t="array" aca="1" ref="F20" ca="1">INDIRECT("R[36]C["&amp;$A$20&amp;"]",FALSE)</f>
        <v>0</v>
      </c>
      <c r="G20" s="108" cm="1">
        <f t="array" aca="1" ref="G20" ca="1">INDIRECT("R[36]C["&amp;$A$20&amp;"]",FALSE)</f>
        <v>0</v>
      </c>
      <c r="H20" s="108" cm="1">
        <f t="array" aca="1" ref="H20" ca="1">INDIRECT("R[36]C["&amp;$A$20&amp;"]",FALSE)</f>
        <v>0</v>
      </c>
      <c r="I20" s="108" cm="1">
        <f t="array" aca="1" ref="I20" ca="1">INDIRECT("R[36]C["&amp;$A$20&amp;"]",FALSE)</f>
        <v>0</v>
      </c>
      <c r="J20" s="108" cm="1">
        <f t="array" aca="1" ref="J20" ca="1">INDIRECT("R[36]C["&amp;$A$20&amp;"]",FALSE)</f>
        <v>0</v>
      </c>
      <c r="K20" s="108" cm="1">
        <f t="array" aca="1" ref="K20" ca="1">INDIRECT("R[36]C["&amp;$A$20&amp;"]",FALSE)</f>
        <v>319.20644440645248</v>
      </c>
      <c r="L20" s="108" cm="1">
        <f t="array" aca="1" ref="L20" ca="1">INDIRECT("R[36]C["&amp;$A$20&amp;"]",FALSE)</f>
        <v>356.16679763270048</v>
      </c>
      <c r="M20" s="108" cm="1">
        <f t="array" aca="1" ref="M20" ca="1">INDIRECT("R[36]C["&amp;$A$20&amp;"]",FALSE)</f>
        <v>398.16021983415686</v>
      </c>
      <c r="N20" s="108" cm="1">
        <f t="array" aca="1" ref="N20" ca="1">INDIRECT("R[36]C["&amp;$A$20&amp;"]",FALSE)</f>
        <v>274.52731225842081</v>
      </c>
      <c r="O20" s="108" cm="1">
        <f t="array" aca="1" ref="O20" ca="1">INDIRECT("R[36]C["&amp;$A$20&amp;"]",FALSE)</f>
        <v>301.33333333333331</v>
      </c>
      <c r="P20" s="111"/>
      <c r="Q20" s="111"/>
      <c r="R20" s="113">
        <f t="shared" ca="1" si="3"/>
        <v>1649.3941074650638</v>
      </c>
    </row>
    <row r="21" spans="1:18" ht="15.5" x14ac:dyDescent="0.35">
      <c r="A21" s="116"/>
      <c r="B21" s="129" t="s">
        <v>352</v>
      </c>
      <c r="C21" s="129"/>
      <c r="D21" s="131"/>
      <c r="E21" s="131"/>
      <c r="F21" s="131"/>
      <c r="G21" s="131"/>
      <c r="H21" s="131"/>
      <c r="I21" s="131"/>
      <c r="J21" s="131"/>
      <c r="K21" s="131"/>
      <c r="L21" s="131"/>
      <c r="M21" s="131"/>
      <c r="N21" s="131"/>
      <c r="O21" s="131"/>
      <c r="P21" s="131"/>
      <c r="Q21" s="131"/>
      <c r="R21" s="130"/>
    </row>
    <row r="22" spans="1:18" ht="15.5" x14ac:dyDescent="0.35">
      <c r="A22" s="121">
        <f>Assumptions!C47</f>
        <v>1</v>
      </c>
      <c r="B22" s="111">
        <v>12</v>
      </c>
      <c r="C22" s="108" cm="1">
        <f t="array" aca="1" ref="C22" ca="1">INDIRECT("R[36]C["&amp;$A$22&amp;"]",FALSE)</f>
        <v>42.769230769230774</v>
      </c>
      <c r="D22" s="108" cm="1">
        <f t="array" aca="1" ref="D22" ca="1">INDIRECT("R[36]C["&amp;$A$18&amp;"]",FALSE)</f>
        <v>261.79487179487182</v>
      </c>
      <c r="E22" s="108" cm="1">
        <f t="array" aca="1" ref="E22" ca="1">INDIRECT("R[36]C["&amp;$A$18&amp;"]",FALSE)</f>
        <v>187.5128205128205</v>
      </c>
      <c r="F22" s="108" cm="1">
        <f t="array" aca="1" ref="F22" ca="1">INDIRECT("R[36]C["&amp;$A$18&amp;"]",FALSE)</f>
        <v>60.666666666666664</v>
      </c>
      <c r="G22" s="108" cm="1">
        <f t="array" aca="1" ref="G22" ca="1">INDIRECT("R[36]C["&amp;$A$18&amp;"]",FALSE)</f>
        <v>0</v>
      </c>
      <c r="H22" s="108" cm="1">
        <f t="array" aca="1" ref="H22" ca="1">INDIRECT("R[36]C["&amp;$A$18&amp;"]",FALSE)</f>
        <v>0</v>
      </c>
      <c r="I22" s="108" cm="1">
        <f t="array" aca="1" ref="I22" ca="1">INDIRECT("R[36]C["&amp;$A$18&amp;"]",FALSE)</f>
        <v>0</v>
      </c>
      <c r="J22" s="108" cm="1">
        <f t="array" aca="1" ref="J22" ca="1">INDIRECT("R[36]C["&amp;$A$18&amp;"]",FALSE)</f>
        <v>0</v>
      </c>
      <c r="K22" s="108" cm="1">
        <f t="array" aca="1" ref="K22" ca="1">INDIRECT("R[36]C["&amp;$A$18&amp;"]",FALSE)</f>
        <v>0</v>
      </c>
      <c r="L22" s="108" cm="1">
        <f t="array" aca="1" ref="L22" ca="1">INDIRECT("R[36]C["&amp;$A$18&amp;"]",FALSE)</f>
        <v>0</v>
      </c>
      <c r="M22" s="108" cm="1">
        <f t="array" aca="1" ref="M22" ca="1">INDIRECT("R[36]C["&amp;$A$18&amp;"]",FALSE)</f>
        <v>0</v>
      </c>
      <c r="N22" s="108" cm="1">
        <f t="array" aca="1" ref="N22" ca="1">INDIRECT("R[36]C["&amp;$A$18&amp;"]",FALSE)</f>
        <v>0</v>
      </c>
      <c r="O22" s="108" cm="1">
        <f t="array" aca="1" ref="O22" ca="1">INDIRECT("R[36]C["&amp;$A$18&amp;"]",FALSE)</f>
        <v>0</v>
      </c>
      <c r="P22" s="111"/>
      <c r="Q22" s="111"/>
      <c r="R22" s="113">
        <f ca="1">SUM(C22:P22)</f>
        <v>552.74358974358972</v>
      </c>
    </row>
    <row r="23" spans="1:18" ht="15.5" x14ac:dyDescent="0.35">
      <c r="A23" s="121">
        <f>A22</f>
        <v>1</v>
      </c>
      <c r="B23" s="111">
        <v>15</v>
      </c>
      <c r="C23" s="108" cm="1">
        <f t="array" aca="1" ref="C23" ca="1">INDIRECT("R[36]C["&amp;$A$23&amp;"]",FALSE)</f>
        <v>0</v>
      </c>
      <c r="D23" s="108" cm="1">
        <f t="array" aca="1" ref="D23" ca="1">INDIRECT("R[36]C["&amp;$A$19&amp;"]",FALSE)</f>
        <v>76.52100840336135</v>
      </c>
      <c r="E23" s="108" cm="1">
        <f t="array" aca="1" ref="E23" ca="1">INDIRECT("R[36]C["&amp;$A$19&amp;"]",FALSE)</f>
        <v>102.33333333333334</v>
      </c>
      <c r="F23" s="108" cm="1">
        <f t="array" aca="1" ref="F23" ca="1">INDIRECT("R[36]C["&amp;$A$19&amp;"]",FALSE)</f>
        <v>183.06666666666666</v>
      </c>
      <c r="G23" s="108" cm="1">
        <f t="array" aca="1" ref="G23" ca="1">INDIRECT("R[36]C["&amp;$A$19&amp;"]",FALSE)</f>
        <v>193.64</v>
      </c>
      <c r="H23" s="108" cm="1">
        <f t="array" aca="1" ref="H23" ca="1">INDIRECT("R[36]C["&amp;$A$19&amp;"]",FALSE)</f>
        <v>408.41126999157984</v>
      </c>
      <c r="I23" s="108" cm="1">
        <f t="array" aca="1" ref="I23" ca="1">INDIRECT("R[36]C["&amp;$A$19&amp;"]",FALSE)</f>
        <v>219.61275259631313</v>
      </c>
      <c r="J23" s="108" cm="1">
        <f t="array" aca="1" ref="J23" ca="1">INDIRECT("R[36]C["&amp;$A$19&amp;"]",FALSE)</f>
        <v>381.94193194134141</v>
      </c>
      <c r="K23" s="108" cm="1">
        <f t="array" aca="1" ref="K23" ca="1">INDIRECT("R[36]C["&amp;$A$19&amp;"]",FALSE)</f>
        <v>0</v>
      </c>
      <c r="L23" s="108" cm="1">
        <f t="array" aca="1" ref="L23" ca="1">INDIRECT("R[36]C["&amp;$A$19&amp;"]",FALSE)</f>
        <v>0</v>
      </c>
      <c r="M23" s="108" cm="1">
        <f t="array" aca="1" ref="M23" ca="1">INDIRECT("R[36]C["&amp;$A$19&amp;"]",FALSE)</f>
        <v>0</v>
      </c>
      <c r="N23" s="108" cm="1">
        <f t="array" aca="1" ref="N23" ca="1">INDIRECT("R[36]C["&amp;$A$19&amp;"]",FALSE)</f>
        <v>0</v>
      </c>
      <c r="O23" s="108" cm="1">
        <f t="array" aca="1" ref="O23" ca="1">INDIRECT("R[36]C["&amp;$A$19&amp;"]",FALSE)</f>
        <v>0</v>
      </c>
      <c r="P23" s="111"/>
      <c r="Q23" s="111"/>
      <c r="R23" s="113">
        <f t="shared" ref="R23:R24" ca="1" si="4">SUM(C23:P23)</f>
        <v>1565.5269629325958</v>
      </c>
    </row>
    <row r="24" spans="1:18" ht="15.5" x14ac:dyDescent="0.35">
      <c r="A24" s="121">
        <f>A22</f>
        <v>1</v>
      </c>
      <c r="B24" s="111">
        <v>18</v>
      </c>
      <c r="C24" s="108" cm="1">
        <f t="array" aca="1" ref="C24" ca="1">INDIRECT("R[36]C["&amp;$A$24&amp;"]",FALSE)</f>
        <v>0</v>
      </c>
      <c r="D24" s="108" cm="1">
        <f t="array" aca="1" ref="D24" ca="1">INDIRECT("R[36]C["&amp;$A$20&amp;"]",FALSE)</f>
        <v>0</v>
      </c>
      <c r="E24" s="108" cm="1">
        <f t="array" aca="1" ref="E24" ca="1">INDIRECT("R[36]C["&amp;$A$20&amp;"]",FALSE)</f>
        <v>0</v>
      </c>
      <c r="F24" s="108" cm="1">
        <f t="array" aca="1" ref="F24" ca="1">INDIRECT("R[36]C["&amp;$A$20&amp;"]",FALSE)</f>
        <v>0</v>
      </c>
      <c r="G24" s="108" cm="1">
        <f t="array" aca="1" ref="G24" ca="1">INDIRECT("R[36]C["&amp;$A$20&amp;"]",FALSE)</f>
        <v>0</v>
      </c>
      <c r="H24" s="108" cm="1">
        <f t="array" aca="1" ref="H24" ca="1">INDIRECT("R[36]C["&amp;$A$20&amp;"]",FALSE)</f>
        <v>0</v>
      </c>
      <c r="I24" s="108" cm="1">
        <f t="array" aca="1" ref="I24" ca="1">INDIRECT("R[36]C["&amp;$A$20&amp;"]",FALSE)</f>
        <v>0</v>
      </c>
      <c r="J24" s="108" cm="1">
        <f t="array" aca="1" ref="J24" ca="1">INDIRECT("R[36]C["&amp;$A$20&amp;"]",FALSE)</f>
        <v>0</v>
      </c>
      <c r="K24" s="108" cm="1">
        <f t="array" aca="1" ref="K24" ca="1">INDIRECT("R[36]C["&amp;$A$20&amp;"]",FALSE)</f>
        <v>319.20644440645248</v>
      </c>
      <c r="L24" s="108" cm="1">
        <f t="array" aca="1" ref="L24" ca="1">INDIRECT("R[36]C["&amp;$A$20&amp;"]",FALSE)</f>
        <v>356.16679763270048</v>
      </c>
      <c r="M24" s="108" cm="1">
        <f t="array" aca="1" ref="M24" ca="1">INDIRECT("R[36]C["&amp;$A$20&amp;"]",FALSE)</f>
        <v>398.16021983415686</v>
      </c>
      <c r="N24" s="108" cm="1">
        <f t="array" aca="1" ref="N24" ca="1">INDIRECT("R[36]C["&amp;$A$20&amp;"]",FALSE)</f>
        <v>274.52731225842081</v>
      </c>
      <c r="O24" s="108" cm="1">
        <f t="array" aca="1" ref="O24" ca="1">INDIRECT("R[36]C["&amp;$A$20&amp;"]",FALSE)</f>
        <v>301.33333333333331</v>
      </c>
      <c r="P24" s="111"/>
      <c r="Q24" s="111"/>
      <c r="R24" s="113">
        <f t="shared" ca="1" si="4"/>
        <v>1649.3941074650638</v>
      </c>
    </row>
    <row r="25" spans="1:18" ht="15.5" x14ac:dyDescent="0.35">
      <c r="A25" s="116"/>
      <c r="B25" s="129" t="s">
        <v>116</v>
      </c>
      <c r="C25" s="131"/>
      <c r="D25" s="131"/>
      <c r="E25" s="131"/>
      <c r="F25" s="131"/>
      <c r="G25" s="131"/>
      <c r="H25" s="131"/>
      <c r="I25" s="131"/>
      <c r="J25" s="131"/>
      <c r="K25" s="131"/>
      <c r="L25" s="131"/>
      <c r="M25" s="131"/>
      <c r="N25" s="131"/>
      <c r="O25" s="131"/>
      <c r="P25" s="131"/>
      <c r="Q25" s="131"/>
      <c r="R25" s="130"/>
    </row>
    <row r="26" spans="1:18" ht="15.5" x14ac:dyDescent="0.35">
      <c r="A26" s="121">
        <f>Assumptions!C51</f>
        <v>1</v>
      </c>
      <c r="B26" s="106" t="s">
        <v>257</v>
      </c>
      <c r="C26" s="108" cm="1">
        <f t="array" aca="1" ref="C26" ca="1">INDIRECT("R[36]C["&amp;$A$26&amp;"]",FALSE)</f>
        <v>32.769230769230774</v>
      </c>
      <c r="D26" s="108" cm="1">
        <f t="array" aca="1" ref="D26" ca="1">INDIRECT("R[36]C["&amp;$A$18&amp;"]",FALSE)</f>
        <v>229.49353587588882</v>
      </c>
      <c r="E26" s="108" cm="1">
        <f t="array" aca="1" ref="E26" ca="1">INDIRECT("R[36]C["&amp;$A$18&amp;"]",FALSE)</f>
        <v>179.50641025641025</v>
      </c>
      <c r="F26" s="108" cm="1">
        <f t="array" aca="1" ref="F26" ca="1">INDIRECT("R[36]C["&amp;$A$18&amp;"]",FALSE)</f>
        <v>160.73333333333332</v>
      </c>
      <c r="G26" s="108" cm="1">
        <f t="array" aca="1" ref="G26" ca="1">INDIRECT("R[36]C["&amp;$A$18&amp;"]",FALSE)</f>
        <v>97.213333333333338</v>
      </c>
      <c r="H26" s="108" cm="1">
        <f t="array" aca="1" ref="H26" ca="1">INDIRECT("R[36]C["&amp;$A$18&amp;"]",FALSE)</f>
        <v>226.77599949362576</v>
      </c>
      <c r="I26" s="108" cm="1">
        <f t="array" aca="1" ref="I26" ca="1">INDIRECT("R[36]C["&amp;$A$18&amp;"]",FALSE)</f>
        <v>150.25333333333333</v>
      </c>
      <c r="J26" s="108" cm="1">
        <f t="array" aca="1" ref="J26" ca="1">INDIRECT("R[36]C["&amp;$A$18&amp;"]",FALSE)</f>
        <v>320.37251267836155</v>
      </c>
      <c r="K26" s="108" cm="1">
        <f t="array" aca="1" ref="K26" ca="1">INDIRECT("R[36]C["&amp;$A$18&amp;"]",FALSE)</f>
        <v>116.66392342239024</v>
      </c>
      <c r="L26" s="108" cm="1">
        <f t="array" aca="1" ref="L26" ca="1">INDIRECT("R[36]C["&amp;$A$18&amp;"]",FALSE)</f>
        <v>213.01597113083858</v>
      </c>
      <c r="M26" s="108" cm="1">
        <f t="array" aca="1" ref="M26" ca="1">INDIRECT("R[36]C["&amp;$A$18&amp;"]",FALSE)</f>
        <v>80.383333333333326</v>
      </c>
      <c r="N26" s="108" cm="1">
        <f t="array" aca="1" ref="N26" ca="1">INDIRECT("R[36]C["&amp;$A$18&amp;"]",FALSE)</f>
        <v>62.732867813976327</v>
      </c>
      <c r="O26" s="108" cm="1">
        <f t="array" aca="1" ref="O26" ca="1">INDIRECT("R[36]C["&amp;$A$18&amp;"]",FALSE)</f>
        <v>308.15555555555551</v>
      </c>
      <c r="P26" s="108"/>
      <c r="Q26" s="108"/>
      <c r="R26" s="113">
        <f ca="1">SUM(C26:Q26)</f>
        <v>2178.0693403296109</v>
      </c>
    </row>
    <row r="27" spans="1:18" ht="15.5" x14ac:dyDescent="0.35">
      <c r="A27" s="121">
        <f>A26</f>
        <v>1</v>
      </c>
      <c r="B27" s="106" t="s">
        <v>258</v>
      </c>
      <c r="C27" s="108" cm="1">
        <f t="array" aca="1" ref="C27" ca="1">INDIRECT("R[36]C["&amp;$A$27&amp;"]",FALSE)</f>
        <v>32.769230769230774</v>
      </c>
      <c r="D27" s="108" cm="1">
        <f t="array" aca="1" ref="D27" ca="1">INDIRECT("R[36]C["&amp;$A$19&amp;"]",FALSE)</f>
        <v>229.49353587588882</v>
      </c>
      <c r="E27" s="108" cm="1">
        <f t="array" aca="1" ref="E27" ca="1">INDIRECT("R[36]C["&amp;$A$19&amp;"]",FALSE)</f>
        <v>179.50641025641025</v>
      </c>
      <c r="F27" s="108" cm="1">
        <f t="array" aca="1" ref="F27" ca="1">INDIRECT("R[36]C["&amp;$A$19&amp;"]",FALSE)</f>
        <v>160.73333333333332</v>
      </c>
      <c r="G27" s="108" cm="1">
        <f t="array" aca="1" ref="G27" ca="1">INDIRECT("R[36]C["&amp;$A$19&amp;"]",FALSE)</f>
        <v>97.213333333333338</v>
      </c>
      <c r="H27" s="108" cm="1">
        <f t="array" aca="1" ref="H27" ca="1">INDIRECT("R[36]C["&amp;$A$19&amp;"]",FALSE)</f>
        <v>226.77599949362576</v>
      </c>
      <c r="I27" s="108" cm="1">
        <f t="array" aca="1" ref="I27" ca="1">INDIRECT("R[36]C["&amp;$A$19&amp;"]",FALSE)</f>
        <v>150.25333333333333</v>
      </c>
      <c r="J27" s="108" cm="1">
        <f t="array" aca="1" ref="J27" ca="1">INDIRECT("R[36]C["&amp;$A$19&amp;"]",FALSE)</f>
        <v>320.37251267836155</v>
      </c>
      <c r="K27" s="108" cm="1">
        <f t="array" aca="1" ref="K27" ca="1">INDIRECT("R[36]C["&amp;$A$19&amp;"]",FALSE)</f>
        <v>116.66392342239024</v>
      </c>
      <c r="L27" s="108" cm="1">
        <f t="array" aca="1" ref="L27" ca="1">INDIRECT("R[36]C["&amp;$A$19&amp;"]",FALSE)</f>
        <v>213.01597113083858</v>
      </c>
      <c r="M27" s="108" cm="1">
        <f t="array" aca="1" ref="M27" ca="1">INDIRECT("R[36]C["&amp;$A$19&amp;"]",FALSE)</f>
        <v>80.383333333333326</v>
      </c>
      <c r="N27" s="108" cm="1">
        <f t="array" aca="1" ref="N27" ca="1">INDIRECT("R[36]C["&amp;$A$19&amp;"]",FALSE)</f>
        <v>62.732867813976327</v>
      </c>
      <c r="O27" s="108" cm="1">
        <f t="array" aca="1" ref="O27" ca="1">INDIRECT("R[36]C["&amp;$A$19&amp;"]",FALSE)</f>
        <v>308.15555555555551</v>
      </c>
      <c r="P27" s="108"/>
      <c r="Q27" s="108"/>
      <c r="R27" s="113">
        <f t="shared" ref="R27:R30" ca="1" si="5">SUM(C27:Q27)</f>
        <v>2178.0693403296109</v>
      </c>
    </row>
    <row r="28" spans="1:18" ht="15.5" x14ac:dyDescent="0.35">
      <c r="A28" s="121">
        <f>Assumptions!C53</f>
        <v>1</v>
      </c>
      <c r="B28" s="106" t="s">
        <v>353</v>
      </c>
      <c r="C28" s="108" cm="1">
        <f t="array" aca="1" ref="C28" ca="1">INDIRECT("R[36]C["&amp;$A$28&amp;"]",FALSE)</f>
        <v>0</v>
      </c>
      <c r="D28" s="108" cm="1">
        <f t="array" aca="1" ref="D28" ca="1">INDIRECT("R[36]C["&amp;$A$28&amp;"]",FALSE)</f>
        <v>29.142857142857142</v>
      </c>
      <c r="E28" s="108" cm="1">
        <f t="array" aca="1" ref="E28" ca="1">INDIRECT("R[36]C["&amp;$A$28&amp;"]",FALSE)</f>
        <v>12</v>
      </c>
      <c r="F28" s="108" cm="1">
        <f t="array" aca="1" ref="F28" ca="1">INDIRECT("R[36]C["&amp;$A$28&amp;"]",FALSE)</f>
        <v>11</v>
      </c>
      <c r="G28" s="108" cm="1">
        <f t="array" aca="1" ref="G28" ca="1">INDIRECT("R[36]C["&amp;$A$28&amp;"]",FALSE)</f>
        <v>5.36</v>
      </c>
      <c r="H28" s="108" cm="1">
        <f t="array" aca="1" ref="H28" ca="1">INDIRECT("R[36]C["&amp;$A$28&amp;"]",FALSE)</f>
        <v>46.23</v>
      </c>
      <c r="I28" s="108" cm="1">
        <f t="array" aca="1" ref="I28" ca="1">INDIRECT("R[36]C["&amp;$A$28&amp;"]",FALSE)</f>
        <v>10.24</v>
      </c>
      <c r="J28" s="108" cm="1">
        <f t="array" aca="1" ref="J28" ca="1">INDIRECT("R[36]C["&amp;$A$28&amp;"]",FALSE)</f>
        <v>22.22</v>
      </c>
      <c r="K28" s="108" cm="1">
        <f t="array" aca="1" ref="K28" ca="1">INDIRECT("R[36]C["&amp;$A$28&amp;"]",FALSE)</f>
        <v>16.666666666666668</v>
      </c>
      <c r="L28" s="108" cm="1">
        <f t="array" aca="1" ref="L28" ca="1">INDIRECT("R[36]C["&amp;$A$28&amp;"]",FALSE)</f>
        <v>42.935565242322554</v>
      </c>
      <c r="M28" s="108" cm="1">
        <f t="array" aca="1" ref="M28" ca="1">INDIRECT("R[36]C["&amp;$A$28&amp;"]",FALSE)</f>
        <v>17.225000000000001</v>
      </c>
      <c r="N28" s="108" cm="1">
        <f t="array" aca="1" ref="N28" ca="1">INDIRECT("R[36]C["&amp;$A$28&amp;"]",FALSE)</f>
        <v>8.6750000000000007</v>
      </c>
      <c r="O28" s="108" cm="1">
        <f t="array" aca="1" ref="O28" ca="1">INDIRECT("R[36]C["&amp;$A$28&amp;"]",FALSE)</f>
        <v>66.033333333333331</v>
      </c>
      <c r="P28" s="108"/>
      <c r="Q28" s="108"/>
      <c r="R28" s="113">
        <f t="shared" ca="1" si="5"/>
        <v>287.72842238517967</v>
      </c>
    </row>
    <row r="29" spans="1:18" ht="15.5" x14ac:dyDescent="0.35">
      <c r="A29" s="121">
        <f>Assumptions!C52</f>
        <v>1</v>
      </c>
      <c r="B29" s="106" t="s">
        <v>117</v>
      </c>
      <c r="C29" s="108" cm="1">
        <f t="array" aca="1" ref="C29" ca="1">INDIRECT("R[36]C["&amp;$A$29&amp;"]",FALSE)</f>
        <v>10</v>
      </c>
      <c r="D29" s="108" cm="1">
        <f t="array" aca="1" ref="D29" ca="1">INDIRECT("R[36]C["&amp;$A$29&amp;"]",FALSE)</f>
        <v>79.679487179487182</v>
      </c>
      <c r="E29" s="108" cm="1">
        <f t="array" aca="1" ref="E29" ca="1">INDIRECT("R[36]C["&amp;$A$29&amp;"]",FALSE)</f>
        <v>76.339743589743591</v>
      </c>
      <c r="F29" s="108" cm="1">
        <f t="array" aca="1" ref="F29" ca="1">INDIRECT("R[36]C["&amp;$A$29&amp;"]",FALSE)</f>
        <v>50</v>
      </c>
      <c r="G29" s="108" cm="1">
        <f t="array" aca="1" ref="G29" ca="1">INDIRECT("R[36]C["&amp;$A$29&amp;"]",FALSE)</f>
        <v>91.066666666666677</v>
      </c>
      <c r="H29" s="108" cm="1">
        <f t="array" aca="1" ref="H29" ca="1">INDIRECT("R[36]C["&amp;$A$29&amp;"]",FALSE)</f>
        <v>81.650000000000006</v>
      </c>
      <c r="I29" s="108" cm="1">
        <f t="array" aca="1" ref="I29" ca="1">INDIRECT("R[36]C["&amp;$A$29&amp;"]",FALSE)</f>
        <v>10.24</v>
      </c>
      <c r="J29" s="108" cm="1">
        <f t="array" aca="1" ref="J29" ca="1">INDIRECT("R[36]C["&amp;$A$29&amp;"]",FALSE)</f>
        <v>34.67</v>
      </c>
      <c r="K29" s="108" cm="1">
        <f t="array" aca="1" ref="K29" ca="1">INDIRECT("R[36]C["&amp;$A$29&amp;"]",FALSE)</f>
        <v>16.666666666666668</v>
      </c>
      <c r="L29" s="108" cm="1">
        <f t="array" aca="1" ref="L29" ca="1">INDIRECT("R[36]C["&amp;$A$29&amp;"]",FALSE)</f>
        <v>72.452231908989219</v>
      </c>
      <c r="M29" s="108" cm="1">
        <f t="array" aca="1" ref="M29" ca="1">INDIRECT("R[36]C["&amp;$A$29&amp;"]",FALSE)</f>
        <v>17.225000000000001</v>
      </c>
      <c r="N29" s="108" cm="1">
        <f t="array" aca="1" ref="N29" ca="1">INDIRECT("R[36]C["&amp;$A$29&amp;"]",FALSE)</f>
        <v>8.6750000000000007</v>
      </c>
      <c r="O29" s="108" cm="1">
        <f t="array" aca="1" ref="O29" ca="1">INDIRECT("R[36]C["&amp;$A$29&amp;"]",FALSE)</f>
        <v>66.033333333333331</v>
      </c>
      <c r="P29" s="108"/>
      <c r="Q29" s="108"/>
      <c r="R29" s="113">
        <f t="shared" ca="1" si="5"/>
        <v>614.69812934488664</v>
      </c>
    </row>
    <row r="30" spans="1:18" ht="15.5" x14ac:dyDescent="0.35">
      <c r="A30" s="121">
        <f>Assumptions!C54</f>
        <v>1</v>
      </c>
      <c r="B30" s="106" t="s">
        <v>354</v>
      </c>
      <c r="C30" s="108" cm="1">
        <f t="array" aca="1" ref="C30" ca="1">INDIRECT("R[36]C["&amp;$A$30&amp;"]",FALSE)</f>
        <v>2</v>
      </c>
      <c r="D30" s="108" cm="1">
        <f t="array" aca="1" ref="D30" ca="1">INDIRECT("R[36]C["&amp;$A$30&amp;"]",FALSE)</f>
        <v>10</v>
      </c>
      <c r="E30" s="108" cm="1">
        <f t="array" aca="1" ref="E30" ca="1">INDIRECT("R[36]C["&amp;$A$30&amp;"]",FALSE)</f>
        <v>9</v>
      </c>
      <c r="F30" s="108" cm="1">
        <f t="array" aca="1" ref="F30" ca="1">INDIRECT("R[36]C["&amp;$A$30&amp;"]",FALSE)</f>
        <v>7</v>
      </c>
      <c r="G30" s="108" cm="1">
        <f t="array" aca="1" ref="G30" ca="1">INDIRECT("R[36]C["&amp;$A$30&amp;"]",FALSE)</f>
        <v>5</v>
      </c>
      <c r="H30" s="108" cm="1">
        <f t="array" aca="1" ref="H30" ca="1">INDIRECT("R[36]C["&amp;$A$30&amp;"]",FALSE)</f>
        <v>8</v>
      </c>
      <c r="I30" s="108" cm="1">
        <f t="array" aca="1" ref="I30" ca="1">INDIRECT("R[36]C["&amp;$A$30&amp;"]",FALSE)</f>
        <v>5</v>
      </c>
      <c r="J30" s="108" cm="1">
        <f t="array" aca="1" ref="J30" ca="1">INDIRECT("R[36]C["&amp;$A$30&amp;"]",FALSE)</f>
        <v>13</v>
      </c>
      <c r="K30" s="108" cm="1">
        <f t="array" aca="1" ref="K30" ca="1">INDIRECT("R[36]C["&amp;$A$30&amp;"]",FALSE)</f>
        <v>5</v>
      </c>
      <c r="L30" s="108" cm="1">
        <f t="array" aca="1" ref="L30" ca="1">INDIRECT("R[36]C["&amp;$A$30&amp;"]",FALSE)</f>
        <v>10</v>
      </c>
      <c r="M30" s="108" cm="1">
        <f t="array" aca="1" ref="M30" ca="1">INDIRECT("R[36]C["&amp;$A$30&amp;"]",FALSE)</f>
        <v>4</v>
      </c>
      <c r="N30" s="108" cm="1">
        <f t="array" aca="1" ref="N30" ca="1">INDIRECT("R[36]C["&amp;$A$30&amp;"]",FALSE)</f>
        <v>3</v>
      </c>
      <c r="O30" s="108" cm="1">
        <f t="array" aca="1" ref="O30" ca="1">INDIRECT("R[36]C["&amp;$A$30&amp;"]",FALSE)</f>
        <v>14</v>
      </c>
      <c r="P30" s="108"/>
      <c r="Q30" s="108"/>
      <c r="R30" s="113">
        <f t="shared" ca="1" si="5"/>
        <v>95</v>
      </c>
    </row>
    <row r="31" spans="1:18" ht="15.5" x14ac:dyDescent="0.35">
      <c r="A31" s="116"/>
      <c r="B31" s="129" t="s">
        <v>119</v>
      </c>
      <c r="C31" s="131"/>
      <c r="D31" s="132"/>
      <c r="E31" s="132"/>
      <c r="F31" s="132"/>
      <c r="G31" s="132"/>
      <c r="H31" s="132"/>
      <c r="I31" s="132"/>
      <c r="J31" s="132"/>
      <c r="K31" s="132"/>
      <c r="L31" s="132"/>
      <c r="M31" s="132"/>
      <c r="N31" s="132"/>
      <c r="O31" s="132"/>
      <c r="P31" s="132"/>
      <c r="Q31" s="132"/>
      <c r="R31" s="130"/>
    </row>
    <row r="32" spans="1:18" ht="15.5" x14ac:dyDescent="0.35">
      <c r="A32" s="121">
        <f>Assumptions!C48</f>
        <v>2</v>
      </c>
      <c r="B32" s="106" t="s">
        <v>355</v>
      </c>
      <c r="C32" s="108" cm="1">
        <f t="array" aca="1" ref="C32" ca="1">INDIRECT("R[36]C["&amp;$A$32&amp;"]",FALSE)</f>
        <v>0</v>
      </c>
      <c r="D32" s="108" cm="1">
        <f t="array" aca="1" ref="D32" ca="1">INDIRECT("R[36]C["&amp;$A$32&amp;"]",FALSE)</f>
        <v>0</v>
      </c>
      <c r="E32" s="108" cm="1">
        <f t="array" aca="1" ref="E32" ca="1">INDIRECT("R[36]C["&amp;$A$32&amp;"]",FALSE)</f>
        <v>0</v>
      </c>
      <c r="F32" s="108" cm="1">
        <f t="array" aca="1" ref="F32" ca="1">INDIRECT("R[36]C["&amp;$A$32&amp;"]",FALSE)</f>
        <v>0</v>
      </c>
      <c r="G32" s="108" cm="1">
        <f t="array" aca="1" ref="G32" ca="1">INDIRECT("R[36]C["&amp;$A$32&amp;"]",FALSE)</f>
        <v>1</v>
      </c>
      <c r="H32" s="108" cm="1">
        <f t="array" aca="1" ref="H32" ca="1">INDIRECT("R[36]C["&amp;$A$32&amp;"]",FALSE)</f>
        <v>2</v>
      </c>
      <c r="I32" s="108" cm="1">
        <f t="array" aca="1" ref="I32" ca="1">INDIRECT("R[36]C["&amp;$A$32&amp;"]",FALSE)</f>
        <v>2</v>
      </c>
      <c r="J32" s="108" cm="1">
        <f t="array" aca="1" ref="J32" ca="1">INDIRECT("R[36]C["&amp;$A$32&amp;"]",FALSE)</f>
        <v>5</v>
      </c>
      <c r="K32" s="108" cm="1">
        <f t="array" aca="1" ref="K32" ca="1">INDIRECT("R[36]C["&amp;$A$32&amp;"]",FALSE)</f>
        <v>2</v>
      </c>
      <c r="L32" s="108" cm="1">
        <f t="array" aca="1" ref="L32" ca="1">INDIRECT("R[36]C["&amp;$A$32&amp;"]",FALSE)</f>
        <v>7</v>
      </c>
      <c r="M32" s="108" cm="1">
        <f t="array" aca="1" ref="M32" ca="1">INDIRECT("R[36]C["&amp;$A$32&amp;"]",FALSE)</f>
        <v>4</v>
      </c>
      <c r="N32" s="108" cm="1">
        <f t="array" aca="1" ref="N32" ca="1">INDIRECT("R[36]C["&amp;$A$32&amp;"]",FALSE)</f>
        <v>8</v>
      </c>
      <c r="O32" s="108" cm="1">
        <f t="array" aca="1" ref="O32" ca="1">INDIRECT("R[36]C["&amp;$A$32&amp;"]",FALSE)</f>
        <v>0</v>
      </c>
      <c r="P32" s="108"/>
      <c r="Q32" s="108"/>
      <c r="R32" s="113">
        <f ca="1">SUM(C32:Q32)</f>
        <v>31</v>
      </c>
    </row>
    <row r="33" spans="1:19" ht="15.5" x14ac:dyDescent="0.35">
      <c r="A33" s="116"/>
      <c r="B33" s="129" t="s">
        <v>356</v>
      </c>
      <c r="C33" s="131"/>
      <c r="D33" s="131"/>
      <c r="E33" s="131"/>
      <c r="F33" s="131"/>
      <c r="G33" s="131"/>
      <c r="H33" s="131"/>
      <c r="I33" s="131"/>
      <c r="J33" s="131"/>
      <c r="K33" s="131"/>
      <c r="L33" s="131"/>
      <c r="M33" s="131"/>
      <c r="N33" s="131"/>
      <c r="O33" s="131"/>
      <c r="P33" s="131"/>
      <c r="Q33" s="131"/>
      <c r="R33" s="130"/>
    </row>
    <row r="34" spans="1:19" ht="15.5" x14ac:dyDescent="0.35">
      <c r="A34" s="121">
        <f>Assumptions!C49</f>
        <v>1</v>
      </c>
      <c r="B34" s="106" t="s">
        <v>357</v>
      </c>
      <c r="C34" s="108" cm="1">
        <f t="array" aca="1" ref="C34" ca="1">INDIRECT("R[36]C["&amp;$A$34&amp;"]",FALSE)</f>
        <v>2</v>
      </c>
      <c r="D34" s="108" cm="1">
        <f t="array" aca="1" ref="D34" ca="1">INDIRECT("R[36]C["&amp;$A$34&amp;"]",FALSE)</f>
        <v>10</v>
      </c>
      <c r="E34" s="108" cm="1">
        <f t="array" aca="1" ref="E34" ca="1">INDIRECT("R[36]C["&amp;$A$34&amp;"]",FALSE)</f>
        <v>6</v>
      </c>
      <c r="F34" s="108" cm="1">
        <f t="array" aca="1" ref="F34" ca="1">INDIRECT("R[36]C["&amp;$A$34&amp;"]",FALSE)</f>
        <v>7</v>
      </c>
      <c r="G34" s="108" cm="1">
        <f t="array" aca="1" ref="G34" ca="1">INDIRECT("R[36]C["&amp;$A$34&amp;"]",FALSE)</f>
        <v>5</v>
      </c>
      <c r="H34" s="108" cm="1">
        <f t="array" aca="1" ref="H34" ca="1">INDIRECT("R[36]C["&amp;$A$34&amp;"]",FALSE)</f>
        <v>8</v>
      </c>
      <c r="I34" s="108" cm="1">
        <f t="array" aca="1" ref="I34" ca="1">INDIRECT("R[36]C["&amp;$A$34&amp;"]",FALSE)</f>
        <v>5</v>
      </c>
      <c r="J34" s="108" cm="1">
        <f t="array" aca="1" ref="J34" ca="1">INDIRECT("R[36]C["&amp;$A$34&amp;"]",FALSE)</f>
        <v>8</v>
      </c>
      <c r="K34" s="108" cm="1">
        <f t="array" aca="1" ref="K34" ca="1">INDIRECT("R[36]C["&amp;$A$34&amp;"]",FALSE)</f>
        <v>3</v>
      </c>
      <c r="L34" s="108" cm="1">
        <f t="array" aca="1" ref="L34" ca="1">INDIRECT("R[36]C["&amp;$A$34&amp;"]",FALSE)</f>
        <v>10</v>
      </c>
      <c r="M34" s="108" cm="1">
        <f t="array" aca="1" ref="M34" ca="1">INDIRECT("R[36]C["&amp;$A$34&amp;"]",FALSE)</f>
        <v>6</v>
      </c>
      <c r="N34" s="108" cm="1">
        <f t="array" aca="1" ref="N34" ca="1">INDIRECT("R[36]C["&amp;$A$34&amp;"]",FALSE)</f>
        <v>5</v>
      </c>
      <c r="O34" s="108" cm="1">
        <f t="array" aca="1" ref="O34" ca="1">INDIRECT("R[36]C["&amp;$A$34&amp;"]",FALSE)</f>
        <v>2</v>
      </c>
      <c r="P34" s="108"/>
      <c r="Q34" s="108"/>
      <c r="R34" s="113">
        <f ca="1">SUM(C34:Q34)</f>
        <v>77</v>
      </c>
    </row>
    <row r="35" spans="1:19" ht="15.5" x14ac:dyDescent="0.35">
      <c r="A35" s="121">
        <f>Assumptions!C50</f>
        <v>1</v>
      </c>
      <c r="B35" s="106" t="s">
        <v>358</v>
      </c>
      <c r="C35" s="108" cm="1">
        <f t="array" aca="1" ref="C35" ca="1">INDIRECT("R[36]C["&amp;$A$35&amp;"]",FALSE)</f>
        <v>0</v>
      </c>
      <c r="D35" s="108" cm="1">
        <f t="array" aca="1" ref="D35" ca="1">INDIRECT("R[36]C["&amp;$A$35&amp;"]",FALSE)</f>
        <v>0</v>
      </c>
      <c r="E35" s="108" cm="1">
        <f t="array" aca="1" ref="E35" ca="1">INDIRECT("R[36]C["&amp;$A$35&amp;"]",FALSE)</f>
        <v>0</v>
      </c>
      <c r="F35" s="108" cm="1">
        <f t="array" aca="1" ref="F35" ca="1">INDIRECT("R[36]C["&amp;$A$35&amp;"]",FALSE)</f>
        <v>0</v>
      </c>
      <c r="G35" s="108" cm="1">
        <f t="array" aca="1" ref="G35" ca="1">INDIRECT("R[36]C["&amp;$A$35&amp;"]",FALSE)</f>
        <v>0</v>
      </c>
      <c r="H35" s="108" cm="1">
        <f t="array" aca="1" ref="H35" ca="1">INDIRECT("R[36]C["&amp;$A$35&amp;"]",FALSE)</f>
        <v>1</v>
      </c>
      <c r="I35" s="108" cm="1">
        <f t="array" aca="1" ref="I35" ca="1">INDIRECT("R[36]C["&amp;$A$35&amp;"]",FALSE)</f>
        <v>2</v>
      </c>
      <c r="J35" s="108" cm="1">
        <f t="array" aca="1" ref="J35" ca="1">INDIRECT("R[36]C["&amp;$A$35&amp;"]",FALSE)</f>
        <v>2</v>
      </c>
      <c r="K35" s="108" cm="1">
        <f t="array" aca="1" ref="K35" ca="1">INDIRECT("R[36]C["&amp;$A$35&amp;"]",FALSE)</f>
        <v>5</v>
      </c>
      <c r="L35" s="108" cm="1">
        <f t="array" aca="1" ref="L35" ca="1">INDIRECT("R[36]C["&amp;$A$35&amp;"]",FALSE)</f>
        <v>2</v>
      </c>
      <c r="M35" s="108" cm="1">
        <f t="array" aca="1" ref="M35" ca="1">INDIRECT("R[36]C["&amp;$A$35&amp;"]",FALSE)</f>
        <v>7</v>
      </c>
      <c r="N35" s="108" cm="1">
        <f t="array" aca="1" ref="N35" ca="1">INDIRECT("R[36]C["&amp;$A$35&amp;"]",FALSE)</f>
        <v>4</v>
      </c>
      <c r="O35" s="108" cm="1">
        <f t="array" aca="1" ref="O35" ca="1">INDIRECT("R[36]C["&amp;$A$35&amp;"]",FALSE)</f>
        <v>8</v>
      </c>
      <c r="P35" s="108"/>
      <c r="Q35" s="108"/>
      <c r="R35" s="113">
        <f ca="1">SUM(C35:Q35)</f>
        <v>31</v>
      </c>
    </row>
    <row r="36" spans="1:19" ht="15.5" x14ac:dyDescent="0.35">
      <c r="A36" s="116"/>
      <c r="B36" s="129"/>
      <c r="C36" s="129"/>
      <c r="D36" s="131"/>
      <c r="E36" s="131"/>
      <c r="F36" s="131"/>
      <c r="G36" s="131"/>
      <c r="H36" s="131"/>
      <c r="I36" s="131"/>
      <c r="J36" s="131"/>
      <c r="K36" s="131"/>
      <c r="L36" s="131"/>
      <c r="M36" s="131"/>
      <c r="N36" s="131"/>
      <c r="O36" s="131"/>
      <c r="P36" s="131"/>
      <c r="Q36" s="131"/>
      <c r="R36" s="130"/>
    </row>
    <row r="37" spans="1:19" ht="15.5" x14ac:dyDescent="0.35">
      <c r="A37" s="116"/>
      <c r="B37" s="116"/>
      <c r="C37" s="116"/>
      <c r="D37" s="183"/>
      <c r="E37" s="183"/>
      <c r="F37" s="183"/>
      <c r="G37" s="183"/>
      <c r="H37" s="183"/>
      <c r="I37" s="183"/>
      <c r="J37" s="183"/>
      <c r="K37" s="183"/>
      <c r="L37" s="183"/>
      <c r="M37" s="183"/>
      <c r="N37" s="183"/>
      <c r="O37" s="183"/>
      <c r="P37" s="183"/>
      <c r="Q37" s="183"/>
      <c r="R37" s="115"/>
    </row>
    <row r="38" spans="1:19" ht="15.5" x14ac:dyDescent="0.35">
      <c r="A38" s="116"/>
      <c r="B38" s="116"/>
      <c r="C38" s="116"/>
      <c r="D38" s="183"/>
      <c r="E38" s="183"/>
      <c r="F38" s="183"/>
      <c r="G38" s="183"/>
      <c r="H38" s="183"/>
      <c r="I38" s="183"/>
      <c r="J38" s="183"/>
      <c r="K38" s="183"/>
      <c r="L38" s="183"/>
      <c r="M38" s="183"/>
      <c r="N38" s="183"/>
      <c r="O38" s="183"/>
      <c r="P38" s="183"/>
      <c r="Q38" s="183"/>
      <c r="R38" s="115"/>
    </row>
    <row r="39" spans="1:19" ht="15.5" x14ac:dyDescent="0.35">
      <c r="A39" s="116"/>
      <c r="B39" s="116" t="s">
        <v>235</v>
      </c>
      <c r="C39" s="115">
        <f ca="1">SUM(C10:C12)</f>
        <v>42.769230769230774</v>
      </c>
      <c r="D39" s="183">
        <f ca="1">SUM(D10:D12)</f>
        <v>338.31588019823317</v>
      </c>
      <c r="E39" s="183">
        <f t="shared" ref="E39:Q39" ca="1" si="6">SUM(E10:E12)</f>
        <v>289.84615384615381</v>
      </c>
      <c r="F39" s="183">
        <f t="shared" ca="1" si="6"/>
        <v>243.73333333333332</v>
      </c>
      <c r="G39" s="183">
        <f t="shared" ca="1" si="6"/>
        <v>193.64</v>
      </c>
      <c r="H39" s="183">
        <f t="shared" ca="1" si="6"/>
        <v>408.41126999157984</v>
      </c>
      <c r="I39" s="183">
        <f t="shared" ca="1" si="6"/>
        <v>219.61275259631313</v>
      </c>
      <c r="J39" s="183">
        <f t="shared" ca="1" si="6"/>
        <v>381.94193194134141</v>
      </c>
      <c r="K39" s="183">
        <f t="shared" ca="1" si="6"/>
        <v>319.20644440645248</v>
      </c>
      <c r="L39" s="183">
        <f t="shared" ca="1" si="6"/>
        <v>356.16679763270048</v>
      </c>
      <c r="M39" s="183">
        <f t="shared" ca="1" si="6"/>
        <v>398.16021983415686</v>
      </c>
      <c r="N39" s="183">
        <f t="shared" ca="1" si="6"/>
        <v>274.52731225842081</v>
      </c>
      <c r="O39" s="183">
        <f t="shared" ca="1" si="6"/>
        <v>301.33333333333331</v>
      </c>
      <c r="P39" s="183">
        <f t="shared" si="6"/>
        <v>0</v>
      </c>
      <c r="Q39" s="183">
        <f t="shared" si="6"/>
        <v>0</v>
      </c>
      <c r="R39" s="115">
        <f ca="1">SUM(R10:R12)</f>
        <v>3767.6646601412494</v>
      </c>
    </row>
    <row r="40" spans="1:19" ht="15.5" x14ac:dyDescent="0.35">
      <c r="A40" s="116"/>
      <c r="B40" s="116"/>
      <c r="C40" s="116"/>
      <c r="D40" s="183"/>
      <c r="E40" s="183"/>
      <c r="F40" s="183"/>
      <c r="G40" s="183"/>
      <c r="H40" s="183"/>
      <c r="I40" s="183"/>
      <c r="J40" s="183"/>
      <c r="K40" s="183"/>
      <c r="L40" s="183"/>
      <c r="M40" s="183"/>
      <c r="N40" s="183"/>
      <c r="O40" s="183"/>
      <c r="P40" s="183"/>
      <c r="Q40" s="183"/>
      <c r="R40" s="115"/>
    </row>
    <row r="41" spans="1:19" ht="15.5" x14ac:dyDescent="0.35">
      <c r="A41" s="116"/>
      <c r="B41" s="116"/>
      <c r="C41" s="116"/>
      <c r="D41" s="183"/>
      <c r="E41" s="183"/>
      <c r="F41" s="183"/>
      <c r="G41" s="183"/>
      <c r="H41" s="183"/>
      <c r="I41" s="183"/>
      <c r="J41" s="183"/>
      <c r="K41" s="183"/>
      <c r="L41" s="183"/>
      <c r="M41" s="183"/>
      <c r="N41" s="183"/>
      <c r="O41" s="183"/>
      <c r="P41" s="183"/>
      <c r="Q41" s="183"/>
      <c r="R41" s="115"/>
    </row>
    <row r="42" spans="1:19" ht="15.5" x14ac:dyDescent="0.35">
      <c r="A42" s="116"/>
      <c r="B42" s="116"/>
      <c r="C42" s="116"/>
      <c r="D42" s="182"/>
      <c r="E42" s="182"/>
      <c r="F42" s="182"/>
      <c r="G42" s="182"/>
      <c r="H42" s="182"/>
      <c r="I42" s="182"/>
      <c r="J42" s="182"/>
      <c r="K42" s="182"/>
      <c r="L42" s="182"/>
      <c r="M42" s="182"/>
      <c r="N42" s="182"/>
      <c r="O42" s="182"/>
      <c r="P42" s="182"/>
      <c r="Q42" s="182"/>
      <c r="R42" s="115"/>
    </row>
    <row r="43" spans="1:19" ht="15.5" x14ac:dyDescent="0.35">
      <c r="A43" s="116"/>
      <c r="B43" s="116"/>
      <c r="C43" s="116"/>
      <c r="D43" s="182"/>
      <c r="E43" s="182"/>
      <c r="F43" s="182"/>
      <c r="G43" s="182"/>
      <c r="H43" s="182"/>
      <c r="I43" s="182"/>
      <c r="J43" s="182"/>
      <c r="K43" s="182"/>
      <c r="L43" s="182"/>
      <c r="M43" s="182"/>
      <c r="N43" s="182"/>
      <c r="O43" s="182"/>
      <c r="P43" s="182"/>
      <c r="Q43" s="182"/>
      <c r="R43" s="115"/>
    </row>
    <row r="44" spans="1:19" ht="15.5" x14ac:dyDescent="0.35">
      <c r="A44" s="116"/>
      <c r="B44" s="120" t="s">
        <v>193</v>
      </c>
      <c r="C44" s="120"/>
      <c r="D44" s="182"/>
      <c r="E44" s="182"/>
      <c r="F44" s="182"/>
      <c r="G44" s="182"/>
      <c r="H44" s="182"/>
      <c r="I44" s="182"/>
      <c r="J44" s="182"/>
      <c r="K44" s="182"/>
      <c r="L44" s="182"/>
      <c r="M44" s="182"/>
      <c r="N44" s="182"/>
      <c r="O44" s="182"/>
      <c r="P44" s="182"/>
      <c r="Q44" s="182"/>
      <c r="R44" s="115"/>
    </row>
    <row r="45" spans="1:19" ht="15.5" x14ac:dyDescent="0.35">
      <c r="A45" s="116"/>
      <c r="B45" s="129" t="s">
        <v>112</v>
      </c>
      <c r="C45" s="129"/>
      <c r="D45" s="131"/>
      <c r="E45" s="131"/>
      <c r="F45" s="131"/>
      <c r="G45" s="131"/>
      <c r="H45" s="131"/>
      <c r="I45" s="131"/>
      <c r="J45" s="131"/>
      <c r="K45" s="131"/>
      <c r="L45" s="131"/>
      <c r="M45" s="131"/>
      <c r="N45" s="131"/>
      <c r="O45" s="131"/>
      <c r="P45" s="131"/>
      <c r="Q45" s="131"/>
      <c r="R45" s="130"/>
    </row>
    <row r="46" spans="1:19" ht="15.5" x14ac:dyDescent="0.35">
      <c r="A46" s="122">
        <f>Assumptions!C55</f>
        <v>1</v>
      </c>
      <c r="B46" s="123">
        <v>12</v>
      </c>
      <c r="C46" s="127" cm="1">
        <f t="array" aca="1" ref="C46" ca="1">INDIRECT("R[40]C["&amp;$A$46&amp;"]",FALSE)</f>
        <v>0</v>
      </c>
      <c r="D46" s="124" cm="1">
        <f t="array" aca="1" ref="D46" ca="1">INDIRECT("R[40]C["&amp;$A$46&amp;"]",FALSE)</f>
        <v>42.769230769230774</v>
      </c>
      <c r="E46" s="124" cm="1">
        <f t="array" aca="1" ref="E46" ca="1">INDIRECT("R[40]C["&amp;$A$46&amp;"]",FALSE)</f>
        <v>261.79487179487182</v>
      </c>
      <c r="F46" s="124" cm="1">
        <f t="array" aca="1" ref="F46" ca="1">INDIRECT("R[40]C["&amp;$A$46&amp;"]",FALSE)</f>
        <v>187.5128205128205</v>
      </c>
      <c r="G46" s="124" cm="1">
        <f t="array" aca="1" ref="G46" ca="1">INDIRECT("R[40]C["&amp;$A$46&amp;"]",FALSE)</f>
        <v>60.666666666666664</v>
      </c>
      <c r="H46" s="124" cm="1">
        <f t="array" aca="1" ref="H46" ca="1">INDIRECT("R[40]C["&amp;$A$46&amp;"]",FALSE)</f>
        <v>0</v>
      </c>
      <c r="I46" s="124" cm="1">
        <f t="array" aca="1" ref="I46" ca="1">INDIRECT("R[40]C["&amp;$A$46&amp;"]",FALSE)</f>
        <v>0</v>
      </c>
      <c r="J46" s="124" cm="1">
        <f t="array" aca="1" ref="J46" ca="1">INDIRECT("R[40]C["&amp;$A$46&amp;"]",FALSE)</f>
        <v>0</v>
      </c>
      <c r="K46" s="124" cm="1">
        <f t="array" aca="1" ref="K46" ca="1">INDIRECT("R[40]C["&amp;$A$46&amp;"]",FALSE)</f>
        <v>0</v>
      </c>
      <c r="L46" s="124" cm="1">
        <f t="array" aca="1" ref="L46" ca="1">INDIRECT("R[40]C["&amp;$A$46&amp;"]",FALSE)</f>
        <v>0</v>
      </c>
      <c r="M46" s="124" cm="1">
        <f t="array" aca="1" ref="M46" ca="1">INDIRECT("R[40]C["&amp;$A$46&amp;"]",FALSE)</f>
        <v>0</v>
      </c>
      <c r="N46" s="124" cm="1">
        <f t="array" aca="1" ref="N46" ca="1">INDIRECT("R[40]C["&amp;$A$46&amp;"]",FALSE)</f>
        <v>0</v>
      </c>
      <c r="O46" s="124" cm="1">
        <f t="array" aca="1" ref="O46" ca="1">INDIRECT("R[40]C["&amp;$A$46&amp;"]",FALSE)</f>
        <v>0</v>
      </c>
      <c r="P46" s="124" cm="1">
        <f t="array" aca="1" ref="P46" ca="1">INDIRECT("R[40]C["&amp;$A$46&amp;"]",FALSE)</f>
        <v>0</v>
      </c>
      <c r="Q46" s="123"/>
      <c r="R46" s="128">
        <f ca="1">SUM(D46:P46)</f>
        <v>552.74358974358972</v>
      </c>
    </row>
    <row r="47" spans="1:19" ht="15.5" x14ac:dyDescent="0.35">
      <c r="A47" s="121">
        <f>A46</f>
        <v>1</v>
      </c>
      <c r="B47" s="123">
        <v>15</v>
      </c>
      <c r="C47" s="127" cm="1">
        <f t="array" aca="1" ref="C47" ca="1">INDIRECT("R[40]C["&amp;$A$46&amp;"]",FALSE)</f>
        <v>0</v>
      </c>
      <c r="D47" s="124" cm="1">
        <f t="array" aca="1" ref="D47" ca="1">INDIRECT("R[40]C["&amp;$A$46&amp;"]",FALSE)</f>
        <v>0</v>
      </c>
      <c r="E47" s="124" cm="1">
        <f t="array" aca="1" ref="E47" ca="1">INDIRECT("R[40]C["&amp;$A$46&amp;"]",FALSE)</f>
        <v>76.52100840336135</v>
      </c>
      <c r="F47" s="124" cm="1">
        <f t="array" aca="1" ref="F47" ca="1">INDIRECT("R[40]C["&amp;$A$46&amp;"]",FALSE)</f>
        <v>102.33333333333334</v>
      </c>
      <c r="G47" s="124" cm="1">
        <f t="array" aca="1" ref="G47" ca="1">INDIRECT("R[40]C["&amp;$A$46&amp;"]",FALSE)</f>
        <v>183.06666666666666</v>
      </c>
      <c r="H47" s="124" cm="1">
        <f t="array" aca="1" ref="H47" ca="1">INDIRECT("R[40]C["&amp;$A$46&amp;"]",FALSE)</f>
        <v>193.64</v>
      </c>
      <c r="I47" s="124" cm="1">
        <f t="array" aca="1" ref="I47" ca="1">INDIRECT("R[40]C["&amp;$A$46&amp;"]",FALSE)</f>
        <v>408.41126999157984</v>
      </c>
      <c r="J47" s="124" cm="1">
        <f t="array" aca="1" ref="J47" ca="1">INDIRECT("R[40]C["&amp;$A$46&amp;"]",FALSE)</f>
        <v>219.61275259631313</v>
      </c>
      <c r="K47" s="124" cm="1">
        <f t="array" aca="1" ref="K47" ca="1">INDIRECT("R[40]C["&amp;$A$46&amp;"]",FALSE)</f>
        <v>381.94193194134141</v>
      </c>
      <c r="L47" s="124" cm="1">
        <f t="array" aca="1" ref="L47" ca="1">INDIRECT("R[40]C["&amp;$A$46&amp;"]",FALSE)</f>
        <v>0</v>
      </c>
      <c r="M47" s="124" cm="1">
        <f t="array" aca="1" ref="M47" ca="1">INDIRECT("R[40]C["&amp;$A$46&amp;"]",FALSE)</f>
        <v>0</v>
      </c>
      <c r="N47" s="124" cm="1">
        <f t="array" aca="1" ref="N47" ca="1">INDIRECT("R[40]C["&amp;$A$46&amp;"]",FALSE)</f>
        <v>0</v>
      </c>
      <c r="O47" s="124" cm="1">
        <f t="array" aca="1" ref="O47" ca="1">INDIRECT("R[40]C["&amp;$A$46&amp;"]",FALSE)</f>
        <v>0</v>
      </c>
      <c r="P47" s="124" cm="1">
        <f t="array" aca="1" ref="P47" ca="1">INDIRECT("R[40]C["&amp;$A$46&amp;"]",FALSE)</f>
        <v>0</v>
      </c>
      <c r="Q47" s="123"/>
      <c r="R47" s="128">
        <f ca="1">SUM(D47:P47)</f>
        <v>1565.5269629325958</v>
      </c>
    </row>
    <row r="48" spans="1:19" ht="15.5" x14ac:dyDescent="0.35">
      <c r="A48" s="121">
        <f>A47</f>
        <v>1</v>
      </c>
      <c r="B48" s="123">
        <v>18</v>
      </c>
      <c r="C48" s="127" cm="1">
        <f t="array" aca="1" ref="C48" ca="1">INDIRECT("R[40]C["&amp;$A$46&amp;"]",FALSE)</f>
        <v>0</v>
      </c>
      <c r="D48" s="124" cm="1">
        <f t="array" aca="1" ref="D48" ca="1">INDIRECT("R[40]C["&amp;$A$46&amp;"]",FALSE)</f>
        <v>0</v>
      </c>
      <c r="E48" s="124" cm="1">
        <f t="array" aca="1" ref="E48" ca="1">INDIRECT("R[40]C["&amp;$A$46&amp;"]",FALSE)</f>
        <v>0</v>
      </c>
      <c r="F48" s="124" cm="1">
        <f t="array" aca="1" ref="F48" ca="1">INDIRECT("R[40]C["&amp;$A$46&amp;"]",FALSE)</f>
        <v>0</v>
      </c>
      <c r="G48" s="124" cm="1">
        <f t="array" aca="1" ref="G48" ca="1">INDIRECT("R[40]C["&amp;$A$46&amp;"]",FALSE)</f>
        <v>0</v>
      </c>
      <c r="H48" s="124" cm="1">
        <f t="array" aca="1" ref="H48" ca="1">INDIRECT("R[40]C["&amp;$A$46&amp;"]",FALSE)</f>
        <v>0</v>
      </c>
      <c r="I48" s="124" cm="1">
        <f t="array" aca="1" ref="I48" ca="1">INDIRECT("R[40]C["&amp;$A$46&amp;"]",FALSE)</f>
        <v>0</v>
      </c>
      <c r="J48" s="124" cm="1">
        <f t="array" aca="1" ref="J48" ca="1">INDIRECT("R[40]C["&amp;$A$46&amp;"]",FALSE)</f>
        <v>0</v>
      </c>
      <c r="K48" s="124" cm="1">
        <f t="array" aca="1" ref="K48" ca="1">INDIRECT("R[40]C["&amp;$A$46&amp;"]",FALSE)</f>
        <v>0</v>
      </c>
      <c r="L48" s="124" cm="1">
        <f t="array" aca="1" ref="L48" ca="1">INDIRECT("R[40]C["&amp;$A$46&amp;"]",FALSE)</f>
        <v>319.20644440645248</v>
      </c>
      <c r="M48" s="124" cm="1">
        <f t="array" aca="1" ref="M48" ca="1">INDIRECT("R[40]C["&amp;$A$46&amp;"]",FALSE)</f>
        <v>356.16679763270048</v>
      </c>
      <c r="N48" s="124" cm="1">
        <f t="array" aca="1" ref="N48" ca="1">INDIRECT("R[40]C["&amp;$A$46&amp;"]",FALSE)</f>
        <v>398.16021983415686</v>
      </c>
      <c r="O48" s="124" cm="1">
        <f t="array" aca="1" ref="O48" ca="1">INDIRECT("R[40]C["&amp;$A$46&amp;"]",FALSE)</f>
        <v>274.52731225842081</v>
      </c>
      <c r="P48" s="124" cm="1">
        <f t="array" aca="1" ref="P48" ca="1">INDIRECT("R[40]C["&amp;$A$46&amp;"]",FALSE)</f>
        <v>301.33333333333331</v>
      </c>
      <c r="Q48" s="123"/>
      <c r="R48" s="128">
        <f ca="1">SUM(D48:P48)</f>
        <v>1649.3941074650638</v>
      </c>
      <c r="S48" t="s">
        <v>91</v>
      </c>
    </row>
    <row r="49" spans="1:18" ht="15.5" x14ac:dyDescent="0.35">
      <c r="A49" s="116"/>
      <c r="B49" s="129" t="s">
        <v>351</v>
      </c>
      <c r="C49" s="133"/>
      <c r="D49" s="131"/>
      <c r="E49" s="131"/>
      <c r="F49" s="131"/>
      <c r="G49" s="131"/>
      <c r="H49" s="131"/>
      <c r="I49" s="131"/>
      <c r="J49" s="131"/>
      <c r="K49" s="131"/>
      <c r="L49" s="131"/>
      <c r="M49" s="131"/>
      <c r="N49" s="131"/>
      <c r="O49" s="131"/>
      <c r="P49" s="131"/>
      <c r="Q49" s="131"/>
      <c r="R49" s="130"/>
    </row>
    <row r="50" spans="1:18" ht="15.5" x14ac:dyDescent="0.35">
      <c r="A50" s="121">
        <f>A48</f>
        <v>1</v>
      </c>
      <c r="B50" s="123">
        <v>12</v>
      </c>
      <c r="C50" s="127" cm="1">
        <f t="array" aca="1" ref="C50" ca="1">INDIRECT("R[40]C["&amp;$A$50&amp;"]",FALSE)</f>
        <v>0</v>
      </c>
      <c r="D50" s="124" cm="1">
        <f t="array" aca="1" ref="D50" ca="1">INDIRECT("R[40]C["&amp;$A$50&amp;"]",FALSE)</f>
        <v>128.30769230769232</v>
      </c>
      <c r="E50" s="124" cm="1">
        <f t="array" aca="1" ref="E50" ca="1">INDIRECT("R[40]C["&amp;$A$50&amp;"]",FALSE)</f>
        <v>785.38461538461547</v>
      </c>
      <c r="F50" s="124" cm="1">
        <f t="array" aca="1" ref="F50" ca="1">INDIRECT("R[40]C["&amp;$A$50&amp;"]",FALSE)</f>
        <v>562.53846153846143</v>
      </c>
      <c r="G50" s="124" cm="1">
        <f t="array" aca="1" ref="G50" ca="1">INDIRECT("R[40]C["&amp;$A$50&amp;"]",FALSE)</f>
        <v>182</v>
      </c>
      <c r="H50" s="124" cm="1">
        <f t="array" aca="1" ref="H50" ca="1">INDIRECT("R[40]C["&amp;$A$50&amp;"]",FALSE)</f>
        <v>0</v>
      </c>
      <c r="I50" s="124" cm="1">
        <f t="array" aca="1" ref="I50" ca="1">INDIRECT("R[40]C["&amp;$A$50&amp;"]",FALSE)</f>
        <v>0</v>
      </c>
      <c r="J50" s="124" cm="1">
        <f t="array" aca="1" ref="J50" ca="1">INDIRECT("R[40]C["&amp;$A$50&amp;"]",FALSE)</f>
        <v>0</v>
      </c>
      <c r="K50" s="124" cm="1">
        <f t="array" aca="1" ref="K50" ca="1">INDIRECT("R[40]C["&amp;$A$50&amp;"]",FALSE)</f>
        <v>0</v>
      </c>
      <c r="L50" s="124" cm="1">
        <f t="array" aca="1" ref="L50" ca="1">INDIRECT("R[40]C["&amp;$A$50&amp;"]",FALSE)</f>
        <v>0</v>
      </c>
      <c r="M50" s="124" cm="1">
        <f t="array" aca="1" ref="M50" ca="1">INDIRECT("R[40]C["&amp;$A$50&amp;"]",FALSE)</f>
        <v>0</v>
      </c>
      <c r="N50" s="124" cm="1">
        <f t="array" aca="1" ref="N50" ca="1">INDIRECT("R[40]C["&amp;$A$50&amp;"]",FALSE)</f>
        <v>0</v>
      </c>
      <c r="O50" s="124" cm="1">
        <f t="array" aca="1" ref="O50" ca="1">INDIRECT("R[40]C["&amp;$A$50&amp;"]",FALSE)</f>
        <v>0</v>
      </c>
      <c r="P50" s="124" cm="1">
        <f t="array" aca="1" ref="P50" ca="1">INDIRECT("R[40]C["&amp;$A$50&amp;"]",FALSE)</f>
        <v>0</v>
      </c>
      <c r="Q50" s="124"/>
      <c r="R50" s="128">
        <f ca="1">SUM(D50:P50)</f>
        <v>1658.2307692307693</v>
      </c>
    </row>
    <row r="51" spans="1:18" ht="15.5" x14ac:dyDescent="0.35">
      <c r="A51" s="121">
        <f>A50</f>
        <v>1</v>
      </c>
      <c r="B51" s="123">
        <v>15</v>
      </c>
      <c r="C51" s="127" cm="1">
        <f t="array" aca="1" ref="C51" ca="1">INDIRECT("R[40]C["&amp;$A$50&amp;"]",FALSE)</f>
        <v>0</v>
      </c>
      <c r="D51" s="124" cm="1">
        <f t="array" aca="1" ref="D51" ca="1">INDIRECT("R[40]C["&amp;$A$50&amp;"]",FALSE)</f>
        <v>0</v>
      </c>
      <c r="E51" s="124" cm="1">
        <f t="array" aca="1" ref="E51" ca="1">INDIRECT("R[40]C["&amp;$A$50&amp;"]",FALSE)</f>
        <v>229.56302521008405</v>
      </c>
      <c r="F51" s="124" cm="1">
        <f t="array" aca="1" ref="F51" ca="1">INDIRECT("R[40]C["&amp;$A$50&amp;"]",FALSE)</f>
        <v>307</v>
      </c>
      <c r="G51" s="124" cm="1">
        <f t="array" aca="1" ref="G51" ca="1">INDIRECT("R[40]C["&amp;$A$50&amp;"]",FALSE)</f>
        <v>549.20000000000005</v>
      </c>
      <c r="H51" s="124" cm="1">
        <f t="array" aca="1" ref="H51" ca="1">INDIRECT("R[40]C["&amp;$A$50&amp;"]",FALSE)</f>
        <v>580.91999999999996</v>
      </c>
      <c r="I51" s="124" cm="1">
        <f t="array" aca="1" ref="I51" ca="1">INDIRECT("R[40]C["&amp;$A$50&amp;"]",FALSE)</f>
        <v>1225.2338099747394</v>
      </c>
      <c r="J51" s="124" cm="1">
        <f t="array" aca="1" ref="J51" ca="1">INDIRECT("R[40]C["&amp;$A$50&amp;"]",FALSE)</f>
        <v>658.83825778893936</v>
      </c>
      <c r="K51" s="124" cm="1">
        <f t="array" aca="1" ref="K51" ca="1">INDIRECT("R[40]C["&amp;$A$50&amp;"]",FALSE)</f>
        <v>1145.8257958240242</v>
      </c>
      <c r="L51" s="124" cm="1">
        <f t="array" aca="1" ref="L51" ca="1">INDIRECT("R[40]C["&amp;$A$50&amp;"]",FALSE)</f>
        <v>0</v>
      </c>
      <c r="M51" s="124" cm="1">
        <f t="array" aca="1" ref="M51" ca="1">INDIRECT("R[40]C["&amp;$A$50&amp;"]",FALSE)</f>
        <v>0</v>
      </c>
      <c r="N51" s="124" cm="1">
        <f t="array" aca="1" ref="N51" ca="1">INDIRECT("R[40]C["&amp;$A$50&amp;"]",FALSE)</f>
        <v>0</v>
      </c>
      <c r="O51" s="124" cm="1">
        <f t="array" aca="1" ref="O51" ca="1">INDIRECT("R[40]C["&amp;$A$50&amp;"]",FALSE)</f>
        <v>0</v>
      </c>
      <c r="P51" s="124" cm="1">
        <f t="array" aca="1" ref="P51" ca="1">INDIRECT("R[40]C["&amp;$A$50&amp;"]",FALSE)</f>
        <v>0</v>
      </c>
      <c r="Q51" s="124"/>
      <c r="R51" s="128">
        <f ca="1">SUM(D51:P51)</f>
        <v>4696.5808887977873</v>
      </c>
    </row>
    <row r="52" spans="1:18" ht="15.5" x14ac:dyDescent="0.35">
      <c r="A52" s="121">
        <f>A51</f>
        <v>1</v>
      </c>
      <c r="B52" s="123">
        <v>18</v>
      </c>
      <c r="C52" s="127" cm="1">
        <f t="array" aca="1" ref="C52" ca="1">INDIRECT("R[40]C["&amp;$A$50&amp;"]",FALSE)</f>
        <v>0</v>
      </c>
      <c r="D52" s="124" cm="1">
        <f t="array" aca="1" ref="D52" ca="1">INDIRECT("R[40]C["&amp;$A$50&amp;"]",FALSE)</f>
        <v>0</v>
      </c>
      <c r="E52" s="124" cm="1">
        <f t="array" aca="1" ref="E52" ca="1">INDIRECT("R[40]C["&amp;$A$50&amp;"]",FALSE)</f>
        <v>0</v>
      </c>
      <c r="F52" s="124" cm="1">
        <f t="array" aca="1" ref="F52" ca="1">INDIRECT("R[40]C["&amp;$A$50&amp;"]",FALSE)</f>
        <v>0</v>
      </c>
      <c r="G52" s="124" cm="1">
        <f t="array" aca="1" ref="G52" ca="1">INDIRECT("R[40]C["&amp;$A$50&amp;"]",FALSE)</f>
        <v>0</v>
      </c>
      <c r="H52" s="124" cm="1">
        <f t="array" aca="1" ref="H52" ca="1">INDIRECT("R[40]C["&amp;$A$50&amp;"]",FALSE)</f>
        <v>0</v>
      </c>
      <c r="I52" s="124" cm="1">
        <f t="array" aca="1" ref="I52" ca="1">INDIRECT("R[40]C["&amp;$A$50&amp;"]",FALSE)</f>
        <v>0</v>
      </c>
      <c r="J52" s="124" cm="1">
        <f t="array" aca="1" ref="J52" ca="1">INDIRECT("R[40]C["&amp;$A$50&amp;"]",FALSE)</f>
        <v>0</v>
      </c>
      <c r="K52" s="124" cm="1">
        <f t="array" aca="1" ref="K52" ca="1">INDIRECT("R[40]C["&amp;$A$50&amp;"]",FALSE)</f>
        <v>0</v>
      </c>
      <c r="L52" s="124" cm="1">
        <f t="array" aca="1" ref="L52" ca="1">INDIRECT("R[40]C["&amp;$A$50&amp;"]",FALSE)</f>
        <v>957.61933321935749</v>
      </c>
      <c r="M52" s="124" cm="1">
        <f t="array" aca="1" ref="M52" ca="1">INDIRECT("R[40]C["&amp;$A$50&amp;"]",FALSE)</f>
        <v>1068.5003928981014</v>
      </c>
      <c r="N52" s="124" cm="1">
        <f t="array" aca="1" ref="N52" ca="1">INDIRECT("R[40]C["&amp;$A$50&amp;"]",FALSE)</f>
        <v>1194.4806595024706</v>
      </c>
      <c r="O52" s="124" cm="1">
        <f t="array" aca="1" ref="O52" ca="1">INDIRECT("R[40]C["&amp;$A$50&amp;"]",FALSE)</f>
        <v>823.58193677526242</v>
      </c>
      <c r="P52" s="124" cm="1">
        <f t="array" aca="1" ref="P52" ca="1">INDIRECT("R[40]C["&amp;$A$50&amp;"]",FALSE)</f>
        <v>904</v>
      </c>
      <c r="Q52" s="124"/>
      <c r="R52" s="128">
        <f ca="1">SUM(D52:P52)</f>
        <v>4948.1823223951924</v>
      </c>
    </row>
    <row r="53" spans="1:18" ht="15.5" x14ac:dyDescent="0.35">
      <c r="A53" s="116"/>
      <c r="B53" s="129" t="s">
        <v>114</v>
      </c>
      <c r="C53" s="133"/>
      <c r="D53" s="131"/>
      <c r="E53" s="131"/>
      <c r="F53" s="131"/>
      <c r="G53" s="131"/>
      <c r="H53" s="131"/>
      <c r="I53" s="131"/>
      <c r="J53" s="131"/>
      <c r="K53" s="131"/>
      <c r="L53" s="131"/>
      <c r="M53" s="131"/>
      <c r="N53" s="131"/>
      <c r="O53" s="131"/>
      <c r="P53" s="131"/>
      <c r="Q53" s="131"/>
      <c r="R53" s="130"/>
    </row>
    <row r="54" spans="1:18" ht="15.5" x14ac:dyDescent="0.35">
      <c r="A54" s="121">
        <f>A52</f>
        <v>1</v>
      </c>
      <c r="B54" s="123">
        <v>12</v>
      </c>
      <c r="C54" s="127" cm="1">
        <f t="array" aca="1" ref="C54" ca="1">INDIRECT("R[40]C["&amp;$A$46&amp;"]",FALSE)</f>
        <v>0</v>
      </c>
      <c r="D54" s="124" cm="1">
        <f t="array" aca="1" ref="D54" ca="1">INDIRECT("R[40]C["&amp;$A$46&amp;"]",FALSE)</f>
        <v>42.769230769230774</v>
      </c>
      <c r="E54" s="124" cm="1">
        <f t="array" aca="1" ref="E54" ca="1">INDIRECT("R[40]C["&amp;$A$46&amp;"]",FALSE)</f>
        <v>261.79487179487182</v>
      </c>
      <c r="F54" s="124" cm="1">
        <f t="array" aca="1" ref="F54" ca="1">INDIRECT("R[40]C["&amp;$A$46&amp;"]",FALSE)</f>
        <v>187.5128205128205</v>
      </c>
      <c r="G54" s="124" cm="1">
        <f t="array" aca="1" ref="G54" ca="1">INDIRECT("R[40]C["&amp;$A$46&amp;"]",FALSE)</f>
        <v>60.666666666666664</v>
      </c>
      <c r="H54" s="124" cm="1">
        <f t="array" aca="1" ref="H54" ca="1">INDIRECT("R[40]C["&amp;$A$46&amp;"]",FALSE)</f>
        <v>0</v>
      </c>
      <c r="I54" s="124" cm="1">
        <f t="array" aca="1" ref="I54" ca="1">INDIRECT("R[40]C["&amp;$A$46&amp;"]",FALSE)</f>
        <v>0</v>
      </c>
      <c r="J54" s="124" cm="1">
        <f t="array" aca="1" ref="J54" ca="1">INDIRECT("R[40]C["&amp;$A$46&amp;"]",FALSE)</f>
        <v>0</v>
      </c>
      <c r="K54" s="124" cm="1">
        <f t="array" aca="1" ref="K54" ca="1">INDIRECT("R[40]C["&amp;$A$46&amp;"]",FALSE)</f>
        <v>0</v>
      </c>
      <c r="L54" s="124" cm="1">
        <f t="array" aca="1" ref="L54" ca="1">INDIRECT("R[40]C["&amp;$A$46&amp;"]",FALSE)</f>
        <v>0</v>
      </c>
      <c r="M54" s="124" cm="1">
        <f t="array" aca="1" ref="M54" ca="1">INDIRECT("R[40]C["&amp;$A$46&amp;"]",FALSE)</f>
        <v>0</v>
      </c>
      <c r="N54" s="124" cm="1">
        <f t="array" aca="1" ref="N54" ca="1">INDIRECT("R[40]C["&amp;$A$46&amp;"]",FALSE)</f>
        <v>0</v>
      </c>
      <c r="O54" s="124" cm="1">
        <f t="array" aca="1" ref="O54" ca="1">INDIRECT("R[40]C["&amp;$A$46&amp;"]",FALSE)</f>
        <v>0</v>
      </c>
      <c r="P54" s="124" cm="1">
        <f t="array" aca="1" ref="P54" ca="1">INDIRECT("R[40]C["&amp;$A$46&amp;"]",FALSE)</f>
        <v>0</v>
      </c>
      <c r="Q54" s="123"/>
      <c r="R54" s="128">
        <f ca="1">SUM(D54:P54)</f>
        <v>552.74358974358972</v>
      </c>
    </row>
    <row r="55" spans="1:18" ht="15.5" x14ac:dyDescent="0.35">
      <c r="A55" s="121">
        <f>A54</f>
        <v>1</v>
      </c>
      <c r="B55" s="123">
        <v>15</v>
      </c>
      <c r="C55" s="127" cm="1">
        <f t="array" aca="1" ref="C55" ca="1">INDIRECT("R[40]C["&amp;$A$46&amp;"]",FALSE)</f>
        <v>0</v>
      </c>
      <c r="D55" s="124" cm="1">
        <f t="array" aca="1" ref="D55" ca="1">INDIRECT("R[40]C["&amp;$A$46&amp;"]",FALSE)</f>
        <v>0</v>
      </c>
      <c r="E55" s="124" cm="1">
        <f t="array" aca="1" ref="E55" ca="1">INDIRECT("R[40]C["&amp;$A$46&amp;"]",FALSE)</f>
        <v>76.52100840336135</v>
      </c>
      <c r="F55" s="124" cm="1">
        <f t="array" aca="1" ref="F55" ca="1">INDIRECT("R[40]C["&amp;$A$46&amp;"]",FALSE)</f>
        <v>102.33333333333334</v>
      </c>
      <c r="G55" s="124" cm="1">
        <f t="array" aca="1" ref="G55" ca="1">INDIRECT("R[40]C["&amp;$A$46&amp;"]",FALSE)</f>
        <v>183.06666666666666</v>
      </c>
      <c r="H55" s="124" cm="1">
        <f t="array" aca="1" ref="H55" ca="1">INDIRECT("R[40]C["&amp;$A$46&amp;"]",FALSE)</f>
        <v>193.64</v>
      </c>
      <c r="I55" s="124" cm="1">
        <f t="array" aca="1" ref="I55" ca="1">INDIRECT("R[40]C["&amp;$A$46&amp;"]",FALSE)</f>
        <v>408.41126999157984</v>
      </c>
      <c r="J55" s="124" cm="1">
        <f t="array" aca="1" ref="J55" ca="1">INDIRECT("R[40]C["&amp;$A$46&amp;"]",FALSE)</f>
        <v>219.61275259631313</v>
      </c>
      <c r="K55" s="124" cm="1">
        <f t="array" aca="1" ref="K55" ca="1">INDIRECT("R[40]C["&amp;$A$46&amp;"]",FALSE)</f>
        <v>381.94193194134141</v>
      </c>
      <c r="L55" s="124" cm="1">
        <f t="array" aca="1" ref="L55" ca="1">INDIRECT("R[40]C["&amp;$A$46&amp;"]",FALSE)</f>
        <v>0</v>
      </c>
      <c r="M55" s="124" cm="1">
        <f t="array" aca="1" ref="M55" ca="1">INDIRECT("R[40]C["&amp;$A$46&amp;"]",FALSE)</f>
        <v>0</v>
      </c>
      <c r="N55" s="124" cm="1">
        <f t="array" aca="1" ref="N55" ca="1">INDIRECT("R[40]C["&amp;$A$46&amp;"]",FALSE)</f>
        <v>0</v>
      </c>
      <c r="O55" s="124" cm="1">
        <f t="array" aca="1" ref="O55" ca="1">INDIRECT("R[40]C["&amp;$A$46&amp;"]",FALSE)</f>
        <v>0</v>
      </c>
      <c r="P55" s="124" cm="1">
        <f t="array" aca="1" ref="P55" ca="1">INDIRECT("R[40]C["&amp;$A$46&amp;"]",FALSE)</f>
        <v>0</v>
      </c>
      <c r="Q55" s="123"/>
      <c r="R55" s="128">
        <f ca="1">SUM(D55:P55)</f>
        <v>1565.5269629325958</v>
      </c>
    </row>
    <row r="56" spans="1:18" ht="15.5" x14ac:dyDescent="0.35">
      <c r="A56" s="121">
        <f>A55</f>
        <v>1</v>
      </c>
      <c r="B56" s="123">
        <v>18</v>
      </c>
      <c r="C56" s="127" cm="1">
        <f t="array" aca="1" ref="C56" ca="1">INDIRECT("R[40]C["&amp;$A$46&amp;"]",FALSE)</f>
        <v>0</v>
      </c>
      <c r="D56" s="124" cm="1">
        <f t="array" aca="1" ref="D56" ca="1">INDIRECT("R[40]C["&amp;$A$46&amp;"]",FALSE)</f>
        <v>0</v>
      </c>
      <c r="E56" s="124" cm="1">
        <f t="array" aca="1" ref="E56" ca="1">INDIRECT("R[40]C["&amp;$A$46&amp;"]",FALSE)</f>
        <v>0</v>
      </c>
      <c r="F56" s="124" cm="1">
        <f t="array" aca="1" ref="F56" ca="1">INDIRECT("R[40]C["&amp;$A$46&amp;"]",FALSE)</f>
        <v>0</v>
      </c>
      <c r="G56" s="124" cm="1">
        <f t="array" aca="1" ref="G56" ca="1">INDIRECT("R[40]C["&amp;$A$46&amp;"]",FALSE)</f>
        <v>0</v>
      </c>
      <c r="H56" s="124" cm="1">
        <f t="array" aca="1" ref="H56" ca="1">INDIRECT("R[40]C["&amp;$A$46&amp;"]",FALSE)</f>
        <v>0</v>
      </c>
      <c r="I56" s="124" cm="1">
        <f t="array" aca="1" ref="I56" ca="1">INDIRECT("R[40]C["&amp;$A$46&amp;"]",FALSE)</f>
        <v>0</v>
      </c>
      <c r="J56" s="124" cm="1">
        <f t="array" aca="1" ref="J56" ca="1">INDIRECT("R[40]C["&amp;$A$46&amp;"]",FALSE)</f>
        <v>0</v>
      </c>
      <c r="K56" s="124" cm="1">
        <f t="array" aca="1" ref="K56" ca="1">INDIRECT("R[40]C["&amp;$A$46&amp;"]",FALSE)</f>
        <v>0</v>
      </c>
      <c r="L56" s="124" cm="1">
        <f t="array" aca="1" ref="L56" ca="1">INDIRECT("R[40]C["&amp;$A$46&amp;"]",FALSE)</f>
        <v>319.20644440645248</v>
      </c>
      <c r="M56" s="124" cm="1">
        <f t="array" aca="1" ref="M56" ca="1">INDIRECT("R[40]C["&amp;$A$46&amp;"]",FALSE)</f>
        <v>356.16679763270048</v>
      </c>
      <c r="N56" s="124" cm="1">
        <f t="array" aca="1" ref="N56" ca="1">INDIRECT("R[40]C["&amp;$A$46&amp;"]",FALSE)</f>
        <v>398.16021983415686</v>
      </c>
      <c r="O56" s="124" cm="1">
        <f t="array" aca="1" ref="O56" ca="1">INDIRECT("R[40]C["&amp;$A$46&amp;"]",FALSE)</f>
        <v>274.52731225842081</v>
      </c>
      <c r="P56" s="124" cm="1">
        <f t="array" aca="1" ref="P56" ca="1">INDIRECT("R[40]C["&amp;$A$46&amp;"]",FALSE)</f>
        <v>301.33333333333331</v>
      </c>
      <c r="Q56" s="123"/>
      <c r="R56" s="128">
        <f ca="1">SUM(D56:P56)</f>
        <v>1649.3941074650638</v>
      </c>
    </row>
    <row r="57" spans="1:18" ht="15.5" x14ac:dyDescent="0.35">
      <c r="A57" s="116"/>
      <c r="B57" s="129" t="s">
        <v>352</v>
      </c>
      <c r="C57" s="133"/>
      <c r="D57" s="131"/>
      <c r="E57" s="131"/>
      <c r="F57" s="131"/>
      <c r="G57" s="131"/>
      <c r="H57" s="131"/>
      <c r="I57" s="131"/>
      <c r="J57" s="131"/>
      <c r="K57" s="131"/>
      <c r="L57" s="131"/>
      <c r="M57" s="131"/>
      <c r="N57" s="131"/>
      <c r="O57" s="131"/>
      <c r="P57" s="131"/>
      <c r="Q57" s="131"/>
      <c r="R57" s="130"/>
    </row>
    <row r="58" spans="1:18" ht="15.5" x14ac:dyDescent="0.35">
      <c r="A58" s="121">
        <f>A56</f>
        <v>1</v>
      </c>
      <c r="B58" s="123">
        <v>12</v>
      </c>
      <c r="C58" s="127" cm="1">
        <f t="array" aca="1" ref="C58" ca="1">INDIRECT("R[40]C["&amp;$A$58&amp;"]",FALSE)</f>
        <v>0</v>
      </c>
      <c r="D58" s="124" cm="1">
        <f t="array" aca="1" ref="D58" ca="1">INDIRECT("R[40]C["&amp;$A$58&amp;"]",FALSE)</f>
        <v>42.769230769230774</v>
      </c>
      <c r="E58" s="124" cm="1">
        <f t="array" aca="1" ref="E58" ca="1">INDIRECT("R[40]C["&amp;$A$58&amp;"]",FALSE)</f>
        <v>261.79487179487182</v>
      </c>
      <c r="F58" s="124" cm="1">
        <f t="array" aca="1" ref="F58" ca="1">INDIRECT("R[40]C["&amp;$A$58&amp;"]",FALSE)</f>
        <v>187.5128205128205</v>
      </c>
      <c r="G58" s="124" cm="1">
        <f t="array" aca="1" ref="G58" ca="1">INDIRECT("R[40]C["&amp;$A$58&amp;"]",FALSE)</f>
        <v>60.666666666666664</v>
      </c>
      <c r="H58" s="124" cm="1">
        <f t="array" aca="1" ref="H58" ca="1">INDIRECT("R[40]C["&amp;$A$58&amp;"]",FALSE)</f>
        <v>0</v>
      </c>
      <c r="I58" s="124" cm="1">
        <f t="array" aca="1" ref="I58" ca="1">INDIRECT("R[40]C["&amp;$A$58&amp;"]",FALSE)</f>
        <v>0</v>
      </c>
      <c r="J58" s="124" cm="1">
        <f t="array" aca="1" ref="J58" ca="1">INDIRECT("R[40]C["&amp;$A$58&amp;"]",FALSE)</f>
        <v>0</v>
      </c>
      <c r="K58" s="124" cm="1">
        <f t="array" aca="1" ref="K58" ca="1">INDIRECT("R[40]C["&amp;$A$58&amp;"]",FALSE)</f>
        <v>0</v>
      </c>
      <c r="L58" s="124" cm="1">
        <f t="array" aca="1" ref="L58" ca="1">INDIRECT("R[40]C["&amp;$A$58&amp;"]",FALSE)</f>
        <v>0</v>
      </c>
      <c r="M58" s="124" cm="1">
        <f t="array" aca="1" ref="M58" ca="1">INDIRECT("R[40]C["&amp;$A$58&amp;"]",FALSE)</f>
        <v>0</v>
      </c>
      <c r="N58" s="124" cm="1">
        <f t="array" aca="1" ref="N58" ca="1">INDIRECT("R[40]C["&amp;$A$58&amp;"]",FALSE)</f>
        <v>0</v>
      </c>
      <c r="O58" s="124" cm="1">
        <f t="array" aca="1" ref="O58" ca="1">INDIRECT("R[40]C["&amp;$A$58&amp;"]",FALSE)</f>
        <v>0</v>
      </c>
      <c r="P58" s="124" cm="1">
        <f t="array" aca="1" ref="P58" ca="1">INDIRECT("R[40]C["&amp;$A$58&amp;"]",FALSE)</f>
        <v>0</v>
      </c>
      <c r="Q58" s="123"/>
      <c r="R58" s="128">
        <f ca="1">SUM(D58:P58)</f>
        <v>552.74358974358972</v>
      </c>
    </row>
    <row r="59" spans="1:18" ht="15.5" x14ac:dyDescent="0.35">
      <c r="A59" s="121">
        <f>A56</f>
        <v>1</v>
      </c>
      <c r="B59" s="123">
        <v>15</v>
      </c>
      <c r="C59" s="127" cm="1">
        <f t="array" aca="1" ref="C59" ca="1">INDIRECT("R[40]C["&amp;$A$58&amp;"]",FALSE)</f>
        <v>0</v>
      </c>
      <c r="D59" s="124" cm="1">
        <f t="array" aca="1" ref="D59" ca="1">INDIRECT("R[40]C["&amp;$A$58&amp;"]",FALSE)</f>
        <v>0</v>
      </c>
      <c r="E59" s="124" cm="1">
        <f t="array" aca="1" ref="E59" ca="1">INDIRECT("R[40]C["&amp;$A$58&amp;"]",FALSE)</f>
        <v>76.52100840336135</v>
      </c>
      <c r="F59" s="124" cm="1">
        <f t="array" aca="1" ref="F59" ca="1">INDIRECT("R[40]C["&amp;$A$58&amp;"]",FALSE)</f>
        <v>102.33333333333334</v>
      </c>
      <c r="G59" s="124" cm="1">
        <f t="array" aca="1" ref="G59" ca="1">INDIRECT("R[40]C["&amp;$A$58&amp;"]",FALSE)</f>
        <v>183.06666666666666</v>
      </c>
      <c r="H59" s="124" cm="1">
        <f t="array" aca="1" ref="H59" ca="1">INDIRECT("R[40]C["&amp;$A$58&amp;"]",FALSE)</f>
        <v>193.64</v>
      </c>
      <c r="I59" s="124" cm="1">
        <f t="array" aca="1" ref="I59" ca="1">INDIRECT("R[40]C["&amp;$A$58&amp;"]",FALSE)</f>
        <v>408.41126999157984</v>
      </c>
      <c r="J59" s="124" cm="1">
        <f t="array" aca="1" ref="J59" ca="1">INDIRECT("R[40]C["&amp;$A$58&amp;"]",FALSE)</f>
        <v>219.61275259631313</v>
      </c>
      <c r="K59" s="124" cm="1">
        <f t="array" aca="1" ref="K59" ca="1">INDIRECT("R[40]C["&amp;$A$58&amp;"]",FALSE)</f>
        <v>381.94193194134141</v>
      </c>
      <c r="L59" s="124" cm="1">
        <f t="array" aca="1" ref="L59" ca="1">INDIRECT("R[40]C["&amp;$A$58&amp;"]",FALSE)</f>
        <v>0</v>
      </c>
      <c r="M59" s="124" cm="1">
        <f t="array" aca="1" ref="M59" ca="1">INDIRECT("R[40]C["&amp;$A$58&amp;"]",FALSE)</f>
        <v>0</v>
      </c>
      <c r="N59" s="124" cm="1">
        <f t="array" aca="1" ref="N59" ca="1">INDIRECT("R[40]C["&amp;$A$58&amp;"]",FALSE)</f>
        <v>0</v>
      </c>
      <c r="O59" s="124" cm="1">
        <f t="array" aca="1" ref="O59" ca="1">INDIRECT("R[40]C["&amp;$A$58&amp;"]",FALSE)</f>
        <v>0</v>
      </c>
      <c r="P59" s="124" cm="1">
        <f t="array" aca="1" ref="P59" ca="1">INDIRECT("R[40]C["&amp;$A$58&amp;"]",FALSE)</f>
        <v>0</v>
      </c>
      <c r="Q59" s="123"/>
      <c r="R59" s="128">
        <f ca="1">SUM(D59:P59)</f>
        <v>1565.5269629325958</v>
      </c>
    </row>
    <row r="60" spans="1:18" ht="15.5" x14ac:dyDescent="0.35">
      <c r="A60" s="121">
        <f>A56</f>
        <v>1</v>
      </c>
      <c r="B60" s="123">
        <v>18</v>
      </c>
      <c r="C60" s="127" cm="1">
        <f t="array" aca="1" ref="C60" ca="1">INDIRECT("R[40]C["&amp;$A$58&amp;"]",FALSE)</f>
        <v>0</v>
      </c>
      <c r="D60" s="124" cm="1">
        <f t="array" aca="1" ref="D60" ca="1">INDIRECT("R[40]C["&amp;$A$58&amp;"]",FALSE)</f>
        <v>0</v>
      </c>
      <c r="E60" s="124" cm="1">
        <f t="array" aca="1" ref="E60" ca="1">INDIRECT("R[40]C["&amp;$A$58&amp;"]",FALSE)</f>
        <v>0</v>
      </c>
      <c r="F60" s="124" cm="1">
        <f t="array" aca="1" ref="F60" ca="1">INDIRECT("R[40]C["&amp;$A$58&amp;"]",FALSE)</f>
        <v>0</v>
      </c>
      <c r="G60" s="124" cm="1">
        <f t="array" aca="1" ref="G60" ca="1">INDIRECT("R[40]C["&amp;$A$58&amp;"]",FALSE)</f>
        <v>0</v>
      </c>
      <c r="H60" s="124" cm="1">
        <f t="array" aca="1" ref="H60" ca="1">INDIRECT("R[40]C["&amp;$A$58&amp;"]",FALSE)</f>
        <v>0</v>
      </c>
      <c r="I60" s="124" cm="1">
        <f t="array" aca="1" ref="I60" ca="1">INDIRECT("R[40]C["&amp;$A$58&amp;"]",FALSE)</f>
        <v>0</v>
      </c>
      <c r="J60" s="124" cm="1">
        <f t="array" aca="1" ref="J60" ca="1">INDIRECT("R[40]C["&amp;$A$58&amp;"]",FALSE)</f>
        <v>0</v>
      </c>
      <c r="K60" s="124" cm="1">
        <f t="array" aca="1" ref="K60" ca="1">INDIRECT("R[40]C["&amp;$A$58&amp;"]",FALSE)</f>
        <v>0</v>
      </c>
      <c r="L60" s="124" cm="1">
        <f t="array" aca="1" ref="L60" ca="1">INDIRECT("R[40]C["&amp;$A$58&amp;"]",FALSE)</f>
        <v>319.20644440645248</v>
      </c>
      <c r="M60" s="124" cm="1">
        <f t="array" aca="1" ref="M60" ca="1">INDIRECT("R[40]C["&amp;$A$58&amp;"]",FALSE)</f>
        <v>356.16679763270048</v>
      </c>
      <c r="N60" s="124" cm="1">
        <f t="array" aca="1" ref="N60" ca="1">INDIRECT("R[40]C["&amp;$A$58&amp;"]",FALSE)</f>
        <v>398.16021983415686</v>
      </c>
      <c r="O60" s="124" cm="1">
        <f t="array" aca="1" ref="O60" ca="1">INDIRECT("R[40]C["&amp;$A$58&amp;"]",FALSE)</f>
        <v>274.52731225842081</v>
      </c>
      <c r="P60" s="124" cm="1">
        <f t="array" aca="1" ref="P60" ca="1">INDIRECT("R[40]C["&amp;$A$58&amp;"]",FALSE)</f>
        <v>301.33333333333331</v>
      </c>
      <c r="Q60" s="123"/>
      <c r="R60" s="128">
        <f ca="1">SUM(D60:P60)</f>
        <v>1649.3941074650638</v>
      </c>
    </row>
    <row r="61" spans="1:18" ht="15.5" x14ac:dyDescent="0.35">
      <c r="A61" s="116"/>
      <c r="B61" s="129" t="s">
        <v>116</v>
      </c>
      <c r="C61" s="133"/>
      <c r="D61" s="131"/>
      <c r="E61" s="131"/>
      <c r="F61" s="131"/>
      <c r="G61" s="131"/>
      <c r="H61" s="131"/>
      <c r="I61" s="131"/>
      <c r="J61" s="131"/>
      <c r="K61" s="131"/>
      <c r="L61" s="131"/>
      <c r="M61" s="131"/>
      <c r="N61" s="131"/>
      <c r="O61" s="131"/>
      <c r="P61" s="131"/>
      <c r="Q61" s="131"/>
      <c r="R61" s="130"/>
    </row>
    <row r="62" spans="1:18" ht="15.5" x14ac:dyDescent="0.35">
      <c r="A62" s="121">
        <f>A60</f>
        <v>1</v>
      </c>
      <c r="B62" s="125" t="s">
        <v>257</v>
      </c>
      <c r="C62" s="127" cm="1">
        <f t="array" aca="1" ref="C62" ca="1">INDIRECT("R[40]C["&amp;$A$62&amp;"]",FALSE)</f>
        <v>0</v>
      </c>
      <c r="D62" s="124" cm="1">
        <f t="array" aca="1" ref="D62" ca="1">INDIRECT("R[40]C["&amp;$A$62&amp;"]",FALSE)</f>
        <v>32.769230769230774</v>
      </c>
      <c r="E62" s="124" cm="1">
        <f t="array" aca="1" ref="E62" ca="1">INDIRECT("R[40]C["&amp;$A$62&amp;"]",FALSE)</f>
        <v>229.49353587588882</v>
      </c>
      <c r="F62" s="124" cm="1">
        <f t="array" aca="1" ref="F62" ca="1">INDIRECT("R[40]C["&amp;$A$62&amp;"]",FALSE)</f>
        <v>179.50641025641025</v>
      </c>
      <c r="G62" s="124" cm="1">
        <f t="array" aca="1" ref="G62" ca="1">INDIRECT("R[40]C["&amp;$A$62&amp;"]",FALSE)</f>
        <v>160.73333333333332</v>
      </c>
      <c r="H62" s="124" cm="1">
        <f t="array" aca="1" ref="H62" ca="1">INDIRECT("R[40]C["&amp;$A$62&amp;"]",FALSE)</f>
        <v>97.213333333333338</v>
      </c>
      <c r="I62" s="124" cm="1">
        <f t="array" aca="1" ref="I62" ca="1">INDIRECT("R[40]C["&amp;$A$62&amp;"]",FALSE)</f>
        <v>226.77599949362576</v>
      </c>
      <c r="J62" s="124" cm="1">
        <f t="array" aca="1" ref="J62" ca="1">INDIRECT("R[40]C["&amp;$A$62&amp;"]",FALSE)</f>
        <v>150.25333333333333</v>
      </c>
      <c r="K62" s="124" cm="1">
        <f t="array" aca="1" ref="K62" ca="1">INDIRECT("R[40]C["&amp;$A$62&amp;"]",FALSE)</f>
        <v>320.37251267836155</v>
      </c>
      <c r="L62" s="124" cm="1">
        <f t="array" aca="1" ref="L62" ca="1">INDIRECT("R[40]C["&amp;$A$62&amp;"]",FALSE)</f>
        <v>116.66392342239024</v>
      </c>
      <c r="M62" s="124" cm="1">
        <f t="array" aca="1" ref="M62" ca="1">INDIRECT("R[40]C["&amp;$A$62&amp;"]",FALSE)</f>
        <v>213.01597113083858</v>
      </c>
      <c r="N62" s="124" cm="1">
        <f t="array" aca="1" ref="N62" ca="1">INDIRECT("R[40]C["&amp;$A$62&amp;"]",FALSE)</f>
        <v>80.383333333333326</v>
      </c>
      <c r="O62" s="124" cm="1">
        <f t="array" aca="1" ref="O62" ca="1">INDIRECT("R[40]C["&amp;$A$62&amp;"]",FALSE)</f>
        <v>62.732867813976327</v>
      </c>
      <c r="P62" s="124" cm="1">
        <f t="array" aca="1" ref="P62" ca="1">INDIRECT("R[40]C["&amp;$A$62&amp;"]",FALSE)</f>
        <v>308.15555555555551</v>
      </c>
      <c r="Q62" s="124"/>
      <c r="R62" s="128">
        <f t="shared" ref="R62" ca="1" si="7">SUM(D62:Q62)</f>
        <v>2178.0693403296109</v>
      </c>
    </row>
    <row r="63" spans="1:18" ht="15.5" x14ac:dyDescent="0.35">
      <c r="A63" s="121">
        <f>A60</f>
        <v>1</v>
      </c>
      <c r="B63" s="125" t="s">
        <v>258</v>
      </c>
      <c r="C63" s="127" cm="1">
        <f t="array" aca="1" ref="C63" ca="1">INDIRECT("R[40]C["&amp;$A$62&amp;"]",FALSE)</f>
        <v>0</v>
      </c>
      <c r="D63" s="124" cm="1">
        <f t="array" aca="1" ref="D63" ca="1">INDIRECT("R[40]C["&amp;$A$62&amp;"]",FALSE)</f>
        <v>32.769230769230774</v>
      </c>
      <c r="E63" s="124" cm="1">
        <f t="array" aca="1" ref="E63" ca="1">INDIRECT("R[40]C["&amp;$A$62&amp;"]",FALSE)</f>
        <v>229.49353587588882</v>
      </c>
      <c r="F63" s="124" cm="1">
        <f t="array" aca="1" ref="F63" ca="1">INDIRECT("R[40]C["&amp;$A$62&amp;"]",FALSE)</f>
        <v>179.50641025641025</v>
      </c>
      <c r="G63" s="124" cm="1">
        <f t="array" aca="1" ref="G63" ca="1">INDIRECT("R[40]C["&amp;$A$62&amp;"]",FALSE)</f>
        <v>160.73333333333332</v>
      </c>
      <c r="H63" s="124" cm="1">
        <f t="array" aca="1" ref="H63" ca="1">INDIRECT("R[40]C["&amp;$A$62&amp;"]",FALSE)</f>
        <v>97.213333333333338</v>
      </c>
      <c r="I63" s="124" cm="1">
        <f t="array" aca="1" ref="I63" ca="1">INDIRECT("R[40]C["&amp;$A$62&amp;"]",FALSE)</f>
        <v>226.77599949362576</v>
      </c>
      <c r="J63" s="124" cm="1">
        <f t="array" aca="1" ref="J63" ca="1">INDIRECT("R[40]C["&amp;$A$62&amp;"]",FALSE)</f>
        <v>150.25333333333333</v>
      </c>
      <c r="K63" s="124" cm="1">
        <f t="array" aca="1" ref="K63" ca="1">INDIRECT("R[40]C["&amp;$A$62&amp;"]",FALSE)</f>
        <v>320.37251267836155</v>
      </c>
      <c r="L63" s="124" cm="1">
        <f t="array" aca="1" ref="L63" ca="1">INDIRECT("R[40]C["&amp;$A$62&amp;"]",FALSE)</f>
        <v>116.66392342239024</v>
      </c>
      <c r="M63" s="124" cm="1">
        <f t="array" aca="1" ref="M63" ca="1">INDIRECT("R[40]C["&amp;$A$62&amp;"]",FALSE)</f>
        <v>213.01597113083858</v>
      </c>
      <c r="N63" s="124" cm="1">
        <f t="array" aca="1" ref="N63" ca="1">INDIRECT("R[40]C["&amp;$A$62&amp;"]",FALSE)</f>
        <v>80.383333333333326</v>
      </c>
      <c r="O63" s="124" cm="1">
        <f t="array" aca="1" ref="O63" ca="1">INDIRECT("R[40]C["&amp;$A$62&amp;"]",FALSE)</f>
        <v>62.732867813976327</v>
      </c>
      <c r="P63" s="124" cm="1">
        <f t="array" aca="1" ref="P63" ca="1">INDIRECT("R[40]C["&amp;$A$62&amp;"]",FALSE)</f>
        <v>308.15555555555551</v>
      </c>
      <c r="Q63" s="124"/>
      <c r="R63" s="128"/>
    </row>
    <row r="64" spans="1:18" ht="15.5" x14ac:dyDescent="0.35">
      <c r="A64" s="121">
        <f>A60</f>
        <v>1</v>
      </c>
      <c r="B64" s="125" t="s">
        <v>353</v>
      </c>
      <c r="C64" s="127" cm="1">
        <f t="array" aca="1" ref="C64" ca="1">INDIRECT("R[40]C["&amp;$A$62&amp;"]",FALSE)</f>
        <v>0</v>
      </c>
      <c r="D64" s="124" cm="1">
        <f t="array" aca="1" ref="D64" ca="1">INDIRECT("R[40]C["&amp;$A$62&amp;"]",FALSE)</f>
        <v>0</v>
      </c>
      <c r="E64" s="124" cm="1">
        <f t="array" aca="1" ref="E64" ca="1">INDIRECT("R[40]C["&amp;$A$62&amp;"]",FALSE)</f>
        <v>29.142857142857142</v>
      </c>
      <c r="F64" s="124" cm="1">
        <f t="array" aca="1" ref="F64" ca="1">INDIRECT("R[40]C["&amp;$A$62&amp;"]",FALSE)</f>
        <v>12</v>
      </c>
      <c r="G64" s="124" cm="1">
        <f t="array" aca="1" ref="G64" ca="1">INDIRECT("R[40]C["&amp;$A$62&amp;"]",FALSE)</f>
        <v>11</v>
      </c>
      <c r="H64" s="124" cm="1">
        <f t="array" aca="1" ref="H64" ca="1">INDIRECT("R[40]C["&amp;$A$62&amp;"]",FALSE)</f>
        <v>5.36</v>
      </c>
      <c r="I64" s="124" cm="1">
        <f t="array" aca="1" ref="I64" ca="1">INDIRECT("R[40]C["&amp;$A$62&amp;"]",FALSE)</f>
        <v>46.23</v>
      </c>
      <c r="J64" s="124" cm="1">
        <f t="array" aca="1" ref="J64" ca="1">INDIRECT("R[40]C["&amp;$A$62&amp;"]",FALSE)</f>
        <v>10.24</v>
      </c>
      <c r="K64" s="124" cm="1">
        <f t="array" aca="1" ref="K64" ca="1">INDIRECT("R[40]C["&amp;$A$62&amp;"]",FALSE)</f>
        <v>22.22</v>
      </c>
      <c r="L64" s="124" cm="1">
        <f t="array" aca="1" ref="L64" ca="1">INDIRECT("R[40]C["&amp;$A$62&amp;"]",FALSE)</f>
        <v>16.666666666666668</v>
      </c>
      <c r="M64" s="124" cm="1">
        <f t="array" aca="1" ref="M64" ca="1">INDIRECT("R[40]C["&amp;$A$62&amp;"]",FALSE)</f>
        <v>42.935565242322554</v>
      </c>
      <c r="N64" s="124" cm="1">
        <f t="array" aca="1" ref="N64" ca="1">INDIRECT("R[40]C["&amp;$A$62&amp;"]",FALSE)</f>
        <v>17.225000000000001</v>
      </c>
      <c r="O64" s="124" cm="1">
        <f t="array" aca="1" ref="O64" ca="1">INDIRECT("R[40]C["&amp;$A$62&amp;"]",FALSE)</f>
        <v>8.6750000000000007</v>
      </c>
      <c r="P64" s="124" cm="1">
        <f t="array" aca="1" ref="P64" ca="1">INDIRECT("R[40]C["&amp;$A$62&amp;"]",FALSE)</f>
        <v>66.033333333333331</v>
      </c>
      <c r="Q64" s="124"/>
      <c r="R64" s="128">
        <f t="shared" ref="R64:R66" ca="1" si="8">SUM(D64:Q64)</f>
        <v>287.72842238517967</v>
      </c>
    </row>
    <row r="65" spans="1:18" ht="15.5" x14ac:dyDescent="0.35">
      <c r="A65" s="121">
        <f>A60</f>
        <v>1</v>
      </c>
      <c r="B65" s="125" t="s">
        <v>117</v>
      </c>
      <c r="C65" s="127" cm="1">
        <f t="array" aca="1" ref="C65" ca="1">INDIRECT("R[40]C["&amp;$A$62&amp;"]",FALSE)</f>
        <v>0</v>
      </c>
      <c r="D65" s="124" cm="1">
        <f t="array" aca="1" ref="D65" ca="1">INDIRECT("R[40]C["&amp;$A$62&amp;"]",FALSE)</f>
        <v>10</v>
      </c>
      <c r="E65" s="124" cm="1">
        <f t="array" aca="1" ref="E65" ca="1">INDIRECT("R[40]C["&amp;$A$62&amp;"]",FALSE)</f>
        <v>79.679487179487182</v>
      </c>
      <c r="F65" s="124" cm="1">
        <f t="array" aca="1" ref="F65" ca="1">INDIRECT("R[40]C["&amp;$A$62&amp;"]",FALSE)</f>
        <v>76.339743589743591</v>
      </c>
      <c r="G65" s="124" cm="1">
        <f t="array" aca="1" ref="G65" ca="1">INDIRECT("R[40]C["&amp;$A$62&amp;"]",FALSE)</f>
        <v>50</v>
      </c>
      <c r="H65" s="124" cm="1">
        <f t="array" aca="1" ref="H65" ca="1">INDIRECT("R[40]C["&amp;$A$62&amp;"]",FALSE)</f>
        <v>91.066666666666677</v>
      </c>
      <c r="I65" s="124" cm="1">
        <f t="array" aca="1" ref="I65" ca="1">INDIRECT("R[40]C["&amp;$A$62&amp;"]",FALSE)</f>
        <v>81.650000000000006</v>
      </c>
      <c r="J65" s="124" cm="1">
        <f t="array" aca="1" ref="J65" ca="1">INDIRECT("R[40]C["&amp;$A$62&amp;"]",FALSE)</f>
        <v>10.24</v>
      </c>
      <c r="K65" s="124" cm="1">
        <f t="array" aca="1" ref="K65" ca="1">INDIRECT("R[40]C["&amp;$A$62&amp;"]",FALSE)</f>
        <v>34.67</v>
      </c>
      <c r="L65" s="124" cm="1">
        <f t="array" aca="1" ref="L65" ca="1">INDIRECT("R[40]C["&amp;$A$62&amp;"]",FALSE)</f>
        <v>16.666666666666668</v>
      </c>
      <c r="M65" s="124" cm="1">
        <f t="array" aca="1" ref="M65" ca="1">INDIRECT("R[40]C["&amp;$A$62&amp;"]",FALSE)</f>
        <v>72.452231908989219</v>
      </c>
      <c r="N65" s="124" cm="1">
        <f t="array" aca="1" ref="N65" ca="1">INDIRECT("R[40]C["&amp;$A$62&amp;"]",FALSE)</f>
        <v>17.225000000000001</v>
      </c>
      <c r="O65" s="124" cm="1">
        <f t="array" aca="1" ref="O65" ca="1">INDIRECT("R[40]C["&amp;$A$62&amp;"]",FALSE)</f>
        <v>8.6750000000000007</v>
      </c>
      <c r="P65" s="124" cm="1">
        <f t="array" aca="1" ref="P65" ca="1">INDIRECT("R[40]C["&amp;$A$62&amp;"]",FALSE)</f>
        <v>66.033333333333331</v>
      </c>
      <c r="Q65" s="124"/>
      <c r="R65" s="128">
        <f t="shared" ca="1" si="8"/>
        <v>614.69812934488664</v>
      </c>
    </row>
    <row r="66" spans="1:18" ht="15.5" x14ac:dyDescent="0.35">
      <c r="A66" s="121">
        <f>A60</f>
        <v>1</v>
      </c>
      <c r="B66" s="125" t="s">
        <v>354</v>
      </c>
      <c r="C66" s="127" cm="1">
        <f t="array" aca="1" ref="C66" ca="1">INDIRECT("R[40]C["&amp;$A$62&amp;"]",FALSE)</f>
        <v>0</v>
      </c>
      <c r="D66" s="124" cm="1">
        <f t="array" aca="1" ref="D66" ca="1">INDIRECT("R[40]C["&amp;$A$62&amp;"]",FALSE)</f>
        <v>2</v>
      </c>
      <c r="E66" s="124" cm="1">
        <f t="array" aca="1" ref="E66" ca="1">INDIRECT("R[40]C["&amp;$A$62&amp;"]",FALSE)</f>
        <v>10</v>
      </c>
      <c r="F66" s="124" cm="1">
        <f t="array" aca="1" ref="F66" ca="1">INDIRECT("R[40]C["&amp;$A$62&amp;"]",FALSE)</f>
        <v>9</v>
      </c>
      <c r="G66" s="124" cm="1">
        <f t="array" aca="1" ref="G66" ca="1">INDIRECT("R[40]C["&amp;$A$62&amp;"]",FALSE)</f>
        <v>7</v>
      </c>
      <c r="H66" s="124" cm="1">
        <f t="array" aca="1" ref="H66" ca="1">INDIRECT("R[40]C["&amp;$A$62&amp;"]",FALSE)</f>
        <v>5</v>
      </c>
      <c r="I66" s="124" cm="1">
        <f t="array" aca="1" ref="I66" ca="1">INDIRECT("R[40]C["&amp;$A$62&amp;"]",FALSE)</f>
        <v>8</v>
      </c>
      <c r="J66" s="124" cm="1">
        <f t="array" aca="1" ref="J66" ca="1">INDIRECT("R[40]C["&amp;$A$62&amp;"]",FALSE)</f>
        <v>5</v>
      </c>
      <c r="K66" s="124" cm="1">
        <f t="array" aca="1" ref="K66" ca="1">INDIRECT("R[40]C["&amp;$A$62&amp;"]",FALSE)</f>
        <v>13</v>
      </c>
      <c r="L66" s="124" cm="1">
        <f t="array" aca="1" ref="L66" ca="1">INDIRECT("R[40]C["&amp;$A$62&amp;"]",FALSE)</f>
        <v>5</v>
      </c>
      <c r="M66" s="124" cm="1">
        <f t="array" aca="1" ref="M66" ca="1">INDIRECT("R[40]C["&amp;$A$62&amp;"]",FALSE)</f>
        <v>10</v>
      </c>
      <c r="N66" s="124" cm="1">
        <f t="array" aca="1" ref="N66" ca="1">INDIRECT("R[40]C["&amp;$A$62&amp;"]",FALSE)</f>
        <v>4</v>
      </c>
      <c r="O66" s="124" cm="1">
        <f t="array" aca="1" ref="O66" ca="1">INDIRECT("R[40]C["&amp;$A$62&amp;"]",FALSE)</f>
        <v>3</v>
      </c>
      <c r="P66" s="124" cm="1">
        <f t="array" aca="1" ref="P66" ca="1">INDIRECT("R[40]C["&amp;$A$62&amp;"]",FALSE)</f>
        <v>14</v>
      </c>
      <c r="Q66" s="124"/>
      <c r="R66" s="128">
        <f t="shared" ca="1" si="8"/>
        <v>95</v>
      </c>
    </row>
    <row r="67" spans="1:18" ht="15.5" x14ac:dyDescent="0.35">
      <c r="A67" s="116"/>
      <c r="B67" s="129" t="s">
        <v>119</v>
      </c>
      <c r="C67" s="134"/>
      <c r="D67" s="132"/>
      <c r="E67" s="132"/>
      <c r="F67" s="132"/>
      <c r="G67" s="132"/>
      <c r="H67" s="132"/>
      <c r="I67" s="132"/>
      <c r="J67" s="132"/>
      <c r="K67" s="132"/>
      <c r="L67" s="132"/>
      <c r="M67" s="132"/>
      <c r="N67" s="132"/>
      <c r="O67" s="132"/>
      <c r="P67" s="132"/>
      <c r="Q67" s="132"/>
      <c r="R67" s="130"/>
    </row>
    <row r="68" spans="1:18" ht="15.5" x14ac:dyDescent="0.35">
      <c r="A68" s="121">
        <f>A59</f>
        <v>1</v>
      </c>
      <c r="B68" s="125" t="s">
        <v>355</v>
      </c>
      <c r="C68" s="127" cm="1">
        <f t="array" aca="1" ref="C68" ca="1">INDIRECT("R[40]C["&amp;$A$68&amp;"]",FALSE)</f>
        <v>0</v>
      </c>
      <c r="D68" s="124" cm="1">
        <f t="array" aca="1" ref="D68" ca="1">INDIRECT("R[40]C["&amp;$A$68&amp;"]",FALSE)</f>
        <v>0</v>
      </c>
      <c r="E68" s="124" cm="1">
        <f t="array" aca="1" ref="E68" ca="1">INDIRECT("R[40]C["&amp;$A$68&amp;"]",FALSE)</f>
        <v>0</v>
      </c>
      <c r="F68" s="124" cm="1">
        <f t="array" aca="1" ref="F68" ca="1">INDIRECT("R[40]C["&amp;$A$68&amp;"]",FALSE)</f>
        <v>0</v>
      </c>
      <c r="G68" s="124" cm="1">
        <f t="array" aca="1" ref="G68" ca="1">INDIRECT("R[40]C["&amp;$A$68&amp;"]",FALSE)</f>
        <v>0</v>
      </c>
      <c r="H68" s="124" cm="1">
        <f t="array" aca="1" ref="H68" ca="1">INDIRECT("R[40]C["&amp;$A$68&amp;"]",FALSE)</f>
        <v>0</v>
      </c>
      <c r="I68" s="124" cm="1">
        <f t="array" aca="1" ref="I68" ca="1">INDIRECT("R[40]C["&amp;$A$68&amp;"]",FALSE)</f>
        <v>1</v>
      </c>
      <c r="J68" s="124" cm="1">
        <f t="array" aca="1" ref="J68" ca="1">INDIRECT("R[40]C["&amp;$A$68&amp;"]",FALSE)</f>
        <v>2</v>
      </c>
      <c r="K68" s="124" cm="1">
        <f t="array" aca="1" ref="K68" ca="1">INDIRECT("R[40]C["&amp;$A$68&amp;"]",FALSE)</f>
        <v>2</v>
      </c>
      <c r="L68" s="124" cm="1">
        <f t="array" aca="1" ref="L68" ca="1">INDIRECT("R[40]C["&amp;$A$68&amp;"]",FALSE)</f>
        <v>5</v>
      </c>
      <c r="M68" s="124" cm="1">
        <f t="array" aca="1" ref="M68" ca="1">INDIRECT("R[40]C["&amp;$A$68&amp;"]",FALSE)</f>
        <v>2</v>
      </c>
      <c r="N68" s="124" cm="1">
        <f t="array" aca="1" ref="N68" ca="1">INDIRECT("R[40]C["&amp;$A$68&amp;"]",FALSE)</f>
        <v>7</v>
      </c>
      <c r="O68" s="124" cm="1">
        <f t="array" aca="1" ref="O68" ca="1">INDIRECT("R[40]C["&amp;$A$68&amp;"]",FALSE)</f>
        <v>4</v>
      </c>
      <c r="P68" s="124" cm="1">
        <f t="array" aca="1" ref="P68" ca="1">INDIRECT("R[40]C["&amp;$A$68&amp;"]",FALSE)</f>
        <v>8</v>
      </c>
      <c r="Q68" s="124"/>
      <c r="R68" s="128">
        <f t="shared" ref="R68" ca="1" si="9">SUM(D68:Q68)</f>
        <v>31</v>
      </c>
    </row>
    <row r="69" spans="1:18" ht="15.5" x14ac:dyDescent="0.35">
      <c r="A69" s="116"/>
      <c r="B69" s="129" t="s">
        <v>356</v>
      </c>
      <c r="C69" s="134"/>
      <c r="D69" s="131"/>
      <c r="E69" s="131"/>
      <c r="F69" s="131"/>
      <c r="G69" s="131"/>
      <c r="H69" s="131"/>
      <c r="I69" s="131"/>
      <c r="J69" s="131"/>
      <c r="K69" s="131"/>
      <c r="L69" s="131"/>
      <c r="M69" s="131"/>
      <c r="N69" s="131"/>
      <c r="O69" s="131"/>
      <c r="P69" s="131"/>
      <c r="Q69" s="131"/>
      <c r="R69" s="130"/>
    </row>
    <row r="70" spans="1:18" ht="15.5" x14ac:dyDescent="0.35">
      <c r="A70" s="121">
        <f>A59</f>
        <v>1</v>
      </c>
      <c r="B70" s="125" t="s">
        <v>357</v>
      </c>
      <c r="C70" s="127" cm="1">
        <f t="array" aca="1" ref="C70" ca="1">INDIRECT("R[40]C["&amp;$A$70&amp;"]",FALSE)</f>
        <v>0</v>
      </c>
      <c r="D70" s="124" cm="1">
        <f t="array" aca="1" ref="D70" ca="1">INDIRECT("R[40]C["&amp;$A$70&amp;"]",FALSE)</f>
        <v>2</v>
      </c>
      <c r="E70" s="124" cm="1">
        <f t="array" aca="1" ref="E70" ca="1">INDIRECT("R[40]C["&amp;$A$70&amp;"]",FALSE)</f>
        <v>10</v>
      </c>
      <c r="F70" s="124" cm="1">
        <f t="array" aca="1" ref="F70" ca="1">INDIRECT("R[40]C["&amp;$A$70&amp;"]",FALSE)</f>
        <v>6</v>
      </c>
      <c r="G70" s="124" cm="1">
        <f t="array" aca="1" ref="G70" ca="1">INDIRECT("R[40]C["&amp;$A$70&amp;"]",FALSE)</f>
        <v>7</v>
      </c>
      <c r="H70" s="124" cm="1">
        <f t="array" aca="1" ref="H70" ca="1">INDIRECT("R[40]C["&amp;$A$70&amp;"]",FALSE)</f>
        <v>5</v>
      </c>
      <c r="I70" s="124" cm="1">
        <f t="array" aca="1" ref="I70" ca="1">INDIRECT("R[40]C["&amp;$A$70&amp;"]",FALSE)</f>
        <v>8</v>
      </c>
      <c r="J70" s="124" cm="1">
        <f t="array" aca="1" ref="J70" ca="1">INDIRECT("R[40]C["&amp;$A$70&amp;"]",FALSE)</f>
        <v>5</v>
      </c>
      <c r="K70" s="124" cm="1">
        <f t="array" aca="1" ref="K70" ca="1">INDIRECT("R[40]C["&amp;$A$70&amp;"]",FALSE)</f>
        <v>8</v>
      </c>
      <c r="L70" s="124" cm="1">
        <f t="array" aca="1" ref="L70" ca="1">INDIRECT("R[40]C["&amp;$A$70&amp;"]",FALSE)</f>
        <v>3</v>
      </c>
      <c r="M70" s="124" cm="1">
        <f t="array" aca="1" ref="M70" ca="1">INDIRECT("R[40]C["&amp;$A$70&amp;"]",FALSE)</f>
        <v>10</v>
      </c>
      <c r="N70" s="124" cm="1">
        <f t="array" aca="1" ref="N70" ca="1">INDIRECT("R[40]C["&amp;$A$70&amp;"]",FALSE)</f>
        <v>6</v>
      </c>
      <c r="O70" s="124" cm="1">
        <f t="array" aca="1" ref="O70" ca="1">INDIRECT("R[40]C["&amp;$A$70&amp;"]",FALSE)</f>
        <v>5</v>
      </c>
      <c r="P70" s="124" cm="1">
        <f t="array" aca="1" ref="P70" ca="1">INDIRECT("R[40]C["&amp;$A$70&amp;"]",FALSE)</f>
        <v>2</v>
      </c>
      <c r="Q70" s="124"/>
      <c r="R70" s="128">
        <f t="shared" ref="R70:R71" ca="1" si="10">SUM(D70:Q70)</f>
        <v>77</v>
      </c>
    </row>
    <row r="71" spans="1:18" ht="15.5" x14ac:dyDescent="0.35">
      <c r="A71" s="121">
        <f>A59</f>
        <v>1</v>
      </c>
      <c r="B71" s="125" t="s">
        <v>358</v>
      </c>
      <c r="C71" s="127" cm="1">
        <f t="array" aca="1" ref="C71" ca="1">INDIRECT("R[40]C["&amp;$A$70&amp;"]",FALSE)</f>
        <v>0</v>
      </c>
      <c r="D71" s="124" cm="1">
        <f t="array" aca="1" ref="D71" ca="1">INDIRECT("R[40]C["&amp;$A$70&amp;"]",FALSE)</f>
        <v>0</v>
      </c>
      <c r="E71" s="124" cm="1">
        <f t="array" aca="1" ref="E71" ca="1">INDIRECT("R[40]C["&amp;$A$70&amp;"]",FALSE)</f>
        <v>0</v>
      </c>
      <c r="F71" s="124" cm="1">
        <f t="array" aca="1" ref="F71" ca="1">INDIRECT("R[40]C["&amp;$A$70&amp;"]",FALSE)</f>
        <v>0</v>
      </c>
      <c r="G71" s="124" cm="1">
        <f t="array" aca="1" ref="G71" ca="1">INDIRECT("R[40]C["&amp;$A$70&amp;"]",FALSE)</f>
        <v>0</v>
      </c>
      <c r="H71" s="124" cm="1">
        <f t="array" aca="1" ref="H71" ca="1">INDIRECT("R[40]C["&amp;$A$70&amp;"]",FALSE)</f>
        <v>0</v>
      </c>
      <c r="I71" s="124" cm="1">
        <f t="array" aca="1" ref="I71" ca="1">INDIRECT("R[40]C["&amp;$A$70&amp;"]",FALSE)</f>
        <v>1</v>
      </c>
      <c r="J71" s="124" cm="1">
        <f t="array" aca="1" ref="J71" ca="1">INDIRECT("R[40]C["&amp;$A$70&amp;"]",FALSE)</f>
        <v>2</v>
      </c>
      <c r="K71" s="124" cm="1">
        <f t="array" aca="1" ref="K71" ca="1">INDIRECT("R[40]C["&amp;$A$70&amp;"]",FALSE)</f>
        <v>2</v>
      </c>
      <c r="L71" s="124" cm="1">
        <f t="array" aca="1" ref="L71" ca="1">INDIRECT("R[40]C["&amp;$A$70&amp;"]",FALSE)</f>
        <v>5</v>
      </c>
      <c r="M71" s="124" cm="1">
        <f t="array" aca="1" ref="M71" ca="1">INDIRECT("R[40]C["&amp;$A$70&amp;"]",FALSE)</f>
        <v>2</v>
      </c>
      <c r="N71" s="124" cm="1">
        <f t="array" aca="1" ref="N71" ca="1">INDIRECT("R[40]C["&amp;$A$70&amp;"]",FALSE)</f>
        <v>7</v>
      </c>
      <c r="O71" s="124" cm="1">
        <f t="array" aca="1" ref="O71" ca="1">INDIRECT("R[40]C["&amp;$A$70&amp;"]",FALSE)</f>
        <v>4</v>
      </c>
      <c r="P71" s="124" cm="1">
        <f t="array" aca="1" ref="P71" ca="1">INDIRECT("R[40]C["&amp;$A$70&amp;"]",FALSE)</f>
        <v>8</v>
      </c>
      <c r="Q71" s="124"/>
      <c r="R71" s="128">
        <f t="shared" ca="1" si="10"/>
        <v>31</v>
      </c>
    </row>
    <row r="72" spans="1:18" ht="15.5" x14ac:dyDescent="0.35">
      <c r="A72" s="116"/>
      <c r="B72" s="129"/>
      <c r="C72" s="133"/>
      <c r="D72" s="131"/>
      <c r="E72" s="131"/>
      <c r="F72" s="131"/>
      <c r="G72" s="131"/>
      <c r="H72" s="131"/>
      <c r="I72" s="131"/>
      <c r="J72" s="131"/>
      <c r="K72" s="131"/>
      <c r="L72" s="131"/>
      <c r="M72" s="131"/>
      <c r="N72" s="131"/>
      <c r="O72" s="131"/>
      <c r="P72" s="131"/>
      <c r="Q72" s="131"/>
      <c r="R72" s="130"/>
    </row>
    <row r="73" spans="1:18" ht="15.5" x14ac:dyDescent="0.35">
      <c r="A73" s="116"/>
      <c r="B73" s="116"/>
      <c r="C73" s="116"/>
      <c r="D73" s="182"/>
      <c r="E73" s="182"/>
      <c r="F73" s="182"/>
      <c r="G73" s="182"/>
      <c r="H73" s="182"/>
      <c r="I73" s="182"/>
      <c r="J73" s="182"/>
      <c r="K73" s="182"/>
      <c r="L73" s="182"/>
      <c r="M73" s="182"/>
      <c r="N73" s="182"/>
      <c r="O73" s="182"/>
      <c r="P73" s="182"/>
      <c r="Q73" s="182"/>
      <c r="R73" s="115"/>
    </row>
    <row r="74" spans="1:18" ht="15.5" x14ac:dyDescent="0.35">
      <c r="A74" s="116"/>
      <c r="B74" s="116"/>
      <c r="C74" s="116"/>
      <c r="D74" s="182"/>
      <c r="E74" s="182"/>
      <c r="F74" s="182"/>
      <c r="G74" s="182"/>
      <c r="H74" s="182"/>
      <c r="I74" s="182"/>
      <c r="J74" s="182"/>
      <c r="K74" s="182"/>
      <c r="L74" s="182"/>
      <c r="M74" s="182"/>
      <c r="N74" s="182"/>
      <c r="O74" s="182"/>
      <c r="P74" s="182"/>
      <c r="Q74" s="182"/>
      <c r="R74" s="115"/>
    </row>
    <row r="75" spans="1:18" ht="15.5" x14ac:dyDescent="0.35">
      <c r="A75" s="116"/>
      <c r="B75" s="116" t="s">
        <v>235</v>
      </c>
      <c r="C75" s="115">
        <f ca="1">SUM(C46:C48)</f>
        <v>0</v>
      </c>
      <c r="D75" s="183">
        <f ca="1">SUM(D46:D48)</f>
        <v>42.769230769230774</v>
      </c>
      <c r="E75" s="183">
        <f t="shared" ref="E75:Q75" ca="1" si="11">SUM(E46:E48)</f>
        <v>338.31588019823317</v>
      </c>
      <c r="F75" s="183">
        <f t="shared" ca="1" si="11"/>
        <v>289.84615384615381</v>
      </c>
      <c r="G75" s="183">
        <f t="shared" ca="1" si="11"/>
        <v>243.73333333333332</v>
      </c>
      <c r="H75" s="183">
        <f t="shared" ca="1" si="11"/>
        <v>193.64</v>
      </c>
      <c r="I75" s="183">
        <f t="shared" ca="1" si="11"/>
        <v>408.41126999157984</v>
      </c>
      <c r="J75" s="183">
        <f t="shared" ca="1" si="11"/>
        <v>219.61275259631313</v>
      </c>
      <c r="K75" s="183">
        <f t="shared" ca="1" si="11"/>
        <v>381.94193194134141</v>
      </c>
      <c r="L75" s="183">
        <f t="shared" ca="1" si="11"/>
        <v>319.20644440645248</v>
      </c>
      <c r="M75" s="183">
        <f t="shared" ca="1" si="11"/>
        <v>356.16679763270048</v>
      </c>
      <c r="N75" s="183">
        <f t="shared" ca="1" si="11"/>
        <v>398.16021983415686</v>
      </c>
      <c r="O75" s="183">
        <f t="shared" ca="1" si="11"/>
        <v>274.52731225842081</v>
      </c>
      <c r="P75" s="183">
        <f t="shared" ca="1" si="11"/>
        <v>301.33333333333331</v>
      </c>
      <c r="Q75" s="183">
        <f t="shared" si="11"/>
        <v>0</v>
      </c>
      <c r="R75" s="115">
        <f ca="1">SUM(R46:R48)</f>
        <v>3767.6646601412494</v>
      </c>
    </row>
    <row r="76" spans="1:18" x14ac:dyDescent="0.35">
      <c r="D76" s="203"/>
      <c r="E76" s="203"/>
      <c r="F76" s="203"/>
      <c r="G76" s="203"/>
      <c r="H76" s="203"/>
      <c r="I76" s="203"/>
      <c r="J76" s="203"/>
      <c r="K76" s="203"/>
      <c r="L76" s="203"/>
      <c r="M76" s="203"/>
      <c r="N76" s="203"/>
      <c r="O76" s="203"/>
      <c r="P76" s="203"/>
      <c r="Q76" s="203"/>
    </row>
    <row r="77" spans="1:18" x14ac:dyDescent="0.35">
      <c r="D77" s="203"/>
      <c r="E77" s="203"/>
      <c r="F77" s="203"/>
      <c r="G77" s="203"/>
      <c r="H77" s="203"/>
      <c r="I77" s="203"/>
      <c r="J77" s="203"/>
      <c r="K77" s="203"/>
      <c r="L77" s="203"/>
      <c r="M77" s="203"/>
      <c r="N77" s="203"/>
      <c r="O77" s="203"/>
      <c r="P77" s="203"/>
      <c r="Q77" s="203"/>
      <c r="R77" s="22"/>
    </row>
    <row r="78" spans="1:18" x14ac:dyDescent="0.35">
      <c r="D78" s="203"/>
      <c r="E78" s="203"/>
      <c r="F78" s="203"/>
      <c r="G78" s="203"/>
      <c r="H78" s="203"/>
      <c r="I78" s="203"/>
      <c r="J78" s="203"/>
      <c r="K78" s="203"/>
      <c r="L78" s="203"/>
      <c r="M78" s="203"/>
      <c r="N78" s="203"/>
      <c r="O78" s="203"/>
      <c r="P78" s="203"/>
      <c r="Q78" s="203"/>
      <c r="R78" s="22"/>
    </row>
    <row r="79" spans="1:18" x14ac:dyDescent="0.35">
      <c r="D79" s="203"/>
      <c r="E79" s="203"/>
      <c r="F79" s="203"/>
      <c r="G79" s="203"/>
      <c r="H79" s="203"/>
      <c r="I79" s="203"/>
      <c r="J79" s="203"/>
      <c r="K79" s="203"/>
      <c r="L79" s="203"/>
      <c r="M79" s="203"/>
      <c r="N79" s="203"/>
      <c r="O79" s="203"/>
      <c r="P79" s="203"/>
      <c r="Q79" s="203"/>
      <c r="R79" s="22"/>
    </row>
    <row r="80" spans="1:18" x14ac:dyDescent="0.35">
      <c r="B80" s="28" t="s">
        <v>276</v>
      </c>
      <c r="C80" s="28"/>
      <c r="D80" s="197"/>
      <c r="E80" s="197"/>
      <c r="F80" s="197"/>
      <c r="G80" s="197"/>
      <c r="H80" s="197"/>
      <c r="I80" s="197"/>
      <c r="J80" s="197"/>
      <c r="K80" s="203"/>
      <c r="L80" s="203"/>
      <c r="M80" s="203"/>
      <c r="N80" s="203"/>
      <c r="O80" s="203"/>
      <c r="P80" s="203"/>
      <c r="Q80" s="203"/>
      <c r="R80" s="22"/>
    </row>
    <row r="81" spans="1:26" x14ac:dyDescent="0.35">
      <c r="B81" s="7" t="s">
        <v>170</v>
      </c>
      <c r="C81" s="7"/>
      <c r="D81" s="203"/>
      <c r="E81" s="203"/>
      <c r="F81" s="203"/>
      <c r="G81" s="203"/>
      <c r="H81" s="203"/>
      <c r="I81" s="203"/>
      <c r="J81" s="203"/>
      <c r="K81" s="203"/>
      <c r="L81" s="203"/>
      <c r="M81" s="203"/>
      <c r="N81" s="203"/>
      <c r="O81" s="203"/>
      <c r="P81" s="203"/>
      <c r="Q81" s="203"/>
      <c r="R81" s="22"/>
    </row>
    <row r="82" spans="1:26" ht="15.5" x14ac:dyDescent="0.35">
      <c r="B82" s="105" t="s">
        <v>110</v>
      </c>
      <c r="C82" s="105"/>
      <c r="D82" s="107">
        <f>D83</f>
        <v>0</v>
      </c>
      <c r="E82" s="108">
        <f>SUM($E83:E83)</f>
        <v>513.23076923076928</v>
      </c>
      <c r="F82" s="108">
        <f>SUM($E83:F83)</f>
        <v>4802.5843568196515</v>
      </c>
      <c r="G82" s="108">
        <f>SUM($E83:G83)</f>
        <v>8587.7382029734981</v>
      </c>
      <c r="H82" s="108">
        <f>SUM($E83:H83)</f>
        <v>12061.738202973498</v>
      </c>
      <c r="I82" s="108">
        <f>SUM($E83:I83)</f>
        <v>14966.338202973498</v>
      </c>
      <c r="J82" s="108">
        <f>SUM($E83:J83)</f>
        <v>21092.507252847197</v>
      </c>
      <c r="K82" s="108">
        <f>SUM($E83:K83)</f>
        <v>24386.698541791895</v>
      </c>
      <c r="L82" s="109">
        <f>SUM($E83:L83)</f>
        <v>30115.827520912018</v>
      </c>
      <c r="M82" s="108">
        <f>SUM($E83:M83)</f>
        <v>35861.543520228166</v>
      </c>
      <c r="N82" s="108">
        <f>SUM($E83:N83)</f>
        <v>42272.545877616772</v>
      </c>
      <c r="O82" s="108">
        <f>SUM($E83:O83)</f>
        <v>49439.429834631599</v>
      </c>
      <c r="P82" s="108">
        <f>SUM($E83:P83)</f>
        <v>54380.921455283176</v>
      </c>
      <c r="Q82" s="108">
        <f>SUM($E83:Q83)</f>
        <v>59804.921455283176</v>
      </c>
      <c r="R82" s="113">
        <f>Q82</f>
        <v>59804.921455283176</v>
      </c>
    </row>
    <row r="83" spans="1:26" ht="15.5" x14ac:dyDescent="0.35">
      <c r="B83" s="105" t="s">
        <v>111</v>
      </c>
      <c r="C83" s="105"/>
      <c r="D83" s="107">
        <f>SUMPRODUCT(D86:D88,$B$86:$B$88)</f>
        <v>0</v>
      </c>
      <c r="E83" s="108">
        <f>SUMPRODUCT(E86:E88,$B$86:$B$88)</f>
        <v>513.23076923076928</v>
      </c>
      <c r="F83" s="108">
        <f t="shared" ref="F83:Q83" si="12">SUMPRODUCT(F86:F88,$B$86:$B$88)</f>
        <v>4289.353587588882</v>
      </c>
      <c r="G83" s="108">
        <f t="shared" si="12"/>
        <v>3785.1538461538457</v>
      </c>
      <c r="H83" s="108">
        <f t="shared" si="12"/>
        <v>3474</v>
      </c>
      <c r="I83" s="108">
        <f>SUMPRODUCT(I86:I88,$B$86:$B$88)</f>
        <v>2904.6</v>
      </c>
      <c r="J83" s="108">
        <f>SUMPRODUCT(J86:J88,$B$86:$B$88)</f>
        <v>6126.169049873698</v>
      </c>
      <c r="K83" s="108">
        <f t="shared" si="12"/>
        <v>3294.1912889446971</v>
      </c>
      <c r="L83" s="109">
        <f t="shared" si="12"/>
        <v>5729.1289791201216</v>
      </c>
      <c r="M83" s="108">
        <f t="shared" si="12"/>
        <v>5745.7159993161449</v>
      </c>
      <c r="N83" s="108">
        <f t="shared" si="12"/>
        <v>6411.0023573886083</v>
      </c>
      <c r="O83" s="108">
        <f>SUMPRODUCT(O86:O88,$B$86:$B$88)</f>
        <v>7166.8839570148239</v>
      </c>
      <c r="P83" s="108">
        <f t="shared" si="12"/>
        <v>4941.4916206515745</v>
      </c>
      <c r="Q83" s="108">
        <f t="shared" si="12"/>
        <v>5424</v>
      </c>
      <c r="R83" s="113">
        <f>SUM(D83:Q83)</f>
        <v>59804.921455283176</v>
      </c>
    </row>
    <row r="84" spans="1:26" ht="15.5" x14ac:dyDescent="0.35">
      <c r="B84" s="105" t="s">
        <v>236</v>
      </c>
      <c r="C84" s="105"/>
      <c r="D84" s="108">
        <f>'EC-known'!D84*$R$1+'WC-known'!D84*$R$2+'FIX-EX'!D84*$R$3+'FLOAT-EX'!D84*$R$4</f>
        <v>0</v>
      </c>
      <c r="E84" s="108">
        <f>'EC-known'!E84*$R$1+'WC-known'!E84*$R$2+'FIX-EX'!E84*$R$3+'FLOAT-EX'!E84*$R$4</f>
        <v>2</v>
      </c>
      <c r="F84" s="108">
        <f>'EC-known'!F84*$R$1+'WC-known'!F84*$R$2+'FIX-EX'!F84*$R$3+'FLOAT-EX'!F84*$R$4</f>
        <v>6</v>
      </c>
      <c r="G84" s="108">
        <f>'EC-known'!G84*$R$1+'WC-known'!G84*$R$2+'FIX-EX'!G84*$R$3+'FLOAT-EX'!G84*$R$4</f>
        <v>5</v>
      </c>
      <c r="H84" s="108">
        <f>'EC-known'!H84*$R$1+'WC-known'!H84*$R$2+'FIX-EX'!H84*$R$3+'FLOAT-EX'!H84*$R$4</f>
        <v>6</v>
      </c>
      <c r="I84" s="108">
        <f>'EC-known'!I84*$R$1+'WC-known'!I84*$R$2+'FIX-EX'!I84*$R$3+'FLOAT-EX'!I84*$R$4</f>
        <v>3</v>
      </c>
      <c r="J84" s="108">
        <f>'EC-known'!J84*$R$1+'WC-known'!J84*$R$2+'FIX-EX'!J84*$R$3+'FLOAT-EX'!J84*$R$4</f>
        <v>8</v>
      </c>
      <c r="K84" s="108">
        <f>'EC-known'!K84*$R$1+'WC-known'!K84*$R$2+'FIX-EX'!K84*$R$3+'FLOAT-EX'!K84*$R$4</f>
        <v>5</v>
      </c>
      <c r="L84" s="108">
        <f>'EC-known'!L84*$R$1+'WC-known'!L84*$R$2+'FIX-EX'!L84*$R$3+'FLOAT-EX'!L84*$R$4</f>
        <v>8</v>
      </c>
      <c r="M84" s="108">
        <f>'EC-known'!M84*$R$1+'WC-known'!M84*$R$2+'FIX-EX'!M84*$R$3+'FLOAT-EX'!M84*$R$4</f>
        <v>7</v>
      </c>
      <c r="N84" s="108">
        <f>'EC-known'!N84*$R$1+'WC-known'!N84*$R$2+'FIX-EX'!N84*$R$3+'FLOAT-EX'!N84*$R$4</f>
        <v>7</v>
      </c>
      <c r="O84" s="108">
        <f>'EC-known'!O84*$R$1+'WC-known'!O84*$R$2+'FIX-EX'!O84*$R$3+'FLOAT-EX'!O84*$R$4</f>
        <v>7</v>
      </c>
      <c r="P84" s="108">
        <f>'EC-known'!P84*$R$1+'WC-known'!P84*$R$2+'FIX-EX'!P84*$R$3+'FLOAT-EX'!P84*$R$4</f>
        <v>5</v>
      </c>
      <c r="Q84" s="108">
        <f>'EC-known'!Q84*$R$1+'WC-known'!Q84*$R$2+'FIX-EX'!Q84*$R$3+'FLOAT-EX'!Q84*$R$4</f>
        <v>5</v>
      </c>
      <c r="R84" s="113">
        <f>SUM(D84:Q84)</f>
        <v>74</v>
      </c>
    </row>
    <row r="85" spans="1:26" ht="15.5" x14ac:dyDescent="0.35">
      <c r="B85" s="135" t="s">
        <v>275</v>
      </c>
      <c r="C85" s="152">
        <v>0</v>
      </c>
      <c r="D85" s="153">
        <v>0</v>
      </c>
      <c r="E85" s="154">
        <f>SUM(E86:E88)</f>
        <v>42.769230769230774</v>
      </c>
      <c r="F85" s="154">
        <f t="shared" ref="F85:Q85" si="13">SUM(F86:F88)</f>
        <v>338.31588019823317</v>
      </c>
      <c r="G85" s="154">
        <f t="shared" si="13"/>
        <v>289.84615384615381</v>
      </c>
      <c r="H85" s="154">
        <f t="shared" si="13"/>
        <v>243.73333333333332</v>
      </c>
      <c r="I85" s="154">
        <f t="shared" si="13"/>
        <v>193.64</v>
      </c>
      <c r="J85" s="154">
        <f t="shared" si="13"/>
        <v>408.41126999157984</v>
      </c>
      <c r="K85" s="154">
        <f t="shared" si="13"/>
        <v>219.61275259631313</v>
      </c>
      <c r="L85" s="154">
        <f t="shared" si="13"/>
        <v>381.94193194134141</v>
      </c>
      <c r="M85" s="154">
        <f t="shared" si="13"/>
        <v>319.20644440645248</v>
      </c>
      <c r="N85" s="154">
        <f t="shared" si="13"/>
        <v>356.16679763270048</v>
      </c>
      <c r="O85" s="154">
        <f t="shared" si="13"/>
        <v>398.16021983415686</v>
      </c>
      <c r="P85" s="154">
        <f t="shared" si="13"/>
        <v>274.52731225842081</v>
      </c>
      <c r="Q85" s="154">
        <f t="shared" si="13"/>
        <v>301.33333333333331</v>
      </c>
      <c r="R85" s="130">
        <f>SUM(E85:Q85)</f>
        <v>3767.6646601412499</v>
      </c>
    </row>
    <row r="86" spans="1:26" ht="15.5" x14ac:dyDescent="0.35">
      <c r="A86" s="29"/>
      <c r="B86" s="111">
        <f>Assumptions!F16</f>
        <v>12</v>
      </c>
      <c r="C86" s="111"/>
      <c r="D86" s="108">
        <f>'EC-known'!D86*$R$1+'WC-known'!D86*$R$2+'FIX-EX'!D86*$R$3+'FLOAT-EX'!D86*$R$4</f>
        <v>0</v>
      </c>
      <c r="E86" s="108">
        <f>'EC-known'!E86*$R$1+'WC-known'!E86*$R$2+'FIX-EX'!E86*$R$3+'FLOAT-EX'!E86*$R$4</f>
        <v>42.769230769230774</v>
      </c>
      <c r="F86" s="108">
        <f>'EC-known'!F86*$R$1+'WC-known'!F86*$R$2+'FIX-EX'!F86*$R$3+'FLOAT-EX'!F86*$R$4</f>
        <v>261.79487179487182</v>
      </c>
      <c r="G86" s="108">
        <f>'EC-known'!G86*$R$1+'WC-known'!G86*$R$2+'FIX-EX'!G86*$R$3+'FLOAT-EX'!G86*$R$4</f>
        <v>187.5128205128205</v>
      </c>
      <c r="H86" s="108">
        <f>'EC-known'!H86*$R$1+'WC-known'!H86*$R$2+'FIX-EX'!H86*$R$3+'FLOAT-EX'!H86*$R$4</f>
        <v>60.666666666666664</v>
      </c>
      <c r="I86" s="108">
        <f>'EC-known'!I86*$R$1+'WC-known'!I86*$R$2+'FIX-EX'!I86*$R$3+'FLOAT-EX'!I86*$R$4</f>
        <v>0</v>
      </c>
      <c r="J86" s="108">
        <f>'EC-known'!J86*$R$1+'WC-known'!J86*$R$2+'FIX-EX'!J86*$R$3+'FLOAT-EX'!J86*$R$4</f>
        <v>0</v>
      </c>
      <c r="K86" s="108">
        <f>'EC-known'!K86*$R$1+'WC-known'!K86*$R$2+'FIX-EX'!K86*$R$3+'FLOAT-EX'!K86*$R$4</f>
        <v>0</v>
      </c>
      <c r="L86" s="108">
        <f>'EC-known'!L86*$R$1+'WC-known'!L86*$R$2+'FIX-EX'!L86*$R$3+'FLOAT-EX'!L86*$R$4</f>
        <v>0</v>
      </c>
      <c r="M86" s="108">
        <f>'EC-known'!M86*$R$1+'WC-known'!M86*$R$2+'FIX-EX'!M86*$R$3+'FLOAT-EX'!M86*$R$4</f>
        <v>0</v>
      </c>
      <c r="N86" s="108">
        <f>'EC-known'!N86*$R$1+'WC-known'!N86*$R$2+'FIX-EX'!N86*$R$3+'FLOAT-EX'!N86*$R$4</f>
        <v>0</v>
      </c>
      <c r="O86" s="108">
        <f>'EC-known'!O86*$R$1+'WC-known'!O86*$R$2+'FIX-EX'!O86*$R$3+'FLOAT-EX'!O86*$R$4</f>
        <v>0</v>
      </c>
      <c r="P86" s="108">
        <f>'EC-known'!P86*$R$1+'WC-known'!P86*$R$2+'FIX-EX'!P86*$R$3+'FLOAT-EX'!P86*$R$4</f>
        <v>0</v>
      </c>
      <c r="Q86" s="108">
        <f>'EC-known'!Q86*$R$1+'WC-known'!Q86*$R$2+'FIX-EX'!Q86*$R$3+'FLOAT-EX'!Q86*$R$4</f>
        <v>0</v>
      </c>
      <c r="R86" s="113">
        <f>SUM(D86:Q86)</f>
        <v>552.74358974358972</v>
      </c>
      <c r="S86" s="44"/>
      <c r="T86" s="30"/>
      <c r="U86" s="30"/>
      <c r="V86" s="30"/>
      <c r="W86" s="30"/>
      <c r="X86" s="30"/>
      <c r="Y86" s="30"/>
      <c r="Z86" s="30"/>
    </row>
    <row r="87" spans="1:26" ht="15.5" x14ac:dyDescent="0.35">
      <c r="B87" s="111">
        <f>Assumptions!F17</f>
        <v>15</v>
      </c>
      <c r="C87" s="111"/>
      <c r="D87" s="108">
        <f>'EC-known'!D87*$R$1+'WC-known'!D87*$R$2+'FIX-EX'!D87*$R$3+'FLOAT-EX'!D87*$R$4</f>
        <v>0</v>
      </c>
      <c r="E87" s="108">
        <f>'EC-known'!E87*$R$1+'WC-known'!E87*$R$2+'FIX-EX'!E87*$R$3+'FLOAT-EX'!E87*$R$4</f>
        <v>0</v>
      </c>
      <c r="F87" s="108">
        <f>'EC-known'!F87*$R$1+'WC-known'!F87*$R$2+'FIX-EX'!F87*$R$3+'FLOAT-EX'!F87*$R$4</f>
        <v>76.52100840336135</v>
      </c>
      <c r="G87" s="108">
        <f>'EC-known'!G87*$R$1+'WC-known'!G87*$R$2+'FIX-EX'!G87*$R$3+'FLOAT-EX'!G87*$R$4</f>
        <v>102.33333333333334</v>
      </c>
      <c r="H87" s="108">
        <f>'EC-known'!H87*$R$1+'WC-known'!H87*$R$2+'FIX-EX'!H87*$R$3+'FLOAT-EX'!H87*$R$4</f>
        <v>183.06666666666666</v>
      </c>
      <c r="I87" s="108">
        <f>'EC-known'!I87*$R$1+'WC-known'!I87*$R$2+'FIX-EX'!I87*$R$3+'FLOAT-EX'!I87*$R$4</f>
        <v>193.64</v>
      </c>
      <c r="J87" s="108">
        <f>'EC-known'!J87*$R$1+'WC-known'!J87*$R$2+'FIX-EX'!J87*$R$3+'FLOAT-EX'!J87*$R$4</f>
        <v>408.41126999157984</v>
      </c>
      <c r="K87" s="108">
        <f>'EC-known'!K87*$R$1+'WC-known'!K87*$R$2+'FIX-EX'!K87*$R$3+'FLOAT-EX'!K87*$R$4</f>
        <v>219.61275259631313</v>
      </c>
      <c r="L87" s="108">
        <f>'EC-known'!L87*$R$1+'WC-known'!L87*$R$2+'FIX-EX'!L87*$R$3+'FLOAT-EX'!L87*$R$4</f>
        <v>381.94193194134141</v>
      </c>
      <c r="M87" s="108">
        <f>'EC-known'!M87*$R$1+'WC-known'!M87*$R$2+'FIX-EX'!M87*$R$3+'FLOAT-EX'!M87*$R$4</f>
        <v>0</v>
      </c>
      <c r="N87" s="108">
        <f>'EC-known'!N87*$R$1+'WC-known'!N87*$R$2+'FIX-EX'!N87*$R$3+'FLOAT-EX'!N87*$R$4</f>
        <v>0</v>
      </c>
      <c r="O87" s="108">
        <f>'EC-known'!O87*$R$1+'WC-known'!O87*$R$2+'FIX-EX'!O87*$R$3+'FLOAT-EX'!O87*$R$4</f>
        <v>0</v>
      </c>
      <c r="P87" s="108">
        <f>'EC-known'!P87*$R$1+'WC-known'!P87*$R$2+'FIX-EX'!P87*$R$3+'FLOAT-EX'!P87*$R$4</f>
        <v>0</v>
      </c>
      <c r="Q87" s="108">
        <f>'EC-known'!Q87*$R$1+'WC-known'!Q87*$R$2+'FIX-EX'!Q87*$R$3+'FLOAT-EX'!Q87*$R$4</f>
        <v>0</v>
      </c>
      <c r="R87" s="113">
        <f t="shared" ref="R87:R88" si="14">SUM(D87:Q87)</f>
        <v>1565.5269629325958</v>
      </c>
      <c r="S87" s="22"/>
    </row>
    <row r="88" spans="1:26" ht="15.5" x14ac:dyDescent="0.35">
      <c r="B88" s="111">
        <f>Assumptions!F18</f>
        <v>18</v>
      </c>
      <c r="C88" s="111"/>
      <c r="D88" s="108">
        <f>'EC-known'!D88*$R$1+'WC-known'!D88*$R$2+'FIX-EX'!D88*$R$3+'FLOAT-EX'!D88*$R$4</f>
        <v>0</v>
      </c>
      <c r="E88" s="108">
        <f>'EC-known'!E88*$R$1+'WC-known'!E88*$R$2+'FIX-EX'!E88*$R$3+'FLOAT-EX'!E88*$R$4</f>
        <v>0</v>
      </c>
      <c r="F88" s="108">
        <f>'EC-known'!F88*$R$1+'WC-known'!F88*$R$2+'FIX-EX'!F88*$R$3+'FLOAT-EX'!F88*$R$4</f>
        <v>0</v>
      </c>
      <c r="G88" s="108">
        <f>'EC-known'!G88*$R$1+'WC-known'!G88*$R$2+'FIX-EX'!G88*$R$3+'FLOAT-EX'!G88*$R$4</f>
        <v>0</v>
      </c>
      <c r="H88" s="108">
        <f>'EC-known'!H88*$R$1+'WC-known'!H88*$R$2+'FIX-EX'!H88*$R$3+'FLOAT-EX'!H88*$R$4</f>
        <v>0</v>
      </c>
      <c r="I88" s="108">
        <f>'EC-known'!I88*$R$1+'WC-known'!I88*$R$2+'FIX-EX'!I88*$R$3+'FLOAT-EX'!I88*$R$4</f>
        <v>0</v>
      </c>
      <c r="J88" s="108">
        <f>'EC-known'!J88*$R$1+'WC-known'!J88*$R$2+'FIX-EX'!J88*$R$3+'FLOAT-EX'!J88*$R$4</f>
        <v>0</v>
      </c>
      <c r="K88" s="108">
        <f>'EC-known'!K88*$R$1+'WC-known'!K88*$R$2+'FIX-EX'!K88*$R$3+'FLOAT-EX'!K88*$R$4</f>
        <v>0</v>
      </c>
      <c r="L88" s="108">
        <f>'EC-known'!L88*$R$1+'WC-known'!L88*$R$2+'FIX-EX'!L88*$R$3+'FLOAT-EX'!L88*$R$4</f>
        <v>0</v>
      </c>
      <c r="M88" s="108">
        <f>'EC-known'!M88*$R$1+'WC-known'!M88*$R$2+'FIX-EX'!M88*$R$3+'FLOAT-EX'!M88*$R$4</f>
        <v>319.20644440645248</v>
      </c>
      <c r="N88" s="108">
        <f>'EC-known'!N88*$R$1+'WC-known'!N88*$R$2+'FIX-EX'!N88*$R$3+'FLOAT-EX'!N88*$R$4</f>
        <v>356.16679763270048</v>
      </c>
      <c r="O88" s="108">
        <f>'EC-known'!O88*$R$1+'WC-known'!O88*$R$2+'FIX-EX'!O88*$R$3+'FLOAT-EX'!O88*$R$4</f>
        <v>398.16021983415686</v>
      </c>
      <c r="P88" s="108">
        <f>'EC-known'!P88*$R$1+'WC-known'!P88*$R$2+'FIX-EX'!P88*$R$3+'FLOAT-EX'!P88*$R$4</f>
        <v>274.52731225842081</v>
      </c>
      <c r="Q88" s="108">
        <f>'EC-known'!Q88*$R$1+'WC-known'!Q88*$R$2+'FIX-EX'!Q88*$R$3+'FLOAT-EX'!Q88*$R$4</f>
        <v>301.33333333333331</v>
      </c>
      <c r="R88" s="113">
        <f t="shared" si="14"/>
        <v>1649.3941074650638</v>
      </c>
      <c r="S88" s="22"/>
    </row>
    <row r="89" spans="1:26" ht="15.5" x14ac:dyDescent="0.35">
      <c r="B89" s="135" t="s">
        <v>239</v>
      </c>
      <c r="C89" s="129"/>
      <c r="D89" s="136"/>
      <c r="E89" s="132"/>
      <c r="F89" s="132"/>
      <c r="G89" s="132"/>
      <c r="H89" s="132"/>
      <c r="I89" s="132"/>
      <c r="J89" s="132"/>
      <c r="K89" s="132"/>
      <c r="L89" s="137"/>
      <c r="M89" s="132"/>
      <c r="N89" s="132"/>
      <c r="O89" s="132"/>
      <c r="P89" s="132"/>
      <c r="Q89" s="132"/>
      <c r="R89" s="130"/>
      <c r="S89" s="22"/>
    </row>
    <row r="90" spans="1:26" ht="15.5" x14ac:dyDescent="0.35">
      <c r="B90" s="111">
        <f>B86</f>
        <v>12</v>
      </c>
      <c r="C90" s="111"/>
      <c r="D90" s="107">
        <f>3*D86</f>
        <v>0</v>
      </c>
      <c r="E90" s="108">
        <f>3*E86</f>
        <v>128.30769230769232</v>
      </c>
      <c r="F90" s="108">
        <f t="shared" ref="F90:Q90" si="15">3*F86</f>
        <v>785.38461538461547</v>
      </c>
      <c r="G90" s="108">
        <f t="shared" si="15"/>
        <v>562.53846153846143</v>
      </c>
      <c r="H90" s="108">
        <f t="shared" si="15"/>
        <v>182</v>
      </c>
      <c r="I90" s="108">
        <f t="shared" si="15"/>
        <v>0</v>
      </c>
      <c r="J90" s="108">
        <f t="shared" si="15"/>
        <v>0</v>
      </c>
      <c r="K90" s="108">
        <f t="shared" si="15"/>
        <v>0</v>
      </c>
      <c r="L90" s="109">
        <f t="shared" si="15"/>
        <v>0</v>
      </c>
      <c r="M90" s="108">
        <f t="shared" si="15"/>
        <v>0</v>
      </c>
      <c r="N90" s="108">
        <f t="shared" si="15"/>
        <v>0</v>
      </c>
      <c r="O90" s="108">
        <f t="shared" si="15"/>
        <v>0</v>
      </c>
      <c r="P90" s="108">
        <f t="shared" si="15"/>
        <v>0</v>
      </c>
      <c r="Q90" s="108">
        <f t="shared" si="15"/>
        <v>0</v>
      </c>
      <c r="R90" s="113">
        <f>SUM(D90:Q90)</f>
        <v>1658.2307692307693</v>
      </c>
    </row>
    <row r="91" spans="1:26" ht="15.5" x14ac:dyDescent="0.35">
      <c r="B91" s="111">
        <f t="shared" ref="B91:B92" si="16">B87</f>
        <v>15</v>
      </c>
      <c r="C91" s="111"/>
      <c r="D91" s="107">
        <f t="shared" ref="D91:Q92" si="17">3*D87</f>
        <v>0</v>
      </c>
      <c r="E91" s="108">
        <f t="shared" si="17"/>
        <v>0</v>
      </c>
      <c r="F91" s="108">
        <f t="shared" si="17"/>
        <v>229.56302521008405</v>
      </c>
      <c r="G91" s="108">
        <f t="shared" si="17"/>
        <v>307</v>
      </c>
      <c r="H91" s="108">
        <f t="shared" si="17"/>
        <v>549.20000000000005</v>
      </c>
      <c r="I91" s="108">
        <f t="shared" si="17"/>
        <v>580.91999999999996</v>
      </c>
      <c r="J91" s="108">
        <f t="shared" si="17"/>
        <v>1225.2338099747394</v>
      </c>
      <c r="K91" s="108">
        <f t="shared" si="17"/>
        <v>658.83825778893936</v>
      </c>
      <c r="L91" s="109">
        <f t="shared" si="17"/>
        <v>1145.8257958240242</v>
      </c>
      <c r="M91" s="108">
        <f t="shared" si="17"/>
        <v>0</v>
      </c>
      <c r="N91" s="108">
        <f t="shared" si="17"/>
        <v>0</v>
      </c>
      <c r="O91" s="108">
        <f t="shared" si="17"/>
        <v>0</v>
      </c>
      <c r="P91" s="108">
        <f t="shared" si="17"/>
        <v>0</v>
      </c>
      <c r="Q91" s="108">
        <f t="shared" si="17"/>
        <v>0</v>
      </c>
      <c r="R91" s="113">
        <f t="shared" ref="R91:R92" si="18">SUM(D91:Q91)</f>
        <v>4696.5808887977873</v>
      </c>
    </row>
    <row r="92" spans="1:26" ht="15.5" x14ac:dyDescent="0.35">
      <c r="B92" s="111">
        <f t="shared" si="16"/>
        <v>18</v>
      </c>
      <c r="C92" s="111"/>
      <c r="D92" s="107">
        <f t="shared" si="17"/>
        <v>0</v>
      </c>
      <c r="E92" s="108">
        <f t="shared" si="17"/>
        <v>0</v>
      </c>
      <c r="F92" s="108">
        <f t="shared" si="17"/>
        <v>0</v>
      </c>
      <c r="G92" s="108">
        <f t="shared" si="17"/>
        <v>0</v>
      </c>
      <c r="H92" s="108">
        <f t="shared" si="17"/>
        <v>0</v>
      </c>
      <c r="I92" s="108">
        <f t="shared" si="17"/>
        <v>0</v>
      </c>
      <c r="J92" s="108">
        <f t="shared" si="17"/>
        <v>0</v>
      </c>
      <c r="K92" s="108">
        <f t="shared" si="17"/>
        <v>0</v>
      </c>
      <c r="L92" s="109">
        <f t="shared" si="17"/>
        <v>0</v>
      </c>
      <c r="M92" s="108">
        <f t="shared" si="17"/>
        <v>957.61933321935749</v>
      </c>
      <c r="N92" s="108">
        <f t="shared" si="17"/>
        <v>1068.5003928981014</v>
      </c>
      <c r="O92" s="108">
        <f t="shared" si="17"/>
        <v>1194.4806595024706</v>
      </c>
      <c r="P92" s="108">
        <f t="shared" si="17"/>
        <v>823.58193677526242</v>
      </c>
      <c r="Q92" s="108">
        <f t="shared" si="17"/>
        <v>904</v>
      </c>
      <c r="R92" s="113">
        <f t="shared" si="18"/>
        <v>4948.1823223951924</v>
      </c>
    </row>
    <row r="93" spans="1:26" ht="15.5" x14ac:dyDescent="0.35">
      <c r="B93" s="135" t="s">
        <v>240</v>
      </c>
      <c r="C93" s="129"/>
      <c r="D93" s="136"/>
      <c r="E93" s="132"/>
      <c r="F93" s="132"/>
      <c r="G93" s="132"/>
      <c r="H93" s="132"/>
      <c r="I93" s="132"/>
      <c r="J93" s="132"/>
      <c r="K93" s="132"/>
      <c r="L93" s="137"/>
      <c r="M93" s="132"/>
      <c r="N93" s="132"/>
      <c r="O93" s="132"/>
      <c r="P93" s="132"/>
      <c r="Q93" s="132"/>
      <c r="R93" s="130"/>
    </row>
    <row r="94" spans="1:26" ht="15.5" x14ac:dyDescent="0.35">
      <c r="B94" s="111">
        <f>B86</f>
        <v>12</v>
      </c>
      <c r="C94" s="111"/>
      <c r="D94" s="107">
        <f>D86</f>
        <v>0</v>
      </c>
      <c r="E94" s="108">
        <f t="shared" ref="E94:Q94" si="19">E86</f>
        <v>42.769230769230774</v>
      </c>
      <c r="F94" s="108">
        <f t="shared" si="19"/>
        <v>261.79487179487182</v>
      </c>
      <c r="G94" s="108">
        <f>G86</f>
        <v>187.5128205128205</v>
      </c>
      <c r="H94" s="108">
        <f t="shared" si="19"/>
        <v>60.666666666666664</v>
      </c>
      <c r="I94" s="108">
        <f t="shared" si="19"/>
        <v>0</v>
      </c>
      <c r="J94" s="108">
        <f t="shared" si="19"/>
        <v>0</v>
      </c>
      <c r="K94" s="108">
        <f t="shared" si="19"/>
        <v>0</v>
      </c>
      <c r="L94" s="109">
        <f t="shared" si="19"/>
        <v>0</v>
      </c>
      <c r="M94" s="108">
        <f t="shared" si="19"/>
        <v>0</v>
      </c>
      <c r="N94" s="108">
        <f t="shared" si="19"/>
        <v>0</v>
      </c>
      <c r="O94" s="108">
        <f t="shared" si="19"/>
        <v>0</v>
      </c>
      <c r="P94" s="108">
        <f t="shared" si="19"/>
        <v>0</v>
      </c>
      <c r="Q94" s="108">
        <f t="shared" si="19"/>
        <v>0</v>
      </c>
      <c r="R94" s="113">
        <f>SUM(D94:Q94)</f>
        <v>552.74358974358972</v>
      </c>
    </row>
    <row r="95" spans="1:26" ht="15.5" x14ac:dyDescent="0.35">
      <c r="B95" s="111">
        <f t="shared" ref="B95:B96" si="20">B87</f>
        <v>15</v>
      </c>
      <c r="C95" s="111"/>
      <c r="D95" s="107">
        <f t="shared" ref="D95:Q96" si="21">D87</f>
        <v>0</v>
      </c>
      <c r="E95" s="108">
        <f t="shared" si="21"/>
        <v>0</v>
      </c>
      <c r="F95" s="108">
        <f t="shared" si="21"/>
        <v>76.52100840336135</v>
      </c>
      <c r="G95" s="108">
        <f t="shared" si="21"/>
        <v>102.33333333333334</v>
      </c>
      <c r="H95" s="108">
        <f t="shared" si="21"/>
        <v>183.06666666666666</v>
      </c>
      <c r="I95" s="108">
        <f t="shared" si="21"/>
        <v>193.64</v>
      </c>
      <c r="J95" s="108">
        <f t="shared" si="21"/>
        <v>408.41126999157984</v>
      </c>
      <c r="K95" s="108">
        <f t="shared" si="21"/>
        <v>219.61275259631313</v>
      </c>
      <c r="L95" s="109">
        <f t="shared" si="21"/>
        <v>381.94193194134141</v>
      </c>
      <c r="M95" s="108">
        <f t="shared" si="21"/>
        <v>0</v>
      </c>
      <c r="N95" s="108">
        <f t="shared" si="21"/>
        <v>0</v>
      </c>
      <c r="O95" s="108">
        <f t="shared" si="21"/>
        <v>0</v>
      </c>
      <c r="P95" s="108">
        <f t="shared" si="21"/>
        <v>0</v>
      </c>
      <c r="Q95" s="108">
        <f t="shared" si="21"/>
        <v>0</v>
      </c>
      <c r="R95" s="113">
        <f t="shared" ref="R95:R96" si="22">SUM(D95:Q95)</f>
        <v>1565.5269629325958</v>
      </c>
    </row>
    <row r="96" spans="1:26" ht="15.5" x14ac:dyDescent="0.35">
      <c r="B96" s="111">
        <f t="shared" si="20"/>
        <v>18</v>
      </c>
      <c r="C96" s="111"/>
      <c r="D96" s="107">
        <f t="shared" si="21"/>
        <v>0</v>
      </c>
      <c r="E96" s="108">
        <f t="shared" si="21"/>
        <v>0</v>
      </c>
      <c r="F96" s="108">
        <f t="shared" si="21"/>
        <v>0</v>
      </c>
      <c r="G96" s="108">
        <f t="shared" si="21"/>
        <v>0</v>
      </c>
      <c r="H96" s="108">
        <f t="shared" si="21"/>
        <v>0</v>
      </c>
      <c r="I96" s="108">
        <f t="shared" si="21"/>
        <v>0</v>
      </c>
      <c r="J96" s="108">
        <f t="shared" si="21"/>
        <v>0</v>
      </c>
      <c r="K96" s="108">
        <f t="shared" si="21"/>
        <v>0</v>
      </c>
      <c r="L96" s="109">
        <f t="shared" si="21"/>
        <v>0</v>
      </c>
      <c r="M96" s="108">
        <f t="shared" si="21"/>
        <v>319.20644440645248</v>
      </c>
      <c r="N96" s="108">
        <f t="shared" si="21"/>
        <v>356.16679763270048</v>
      </c>
      <c r="O96" s="108">
        <f t="shared" si="21"/>
        <v>398.16021983415686</v>
      </c>
      <c r="P96" s="108">
        <f t="shared" si="21"/>
        <v>274.52731225842081</v>
      </c>
      <c r="Q96" s="108">
        <f t="shared" si="21"/>
        <v>301.33333333333331</v>
      </c>
      <c r="R96" s="113">
        <f t="shared" si="22"/>
        <v>1649.3941074650638</v>
      </c>
    </row>
    <row r="97" spans="2:21" ht="15.5" x14ac:dyDescent="0.35">
      <c r="B97" s="135" t="s">
        <v>241</v>
      </c>
      <c r="C97" s="129"/>
      <c r="D97" s="136"/>
      <c r="E97" s="132"/>
      <c r="F97" s="132"/>
      <c r="G97" s="132"/>
      <c r="H97" s="132"/>
      <c r="I97" s="132"/>
      <c r="J97" s="132"/>
      <c r="K97" s="132"/>
      <c r="L97" s="137"/>
      <c r="M97" s="132"/>
      <c r="N97" s="132"/>
      <c r="O97" s="132"/>
      <c r="P97" s="132"/>
      <c r="Q97" s="132"/>
      <c r="R97" s="130"/>
    </row>
    <row r="98" spans="2:21" ht="15.5" x14ac:dyDescent="0.35">
      <c r="B98" s="111">
        <f>B86</f>
        <v>12</v>
      </c>
      <c r="C98" s="111"/>
      <c r="D98" s="107">
        <f>D86</f>
        <v>0</v>
      </c>
      <c r="E98" s="108">
        <f t="shared" ref="E98:Q98" si="23">E86</f>
        <v>42.769230769230774</v>
      </c>
      <c r="F98" s="108">
        <f t="shared" si="23"/>
        <v>261.79487179487182</v>
      </c>
      <c r="G98" s="108">
        <f t="shared" si="23"/>
        <v>187.5128205128205</v>
      </c>
      <c r="H98" s="108">
        <f t="shared" si="23"/>
        <v>60.666666666666664</v>
      </c>
      <c r="I98" s="108">
        <f t="shared" si="23"/>
        <v>0</v>
      </c>
      <c r="J98" s="108">
        <f t="shared" si="23"/>
        <v>0</v>
      </c>
      <c r="K98" s="108">
        <f t="shared" si="23"/>
        <v>0</v>
      </c>
      <c r="L98" s="109">
        <f t="shared" si="23"/>
        <v>0</v>
      </c>
      <c r="M98" s="108">
        <f t="shared" si="23"/>
        <v>0</v>
      </c>
      <c r="N98" s="108">
        <f t="shared" si="23"/>
        <v>0</v>
      </c>
      <c r="O98" s="108">
        <f t="shared" si="23"/>
        <v>0</v>
      </c>
      <c r="P98" s="108">
        <f t="shared" si="23"/>
        <v>0</v>
      </c>
      <c r="Q98" s="108">
        <f t="shared" si="23"/>
        <v>0</v>
      </c>
      <c r="R98" s="113">
        <f t="shared" ref="R98:R100" si="24">SUM(D98:Q98)</f>
        <v>552.74358974358972</v>
      </c>
    </row>
    <row r="99" spans="2:21" ht="15.5" x14ac:dyDescent="0.35">
      <c r="B99" s="111">
        <f t="shared" ref="B99:B100" si="25">B87</f>
        <v>15</v>
      </c>
      <c r="C99" s="111"/>
      <c r="D99" s="107">
        <f t="shared" ref="D99:Q100" si="26">D87</f>
        <v>0</v>
      </c>
      <c r="E99" s="108">
        <f t="shared" si="26"/>
        <v>0</v>
      </c>
      <c r="F99" s="108">
        <f t="shared" si="26"/>
        <v>76.52100840336135</v>
      </c>
      <c r="G99" s="108">
        <f t="shared" si="26"/>
        <v>102.33333333333334</v>
      </c>
      <c r="H99" s="108">
        <f t="shared" si="26"/>
        <v>183.06666666666666</v>
      </c>
      <c r="I99" s="108">
        <f t="shared" si="26"/>
        <v>193.64</v>
      </c>
      <c r="J99" s="108">
        <f t="shared" si="26"/>
        <v>408.41126999157984</v>
      </c>
      <c r="K99" s="108">
        <f t="shared" si="26"/>
        <v>219.61275259631313</v>
      </c>
      <c r="L99" s="109">
        <f t="shared" si="26"/>
        <v>381.94193194134141</v>
      </c>
      <c r="M99" s="108">
        <f t="shared" si="26"/>
        <v>0</v>
      </c>
      <c r="N99" s="108">
        <f t="shared" si="26"/>
        <v>0</v>
      </c>
      <c r="O99" s="108">
        <f t="shared" si="26"/>
        <v>0</v>
      </c>
      <c r="P99" s="108">
        <f t="shared" si="26"/>
        <v>0</v>
      </c>
      <c r="Q99" s="108">
        <f t="shared" si="26"/>
        <v>0</v>
      </c>
      <c r="R99" s="113">
        <f t="shared" si="24"/>
        <v>1565.5269629325958</v>
      </c>
    </row>
    <row r="100" spans="2:21" ht="15.5" x14ac:dyDescent="0.35">
      <c r="B100" s="111">
        <f t="shared" si="25"/>
        <v>18</v>
      </c>
      <c r="C100" s="111"/>
      <c r="D100" s="107">
        <f t="shared" si="26"/>
        <v>0</v>
      </c>
      <c r="E100" s="108">
        <f t="shared" si="26"/>
        <v>0</v>
      </c>
      <c r="F100" s="108">
        <f t="shared" si="26"/>
        <v>0</v>
      </c>
      <c r="G100" s="108">
        <f t="shared" si="26"/>
        <v>0</v>
      </c>
      <c r="H100" s="108">
        <f t="shared" si="26"/>
        <v>0</v>
      </c>
      <c r="I100" s="108">
        <f t="shared" si="26"/>
        <v>0</v>
      </c>
      <c r="J100" s="108">
        <f t="shared" si="26"/>
        <v>0</v>
      </c>
      <c r="K100" s="108">
        <f t="shared" si="26"/>
        <v>0</v>
      </c>
      <c r="L100" s="109">
        <f t="shared" si="26"/>
        <v>0</v>
      </c>
      <c r="M100" s="108">
        <f t="shared" si="26"/>
        <v>319.20644440645248</v>
      </c>
      <c r="N100" s="108">
        <f t="shared" si="26"/>
        <v>356.16679763270048</v>
      </c>
      <c r="O100" s="108">
        <f t="shared" si="26"/>
        <v>398.16021983415686</v>
      </c>
      <c r="P100" s="108">
        <f t="shared" si="26"/>
        <v>274.52731225842081</v>
      </c>
      <c r="Q100" s="108">
        <f t="shared" si="26"/>
        <v>301.33333333333331</v>
      </c>
      <c r="R100" s="113">
        <f t="shared" si="24"/>
        <v>1649.3941074650638</v>
      </c>
    </row>
    <row r="101" spans="2:21" ht="15.5" x14ac:dyDescent="0.35">
      <c r="B101" s="135" t="s">
        <v>116</v>
      </c>
      <c r="C101" s="139"/>
      <c r="D101" s="151">
        <f>SUM(D103:D105)</f>
        <v>0</v>
      </c>
      <c r="E101" s="151">
        <f t="shared" ref="E101:Q101" si="27">SUM(E103:E105)</f>
        <v>42.769230769230774</v>
      </c>
      <c r="F101" s="151">
        <f t="shared" si="27"/>
        <v>338.31588019823317</v>
      </c>
      <c r="G101" s="151">
        <f t="shared" si="27"/>
        <v>267.84615384615381</v>
      </c>
      <c r="H101" s="151">
        <f t="shared" si="27"/>
        <v>221.73333333333332</v>
      </c>
      <c r="I101" s="151">
        <f t="shared" si="27"/>
        <v>193.64000000000001</v>
      </c>
      <c r="J101" s="151">
        <f t="shared" si="27"/>
        <v>354.65599949362581</v>
      </c>
      <c r="K101" s="151">
        <f t="shared" si="27"/>
        <v>170.73333333333335</v>
      </c>
      <c r="L101" s="151">
        <f t="shared" si="27"/>
        <v>377.26251267836159</v>
      </c>
      <c r="M101" s="151">
        <f t="shared" si="27"/>
        <v>149.99725675572355</v>
      </c>
      <c r="N101" s="151">
        <f t="shared" si="27"/>
        <v>328.40376828215034</v>
      </c>
      <c r="O101" s="151">
        <f t="shared" si="27"/>
        <v>114.83333333333331</v>
      </c>
      <c r="P101" s="151">
        <f t="shared" si="27"/>
        <v>80.082867813976321</v>
      </c>
      <c r="Q101" s="151">
        <f t="shared" si="27"/>
        <v>440.22222222222217</v>
      </c>
      <c r="R101" s="130">
        <f>SUM(C101:Q101)</f>
        <v>3080.4958920596778</v>
      </c>
    </row>
    <row r="102" spans="2:21" ht="15.5" x14ac:dyDescent="0.35">
      <c r="B102" s="106" t="s">
        <v>257</v>
      </c>
      <c r="C102" s="106"/>
      <c r="D102" s="108">
        <f>'EC-known'!D102*$R$1+'FIX-EX'!E102*$R$3</f>
        <v>0</v>
      </c>
      <c r="E102" s="108">
        <f>'EC-known'!E102*$R$1+'FIX-EX'!F102*$R$3</f>
        <v>32.769230769230774</v>
      </c>
      <c r="F102" s="108">
        <f>'EC-known'!F102*$R$1+'FIX-EX'!G102*$R$3</f>
        <v>229.49353587588882</v>
      </c>
      <c r="G102" s="108">
        <f>'EC-known'!G102*$R$1+'FIX-EX'!H102*$R$3</f>
        <v>179.50641025641025</v>
      </c>
      <c r="H102" s="108">
        <f>'EC-known'!H102*$R$1+'FIX-EX'!I102*$R$3</f>
        <v>160.73333333333332</v>
      </c>
      <c r="I102" s="108">
        <f>'EC-known'!I102*$R$1+'FIX-EX'!J102*$R$3</f>
        <v>97.213333333333338</v>
      </c>
      <c r="J102" s="108">
        <f>'EC-known'!J102*$R$1+'FIX-EX'!K102*$R$3</f>
        <v>226.77599949362576</v>
      </c>
      <c r="K102" s="108">
        <f>'EC-known'!K102*$R$1+'FIX-EX'!L102*$R$3</f>
        <v>150.25333333333333</v>
      </c>
      <c r="L102" s="108">
        <f>'EC-known'!L102*$R$1+'FIX-EX'!M102*$R$3</f>
        <v>320.37251267836155</v>
      </c>
      <c r="M102" s="108">
        <f>'EC-known'!M102*$R$1+'FIX-EX'!N102*$R$3</f>
        <v>116.66392342239024</v>
      </c>
      <c r="N102" s="108">
        <f>'EC-known'!N102*$R$1+'FIX-EX'!O102*$R$3</f>
        <v>213.01597113083858</v>
      </c>
      <c r="O102" s="108">
        <f>'EC-known'!O102*$R$1+'FIX-EX'!P102*$R$3</f>
        <v>80.383333333333326</v>
      </c>
      <c r="P102" s="108">
        <f>'EC-known'!P102*$R$1+'FIX-EX'!Q102*$R$3</f>
        <v>62.732867813976327</v>
      </c>
      <c r="Q102" s="108">
        <f>'EC-known'!Q102*$R$1+'FIX-EX'!R102*$R$3</f>
        <v>308.15555555555551</v>
      </c>
      <c r="R102" s="113">
        <f t="shared" ref="R102:R116" si="28">SUM(D102:Q102)</f>
        <v>2178.0693403296109</v>
      </c>
    </row>
    <row r="103" spans="2:21" ht="15.5" x14ac:dyDescent="0.35">
      <c r="B103" s="106" t="s">
        <v>258</v>
      </c>
      <c r="C103" s="106"/>
      <c r="D103" s="108">
        <f>'EC-known'!D103*$R$1+'FIX-EX'!E103*$R$3</f>
        <v>0</v>
      </c>
      <c r="E103" s="108">
        <f>'EC-known'!E103*$R$1+'FIX-EX'!F103*$R$3</f>
        <v>32.769230769230774</v>
      </c>
      <c r="F103" s="108">
        <f>'EC-known'!F103*$R$1+'FIX-EX'!G103*$R$3</f>
        <v>229.49353587588882</v>
      </c>
      <c r="G103" s="108">
        <f>'EC-known'!G103*$R$1+'FIX-EX'!H103*$R$3</f>
        <v>179.50641025641025</v>
      </c>
      <c r="H103" s="108">
        <f>'EC-known'!H103*$R$1+'FIX-EX'!I103*$R$3</f>
        <v>160.73333333333332</v>
      </c>
      <c r="I103" s="108">
        <f>'EC-known'!I103*$R$1+'FIX-EX'!J103*$R$3</f>
        <v>97.213333333333338</v>
      </c>
      <c r="J103" s="108">
        <f>'EC-known'!J103*$R$1+'FIX-EX'!K103*$R$3</f>
        <v>226.77599949362576</v>
      </c>
      <c r="K103" s="108">
        <f>'EC-known'!K103*$R$1+'FIX-EX'!L103*$R$3</f>
        <v>150.25333333333333</v>
      </c>
      <c r="L103" s="108">
        <f>'EC-known'!L103*$R$1+'FIX-EX'!M103*$R$3</f>
        <v>320.37251267836155</v>
      </c>
      <c r="M103" s="108">
        <f>'EC-known'!M103*$R$1+'FIX-EX'!N103*$R$3</f>
        <v>116.66392342239024</v>
      </c>
      <c r="N103" s="108">
        <f>'EC-known'!N103*$R$1+'FIX-EX'!O103*$R$3</f>
        <v>213.01597113083858</v>
      </c>
      <c r="O103" s="108">
        <f>'EC-known'!O103*$R$1+'FIX-EX'!P103*$R$3</f>
        <v>80.383333333333326</v>
      </c>
      <c r="P103" s="108">
        <f>'EC-known'!P103*$R$1+'FIX-EX'!Q103*$R$3</f>
        <v>62.732867813976327</v>
      </c>
      <c r="Q103" s="108">
        <f>'EC-known'!Q103*$R$1+'FIX-EX'!R103*$R$3</f>
        <v>308.15555555555551</v>
      </c>
      <c r="R103" s="113">
        <f t="shared" si="28"/>
        <v>2178.0693403296109</v>
      </c>
      <c r="S103" s="140"/>
    </row>
    <row r="104" spans="2:21" ht="15.5" x14ac:dyDescent="0.35">
      <c r="B104" s="106" t="s">
        <v>117</v>
      </c>
      <c r="C104" s="106"/>
      <c r="D104" s="108">
        <f>'EC-known'!D104*$R$1+'FIX-EX'!E104*$R$3</f>
        <v>0</v>
      </c>
      <c r="E104" s="108">
        <f>'EC-known'!E104*$R$1+'FIX-EX'!F104*$R$3</f>
        <v>0</v>
      </c>
      <c r="F104" s="108">
        <f>'EC-known'!F104*$R$1+'FIX-EX'!G104*$R$3</f>
        <v>29.142857142857142</v>
      </c>
      <c r="G104" s="108">
        <f>'EC-known'!G104*$R$1+'FIX-EX'!H104*$R$3</f>
        <v>12</v>
      </c>
      <c r="H104" s="108">
        <f>'EC-known'!H104*$R$1+'FIX-EX'!I104*$R$3</f>
        <v>11</v>
      </c>
      <c r="I104" s="108">
        <f>'EC-known'!I104*$R$1+'FIX-EX'!J104*$R$3</f>
        <v>5.36</v>
      </c>
      <c r="J104" s="108">
        <f>'EC-known'!J104*$R$1+'FIX-EX'!K104*$R$3</f>
        <v>46.23</v>
      </c>
      <c r="K104" s="108">
        <f>'EC-known'!K104*$R$1+'FIX-EX'!L104*$R$3</f>
        <v>10.24</v>
      </c>
      <c r="L104" s="108">
        <f>'EC-known'!L104*$R$1+'FIX-EX'!M104*$R$3</f>
        <v>22.22</v>
      </c>
      <c r="M104" s="108">
        <f>'EC-known'!M104*$R$1+'FIX-EX'!N104*$R$3</f>
        <v>16.666666666666668</v>
      </c>
      <c r="N104" s="108">
        <f>'EC-known'!N104*$R$1+'FIX-EX'!O104*$R$3</f>
        <v>42.935565242322554</v>
      </c>
      <c r="O104" s="108">
        <f>'EC-known'!O104*$R$1+'FIX-EX'!P104*$R$3</f>
        <v>17.225000000000001</v>
      </c>
      <c r="P104" s="108">
        <f>'EC-known'!P104*$R$1+'FIX-EX'!Q104*$R$3</f>
        <v>8.6750000000000007</v>
      </c>
      <c r="Q104" s="108">
        <f>'EC-known'!Q104*$R$1+'FIX-EX'!R104*$R$3</f>
        <v>66.033333333333331</v>
      </c>
      <c r="R104" s="113">
        <f t="shared" si="28"/>
        <v>287.72842238517967</v>
      </c>
      <c r="S104" s="140"/>
    </row>
    <row r="105" spans="2:21" ht="15.5" x14ac:dyDescent="0.35">
      <c r="B105" s="106" t="s">
        <v>118</v>
      </c>
      <c r="C105" s="106"/>
      <c r="D105" s="108">
        <f>'EC-known'!D105*$R$1+'FIX-EX'!E105*$R$3</f>
        <v>0</v>
      </c>
      <c r="E105" s="108">
        <f>'EC-known'!E105*$R$1+'FIX-EX'!F105*$R$3</f>
        <v>10</v>
      </c>
      <c r="F105" s="108">
        <f>'EC-known'!F105*$R$1+'FIX-EX'!G105*$R$3</f>
        <v>79.679487179487182</v>
      </c>
      <c r="G105" s="108">
        <f>'EC-known'!G105*$R$1+'FIX-EX'!H105*$R$3</f>
        <v>76.339743589743591</v>
      </c>
      <c r="H105" s="108">
        <f>'EC-known'!H105*$R$1+'FIX-EX'!I105*$R$3</f>
        <v>50</v>
      </c>
      <c r="I105" s="108">
        <f>'EC-known'!I105*$R$1+'FIX-EX'!J105*$R$3</f>
        <v>91.066666666666677</v>
      </c>
      <c r="J105" s="108">
        <f>'EC-known'!J105*$R$1+'FIX-EX'!K105*$R$3</f>
        <v>81.650000000000006</v>
      </c>
      <c r="K105" s="108">
        <f>'EC-known'!K105*$R$1+'FIX-EX'!L105*$R$3</f>
        <v>10.24</v>
      </c>
      <c r="L105" s="108">
        <f>'EC-known'!L105*$R$1+'FIX-EX'!M105*$R$3</f>
        <v>34.67</v>
      </c>
      <c r="M105" s="108">
        <f>'EC-known'!M105*$R$1+'FIX-EX'!N105*$R$3</f>
        <v>16.666666666666668</v>
      </c>
      <c r="N105" s="108">
        <f>'EC-known'!N105*$R$1+'FIX-EX'!O105*$R$3</f>
        <v>72.452231908989219</v>
      </c>
      <c r="O105" s="108">
        <f>'EC-known'!O105*$R$1+'FIX-EX'!P105*$R$3</f>
        <v>17.225000000000001</v>
      </c>
      <c r="P105" s="108">
        <f>'EC-known'!P105*$R$1+'FIX-EX'!Q105*$R$3</f>
        <v>8.6750000000000007</v>
      </c>
      <c r="Q105" s="108">
        <f>'EC-known'!Q105*$R$1+'FIX-EX'!R105*$R$3</f>
        <v>66.033333333333331</v>
      </c>
      <c r="R105" s="113">
        <f t="shared" si="28"/>
        <v>614.69812934488664</v>
      </c>
      <c r="S105" s="140"/>
    </row>
    <row r="106" spans="2:21" ht="15.5" x14ac:dyDescent="0.35">
      <c r="B106" s="106" t="s">
        <v>259</v>
      </c>
      <c r="C106" s="106"/>
      <c r="D106" s="108">
        <f>'EC-known'!D106*$R$1+'FIX-EX'!E106*$R$3</f>
        <v>0</v>
      </c>
      <c r="E106" s="108">
        <f>'EC-known'!E106*$R$1+'FIX-EX'!F106*$R$3</f>
        <v>2</v>
      </c>
      <c r="F106" s="108">
        <f>'EC-known'!F106*$R$1+'FIX-EX'!G106*$R$3</f>
        <v>10</v>
      </c>
      <c r="G106" s="108">
        <f>'EC-known'!G106*$R$1+'FIX-EX'!H106*$R$3</f>
        <v>9</v>
      </c>
      <c r="H106" s="108">
        <f>'EC-known'!H106*$R$1+'FIX-EX'!I106*$R$3</f>
        <v>7</v>
      </c>
      <c r="I106" s="108">
        <f>'EC-known'!I106*$R$1+'FIX-EX'!J106*$R$3</f>
        <v>5</v>
      </c>
      <c r="J106" s="108">
        <f>'EC-known'!J106*$R$1+'FIX-EX'!K106*$R$3</f>
        <v>8</v>
      </c>
      <c r="K106" s="108">
        <f>'EC-known'!K106*$R$1+'FIX-EX'!L106*$R$3</f>
        <v>5</v>
      </c>
      <c r="L106" s="108">
        <f>'EC-known'!L106*$R$1+'FIX-EX'!M106*$R$3</f>
        <v>13</v>
      </c>
      <c r="M106" s="108">
        <f>'EC-known'!M106*$R$1+'FIX-EX'!N106*$R$3</f>
        <v>5</v>
      </c>
      <c r="N106" s="108">
        <f>'EC-known'!N106*$R$1+'FIX-EX'!O106*$R$3</f>
        <v>10</v>
      </c>
      <c r="O106" s="108">
        <f>'EC-known'!O106*$R$1+'FIX-EX'!P106*$R$3</f>
        <v>4</v>
      </c>
      <c r="P106" s="108">
        <f>'EC-known'!P106*$R$1+'FIX-EX'!Q106*$R$3</f>
        <v>3</v>
      </c>
      <c r="Q106" s="108">
        <f>'EC-known'!Q106*$R$1+'FIX-EX'!R106*$R$3</f>
        <v>14</v>
      </c>
      <c r="R106" s="113">
        <f t="shared" si="28"/>
        <v>95</v>
      </c>
    </row>
    <row r="107" spans="2:21" ht="15.5" x14ac:dyDescent="0.35">
      <c r="B107" s="106" t="s">
        <v>267</v>
      </c>
      <c r="C107" s="106"/>
      <c r="D107" s="108">
        <f>'WC-known'!D105*$R$2+'FLOAT-EX'!D105*$R$4</f>
        <v>0</v>
      </c>
      <c r="E107" s="108">
        <f>'WC-known'!E105*$R$2+'FLOAT-EX'!E105*$R$4</f>
        <v>0</v>
      </c>
      <c r="F107" s="108">
        <f>'WC-known'!F105*$R$2+'FLOAT-EX'!F105*$R$4</f>
        <v>0</v>
      </c>
      <c r="G107" s="108">
        <f>'WC-known'!G105*$R$2+'FLOAT-EX'!G105*$R$4</f>
        <v>0</v>
      </c>
      <c r="H107" s="108">
        <f>'WC-known'!H105*$R$2+'FLOAT-EX'!H105*$R$4</f>
        <v>0</v>
      </c>
      <c r="I107" s="108">
        <f>'WC-known'!I105*$R$2+'FLOAT-EX'!I105*$R$4</f>
        <v>0</v>
      </c>
      <c r="J107" s="108">
        <f>'WC-known'!J105*$R$2+'FLOAT-EX'!J105*$R$4</f>
        <v>33.345014087697692</v>
      </c>
      <c r="K107" s="108">
        <f>'WC-known'!K105*$R$2+'FLOAT-EX'!K105*$R$4</f>
        <v>66.679419262979792</v>
      </c>
      <c r="L107" s="108">
        <f>'WC-known'!L105*$R$2+'FLOAT-EX'!L105*$R$4</f>
        <v>66.679419262979792</v>
      </c>
      <c r="M107" s="108">
        <f>'WC-known'!M105*$R$2+'FLOAT-EX'!M105*$R$4</f>
        <v>152.42100668634697</v>
      </c>
      <c r="N107" s="108">
        <f>'WC-known'!N105*$R$2+'FLOAT-EX'!N105*$R$4</f>
        <v>55.540807128327842</v>
      </c>
      <c r="O107" s="108">
        <f>'WC-known'!O105*$R$2+'FLOAT-EX'!O105*$R$4</f>
        <v>199.99355316749021</v>
      </c>
      <c r="P107" s="108">
        <f>'WC-known'!P105*$R$2+'FLOAT-EX'!P105*$R$4</f>
        <v>138.88888888888889</v>
      </c>
      <c r="Q107" s="108">
        <f>'WC-known'!Q105*$R$2+'FLOAT-EX'!Q105*$R$4</f>
        <v>250</v>
      </c>
      <c r="R107" s="113">
        <f t="shared" si="28"/>
        <v>963.54810848471118</v>
      </c>
    </row>
    <row r="108" spans="2:21" ht="15.5" x14ac:dyDescent="0.35">
      <c r="B108" s="106" t="s">
        <v>268</v>
      </c>
      <c r="C108" s="106"/>
      <c r="D108" s="108">
        <f>'WC-known'!D106*$R$2+'FLOAT-EX'!D106*$R$4</f>
        <v>0</v>
      </c>
      <c r="E108" s="108">
        <f>'WC-known'!E106*$R$2+'FLOAT-EX'!E106*$R$4</f>
        <v>0</v>
      </c>
      <c r="F108" s="108">
        <f>'WC-known'!F106*$R$2+'FLOAT-EX'!F106*$R$4</f>
        <v>0</v>
      </c>
      <c r="G108" s="108">
        <f>'WC-known'!G106*$R$2+'FLOAT-EX'!G106*$R$4</f>
        <v>0</v>
      </c>
      <c r="H108" s="108">
        <f>'WC-known'!H106*$R$2+'FLOAT-EX'!H106*$R$4</f>
        <v>0</v>
      </c>
      <c r="I108" s="108">
        <f>'WC-known'!I106*$R$2+'FLOAT-EX'!I106*$R$4</f>
        <v>0</v>
      </c>
      <c r="J108" s="108">
        <f>'WC-known'!J106*$R$2+'FLOAT-EX'!J106*$R$4</f>
        <v>1</v>
      </c>
      <c r="K108" s="108">
        <f>'WC-known'!K106*$R$2+'FLOAT-EX'!K106*$R$4</f>
        <v>2</v>
      </c>
      <c r="L108" s="108">
        <f>'WC-known'!L106*$R$2+'FLOAT-EX'!L106*$R$4</f>
        <v>2</v>
      </c>
      <c r="M108" s="108">
        <f>'WC-known'!M106*$R$2+'FLOAT-EX'!M106*$R$4</f>
        <v>5</v>
      </c>
      <c r="N108" s="108">
        <f>'WC-known'!N106*$R$2+'FLOAT-EX'!N106*$R$4</f>
        <v>2</v>
      </c>
      <c r="O108" s="108">
        <f>'WC-known'!O106*$R$2+'FLOAT-EX'!O106*$R$4</f>
        <v>7</v>
      </c>
      <c r="P108" s="108">
        <f>'WC-known'!P106*$R$2+'FLOAT-EX'!P106*$R$4</f>
        <v>4</v>
      </c>
      <c r="Q108" s="108">
        <f>'WC-known'!Q106*$R$2+'FLOAT-EX'!Q106*$R$4</f>
        <v>8</v>
      </c>
      <c r="R108" s="113">
        <f t="shared" si="28"/>
        <v>31</v>
      </c>
      <c r="U108" s="22">
        <f>O102+O104+O105+O107</f>
        <v>314.82688650082355</v>
      </c>
    </row>
    <row r="109" spans="2:21" ht="15.5" x14ac:dyDescent="0.35">
      <c r="B109" s="135" t="s">
        <v>119</v>
      </c>
      <c r="C109" s="129"/>
      <c r="D109" s="132"/>
      <c r="E109" s="132"/>
      <c r="F109" s="132"/>
      <c r="G109" s="132"/>
      <c r="H109" s="132"/>
      <c r="I109" s="132"/>
      <c r="J109" s="132"/>
      <c r="K109" s="132"/>
      <c r="L109" s="132"/>
      <c r="M109" s="132"/>
      <c r="N109" s="132"/>
      <c r="O109" s="132"/>
      <c r="P109" s="132"/>
      <c r="Q109" s="132"/>
      <c r="R109" s="130"/>
    </row>
    <row r="110" spans="2:21" ht="15.5" x14ac:dyDescent="0.35">
      <c r="B110" s="106" t="s">
        <v>303</v>
      </c>
      <c r="C110" s="106"/>
      <c r="D110" s="108">
        <f>'EC-known'!D108*$R$1+'FIX-EX'!D108*$R$4</f>
        <v>0</v>
      </c>
      <c r="E110" s="108">
        <f>'EC-known'!E108*$R$1+'FIX-EX'!E108*$R$4</f>
        <v>2</v>
      </c>
      <c r="F110" s="108">
        <f>'EC-known'!F108*$R$1+'FIX-EX'!F108*$R$4</f>
        <v>10</v>
      </c>
      <c r="G110" s="108">
        <f>'EC-known'!G108*$R$1+'FIX-EX'!G108*$R$4</f>
        <v>6</v>
      </c>
      <c r="H110" s="108">
        <f>'EC-known'!H108*$R$1+'FIX-EX'!H108*$R$4</f>
        <v>7</v>
      </c>
      <c r="I110" s="108">
        <f>'EC-known'!I108*$R$1+'FIX-EX'!I108*$R$4</f>
        <v>5</v>
      </c>
      <c r="J110" s="108">
        <f>'EC-known'!J108*$R$1+'FIX-EX'!J108*$R$4</f>
        <v>8</v>
      </c>
      <c r="K110" s="108">
        <f>'EC-known'!K108*$R$1+'FIX-EX'!K108*$R$4</f>
        <v>5</v>
      </c>
      <c r="L110" s="108">
        <f>'EC-known'!L108*$R$1+'FIX-EX'!L108*$R$4</f>
        <v>8</v>
      </c>
      <c r="M110" s="108">
        <f>'EC-known'!M108*$R$1+'FIX-EX'!M108*$R$4</f>
        <v>3</v>
      </c>
      <c r="N110" s="108">
        <f>'EC-known'!N108*$R$1+'FIX-EX'!N108*$R$4</f>
        <v>10</v>
      </c>
      <c r="O110" s="108">
        <f>'EC-known'!O108*$R$1+'FIX-EX'!O108*$R$4</f>
        <v>6</v>
      </c>
      <c r="P110" s="108">
        <f>'EC-known'!P108*$R$1+'FIX-EX'!P108*$R$4</f>
        <v>5</v>
      </c>
      <c r="Q110" s="108">
        <f>'EC-known'!Q108*$R$1+'FIX-EX'!Q108*$R$4</f>
        <v>2</v>
      </c>
      <c r="R110" s="113">
        <f t="shared" si="28"/>
        <v>77</v>
      </c>
    </row>
    <row r="111" spans="2:21" ht="15.5" x14ac:dyDescent="0.35">
      <c r="B111" s="106" t="s">
        <v>304</v>
      </c>
      <c r="C111" s="106"/>
      <c r="D111" s="108">
        <f>'WC-known'!D108*$R$2+'FLOAT-EX'!D108*$R$4</f>
        <v>0</v>
      </c>
      <c r="E111" s="108">
        <f>'WC-known'!E108*$R$2+'FLOAT-EX'!E108*$R$4</f>
        <v>0</v>
      </c>
      <c r="F111" s="108">
        <f>'WC-known'!F108*$R$2+'FLOAT-EX'!F108*$R$4</f>
        <v>0</v>
      </c>
      <c r="G111" s="108">
        <f>'WC-known'!G108*$R$2+'FLOAT-EX'!G108*$R$4</f>
        <v>0</v>
      </c>
      <c r="H111" s="108">
        <f>'WC-known'!H108*$R$2+'FLOAT-EX'!H108*$R$4</f>
        <v>0</v>
      </c>
      <c r="I111" s="108">
        <f>'WC-known'!I108*$R$2+'FLOAT-EX'!I108*$R$4</f>
        <v>0</v>
      </c>
      <c r="J111" s="108">
        <f>'WC-known'!J108*$R$2+'FLOAT-EX'!J108*$R$4</f>
        <v>1</v>
      </c>
      <c r="K111" s="108">
        <f>'WC-known'!K108*$R$2+'FLOAT-EX'!K108*$R$4</f>
        <v>2</v>
      </c>
      <c r="L111" s="108">
        <f>'WC-known'!L108*$R$2+'FLOAT-EX'!L108*$R$4</f>
        <v>2</v>
      </c>
      <c r="M111" s="108">
        <f>'WC-known'!M108*$R$2+'FLOAT-EX'!M108*$R$4</f>
        <v>5</v>
      </c>
      <c r="N111" s="108">
        <f>'WC-known'!N108*$R$2+'FLOAT-EX'!N108*$R$4</f>
        <v>2</v>
      </c>
      <c r="O111" s="108">
        <f>'WC-known'!O108*$R$2+'FLOAT-EX'!O108*$R$4</f>
        <v>7</v>
      </c>
      <c r="P111" s="108">
        <f>'WC-known'!P108*$R$2+'FLOAT-EX'!P108*$R$4</f>
        <v>4</v>
      </c>
      <c r="Q111" s="108">
        <f>'WC-known'!Q108*$R$2+'FLOAT-EX'!Q108*$R$4</f>
        <v>8</v>
      </c>
      <c r="R111" s="113">
        <f t="shared" si="28"/>
        <v>31</v>
      </c>
    </row>
    <row r="112" spans="2:21" ht="15.5" x14ac:dyDescent="0.35">
      <c r="B112" s="135" t="s">
        <v>120</v>
      </c>
      <c r="C112" s="129"/>
      <c r="D112" s="132"/>
      <c r="E112" s="132"/>
      <c r="F112" s="132"/>
      <c r="G112" s="132"/>
      <c r="H112" s="132"/>
      <c r="I112" s="132"/>
      <c r="J112" s="132"/>
      <c r="K112" s="132"/>
      <c r="L112" s="132"/>
      <c r="M112" s="132"/>
      <c r="N112" s="132"/>
      <c r="O112" s="132"/>
      <c r="P112" s="132"/>
      <c r="Q112" s="132"/>
      <c r="R112" s="130"/>
    </row>
    <row r="113" spans="2:21" ht="15.5" x14ac:dyDescent="0.35">
      <c r="B113" s="106" t="s">
        <v>272</v>
      </c>
      <c r="C113" s="106"/>
      <c r="D113" s="108">
        <f>'EC-known'!D110*$R$1+'FIX-EX'!D110*$R$4</f>
        <v>0</v>
      </c>
      <c r="E113" s="108">
        <f>'EC-known'!E110*$R$1+'FIX-EX'!E110*$R$4</f>
        <v>125.50240000000001</v>
      </c>
      <c r="F113" s="108">
        <f>'EC-known'!F110*$R$1+'FIX-EX'!F110*$R$4</f>
        <v>862.25390096961871</v>
      </c>
      <c r="G113" s="108">
        <f>'EC-known'!G110*$R$1+'FIX-EX'!G110*$R$4</f>
        <v>725.58714358974362</v>
      </c>
      <c r="H113" s="108">
        <f>'EC-known'!H110*$R$1+'FIX-EX'!H110*$R$4</f>
        <v>520.27304000000004</v>
      </c>
      <c r="I113" s="108">
        <f>'EC-known'!I110*$R$1+'FIX-EX'!I110*$R$4</f>
        <v>417.65050133333341</v>
      </c>
      <c r="J113" s="108">
        <f>'EC-known'!J110*$R$1+'FIX-EX'!J110*$R$4</f>
        <v>1004.9766712982587</v>
      </c>
      <c r="K113" s="108">
        <f>'EC-known'!K110*$R$1+'FIX-EX'!K110*$R$4</f>
        <v>335.84160000000003</v>
      </c>
      <c r="L113" s="108">
        <f>'EC-known'!L110*$R$1+'FIX-EX'!L110*$R$4</f>
        <v>954.2356778416821</v>
      </c>
      <c r="M113" s="108">
        <f>'EC-known'!M110*$R$1+'FIX-EX'!M110*$R$4</f>
        <v>268.39397583556899</v>
      </c>
      <c r="N113" s="108">
        <f>'EC-known'!N110*$R$1+'FIX-EX'!N110*$R$4</f>
        <v>866.85067514760226</v>
      </c>
      <c r="O113" s="108">
        <f>'EC-known'!O110*$R$1+'FIX-EX'!O110*$R$4</f>
        <v>435.17399999999998</v>
      </c>
      <c r="P113" s="108">
        <f>'EC-known'!P110*$R$1+'FIX-EX'!P110*$R$4</f>
        <v>297.86197771949202</v>
      </c>
      <c r="Q113" s="108">
        <f>'EC-known'!Q110*$R$1+'FIX-EX'!Q110*$R$4</f>
        <v>112.72800000000001</v>
      </c>
      <c r="R113" s="113">
        <f t="shared" si="28"/>
        <v>6927.3295637353003</v>
      </c>
    </row>
    <row r="114" spans="2:21" ht="15.5" x14ac:dyDescent="0.35">
      <c r="B114" s="106" t="s">
        <v>273</v>
      </c>
      <c r="C114" s="106"/>
      <c r="D114" s="108">
        <f>'EC-known'!D111*$R$1+'FIX-EX'!D111*$R$4</f>
        <v>0</v>
      </c>
      <c r="E114" s="108">
        <f>'EC-known'!E111*$R$1+'FIX-EX'!E111*$R$4</f>
        <v>256</v>
      </c>
      <c r="F114" s="108">
        <f>'EC-known'!F111*$R$1+'FIX-EX'!F111*$R$4</f>
        <v>926.41359999999997</v>
      </c>
      <c r="G114" s="108">
        <f>'EC-known'!G111*$R$1+'FIX-EX'!G111*$R$4</f>
        <v>505.5</v>
      </c>
      <c r="H114" s="108">
        <f>'EC-known'!H111*$R$1+'FIX-EX'!H111*$R$4</f>
        <v>498.67899999999997</v>
      </c>
      <c r="I114" s="108">
        <f>'EC-known'!I111*$R$1+'FIX-EX'!I111*$R$4</f>
        <v>526</v>
      </c>
      <c r="J114" s="108">
        <f>'EC-known'!J111*$R$1+'FIX-EX'!J111*$R$4</f>
        <v>658.6653</v>
      </c>
      <c r="K114" s="108">
        <f>'EC-known'!K111*$R$1+'FIX-EX'!K111*$R$4</f>
        <v>690.26030000000003</v>
      </c>
      <c r="L114" s="108">
        <f>'EC-known'!L111*$R$1+'FIX-EX'!L111*$R$4</f>
        <v>679.90499999999997</v>
      </c>
      <c r="M114" s="108">
        <f>'EC-known'!M111*$R$1+'FIX-EX'!M111*$R$4</f>
        <v>363</v>
      </c>
      <c r="N114" s="108">
        <f>'EC-known'!N111*$R$1+'FIX-EX'!N111*$R$4</f>
        <v>1402.405</v>
      </c>
      <c r="O114" s="108">
        <f>'EC-known'!O111*$R$1+'FIX-EX'!O111*$R$4</f>
        <v>900</v>
      </c>
      <c r="P114" s="108">
        <f>'EC-known'!P111*$R$1+'FIX-EX'!P111*$R$4</f>
        <v>672.40499999999997</v>
      </c>
      <c r="Q114" s="108">
        <f>'EC-known'!Q111*$R$1+'FIX-EX'!Q111*$R$4</f>
        <v>280</v>
      </c>
      <c r="R114" s="113">
        <f t="shared" si="28"/>
        <v>8359.2331999999988</v>
      </c>
    </row>
    <row r="115" spans="2:21" ht="15.5" x14ac:dyDescent="0.35">
      <c r="B115" s="106" t="s">
        <v>274</v>
      </c>
      <c r="C115" s="106"/>
      <c r="D115" s="108">
        <f>'WC-known'!D110*$R$2+'FLOAT-EX'!D110*$R$4</f>
        <v>0</v>
      </c>
      <c r="E115" s="108">
        <f>'WC-known'!E110*$R$2+'FLOAT-EX'!E110*$R$4</f>
        <v>0</v>
      </c>
      <c r="F115" s="108">
        <f>'WC-known'!F110*$R$2+'FLOAT-EX'!F110*$R$4</f>
        <v>0</v>
      </c>
      <c r="G115" s="108">
        <f>'WC-known'!G110*$R$2+'FLOAT-EX'!G110*$R$4</f>
        <v>0</v>
      </c>
      <c r="H115" s="108">
        <f>'WC-known'!H110*$R$2+'FLOAT-EX'!H110*$R$4</f>
        <v>0</v>
      </c>
      <c r="I115" s="108">
        <f>'WC-known'!I110*$R$2+'FLOAT-EX'!I110*$R$4</f>
        <v>0</v>
      </c>
      <c r="J115" s="108">
        <f>'WC-known'!J110*$R$2+'FLOAT-EX'!J110*$R$4</f>
        <v>122.04275156097356</v>
      </c>
      <c r="K115" s="108">
        <f>'WC-known'!K110*$R$2+'FLOAT-EX'!K110*$R$4</f>
        <v>244.04667450250608</v>
      </c>
      <c r="L115" s="108">
        <f>'WC-known'!L110*$R$2+'FLOAT-EX'!L110*$R$4</f>
        <v>244.04667450250608</v>
      </c>
      <c r="M115" s="108">
        <f>'WC-known'!M110*$R$2+'FLOAT-EX'!M110*$R$4</f>
        <v>557.86088447202997</v>
      </c>
      <c r="N115" s="108">
        <f>'WC-known'!N110*$R$2+'FLOAT-EX'!N110*$R$4</f>
        <v>203.27935408967988</v>
      </c>
      <c r="O115" s="108">
        <f>'WC-known'!O110*$R$2+'FLOAT-EX'!O110*$R$4</f>
        <v>731.97640459301431</v>
      </c>
      <c r="P115" s="108">
        <f>'WC-known'!P110*$R$2+'FLOAT-EX'!P110*$R$4</f>
        <v>508.33333333333337</v>
      </c>
      <c r="Q115" s="108">
        <f>'WC-known'!Q110*$R$2+'FLOAT-EX'!Q110*$R$4</f>
        <v>915.00000000000011</v>
      </c>
      <c r="R115" s="113">
        <f t="shared" si="28"/>
        <v>3526.5860770540435</v>
      </c>
    </row>
    <row r="116" spans="2:21" ht="15.5" x14ac:dyDescent="0.35">
      <c r="B116" s="106" t="s">
        <v>274</v>
      </c>
      <c r="C116" s="106"/>
      <c r="D116" s="108">
        <f>'WC-known'!D111*$R$2+'FLOAT-EX'!D111*$R$4</f>
        <v>0</v>
      </c>
      <c r="E116" s="108">
        <f>'WC-known'!E111*$R$2+'FLOAT-EX'!E111*$R$4</f>
        <v>0</v>
      </c>
      <c r="F116" s="108">
        <f>'WC-known'!F111*$R$2+'FLOAT-EX'!F111*$R$4</f>
        <v>0</v>
      </c>
      <c r="G116" s="108">
        <f>'WC-known'!G111*$R$2+'FLOAT-EX'!G111*$R$4</f>
        <v>0</v>
      </c>
      <c r="H116" s="108">
        <f>'WC-known'!H111*$R$2+'FLOAT-EX'!H111*$R$4</f>
        <v>0</v>
      </c>
      <c r="I116" s="108">
        <f>'WC-known'!I111*$R$2+'FLOAT-EX'!I111*$R$4</f>
        <v>0</v>
      </c>
      <c r="J116" s="108">
        <f>'WC-known'!J111*$R$2+'FLOAT-EX'!J111*$R$4</f>
        <v>120</v>
      </c>
      <c r="K116" s="108">
        <f>'WC-known'!K111*$R$2+'FLOAT-EX'!K111*$R$4</f>
        <v>210</v>
      </c>
      <c r="L116" s="108">
        <f>'WC-known'!L111*$R$2+'FLOAT-EX'!L111*$R$4</f>
        <v>210</v>
      </c>
      <c r="M116" s="108">
        <f>'WC-known'!M111*$R$2+'FLOAT-EX'!M111*$R$4</f>
        <v>525</v>
      </c>
      <c r="N116" s="108">
        <f>'WC-known'!N111*$R$2+'FLOAT-EX'!N111*$R$4</f>
        <v>210</v>
      </c>
      <c r="O116" s="108">
        <f>'WC-known'!O111*$R$2+'FLOAT-EX'!O111*$R$4</f>
        <v>745</v>
      </c>
      <c r="P116" s="108">
        <f>'WC-known'!P111*$R$2+'FLOAT-EX'!P111*$R$4</f>
        <v>440</v>
      </c>
      <c r="Q116" s="108">
        <f>'WC-known'!Q111*$R$2+'FLOAT-EX'!Q111*$R$4</f>
        <v>830</v>
      </c>
      <c r="R116" s="113">
        <f t="shared" si="28"/>
        <v>3290</v>
      </c>
    </row>
    <row r="117" spans="2:21" ht="15.5" x14ac:dyDescent="0.35">
      <c r="B117" s="135" t="s">
        <v>244</v>
      </c>
      <c r="C117" s="129"/>
      <c r="D117" s="136"/>
      <c r="E117" s="132"/>
      <c r="F117" s="132"/>
      <c r="G117" s="132"/>
      <c r="H117" s="132"/>
      <c r="I117" s="132"/>
      <c r="J117" s="132"/>
      <c r="K117" s="132"/>
      <c r="L117" s="137"/>
      <c r="M117" s="132"/>
      <c r="N117" s="132"/>
      <c r="O117" s="132"/>
      <c r="P117" s="132"/>
      <c r="Q117" s="132"/>
      <c r="R117" s="130"/>
    </row>
    <row r="118" spans="2:21" ht="15.5" x14ac:dyDescent="0.35">
      <c r="B118" s="106" t="s">
        <v>121</v>
      </c>
      <c r="C118" s="106"/>
      <c r="D118" s="108">
        <f>D86*Assumptions!$K$25/24</f>
        <v>0</v>
      </c>
      <c r="E118" s="108">
        <f>E86*Assumptions!$K$25/24</f>
        <v>64.15384615384616</v>
      </c>
      <c r="F118" s="108">
        <f>F86*Assumptions!$K$25/24</f>
        <v>392.69230769230779</v>
      </c>
      <c r="G118" s="108">
        <f>G86*Assumptions!$K$25/24</f>
        <v>281.26923076923077</v>
      </c>
      <c r="H118" s="108">
        <f>H86*Assumptions!$K$25/24</f>
        <v>91</v>
      </c>
      <c r="I118" s="108">
        <f>I86*Assumptions!$K$25/24</f>
        <v>0</v>
      </c>
      <c r="J118" s="108">
        <f>J86*Assumptions!$K$25/24</f>
        <v>0</v>
      </c>
      <c r="K118" s="108">
        <f>K86*Assumptions!$K$25/24</f>
        <v>0</v>
      </c>
      <c r="L118" s="109">
        <f>L86*Assumptions!$K$25/24</f>
        <v>0</v>
      </c>
      <c r="M118" s="108">
        <f>M86*Assumptions!$K$25/24</f>
        <v>0</v>
      </c>
      <c r="N118" s="108">
        <f>N86*Assumptions!$K$25/24</f>
        <v>0</v>
      </c>
      <c r="O118" s="108">
        <f>O86*Assumptions!$K$25/24</f>
        <v>0</v>
      </c>
      <c r="P118" s="108">
        <f>P86*Assumptions!$K$25/24</f>
        <v>0</v>
      </c>
      <c r="Q118" s="108">
        <f>Q86*Assumptions!$K$25/24</f>
        <v>0</v>
      </c>
      <c r="R118" s="113"/>
      <c r="T118" t="s">
        <v>139</v>
      </c>
    </row>
    <row r="119" spans="2:21" ht="15.5" x14ac:dyDescent="0.35">
      <c r="B119" s="106" t="s">
        <v>122</v>
      </c>
      <c r="C119" s="106"/>
      <c r="D119" s="108">
        <f>D87*Assumptions!$K$25/24</f>
        <v>0</v>
      </c>
      <c r="E119" s="108">
        <f>E87*Assumptions!$K$25/24</f>
        <v>0</v>
      </c>
      <c r="F119" s="108">
        <f>F87*Assumptions!$K$25/24</f>
        <v>114.78151260504201</v>
      </c>
      <c r="G119" s="108">
        <f>G87*Assumptions!$K$25/24</f>
        <v>153.50000000000003</v>
      </c>
      <c r="H119" s="108">
        <f>H87*Assumptions!$K$25/24</f>
        <v>274.59999999999997</v>
      </c>
      <c r="I119" s="108">
        <f>I87*Assumptions!$K$25/24</f>
        <v>290.45999999999998</v>
      </c>
      <c r="J119" s="108">
        <f>J87*Assumptions!$K$25/24</f>
        <v>612.61690498736982</v>
      </c>
      <c r="K119" s="108">
        <f>K87*Assumptions!$K$25/24</f>
        <v>329.41912889446968</v>
      </c>
      <c r="L119" s="109">
        <f>L87*Assumptions!$K$25/24</f>
        <v>572.91289791201211</v>
      </c>
      <c r="M119" s="108">
        <f>M87*Assumptions!$K$25/24</f>
        <v>0</v>
      </c>
      <c r="N119" s="108">
        <f>N87*Assumptions!$K$25/24</f>
        <v>0</v>
      </c>
      <c r="O119" s="108">
        <f>O87*Assumptions!$K$25/24</f>
        <v>0</v>
      </c>
      <c r="P119" s="108">
        <f>P87*Assumptions!$K$25/24</f>
        <v>0</v>
      </c>
      <c r="Q119" s="108">
        <f>Q87*Assumptions!$K$25/24</f>
        <v>0</v>
      </c>
      <c r="R119" s="113"/>
      <c r="T119" t="s">
        <v>148</v>
      </c>
    </row>
    <row r="120" spans="2:21" ht="15.5" x14ac:dyDescent="0.35">
      <c r="B120" s="106" t="s">
        <v>123</v>
      </c>
      <c r="C120" s="106"/>
      <c r="D120" s="108">
        <f>D88*Assumptions!$K$25/24</f>
        <v>0</v>
      </c>
      <c r="E120" s="108">
        <f>E88*Assumptions!$K$25/24</f>
        <v>0</v>
      </c>
      <c r="F120" s="108">
        <f>F88*Assumptions!$K$25/24</f>
        <v>0</v>
      </c>
      <c r="G120" s="108">
        <f>G88*Assumptions!$K$25/24</f>
        <v>0</v>
      </c>
      <c r="H120" s="108">
        <f>H88*Assumptions!$K$25/24</f>
        <v>0</v>
      </c>
      <c r="I120" s="108">
        <f>I88*Assumptions!$K$25/24</f>
        <v>0</v>
      </c>
      <c r="J120" s="108">
        <f>J88*Assumptions!$K$25/24</f>
        <v>0</v>
      </c>
      <c r="K120" s="108">
        <f>K88*Assumptions!$K$25/24</f>
        <v>0</v>
      </c>
      <c r="L120" s="109">
        <f>L88*Assumptions!$K$25/24</f>
        <v>0</v>
      </c>
      <c r="M120" s="108">
        <f>M88*Assumptions!$K$25/24</f>
        <v>478.80966660967874</v>
      </c>
      <c r="N120" s="108">
        <f>N88*Assumptions!$K$25/24</f>
        <v>534.25019644905069</v>
      </c>
      <c r="O120" s="108">
        <f>O88*Assumptions!$K$25/24</f>
        <v>597.24032975123532</v>
      </c>
      <c r="P120" s="108">
        <f>P88*Assumptions!$K$25/24</f>
        <v>411.79096838763121</v>
      </c>
      <c r="Q120" s="108">
        <f>Q88*Assumptions!$K$25/24</f>
        <v>452</v>
      </c>
      <c r="R120" s="113"/>
      <c r="U120" t="s">
        <v>150</v>
      </c>
    </row>
    <row r="121" spans="2:21" ht="15.5" x14ac:dyDescent="0.35">
      <c r="B121" s="106" t="s">
        <v>140</v>
      </c>
      <c r="C121" s="106"/>
      <c r="D121" s="108">
        <f>(D102+D105)*Assumptions!$K$26/24</f>
        <v>0</v>
      </c>
      <c r="E121" s="108">
        <f>(E102+E105)*Assumptions!$K$26/24</f>
        <v>64.15384615384616</v>
      </c>
      <c r="F121" s="108">
        <f>(F102+F105)*Assumptions!$K$26/24</f>
        <v>463.75953458306395</v>
      </c>
      <c r="G121" s="108">
        <f>(G102+G105)*Assumptions!$K$26/24</f>
        <v>383.76923076923077</v>
      </c>
      <c r="H121" s="108">
        <f>(H102+H105)*Assumptions!$K$26/24</f>
        <v>316.09999999999997</v>
      </c>
      <c r="I121" s="108">
        <f>(I102+I105)*Assumptions!$K$26/24</f>
        <v>282.42</v>
      </c>
      <c r="J121" s="108">
        <f>(J102+J105)*Assumptions!$K$26/24</f>
        <v>462.63899924043864</v>
      </c>
      <c r="K121" s="108">
        <f>(K102+K105)*Assumptions!$K$26/24</f>
        <v>240.74</v>
      </c>
      <c r="L121" s="109">
        <f>(L102+L105)*Assumptions!$K$26/24</f>
        <v>532.56376901754231</v>
      </c>
      <c r="M121" s="108">
        <f>(M102+M105)*Assumptions!$K$26/24</f>
        <v>199.99588513358535</v>
      </c>
      <c r="N121" s="108">
        <f>(N102+N105)*Assumptions!$K$26/24</f>
        <v>428.20230455974178</v>
      </c>
      <c r="O121" s="108">
        <f>(O102+O105)*Assumptions!$K$26/24</f>
        <v>146.41249999999999</v>
      </c>
      <c r="P121" s="108">
        <f>(P102+P105)*Assumptions!$K$26/24</f>
        <v>107.11180172096448</v>
      </c>
      <c r="Q121" s="108">
        <f>(Q102+Q105)*Assumptions!$K$26/24</f>
        <v>561.2833333333333</v>
      </c>
      <c r="R121" s="113"/>
    </row>
    <row r="122" spans="2:21" ht="15.5" x14ac:dyDescent="0.35">
      <c r="B122" s="106" t="s">
        <v>252</v>
      </c>
      <c r="C122" s="106"/>
      <c r="D122" s="108"/>
      <c r="E122" s="108">
        <f>SUM(E118:E121)</f>
        <v>128.30769230769232</v>
      </c>
      <c r="F122" s="108">
        <f t="shared" ref="F122:Q122" si="29">SUM(F118:F121)</f>
        <v>971.2333548804138</v>
      </c>
      <c r="G122" s="108">
        <f t="shared" si="29"/>
        <v>818.53846153846166</v>
      </c>
      <c r="H122" s="108">
        <f t="shared" si="29"/>
        <v>681.69999999999993</v>
      </c>
      <c r="I122" s="108">
        <f t="shared" si="29"/>
        <v>572.88</v>
      </c>
      <c r="J122" s="108">
        <f t="shared" si="29"/>
        <v>1075.2559042278085</v>
      </c>
      <c r="K122" s="108">
        <f>SUM(K118:K121)</f>
        <v>570.15912889446963</v>
      </c>
      <c r="L122" s="108">
        <f t="shared" si="29"/>
        <v>1105.4766669295545</v>
      </c>
      <c r="M122" s="108">
        <f t="shared" si="29"/>
        <v>678.80555174326412</v>
      </c>
      <c r="N122" s="108">
        <f t="shared" si="29"/>
        <v>962.45250100879252</v>
      </c>
      <c r="O122" s="108">
        <f t="shared" si="29"/>
        <v>743.65282975123534</v>
      </c>
      <c r="P122" s="108">
        <f t="shared" si="29"/>
        <v>518.90277010859563</v>
      </c>
      <c r="Q122" s="108">
        <f t="shared" si="29"/>
        <v>1013.2833333333333</v>
      </c>
      <c r="R122" s="113"/>
    </row>
    <row r="123" spans="2:21" ht="15.5" x14ac:dyDescent="0.35">
      <c r="B123" s="106" t="s">
        <v>138</v>
      </c>
      <c r="C123" s="106"/>
      <c r="D123" s="108">
        <f>D110*Assumptions!$K$27/24</f>
        <v>0</v>
      </c>
      <c r="E123" s="108">
        <f>E110*Assumptions!$K$27/24</f>
        <v>20</v>
      </c>
      <c r="F123" s="108">
        <f>F110*Assumptions!$K$27/24</f>
        <v>100</v>
      </c>
      <c r="G123" s="108">
        <f>G110*Assumptions!$K$27/24</f>
        <v>60</v>
      </c>
      <c r="H123" s="108">
        <f>H110*Assumptions!$K$27/24</f>
        <v>70</v>
      </c>
      <c r="I123" s="108">
        <f>I110*Assumptions!$K$27/24</f>
        <v>50</v>
      </c>
      <c r="J123" s="108">
        <f>J110*Assumptions!$K$27/24</f>
        <v>80</v>
      </c>
      <c r="K123" s="108">
        <f>K110*Assumptions!$K$27/24</f>
        <v>50</v>
      </c>
      <c r="L123" s="109">
        <f>L110*Assumptions!$K$27/24</f>
        <v>80</v>
      </c>
      <c r="M123" s="108">
        <f>M110*Assumptions!$K$27/24</f>
        <v>30</v>
      </c>
      <c r="N123" s="108">
        <f>N110*Assumptions!$K$27/24</f>
        <v>100</v>
      </c>
      <c r="O123" s="108">
        <f>O110*Assumptions!$K$27/24</f>
        <v>60</v>
      </c>
      <c r="P123" s="108">
        <f>P110*Assumptions!$K$27/24</f>
        <v>50</v>
      </c>
      <c r="Q123" s="108">
        <f>Q110*Assumptions!$K$27/24</f>
        <v>20</v>
      </c>
      <c r="R123" s="113"/>
    </row>
    <row r="124" spans="2:21" ht="15.5" x14ac:dyDescent="0.35">
      <c r="B124" s="106" t="s">
        <v>195</v>
      </c>
      <c r="C124" s="106"/>
      <c r="D124" s="108">
        <f>(ROUNDUP(D83/400,1)+D84)*Assumptions!$K$45+SUM(D113:D114)/Assumptions!$K$44</f>
        <v>0</v>
      </c>
      <c r="E124" s="108">
        <f>(ROUNDUP(E83/400,1)+E84)*Assumptions!$K$45+SUM(E113:E114)/Assumptions!$K$44</f>
        <v>161.37560000000002</v>
      </c>
      <c r="F124" s="108">
        <f>(ROUNDUP(F83/400,1)+F84)*Assumptions!$K$45+SUM(F113:F114)/Assumptions!$K$44</f>
        <v>783.16687524240456</v>
      </c>
      <c r="G124" s="108">
        <f>(ROUNDUP(G83/400,1)+G84)*Assumptions!$K$45+SUM(G113:G114)/Assumptions!$K$44</f>
        <v>597.77178589743585</v>
      </c>
      <c r="H124" s="108">
        <f>(ROUNDUP(H83/400,1)+H84)*Assumptions!$K$45+SUM(H113:H114)/Assumptions!$K$44</f>
        <v>548.73801000000003</v>
      </c>
      <c r="I124" s="108">
        <f>(ROUNDUP(I83/400,1)+I84)*Assumptions!$K$45+SUM(I113:I114)/Assumptions!$K$44</f>
        <v>441.91262533333338</v>
      </c>
      <c r="J124" s="108">
        <f>(ROUNDUP(J83/400,1)+J84)*Assumptions!$K$45+SUM(J113:J114)/Assumptions!$K$44</f>
        <v>883.9104928245647</v>
      </c>
      <c r="K124" s="108">
        <f>(ROUNDUP(K83/400,1)+K84)*Assumptions!$K$45+SUM(K113:K114)/Assumptions!$K$44</f>
        <v>522.52547500000003</v>
      </c>
      <c r="L124" s="109">
        <f>(ROUNDUP(L83/400,1)+L84)*Assumptions!$K$45+SUM(L113:L114)/Assumptions!$K$44</f>
        <v>856.53516946042055</v>
      </c>
      <c r="M124" s="108">
        <f>(ROUNDUP(M83/400,1)+M84)*Assumptions!$K$45+SUM(M113:M114)/Assumptions!$K$44</f>
        <v>585.84849395889228</v>
      </c>
      <c r="N124" s="108">
        <f>(ROUNDUP(N83/400,1)+N84)*Assumptions!$K$45+SUM(N113:N114)/Assumptions!$K$44</f>
        <v>1029.3139187869006</v>
      </c>
      <c r="O124" s="108">
        <f>(ROUNDUP(O83/400,1)+O84)*Assumptions!$K$45+SUM(O113:O114)/Assumptions!$K$44</f>
        <v>833.79349999999999</v>
      </c>
      <c r="P124" s="108">
        <f>(ROUNDUP(P83/400,1)+P84)*Assumptions!$K$45+SUM(P113:P114)/Assumptions!$K$44</f>
        <v>590.56674442987298</v>
      </c>
      <c r="Q124" s="108">
        <f>(ROUNDUP(Q83/400,1)+Q84)*Assumptions!$K$45+SUM(Q113:Q114)/Assumptions!$K$44</f>
        <v>470.18200000000002</v>
      </c>
      <c r="R124" s="113"/>
    </row>
    <row r="125" spans="2:21" ht="15.5" x14ac:dyDescent="0.35">
      <c r="B125" s="106" t="s">
        <v>297</v>
      </c>
      <c r="C125" s="106"/>
      <c r="D125" s="108">
        <f>D102*Assumptions!$K$28/24</f>
        <v>0</v>
      </c>
      <c r="E125" s="108">
        <f>E102*Assumptions!$K$28/24</f>
        <v>49.15384615384616</v>
      </c>
      <c r="F125" s="108">
        <f>F102*Assumptions!$K$28/24</f>
        <v>344.24030381383324</v>
      </c>
      <c r="G125" s="108">
        <f>G102*Assumptions!$K$28/24</f>
        <v>269.25961538461536</v>
      </c>
      <c r="H125" s="108">
        <f>H102*Assumptions!$K$28/24</f>
        <v>241.1</v>
      </c>
      <c r="I125" s="108">
        <f>I102*Assumptions!$K$28/24</f>
        <v>145.82000000000002</v>
      </c>
      <c r="J125" s="108">
        <f>J102*Assumptions!$K$28/24</f>
        <v>340.16399924043861</v>
      </c>
      <c r="K125" s="108">
        <f>K102*Assumptions!$K$28/24</f>
        <v>225.38</v>
      </c>
      <c r="L125" s="108">
        <f>L102*Assumptions!$K$28/24</f>
        <v>480.55876901754232</v>
      </c>
      <c r="M125" s="108">
        <f>M102*Assumptions!$K$28/24</f>
        <v>174.99588513358538</v>
      </c>
      <c r="N125" s="108">
        <f>N102*Assumptions!$K$28/24</f>
        <v>319.52395669625787</v>
      </c>
      <c r="O125" s="108">
        <f>O102*Assumptions!$K$28/24</f>
        <v>120.57499999999999</v>
      </c>
      <c r="P125" s="108">
        <f>P102*Assumptions!$K$28/24</f>
        <v>94.09930172096449</v>
      </c>
      <c r="Q125" s="108">
        <f>Q102*Assumptions!$K$28/24</f>
        <v>462.23333333333329</v>
      </c>
      <c r="R125" s="113"/>
    </row>
    <row r="126" spans="2:21" ht="15.5" x14ac:dyDescent="0.35">
      <c r="B126" s="135" t="s">
        <v>243</v>
      </c>
      <c r="C126" s="129"/>
      <c r="D126" s="136"/>
      <c r="E126" s="132"/>
      <c r="F126" s="132"/>
      <c r="G126" s="132"/>
      <c r="H126" s="132"/>
      <c r="I126" s="132"/>
      <c r="J126" s="132"/>
      <c r="K126" s="132"/>
      <c r="L126" s="137"/>
      <c r="M126" s="132"/>
      <c r="N126" s="132"/>
      <c r="O126" s="132"/>
      <c r="P126" s="132"/>
      <c r="Q126" s="132"/>
      <c r="R126" s="130"/>
    </row>
    <row r="127" spans="2:21" ht="15.5" x14ac:dyDescent="0.35">
      <c r="B127" s="106" t="s">
        <v>121</v>
      </c>
      <c r="C127" s="106"/>
      <c r="D127" s="108">
        <f>'EC-known'!D122*$R$1+'FIX-EX'!D122*$R$4</f>
        <v>0</v>
      </c>
      <c r="E127" s="108">
        <f>'EC-known'!E122*$R$1+'FIX-EX'!E122*$R$4</f>
        <v>1</v>
      </c>
      <c r="F127" s="108">
        <f>'EC-known'!F122*$R$1+'FIX-EX'!F122*$R$4</f>
        <v>2</v>
      </c>
      <c r="G127" s="108">
        <f>'EC-known'!G122*$R$1+'FIX-EX'!G122*$R$4</f>
        <v>2</v>
      </c>
      <c r="H127" s="108">
        <f>'EC-known'!H122*$R$1+'FIX-EX'!H122*$R$4</f>
        <v>1</v>
      </c>
      <c r="I127" s="108">
        <f>'EC-known'!I122*$R$1+'FIX-EX'!I122*$R$4</f>
        <v>0</v>
      </c>
      <c r="J127" s="108">
        <f>'EC-known'!J122*$R$1+'FIX-EX'!J122*$R$4</f>
        <v>0</v>
      </c>
      <c r="K127" s="108">
        <f>'EC-known'!K122*$R$1+'FIX-EX'!K122*$R$4</f>
        <v>0</v>
      </c>
      <c r="L127" s="108">
        <f>'EC-known'!L122*$R$1+'FIX-EX'!L122*$R$4</f>
        <v>0</v>
      </c>
      <c r="M127" s="108">
        <f>'EC-known'!M122*$R$1+'FIX-EX'!M122*$R$4</f>
        <v>0</v>
      </c>
      <c r="N127" s="108">
        <f>'EC-known'!N122*$R$1+'FIX-EX'!N122*$R$4</f>
        <v>0</v>
      </c>
      <c r="O127" s="108">
        <f>'EC-known'!O122*$R$1+'FIX-EX'!O122*$R$4</f>
        <v>0</v>
      </c>
      <c r="P127" s="108">
        <f>'EC-known'!P122*$R$1+'FIX-EX'!P122*$R$4</f>
        <v>0</v>
      </c>
      <c r="Q127" s="108">
        <f>'EC-known'!Q122*$R$1+'FIX-EX'!Q122*$R$4</f>
        <v>0</v>
      </c>
      <c r="R127" s="113"/>
    </row>
    <row r="128" spans="2:21" ht="15.5" x14ac:dyDescent="0.35">
      <c r="B128" s="106" t="s">
        <v>122</v>
      </c>
      <c r="C128" s="106"/>
      <c r="D128" s="108">
        <f>'EC-known'!D123*$R$1+'FIX-EX'!D123*$R$4</f>
        <v>0</v>
      </c>
      <c r="E128" s="108">
        <f>'EC-known'!E123*$R$1+'FIX-EX'!E123*$R$4</f>
        <v>0</v>
      </c>
      <c r="F128" s="108">
        <f>'EC-known'!F123*$R$1+'FIX-EX'!F123*$R$4</f>
        <v>1</v>
      </c>
      <c r="G128" s="108">
        <f>'EC-known'!G123*$R$1+'FIX-EX'!G123*$R$4</f>
        <v>1</v>
      </c>
      <c r="H128" s="108">
        <f>'EC-known'!H123*$R$1+'FIX-EX'!H123*$R$4</f>
        <v>2</v>
      </c>
      <c r="I128" s="108">
        <f>'EC-known'!I123*$R$1+'FIX-EX'!I123*$R$4</f>
        <v>2</v>
      </c>
      <c r="J128" s="108">
        <f>'EC-known'!J123*$R$1+'FIX-EX'!J123*$R$4</f>
        <v>3</v>
      </c>
      <c r="K128" s="108">
        <f>'EC-known'!K123*$R$1+'FIX-EX'!K123*$R$4</f>
        <v>1</v>
      </c>
      <c r="L128" s="108">
        <f>'EC-known'!L123*$R$1+'FIX-EX'!L123*$R$4</f>
        <v>2</v>
      </c>
      <c r="M128" s="108">
        <f>'EC-known'!M123*$R$1+'FIX-EX'!M123*$R$4</f>
        <v>0</v>
      </c>
      <c r="N128" s="108">
        <f>'EC-known'!N123*$R$1+'FIX-EX'!N123*$R$4</f>
        <v>0</v>
      </c>
      <c r="O128" s="108">
        <f>'EC-known'!O123*$R$1+'FIX-EX'!O123*$R$4</f>
        <v>0</v>
      </c>
      <c r="P128" s="108">
        <f>'EC-known'!P123*$R$1+'FIX-EX'!P123*$R$4</f>
        <v>0</v>
      </c>
      <c r="Q128" s="108">
        <f>'EC-known'!Q123*$R$1+'FIX-EX'!Q123*$R$4</f>
        <v>0</v>
      </c>
      <c r="R128" s="113"/>
    </row>
    <row r="129" spans="2:18" ht="15.5" x14ac:dyDescent="0.35">
      <c r="B129" s="106" t="s">
        <v>123</v>
      </c>
      <c r="C129" s="106"/>
      <c r="D129" s="108">
        <f>'EC-known'!D124*$R$1+'FIX-EX'!D124*$R$4</f>
        <v>0</v>
      </c>
      <c r="E129" s="108">
        <f>'EC-known'!E124*$R$1+'FIX-EX'!E124*$R$4</f>
        <v>0</v>
      </c>
      <c r="F129" s="108">
        <f>'EC-known'!F124*$R$1+'FIX-EX'!F124*$R$4</f>
        <v>0</v>
      </c>
      <c r="G129" s="108">
        <f>'EC-known'!G124*$R$1+'FIX-EX'!G124*$R$4</f>
        <v>0</v>
      </c>
      <c r="H129" s="108">
        <f>'EC-known'!H124*$R$1+'FIX-EX'!H124*$R$4</f>
        <v>0</v>
      </c>
      <c r="I129" s="108">
        <f>'EC-known'!I124*$R$1+'FIX-EX'!I124*$R$4</f>
        <v>0</v>
      </c>
      <c r="J129" s="108">
        <f>'EC-known'!J124*$R$1+'FIX-EX'!J124*$R$4</f>
        <v>0</v>
      </c>
      <c r="K129" s="108">
        <f>'EC-known'!K124*$R$1+'FIX-EX'!K124*$R$4</f>
        <v>0</v>
      </c>
      <c r="L129" s="108">
        <f>'EC-known'!L124*$R$1+'FIX-EX'!L124*$R$4</f>
        <v>0</v>
      </c>
      <c r="M129" s="108">
        <f>'EC-known'!M124*$R$1+'FIX-EX'!M124*$R$4</f>
        <v>2</v>
      </c>
      <c r="N129" s="108">
        <f>'EC-known'!N124*$R$1+'FIX-EX'!N124*$R$4</f>
        <v>3</v>
      </c>
      <c r="O129" s="108">
        <f>'EC-known'!O124*$R$1+'FIX-EX'!O124*$R$4</f>
        <v>2</v>
      </c>
      <c r="P129" s="108">
        <f>'EC-known'!P124*$R$1+'FIX-EX'!P124*$R$4</f>
        <v>2</v>
      </c>
      <c r="Q129" s="108">
        <f>'EC-known'!Q124*$R$1+'FIX-EX'!Q124*$R$4</f>
        <v>1</v>
      </c>
      <c r="R129" s="113"/>
    </row>
    <row r="130" spans="2:18" ht="15.5" x14ac:dyDescent="0.35">
      <c r="B130" s="106" t="s">
        <v>140</v>
      </c>
      <c r="C130" s="106"/>
      <c r="D130" s="108">
        <f>'EC-known'!D125*$R$1+'FIX-EX'!D125*$R$4</f>
        <v>0</v>
      </c>
      <c r="E130" s="108">
        <f>'EC-known'!E125*$R$1+'FIX-EX'!E125*$R$4</f>
        <v>1</v>
      </c>
      <c r="F130" s="108">
        <f>'EC-known'!F125*$R$1+'FIX-EX'!F125*$R$4</f>
        <v>2</v>
      </c>
      <c r="G130" s="108">
        <f>'EC-known'!G125*$R$1+'FIX-EX'!G125*$R$4</f>
        <v>2</v>
      </c>
      <c r="H130" s="108">
        <f>'EC-known'!H125*$R$1+'FIX-EX'!H125*$R$4</f>
        <v>2</v>
      </c>
      <c r="I130" s="108">
        <f>'EC-known'!I125*$R$1+'FIX-EX'!I125*$R$4</f>
        <v>2</v>
      </c>
      <c r="J130" s="108">
        <f>'EC-known'!J125*$R$1+'FIX-EX'!J125*$R$4</f>
        <v>2</v>
      </c>
      <c r="K130" s="108">
        <f>'EC-known'!K125*$R$1+'FIX-EX'!K125*$R$4</f>
        <v>1</v>
      </c>
      <c r="L130" s="108">
        <f>'EC-known'!L125*$R$1+'FIX-EX'!L125*$R$4</f>
        <v>2</v>
      </c>
      <c r="M130" s="108">
        <f>'EC-known'!M125*$R$1+'FIX-EX'!M125*$R$4</f>
        <v>2</v>
      </c>
      <c r="N130" s="108">
        <f>'EC-known'!N125*$R$1+'FIX-EX'!N125*$R$4</f>
        <v>3</v>
      </c>
      <c r="O130" s="108">
        <f>'EC-known'!O125*$R$1+'FIX-EX'!O125*$R$4</f>
        <v>2</v>
      </c>
      <c r="P130" s="108">
        <f>'EC-known'!P125*$R$1+'FIX-EX'!P125*$R$4</f>
        <v>2</v>
      </c>
      <c r="Q130" s="108">
        <f>'EC-known'!Q125*$R$1+'FIX-EX'!Q125*$R$4</f>
        <v>1</v>
      </c>
      <c r="R130" s="113"/>
    </row>
    <row r="131" spans="2:18" ht="15.5" x14ac:dyDescent="0.35">
      <c r="B131" s="105" t="s">
        <v>124</v>
      </c>
      <c r="C131" s="106"/>
      <c r="D131" s="108">
        <f t="shared" ref="D131" si="30">SUM(D127:D130)</f>
        <v>0</v>
      </c>
      <c r="E131" s="108">
        <f t="shared" ref="E131:Q131" si="31">SUM(E127:E130)</f>
        <v>2</v>
      </c>
      <c r="F131" s="108">
        <f t="shared" si="31"/>
        <v>5</v>
      </c>
      <c r="G131" s="108">
        <f t="shared" si="31"/>
        <v>5</v>
      </c>
      <c r="H131" s="108">
        <f t="shared" si="31"/>
        <v>5</v>
      </c>
      <c r="I131" s="108">
        <f t="shared" si="31"/>
        <v>4</v>
      </c>
      <c r="J131" s="108">
        <f t="shared" si="31"/>
        <v>5</v>
      </c>
      <c r="K131" s="108">
        <f t="shared" si="31"/>
        <v>2</v>
      </c>
      <c r="L131" s="108">
        <f t="shared" si="31"/>
        <v>4</v>
      </c>
      <c r="M131" s="108">
        <f t="shared" si="31"/>
        <v>4</v>
      </c>
      <c r="N131" s="108">
        <f t="shared" si="31"/>
        <v>6</v>
      </c>
      <c r="O131" s="108">
        <f t="shared" si="31"/>
        <v>4</v>
      </c>
      <c r="P131" s="108">
        <f t="shared" si="31"/>
        <v>4</v>
      </c>
      <c r="Q131" s="108">
        <f t="shared" si="31"/>
        <v>2</v>
      </c>
      <c r="R131" s="113"/>
    </row>
    <row r="132" spans="2:18" ht="15.5" x14ac:dyDescent="0.35">
      <c r="B132" s="105"/>
      <c r="C132" s="106"/>
      <c r="D132" s="108"/>
      <c r="E132" s="108">
        <f>ROUNDUP(E122/(Assumptions!$C$36*365),0)</f>
        <v>1</v>
      </c>
      <c r="F132" s="108">
        <f>ROUNDUP(F122/(Assumptions!$C$36*365),0)</f>
        <v>4</v>
      </c>
      <c r="G132" s="108">
        <f>ROUNDUP(G122/(Assumptions!$C$36*365),0)</f>
        <v>4</v>
      </c>
      <c r="H132" s="108">
        <f>ROUNDUP(H122/(Assumptions!$C$36*365),0)</f>
        <v>3</v>
      </c>
      <c r="I132" s="108">
        <f>ROUNDUP(I122/(Assumptions!$C$36*365),0)</f>
        <v>3</v>
      </c>
      <c r="J132" s="108">
        <f>ROUNDUP(J122/(Assumptions!$C$36*365),0)</f>
        <v>5</v>
      </c>
      <c r="K132" s="108">
        <f>ROUNDUP(K122/(Assumptions!$C$36*365),0)</f>
        <v>3</v>
      </c>
      <c r="L132" s="108">
        <f>ROUNDUP(L122/(Assumptions!$C$36*365),0)</f>
        <v>5</v>
      </c>
      <c r="M132" s="108">
        <f>ROUNDUP(M122/(Assumptions!$C$36*365),0)</f>
        <v>3</v>
      </c>
      <c r="N132" s="108">
        <f>ROUNDUP(N122/(Assumptions!$C$36*365),0)</f>
        <v>4</v>
      </c>
      <c r="O132" s="108">
        <f>ROUNDUP(O122/(Assumptions!$C$36*365),0)</f>
        <v>4</v>
      </c>
      <c r="P132" s="108">
        <f>ROUNDUP(P122/(Assumptions!$C$36*365),0)</f>
        <v>3</v>
      </c>
      <c r="Q132" s="108">
        <f>ROUNDUP(Q122/(Assumptions!$C$36*365),0)</f>
        <v>5</v>
      </c>
      <c r="R132" s="113"/>
    </row>
    <row r="133" spans="2:18" ht="15.5" x14ac:dyDescent="0.35">
      <c r="B133" s="106" t="s">
        <v>138</v>
      </c>
      <c r="C133" s="106"/>
      <c r="D133" s="108">
        <f>ROUNDUP(D123/(Assumptions!$C$36*365),0)</f>
        <v>0</v>
      </c>
      <c r="E133" s="108">
        <f>ROUNDUP(E123/(Assumptions!$C$36*365),0)</f>
        <v>1</v>
      </c>
      <c r="F133" s="108">
        <f>ROUNDUP(F123/(Assumptions!$C$36*365),0)</f>
        <v>1</v>
      </c>
      <c r="G133" s="108">
        <f>ROUNDUP(G123/(Assumptions!$C$36*365),0)</f>
        <v>1</v>
      </c>
      <c r="H133" s="108">
        <f>ROUNDUP(H123/(Assumptions!$C$36*365),0)</f>
        <v>1</v>
      </c>
      <c r="I133" s="108">
        <f>ROUNDUP(I123/(Assumptions!$C$36*365),0)</f>
        <v>1</v>
      </c>
      <c r="J133" s="108">
        <f>ROUNDUP(J123/(Assumptions!$C$36*365),0)</f>
        <v>1</v>
      </c>
      <c r="K133" s="108">
        <f>ROUNDUP(K123/(Assumptions!$C$36*365),0)</f>
        <v>1</v>
      </c>
      <c r="L133" s="109">
        <f>ROUNDUP(L123/(Assumptions!$C$36*365),0)</f>
        <v>1</v>
      </c>
      <c r="M133" s="108">
        <f>ROUNDUP(M123/(Assumptions!$C$36*365),0)</f>
        <v>1</v>
      </c>
      <c r="N133" s="108">
        <f>ROUNDUP(N123/(Assumptions!$C$36*365),0)</f>
        <v>1</v>
      </c>
      <c r="O133" s="108">
        <f>ROUNDUP(O123/(Assumptions!$C$36*365),0)</f>
        <v>1</v>
      </c>
      <c r="P133" s="108">
        <f>ROUNDUP(P123/(Assumptions!$C$36*365),0)</f>
        <v>1</v>
      </c>
      <c r="Q133" s="108">
        <f>ROUNDUP(Q123/(Assumptions!$C$36*365),0)</f>
        <v>1</v>
      </c>
      <c r="R133" s="113"/>
    </row>
    <row r="134" spans="2:18" ht="15.5" x14ac:dyDescent="0.35">
      <c r="B134" s="106" t="s">
        <v>365</v>
      </c>
      <c r="C134" s="106"/>
      <c r="D134" s="108">
        <f t="shared" ref="D134:Q134" si="32">D131*2</f>
        <v>0</v>
      </c>
      <c r="E134" s="108">
        <f t="shared" si="32"/>
        <v>4</v>
      </c>
      <c r="F134" s="108">
        <f t="shared" si="32"/>
        <v>10</v>
      </c>
      <c r="G134" s="108">
        <f t="shared" si="32"/>
        <v>10</v>
      </c>
      <c r="H134" s="108">
        <f t="shared" si="32"/>
        <v>10</v>
      </c>
      <c r="I134" s="108">
        <f t="shared" si="32"/>
        <v>8</v>
      </c>
      <c r="J134" s="108">
        <f t="shared" si="32"/>
        <v>10</v>
      </c>
      <c r="K134" s="108">
        <f t="shared" si="32"/>
        <v>4</v>
      </c>
      <c r="L134" s="109">
        <f t="shared" si="32"/>
        <v>8</v>
      </c>
      <c r="M134" s="108">
        <f t="shared" si="32"/>
        <v>8</v>
      </c>
      <c r="N134" s="108">
        <f t="shared" si="32"/>
        <v>12</v>
      </c>
      <c r="O134" s="108">
        <f t="shared" si="32"/>
        <v>8</v>
      </c>
      <c r="P134" s="108">
        <f t="shared" si="32"/>
        <v>8</v>
      </c>
      <c r="Q134" s="108">
        <f t="shared" si="32"/>
        <v>4</v>
      </c>
      <c r="R134" s="113"/>
    </row>
    <row r="135" spans="2:18" ht="15.5" x14ac:dyDescent="0.35">
      <c r="B135" s="106" t="s">
        <v>179</v>
      </c>
      <c r="C135" s="106"/>
      <c r="D135" s="108">
        <v>0</v>
      </c>
      <c r="E135" s="108">
        <f>IF(E82=0,0,E84*Assumptions!$K$35+D84*Assumptions!$K$36+SUM($C84:C84)*Assumptions!$K$37+Assumptions!$K$38)</f>
        <v>6</v>
      </c>
      <c r="F135" s="108">
        <f>IF(F82=0,0,F84*Assumptions!$K$35+E84*Assumptions!$K$36+SUM($C84:D84)*Assumptions!$K$37+Assumptions!$K$38)</f>
        <v>18</v>
      </c>
      <c r="G135" s="108">
        <f>IF(G82=0,0,G84*Assumptions!$K$35+F84*Assumptions!$K$36+SUM($C84:E84)*Assumptions!$K$37+Assumptions!$K$38)</f>
        <v>26</v>
      </c>
      <c r="H135" s="108">
        <f>IF(H82=0,0,H84*Assumptions!$K$35+G84*Assumptions!$K$36+SUM($C84:F84)*Assumptions!$K$37+Assumptions!$K$38)</f>
        <v>32</v>
      </c>
      <c r="I135" s="108">
        <f>IF(I82=0,0,I84*Assumptions!$K$35+H84*Assumptions!$K$36+SUM($C84:G84)*Assumptions!$K$37+Assumptions!$K$38)</f>
        <v>33</v>
      </c>
      <c r="J135" s="108">
        <f>IF(J82=0,0,J84*Assumptions!$K$35+I84*Assumptions!$K$36+SUM($C84:H84)*Assumptions!$K$37+Assumptions!$K$38)</f>
        <v>43</v>
      </c>
      <c r="K135" s="108">
        <f>IF(K82=0,0,K84*Assumptions!$K$35+J84*Assumptions!$K$36+SUM($C84:I84)*Assumptions!$K$37+Assumptions!$K$38)</f>
        <v>50</v>
      </c>
      <c r="L135" s="108">
        <f>IF(L82=0,0,L84*Assumptions!$K$35+K84*Assumptions!$K$36+SUM($C84:J84)*Assumptions!$K$37+Assumptions!$K$38)</f>
        <v>58</v>
      </c>
      <c r="M135" s="108">
        <f>IF(M82=0,0,M84*Assumptions!$K$35+L84*Assumptions!$K$36+SUM($C84:K84)*Assumptions!$K$37+Assumptions!$K$38)</f>
        <v>67</v>
      </c>
      <c r="N135" s="108">
        <f>IF(N82=0,0,N84*Assumptions!$K$35+M84*Assumptions!$K$36+SUM($C84:L84)*Assumptions!$K$37+Assumptions!$K$38)</f>
        <v>73</v>
      </c>
      <c r="O135" s="108">
        <f>IF(O82=0,0,O84*Assumptions!$K$35+N84*Assumptions!$K$36+SUM($C84:M84)*Assumptions!$K$37+Assumptions!$K$38)</f>
        <v>80</v>
      </c>
      <c r="P135" s="108">
        <f>IF(P82=0,0,P84*Assumptions!$K$35+O84*Assumptions!$K$36+SUM($C84:N84)*Assumptions!$K$37+Assumptions!$K$38)</f>
        <v>83</v>
      </c>
      <c r="Q135" s="108">
        <f>IF(Q82=0,0,Q84*Assumptions!$K$35+P84*Assumptions!$K$36+SUM($C84:O84)*Assumptions!$K$37+Assumptions!$K$38)</f>
        <v>86</v>
      </c>
      <c r="R135" s="113">
        <f>Q135</f>
        <v>86</v>
      </c>
    </row>
    <row r="136" spans="2:18" ht="15.5" x14ac:dyDescent="0.35">
      <c r="B136" s="106" t="s">
        <v>343</v>
      </c>
      <c r="C136" s="106"/>
      <c r="D136" s="108">
        <v>0</v>
      </c>
      <c r="E136" s="108">
        <f>ROUNDUP((SUM($E86:E88)+D136)/Assumptions!$K$41,0)</f>
        <v>1</v>
      </c>
      <c r="F136" s="108">
        <f>ROUNDUP((SUM($E86:F88)+E136)/Assumptions!$K$41,0)</f>
        <v>2</v>
      </c>
      <c r="G136" s="108">
        <f>ROUNDUP((SUM($E86:G88)+F136)/Assumptions!$K$41,0)</f>
        <v>4</v>
      </c>
      <c r="H136" s="108">
        <f>ROUNDUP((SUM($E86:H88)+G136)/Assumptions!$K$41,0)</f>
        <v>5</v>
      </c>
      <c r="I136" s="108">
        <f>ROUNDUP((SUM($E86:I88)+H136)/Assumptions!$K$41,0)</f>
        <v>6</v>
      </c>
      <c r="J136" s="108">
        <f>ROUNDUP((SUM($E86:J88)+I136)/Assumptions!$K$41,0)</f>
        <v>8</v>
      </c>
      <c r="K136" s="108">
        <f>ROUNDUP((SUM($E86:K88)+J136)/Assumptions!$K$41,0)</f>
        <v>9</v>
      </c>
      <c r="L136" s="108">
        <f>ROUNDUP((SUM($E86:L88)+K136)/Assumptions!$K$41,0)</f>
        <v>11</v>
      </c>
      <c r="M136" s="108">
        <f>ROUNDUP((SUM($E86:M88)+L136)/Assumptions!$K$41,0)</f>
        <v>13</v>
      </c>
      <c r="N136" s="108">
        <f>ROUNDUP((SUM($E86:N88)+M136)/Assumptions!$K$41,0)</f>
        <v>15</v>
      </c>
      <c r="O136" s="108">
        <f>ROUNDUP((SUM($E86:O88)+N136)/Assumptions!$K$41,0)</f>
        <v>17</v>
      </c>
      <c r="P136" s="108">
        <f>ROUNDUP((SUM($E86:P88)+O136)/Assumptions!$K$41,0)</f>
        <v>18</v>
      </c>
      <c r="Q136" s="108">
        <f>ROUNDUP((SUM($E86:Q88)+P136)/Assumptions!$K$41,0)</f>
        <v>19</v>
      </c>
      <c r="R136" s="113">
        <f>Q136</f>
        <v>19</v>
      </c>
    </row>
    <row r="137" spans="2:18" ht="15.5" x14ac:dyDescent="0.35">
      <c r="B137" s="106" t="s">
        <v>195</v>
      </c>
      <c r="C137" s="106"/>
      <c r="D137" s="108">
        <f>ROUNDUP(D124/(Assumptions!$C$36*365),0)</f>
        <v>0</v>
      </c>
      <c r="E137" s="108">
        <f>ROUNDUP(E124/(Assumptions!$C$36*365),0)</f>
        <v>1</v>
      </c>
      <c r="F137" s="108">
        <f>ROUNDUP(F124/(Assumptions!$C$36*365),0)</f>
        <v>4</v>
      </c>
      <c r="G137" s="108">
        <f>ROUNDUP(G124/(Assumptions!$C$36*365),0)</f>
        <v>3</v>
      </c>
      <c r="H137" s="108">
        <f>ROUNDUP(H124/(Assumptions!$C$36*365),0)</f>
        <v>3</v>
      </c>
      <c r="I137" s="108">
        <f>ROUNDUP(I124/(Assumptions!$C$36*365),0)</f>
        <v>2</v>
      </c>
      <c r="J137" s="108">
        <f>ROUNDUP(J124/(Assumptions!$C$36*365),0)</f>
        <v>4</v>
      </c>
      <c r="K137" s="108">
        <f>ROUNDUP(K124/(Assumptions!$C$36*365),0)</f>
        <v>3</v>
      </c>
      <c r="L137" s="109">
        <f>ROUNDUP(L124/(Assumptions!$C$36*365),0)</f>
        <v>4</v>
      </c>
      <c r="M137" s="108">
        <f>ROUNDUP(M124/(Assumptions!$C$36*365),0)</f>
        <v>3</v>
      </c>
      <c r="N137" s="108">
        <f>ROUNDUP(N124/(Assumptions!$C$36*365),0)</f>
        <v>5</v>
      </c>
      <c r="O137" s="108">
        <f>ROUNDUP(O124/(Assumptions!$C$36*365),0)</f>
        <v>4</v>
      </c>
      <c r="P137" s="108">
        <f>ROUNDUP(P124/(Assumptions!$C$36*365),0)</f>
        <v>3</v>
      </c>
      <c r="Q137" s="108">
        <f>ROUNDUP(Q124/(Assumptions!$C$36*365),0)</f>
        <v>2</v>
      </c>
      <c r="R137" s="114"/>
    </row>
    <row r="138" spans="2:18" ht="15.5" x14ac:dyDescent="0.35">
      <c r="B138" s="106" t="s">
        <v>364</v>
      </c>
      <c r="C138" s="106"/>
      <c r="D138" s="108">
        <f>ROUNDUP(D125/(Assumptions!$C$36*365),0)</f>
        <v>0</v>
      </c>
      <c r="E138" s="108">
        <f>ROUNDUP(E125/(Assumptions!$C$36*365),0)</f>
        <v>1</v>
      </c>
      <c r="F138" s="108">
        <f>ROUNDUP(F125/(Assumptions!$C$36*365),0)</f>
        <v>2</v>
      </c>
      <c r="G138" s="108">
        <f>ROUNDUP(G125/(Assumptions!$C$36*365),0)</f>
        <v>2</v>
      </c>
      <c r="H138" s="108">
        <f>ROUNDUP(H125/(Assumptions!$C$36*365),0)</f>
        <v>1</v>
      </c>
      <c r="I138" s="108">
        <f>ROUNDUP(I125/(Assumptions!$C$36*365),0)</f>
        <v>1</v>
      </c>
      <c r="J138" s="108">
        <f>ROUNDUP(J125/(Assumptions!$C$36*365),0)</f>
        <v>2</v>
      </c>
      <c r="K138" s="108">
        <f>ROUNDUP(K125/(Assumptions!$C$36*365),0)</f>
        <v>1</v>
      </c>
      <c r="L138" s="108">
        <f>ROUNDUP(L125/(Assumptions!$C$36*365),0)</f>
        <v>2</v>
      </c>
      <c r="M138" s="108">
        <f>ROUNDUP(M125/(Assumptions!$C$36*365),0)</f>
        <v>1</v>
      </c>
      <c r="N138" s="108">
        <f>ROUNDUP(N125/(Assumptions!$C$36*365),0)</f>
        <v>2</v>
      </c>
      <c r="O138" s="108">
        <f>ROUNDUP(O125/(Assumptions!$C$36*365),0)</f>
        <v>1</v>
      </c>
      <c r="P138" s="108">
        <f>ROUNDUP(P125/(Assumptions!$C$36*365),0)</f>
        <v>1</v>
      </c>
      <c r="Q138" s="108">
        <f>ROUNDUP(Q125/(Assumptions!$C$36*365),0)</f>
        <v>2</v>
      </c>
      <c r="R138" s="114"/>
    </row>
    <row r="139" spans="2:18" ht="15.5" x14ac:dyDescent="0.35">
      <c r="B139" s="106"/>
      <c r="C139" s="106"/>
      <c r="D139" s="107"/>
      <c r="E139" s="108"/>
      <c r="F139" s="108"/>
      <c r="G139" s="108"/>
      <c r="H139" s="108"/>
      <c r="I139" s="108"/>
      <c r="J139" s="108"/>
      <c r="K139" s="108"/>
      <c r="L139" s="109"/>
      <c r="M139" s="108"/>
      <c r="N139" s="108"/>
      <c r="O139" s="108"/>
      <c r="P139" s="108"/>
      <c r="Q139" s="108"/>
      <c r="R139" s="114"/>
    </row>
    <row r="140" spans="2:18" ht="15.5" x14ac:dyDescent="0.35">
      <c r="B140" s="135" t="s">
        <v>253</v>
      </c>
      <c r="C140" s="143"/>
      <c r="D140" s="198"/>
      <c r="E140" s="198"/>
      <c r="F140" s="198"/>
      <c r="G140" s="198"/>
      <c r="H140" s="198"/>
      <c r="I140" s="198"/>
      <c r="J140" s="198"/>
      <c r="K140" s="198"/>
      <c r="L140" s="198"/>
      <c r="M140" s="198"/>
      <c r="N140" s="198"/>
      <c r="O140" s="198"/>
      <c r="P140" s="198"/>
      <c r="Q140" s="198"/>
      <c r="R140" s="143"/>
    </row>
    <row r="141" spans="2:18" ht="15.5" x14ac:dyDescent="0.35">
      <c r="B141" s="135"/>
      <c r="C141" s="143">
        <f t="shared" ref="C141:Q141" si="33">C6</f>
        <v>2021</v>
      </c>
      <c r="D141" s="198">
        <f t="shared" si="33"/>
        <v>2022</v>
      </c>
      <c r="E141" s="198">
        <f t="shared" si="33"/>
        <v>2023</v>
      </c>
      <c r="F141" s="198">
        <f t="shared" si="33"/>
        <v>2024</v>
      </c>
      <c r="G141" s="198">
        <f t="shared" si="33"/>
        <v>2025</v>
      </c>
      <c r="H141" s="198">
        <f t="shared" si="33"/>
        <v>2026</v>
      </c>
      <c r="I141" s="198">
        <f t="shared" si="33"/>
        <v>2027</v>
      </c>
      <c r="J141" s="198">
        <f t="shared" si="33"/>
        <v>2028</v>
      </c>
      <c r="K141" s="198">
        <f t="shared" si="33"/>
        <v>2029</v>
      </c>
      <c r="L141" s="198">
        <f t="shared" si="33"/>
        <v>2030</v>
      </c>
      <c r="M141" s="198">
        <f t="shared" si="33"/>
        <v>2031</v>
      </c>
      <c r="N141" s="198">
        <f t="shared" si="33"/>
        <v>2032</v>
      </c>
      <c r="O141" s="198">
        <f t="shared" si="33"/>
        <v>2033</v>
      </c>
      <c r="P141" s="198">
        <f t="shared" si="33"/>
        <v>2034</v>
      </c>
      <c r="Q141" s="198">
        <f t="shared" si="33"/>
        <v>2035</v>
      </c>
      <c r="R141" s="143"/>
    </row>
    <row r="142" spans="2:18" x14ac:dyDescent="0.35">
      <c r="B142" s="144" t="s">
        <v>439</v>
      </c>
      <c r="C142" s="165"/>
      <c r="D142" s="165">
        <f t="shared" ref="D142:P142" si="34">ROUNDUP(D131*1.5,0)</f>
        <v>0</v>
      </c>
      <c r="E142" s="165">
        <f>ROUNDUP(E131*1.5,0)</f>
        <v>3</v>
      </c>
      <c r="F142" s="165">
        <f t="shared" si="34"/>
        <v>8</v>
      </c>
      <c r="G142" s="165">
        <f t="shared" si="34"/>
        <v>8</v>
      </c>
      <c r="H142" s="165">
        <f t="shared" si="34"/>
        <v>8</v>
      </c>
      <c r="I142" s="165">
        <f t="shared" si="34"/>
        <v>6</v>
      </c>
      <c r="J142" s="165">
        <f>ROUNDUP(J131*1.5,0)</f>
        <v>8</v>
      </c>
      <c r="K142" s="165">
        <f t="shared" si="34"/>
        <v>3</v>
      </c>
      <c r="L142" s="165">
        <f t="shared" si="34"/>
        <v>6</v>
      </c>
      <c r="M142" s="165">
        <f t="shared" si="34"/>
        <v>6</v>
      </c>
      <c r="N142" s="165">
        <f t="shared" si="34"/>
        <v>9</v>
      </c>
      <c r="O142" s="165">
        <f t="shared" si="34"/>
        <v>6</v>
      </c>
      <c r="P142" s="165">
        <f t="shared" si="34"/>
        <v>6</v>
      </c>
      <c r="Q142" s="165">
        <f>ROUNDUP(Q131*1.5,0)</f>
        <v>3</v>
      </c>
      <c r="R142" s="144"/>
    </row>
    <row r="143" spans="2:18" x14ac:dyDescent="0.35">
      <c r="B143" s="144" t="s">
        <v>269</v>
      </c>
      <c r="C143" s="166"/>
      <c r="D143" s="166">
        <f>'EC-known'!D138*$R$1+'FIX-EX'!D138*$R$4</f>
        <v>0</v>
      </c>
      <c r="E143" s="166">
        <f>'EC-known'!E138*$R$1+'FIX-EX'!E138*$R$4</f>
        <v>40</v>
      </c>
      <c r="F143" s="166">
        <f>'EC-known'!F138*$R$1+'FIX-EX'!F138*$R$4</f>
        <v>160</v>
      </c>
      <c r="G143" s="166">
        <f>'EC-known'!G138*$R$1+'FIX-EX'!G138*$R$4</f>
        <v>160</v>
      </c>
      <c r="H143" s="166">
        <f>'EC-known'!H138*$R$1+'FIX-EX'!H138*$R$4</f>
        <v>120</v>
      </c>
      <c r="I143" s="166">
        <f>'EC-known'!I138*$R$1+'FIX-EX'!I138*$R$4</f>
        <v>120</v>
      </c>
      <c r="J143" s="166">
        <f>'EC-known'!J138*$R$1+'FIX-EX'!J138*$R$4</f>
        <v>200</v>
      </c>
      <c r="K143" s="166">
        <f>'EC-known'!K138*$R$1+'FIX-EX'!K138*$R$4</f>
        <v>80</v>
      </c>
      <c r="L143" s="166">
        <f>'EC-known'!L138*$R$1+'FIX-EX'!L138*$R$4</f>
        <v>160</v>
      </c>
      <c r="M143" s="166">
        <f>'EC-known'!M138*$R$1+'FIX-EX'!M138*$R$4</f>
        <v>80</v>
      </c>
      <c r="N143" s="166">
        <f>'EC-known'!N138*$R$1+'FIX-EX'!N138*$R$4</f>
        <v>200</v>
      </c>
      <c r="O143" s="166">
        <f>'EC-known'!O138*$R$1+'FIX-EX'!O138*$R$4</f>
        <v>120</v>
      </c>
      <c r="P143" s="166">
        <f>'EC-known'!P138*$R$1+'FIX-EX'!P138*$R$4</f>
        <v>80</v>
      </c>
      <c r="Q143" s="166">
        <f>'EC-known'!Q138*$R$1+'FIX-EX'!Q138*$R$4</f>
        <v>40</v>
      </c>
      <c r="R143" s="144"/>
    </row>
    <row r="144" spans="2:18" x14ac:dyDescent="0.35">
      <c r="B144" s="59" t="s">
        <v>270</v>
      </c>
      <c r="C144" s="165"/>
      <c r="D144" s="166">
        <f>'WC-known'!D130*$R$2+'FLOAT-EX'!D130*$R$4</f>
        <v>0</v>
      </c>
      <c r="E144" s="166">
        <f>'WC-known'!E130*$R$2+'FLOAT-EX'!E130*$R$4</f>
        <v>0</v>
      </c>
      <c r="F144" s="166">
        <f>'WC-known'!F130*$R$2+'FLOAT-EX'!F130*$R$4</f>
        <v>0</v>
      </c>
      <c r="G144" s="166">
        <f>'WC-known'!G130*$R$2+'FLOAT-EX'!G130*$R$4</f>
        <v>0</v>
      </c>
      <c r="H144" s="166">
        <f>'WC-known'!H130*$R$2+'FLOAT-EX'!H130*$R$4</f>
        <v>0</v>
      </c>
      <c r="I144" s="166">
        <f>'WC-known'!I130*$R$2+'FLOAT-EX'!I130*$R$4</f>
        <v>0</v>
      </c>
      <c r="J144" s="166">
        <f>'WC-known'!J130*$R$2+'FLOAT-EX'!J130*$R$4</f>
        <v>66.690028175395383</v>
      </c>
      <c r="K144" s="166">
        <f>'WC-known'!K130*$R$2+'FLOAT-EX'!K130*$R$4</f>
        <v>133.35883852595958</v>
      </c>
      <c r="L144" s="166">
        <f>'WC-known'!L130*$R$2+'FLOAT-EX'!L130*$R$4</f>
        <v>133.35883852595958</v>
      </c>
      <c r="M144" s="166">
        <f>'WC-known'!M130*$R$2+'FLOAT-EX'!M130*$R$4</f>
        <v>304.84201337269394</v>
      </c>
      <c r="N144" s="166">
        <f>'WC-known'!N130*$R$2+'FLOAT-EX'!N130*$R$4</f>
        <v>111.08161425665568</v>
      </c>
      <c r="O144" s="166">
        <f>'WC-known'!O130*$R$2+'FLOAT-EX'!O130*$R$4</f>
        <v>399.98710633498041</v>
      </c>
      <c r="P144" s="166">
        <f>'WC-known'!P130*$R$2+'FLOAT-EX'!P130*$R$4</f>
        <v>277.77777777777777</v>
      </c>
      <c r="Q144" s="166">
        <f>'WC-known'!Q130*$R$2+'FLOAT-EX'!Q130*$R$4</f>
        <v>500</v>
      </c>
      <c r="R144" s="59"/>
    </row>
    <row r="145" spans="2:18" x14ac:dyDescent="0.35">
      <c r="B145" s="225" t="s">
        <v>438</v>
      </c>
      <c r="C145" s="223"/>
      <c r="D145" s="224">
        <f>SUM('WC-known'!D129)+'FLOAT-EX'!D129</f>
        <v>0</v>
      </c>
      <c r="E145" s="224">
        <f>SUM('WC-known'!E129)+'FLOAT-EX'!E129</f>
        <v>0</v>
      </c>
      <c r="F145" s="224">
        <f>SUM('WC-known'!F129)+'FLOAT-EX'!F129</f>
        <v>0</v>
      </c>
      <c r="G145" s="224">
        <f>SUM('WC-known'!G129)+'FLOAT-EX'!G129</f>
        <v>0</v>
      </c>
      <c r="H145" s="224">
        <f>SUM('WC-known'!H129)+'FLOAT-EX'!H129</f>
        <v>0</v>
      </c>
      <c r="I145" s="224">
        <f>SUM('WC-known'!I129)+'FLOAT-EX'!I129</f>
        <v>0</v>
      </c>
      <c r="J145" s="224">
        <f>SUM('WC-known'!J129)+'FLOAT-EX'!J129</f>
        <v>6.6160742237495427</v>
      </c>
      <c r="K145" s="224">
        <f>SUM('WC-known'!K129)+'FLOAT-EX'!K129</f>
        <v>13.230043504559484</v>
      </c>
      <c r="L145" s="224">
        <f>SUM('WC-known'!L129)+'FLOAT-EX'!L129</f>
        <v>13.230043504559484</v>
      </c>
      <c r="M145" s="224">
        <f>SUM('WC-known'!M129)+'FLOAT-EX'!M129</f>
        <v>30.242263231418054</v>
      </c>
      <c r="N145" s="224">
        <f>SUM('WC-known'!N129)+'FLOAT-EX'!N129</f>
        <v>11.020001414350762</v>
      </c>
      <c r="O145" s="224">
        <f>SUM('WC-known'!O129)+'FLOAT-EX'!O129</f>
        <v>39.681260549105204</v>
      </c>
      <c r="P145" s="224">
        <f>SUM('WC-known'!P129)+'FLOAT-EX'!P129</f>
        <v>27.557319223985893</v>
      </c>
      <c r="Q145" s="224">
        <f>SUM('WC-known'!Q129)+'FLOAT-EX'!Q129</f>
        <v>49.603174603174608</v>
      </c>
      <c r="R145" s="223"/>
    </row>
    <row r="146" spans="2:18" ht="15.5" x14ac:dyDescent="0.35">
      <c r="D146" s="115"/>
      <c r="E146" s="115"/>
      <c r="F146" s="115"/>
      <c r="G146" s="115"/>
      <c r="H146" s="115"/>
      <c r="I146" s="115"/>
      <c r="J146" s="115"/>
      <c r="K146" s="115"/>
      <c r="L146" s="115"/>
      <c r="M146" s="115"/>
      <c r="N146" s="115"/>
      <c r="O146" s="115"/>
      <c r="P146" s="115"/>
      <c r="Q146" s="115"/>
      <c r="R146" s="115"/>
    </row>
    <row r="148" spans="2:18" x14ac:dyDescent="0.35">
      <c r="D148" s="138"/>
      <c r="E148" s="138"/>
      <c r="F148" s="138"/>
      <c r="G148" s="138"/>
      <c r="H148" s="138"/>
      <c r="I148" s="138"/>
      <c r="J148" s="138"/>
      <c r="K148" s="138"/>
      <c r="L148" s="138"/>
      <c r="M148" s="138"/>
      <c r="N148" s="138"/>
      <c r="O148" s="138"/>
      <c r="P148" s="138"/>
      <c r="Q148" s="138"/>
      <c r="R148" s="138"/>
    </row>
    <row r="149" spans="2:18" x14ac:dyDescent="0.35">
      <c r="D149" s="210">
        <f>SUM(D86:D88)</f>
        <v>0</v>
      </c>
      <c r="E149" s="210">
        <f t="shared" ref="E149:Q149" si="35">SUM(E86:E88)</f>
        <v>42.769230769230774</v>
      </c>
      <c r="F149" s="210">
        <f t="shared" si="35"/>
        <v>338.31588019823317</v>
      </c>
      <c r="G149" s="210">
        <f t="shared" si="35"/>
        <v>289.84615384615381</v>
      </c>
      <c r="H149" s="210">
        <f t="shared" si="35"/>
        <v>243.73333333333332</v>
      </c>
      <c r="I149" s="210">
        <f t="shared" si="35"/>
        <v>193.64</v>
      </c>
      <c r="J149" s="210">
        <f t="shared" si="35"/>
        <v>408.41126999157984</v>
      </c>
      <c r="K149" s="210">
        <f t="shared" si="35"/>
        <v>219.61275259631313</v>
      </c>
      <c r="L149" s="210">
        <f t="shared" si="35"/>
        <v>381.94193194134141</v>
      </c>
      <c r="M149" s="210">
        <f t="shared" si="35"/>
        <v>319.20644440645248</v>
      </c>
      <c r="N149" s="210">
        <f t="shared" si="35"/>
        <v>356.16679763270048</v>
      </c>
      <c r="O149" s="210">
        <f t="shared" si="35"/>
        <v>398.16021983415686</v>
      </c>
      <c r="P149" s="210">
        <f t="shared" si="35"/>
        <v>274.52731225842081</v>
      </c>
      <c r="Q149" s="210">
        <f t="shared" si="35"/>
        <v>301.33333333333331</v>
      </c>
      <c r="R149" s="138"/>
    </row>
    <row r="150" spans="2:18" x14ac:dyDescent="0.35">
      <c r="D150" s="138"/>
      <c r="E150" s="138"/>
      <c r="F150" s="210"/>
      <c r="G150" s="210"/>
      <c r="H150" s="210"/>
      <c r="I150" s="210"/>
      <c r="J150" s="210"/>
      <c r="K150" s="210"/>
      <c r="L150" s="210">
        <f>SUM(D149:L149)</f>
        <v>2118.2705526761856</v>
      </c>
      <c r="M150" s="210"/>
      <c r="N150" s="210"/>
      <c r="O150" s="210"/>
      <c r="P150" s="210"/>
      <c r="Q150" s="210"/>
      <c r="R150" s="138"/>
    </row>
    <row r="151" spans="2:18" x14ac:dyDescent="0.35">
      <c r="D151" s="210">
        <f>SUM(D113:D116)</f>
        <v>0</v>
      </c>
      <c r="E151" s="210">
        <f t="shared" ref="E151:Q151" si="36">SUM(E113:E116)</f>
        <v>381.50240000000002</v>
      </c>
      <c r="F151" s="210">
        <f t="shared" si="36"/>
        <v>1788.6675009696187</v>
      </c>
      <c r="G151" s="210">
        <f t="shared" si="36"/>
        <v>1231.0871435897436</v>
      </c>
      <c r="H151" s="210">
        <f t="shared" si="36"/>
        <v>1018.95204</v>
      </c>
      <c r="I151" s="210">
        <f t="shared" si="36"/>
        <v>943.65050133333341</v>
      </c>
      <c r="J151" s="210">
        <f t="shared" si="36"/>
        <v>1905.6847228592324</v>
      </c>
      <c r="K151" s="210">
        <f t="shared" si="36"/>
        <v>1480.1485745025061</v>
      </c>
      <c r="L151" s="210">
        <f t="shared" si="36"/>
        <v>2088.1873523441882</v>
      </c>
      <c r="M151" s="210">
        <f t="shared" si="36"/>
        <v>1714.2548603075988</v>
      </c>
      <c r="N151" s="210">
        <f t="shared" si="36"/>
        <v>2682.5350292372823</v>
      </c>
      <c r="O151" s="210">
        <f t="shared" si="36"/>
        <v>2812.1504045930142</v>
      </c>
      <c r="P151" s="210">
        <f t="shared" si="36"/>
        <v>1918.6003110528254</v>
      </c>
      <c r="Q151" s="210">
        <f t="shared" si="36"/>
        <v>2137.7280000000001</v>
      </c>
      <c r="R151" s="138"/>
    </row>
    <row r="152" spans="2:18" x14ac:dyDescent="0.35">
      <c r="D152" s="138"/>
      <c r="E152" s="138"/>
      <c r="F152" s="210"/>
      <c r="G152" s="210"/>
      <c r="H152" s="210"/>
      <c r="I152" s="210"/>
      <c r="J152" s="210"/>
      <c r="K152" s="210"/>
      <c r="L152" s="210">
        <f>SUM(D151:L151)</f>
        <v>10837.880235598623</v>
      </c>
      <c r="M152" s="210"/>
      <c r="N152" s="210"/>
      <c r="O152" s="210"/>
      <c r="P152" s="210"/>
      <c r="Q152" s="210"/>
      <c r="R152" s="138"/>
    </row>
    <row r="154" spans="2:18" x14ac:dyDescent="0.35">
      <c r="F154" s="58"/>
      <c r="G154" s="58"/>
      <c r="H154" s="58"/>
      <c r="I154" s="58"/>
      <c r="J154" s="58"/>
      <c r="K154" s="58"/>
      <c r="L154" s="58"/>
      <c r="M154" s="58"/>
      <c r="N154" s="58"/>
      <c r="O154" s="58"/>
      <c r="P154" s="58"/>
      <c r="Q154" s="58"/>
    </row>
    <row r="155" spans="2:18" x14ac:dyDescent="0.35">
      <c r="F155" s="58"/>
      <c r="G155" s="58"/>
      <c r="H155" s="58"/>
      <c r="I155" s="58"/>
      <c r="J155" s="58"/>
      <c r="K155" s="58"/>
      <c r="L155" s="58"/>
      <c r="M155" s="58"/>
      <c r="N155" s="58"/>
      <c r="O155" s="58"/>
      <c r="P155" s="58"/>
      <c r="Q155" s="58"/>
    </row>
    <row r="156" spans="2:18" x14ac:dyDescent="0.35">
      <c r="F156" s="58"/>
      <c r="G156" s="58"/>
      <c r="H156" s="58"/>
      <c r="I156" s="58"/>
      <c r="J156" s="58"/>
      <c r="K156" s="58"/>
      <c r="L156" s="58"/>
      <c r="M156" s="58"/>
      <c r="N156" s="58"/>
      <c r="O156" s="58"/>
      <c r="P156" s="58"/>
      <c r="Q156" s="58"/>
    </row>
    <row r="157" spans="2:18" x14ac:dyDescent="0.35">
      <c r="F157" s="58"/>
      <c r="G157" s="58"/>
      <c r="H157" s="58"/>
      <c r="I157" s="58"/>
      <c r="J157" s="58"/>
      <c r="K157" s="58"/>
      <c r="L157" s="58"/>
      <c r="M157" s="58"/>
      <c r="N157" s="58"/>
      <c r="O157" s="58"/>
      <c r="P157" s="58"/>
      <c r="Q157" s="58"/>
    </row>
  </sheetData>
  <conditionalFormatting sqref="C10:Q12">
    <cfRule type="colorScale" priority="36">
      <colorScale>
        <cfvo type="min"/>
        <cfvo type="max"/>
        <color theme="0"/>
        <color rgb="FF5D9732"/>
      </colorScale>
    </cfRule>
  </conditionalFormatting>
  <conditionalFormatting sqref="C18:Q20">
    <cfRule type="colorScale" priority="35">
      <colorScale>
        <cfvo type="min"/>
        <cfvo type="max"/>
        <color theme="0"/>
        <color rgb="FF5D9732"/>
      </colorScale>
    </cfRule>
  </conditionalFormatting>
  <conditionalFormatting sqref="C30:Q32">
    <cfRule type="colorScale" priority="34">
      <colorScale>
        <cfvo type="min"/>
        <cfvo type="max"/>
        <color theme="0"/>
        <color rgb="FF5D9732"/>
      </colorScale>
    </cfRule>
  </conditionalFormatting>
  <conditionalFormatting sqref="C34:Q35">
    <cfRule type="colorScale" priority="33">
      <colorScale>
        <cfvo type="min"/>
        <cfvo type="max"/>
        <color theme="0"/>
        <color rgb="FF5D9732"/>
      </colorScale>
    </cfRule>
  </conditionalFormatting>
  <conditionalFormatting sqref="D67:Q67">
    <cfRule type="colorScale" priority="32">
      <colorScale>
        <cfvo type="min"/>
        <cfvo type="max"/>
        <color rgb="FFFCFCFF"/>
        <color rgb="FF00B050"/>
      </colorScale>
    </cfRule>
  </conditionalFormatting>
  <conditionalFormatting sqref="C50:Q52">
    <cfRule type="colorScale" priority="31">
      <colorScale>
        <cfvo type="min"/>
        <cfvo type="max"/>
        <color theme="0"/>
        <color rgb="FF5D9732"/>
      </colorScale>
    </cfRule>
  </conditionalFormatting>
  <conditionalFormatting sqref="Q58:Q60">
    <cfRule type="colorScale" priority="30">
      <colorScale>
        <cfvo type="min"/>
        <cfvo type="max"/>
        <color theme="0"/>
        <color rgb="FF00B050"/>
      </colorScale>
    </cfRule>
  </conditionalFormatting>
  <conditionalFormatting sqref="C68:Q68">
    <cfRule type="colorScale" priority="29">
      <colorScale>
        <cfvo type="min"/>
        <cfvo type="max"/>
        <color theme="0"/>
        <color rgb="FF5D9732"/>
      </colorScale>
    </cfRule>
  </conditionalFormatting>
  <conditionalFormatting sqref="C70:Q71">
    <cfRule type="colorScale" priority="28">
      <colorScale>
        <cfvo type="min"/>
        <cfvo type="max"/>
        <color theme="0"/>
        <color rgb="FF5D9732"/>
      </colorScale>
    </cfRule>
  </conditionalFormatting>
  <conditionalFormatting sqref="D86:Q88">
    <cfRule type="colorScale" priority="27">
      <colorScale>
        <cfvo type="min"/>
        <cfvo type="max"/>
        <color theme="0"/>
        <color rgb="FF5D9732"/>
      </colorScale>
    </cfRule>
  </conditionalFormatting>
  <conditionalFormatting sqref="D90:Q92">
    <cfRule type="colorScale" priority="26">
      <colorScale>
        <cfvo type="min"/>
        <cfvo type="max"/>
        <color theme="0"/>
        <color rgb="FF5D9732"/>
      </colorScale>
    </cfRule>
  </conditionalFormatting>
  <conditionalFormatting sqref="D94:Q96">
    <cfRule type="colorScale" priority="25">
      <colorScale>
        <cfvo type="min"/>
        <cfvo type="max"/>
        <color theme="0"/>
        <color rgb="FF5D9732"/>
      </colorScale>
    </cfRule>
  </conditionalFormatting>
  <conditionalFormatting sqref="D98:Q100">
    <cfRule type="colorScale" priority="24">
      <colorScale>
        <cfvo type="min"/>
        <cfvo type="max"/>
        <color theme="0"/>
        <color rgb="FF5D9732"/>
      </colorScale>
    </cfRule>
  </conditionalFormatting>
  <conditionalFormatting sqref="C14:Q16">
    <cfRule type="colorScale" priority="23">
      <colorScale>
        <cfvo type="min"/>
        <cfvo type="max"/>
        <color theme="0"/>
        <color rgb="FF5D9732"/>
      </colorScale>
    </cfRule>
  </conditionalFormatting>
  <conditionalFormatting sqref="C46:Q48">
    <cfRule type="colorScale" priority="22">
      <colorScale>
        <cfvo type="min"/>
        <cfvo type="max"/>
        <color theme="0"/>
        <color rgb="FF5D9732"/>
      </colorScale>
    </cfRule>
  </conditionalFormatting>
  <conditionalFormatting sqref="C54:Q60">
    <cfRule type="colorScale" priority="21">
      <colorScale>
        <cfvo type="min"/>
        <cfvo type="max"/>
        <color theme="0"/>
        <color rgb="FF5D9732"/>
      </colorScale>
    </cfRule>
  </conditionalFormatting>
  <conditionalFormatting sqref="D77:Q80">
    <cfRule type="colorScale" priority="37">
      <colorScale>
        <cfvo type="min"/>
        <cfvo type="max"/>
        <color rgb="FFFCFCFF"/>
        <color rgb="FF00B050"/>
      </colorScale>
    </cfRule>
  </conditionalFormatting>
  <conditionalFormatting sqref="D84:Q84">
    <cfRule type="colorScale" priority="17">
      <colorScale>
        <cfvo type="min"/>
        <cfvo type="max"/>
        <color rgb="FFFCFCFF"/>
        <color rgb="FF5D9732"/>
      </colorScale>
    </cfRule>
  </conditionalFormatting>
  <conditionalFormatting sqref="C62:Q65">
    <cfRule type="colorScale" priority="20">
      <colorScale>
        <cfvo type="min"/>
        <cfvo type="max"/>
        <color theme="0"/>
        <color rgb="FF5D9732"/>
      </colorScale>
    </cfRule>
  </conditionalFormatting>
  <conditionalFormatting sqref="C22:Q24">
    <cfRule type="colorScale" priority="19">
      <colorScale>
        <cfvo type="min"/>
        <cfvo type="max"/>
        <color theme="0"/>
        <color rgb="FF5D9732"/>
      </colorScale>
    </cfRule>
  </conditionalFormatting>
  <conditionalFormatting sqref="C26:Q29">
    <cfRule type="colorScale" priority="18">
      <colorScale>
        <cfvo type="min"/>
        <cfvo type="max"/>
        <color theme="0"/>
        <color rgb="FF5D9732"/>
      </colorScale>
    </cfRule>
  </conditionalFormatting>
  <conditionalFormatting sqref="C66:P66">
    <cfRule type="colorScale" priority="16">
      <colorScale>
        <cfvo type="min"/>
        <cfvo type="max"/>
        <color rgb="FFFCFCFF"/>
        <color rgb="FF5D9732"/>
      </colorScale>
    </cfRule>
  </conditionalFormatting>
  <conditionalFormatting sqref="D102:Q108">
    <cfRule type="colorScale" priority="15">
      <colorScale>
        <cfvo type="min"/>
        <cfvo type="max"/>
        <color theme="0"/>
        <color rgb="FF5D9732"/>
      </colorScale>
    </cfRule>
  </conditionalFormatting>
  <conditionalFormatting sqref="D109:Q111">
    <cfRule type="colorScale" priority="38">
      <colorScale>
        <cfvo type="min"/>
        <cfvo type="max"/>
        <color rgb="FFFCFCFF"/>
        <color rgb="FF5D9732"/>
      </colorScale>
    </cfRule>
  </conditionalFormatting>
  <conditionalFormatting sqref="D113:Q114">
    <cfRule type="colorScale" priority="14">
      <colorScale>
        <cfvo type="min"/>
        <cfvo type="max"/>
        <color rgb="FFFCFCFF"/>
        <color rgb="FF5D9732"/>
      </colorScale>
    </cfRule>
  </conditionalFormatting>
  <conditionalFormatting sqref="D115:Q116">
    <cfRule type="colorScale" priority="13">
      <colorScale>
        <cfvo type="min"/>
        <cfvo type="max"/>
        <color rgb="FFFCFCFF"/>
        <color rgb="FF5D9732"/>
      </colorScale>
    </cfRule>
  </conditionalFormatting>
  <conditionalFormatting sqref="C143:Q144">
    <cfRule type="colorScale" priority="12">
      <colorScale>
        <cfvo type="min"/>
        <cfvo type="max"/>
        <color theme="0"/>
        <color rgb="FF5D9732"/>
      </colorScale>
    </cfRule>
  </conditionalFormatting>
  <conditionalFormatting sqref="D127:Q130">
    <cfRule type="colorScale" priority="11">
      <colorScale>
        <cfvo type="min"/>
        <cfvo type="max"/>
        <color rgb="FFFCFCFF"/>
        <color rgb="FF5D9732"/>
      </colorScale>
    </cfRule>
  </conditionalFormatting>
  <conditionalFormatting sqref="D118:Q121 D123:Q124">
    <cfRule type="colorScale" priority="10">
      <colorScale>
        <cfvo type="min"/>
        <cfvo type="max"/>
        <color rgb="FFFCFCFF"/>
        <color rgb="FF5D9732"/>
      </colorScale>
    </cfRule>
  </conditionalFormatting>
  <conditionalFormatting sqref="D122:Q122">
    <cfRule type="colorScale" priority="9">
      <colorScale>
        <cfvo type="min"/>
        <cfvo type="max"/>
        <color rgb="FFFCFCFF"/>
        <color rgb="FF5D9732"/>
      </colorScale>
    </cfRule>
  </conditionalFormatting>
  <conditionalFormatting sqref="D125:Q125">
    <cfRule type="colorScale" priority="8">
      <colorScale>
        <cfvo type="min"/>
        <cfvo type="max"/>
        <color rgb="FFFCFCFF"/>
        <color rgb="FF5D9732"/>
      </colorScale>
    </cfRule>
  </conditionalFormatting>
  <conditionalFormatting sqref="C142:Q142">
    <cfRule type="colorScale" priority="7">
      <colorScale>
        <cfvo type="min"/>
        <cfvo type="max"/>
        <color theme="0"/>
        <color rgb="FF5D9732"/>
      </colorScale>
    </cfRule>
  </conditionalFormatting>
  <conditionalFormatting sqref="D133:Q133 D131:Q131">
    <cfRule type="colorScale" priority="6">
      <colorScale>
        <cfvo type="min"/>
        <cfvo type="max"/>
        <color rgb="FFFCFCFF"/>
        <color rgb="FF5D9732"/>
      </colorScale>
    </cfRule>
  </conditionalFormatting>
  <conditionalFormatting sqref="E134:Q135 E139:Q139 E137:Q137">
    <cfRule type="colorScale" priority="5">
      <colorScale>
        <cfvo type="min"/>
        <cfvo type="max"/>
        <color rgb="FFFCFCFF"/>
        <color rgb="FF5D9732"/>
      </colorScale>
    </cfRule>
  </conditionalFormatting>
  <conditionalFormatting sqref="D132:Q132">
    <cfRule type="colorScale" priority="4">
      <colorScale>
        <cfvo type="min"/>
        <cfvo type="max"/>
        <color rgb="FFFCFCFF"/>
        <color rgb="FF5D9732"/>
      </colorScale>
    </cfRule>
  </conditionalFormatting>
  <conditionalFormatting sqref="E137:Q137">
    <cfRule type="colorScale" priority="3">
      <colorScale>
        <cfvo type="min"/>
        <cfvo type="max"/>
        <color theme="0"/>
        <color rgb="FF5D9732"/>
      </colorScale>
    </cfRule>
  </conditionalFormatting>
  <conditionalFormatting sqref="D138:Q138">
    <cfRule type="colorScale" priority="2">
      <colorScale>
        <cfvo type="min"/>
        <cfvo type="max"/>
        <color theme="0"/>
        <color rgb="FF5D9732"/>
      </colorScale>
    </cfRule>
  </conditionalFormatting>
  <conditionalFormatting sqref="D136:Q136">
    <cfRule type="colorScale" priority="1">
      <colorScale>
        <cfvo type="min"/>
        <cfvo type="max"/>
        <color theme="0"/>
        <color rgb="FF5D9732"/>
      </colorScale>
    </cfRule>
  </conditionalFormatting>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157AB8-4B48-48F6-9797-58A8F5D06252}">
  <sheetPr codeName="Sheet11">
    <tabColor rgb="FF8CC63F"/>
  </sheetPr>
  <dimension ref="A1:Z153"/>
  <sheetViews>
    <sheetView zoomScale="70" zoomScaleNormal="70" workbookViewId="0">
      <pane ySplit="6" topLeftCell="A77" activePane="bottomLeft" state="frozen"/>
      <selection activeCell="B117" sqref="B117"/>
      <selection pane="bottomLeft" activeCell="D89" sqref="D89"/>
    </sheetView>
  </sheetViews>
  <sheetFormatPr defaultRowHeight="14.5" x14ac:dyDescent="0.35"/>
  <cols>
    <col min="1" max="1" width="5.08984375" customWidth="1"/>
    <col min="2" max="2" width="25.1796875" customWidth="1"/>
    <col min="3" max="3" width="7.1796875" bestFit="1" customWidth="1"/>
    <col min="6" max="16" width="9.36328125" bestFit="1" customWidth="1"/>
    <col min="17" max="17" width="10.08984375" customWidth="1"/>
  </cols>
  <sheetData>
    <row r="1" spans="1:20" x14ac:dyDescent="0.35">
      <c r="R1" t="s">
        <v>104</v>
      </c>
    </row>
    <row r="2" spans="1:20" x14ac:dyDescent="0.35">
      <c r="A2" s="30"/>
      <c r="B2" s="7" t="s">
        <v>368</v>
      </c>
      <c r="C2" s="30"/>
      <c r="D2" s="30"/>
      <c r="E2" s="30"/>
      <c r="F2" s="30"/>
      <c r="G2" s="30"/>
      <c r="Q2" s="4" t="s">
        <v>266</v>
      </c>
      <c r="R2" s="23">
        <v>1</v>
      </c>
    </row>
    <row r="3" spans="1:20" x14ac:dyDescent="0.35">
      <c r="C3" t="s">
        <v>370</v>
      </c>
      <c r="Q3" s="4" t="s">
        <v>255</v>
      </c>
      <c r="R3" s="23">
        <v>1</v>
      </c>
      <c r="T3" s="138" t="s">
        <v>133</v>
      </c>
    </row>
    <row r="4" spans="1:20" x14ac:dyDescent="0.35">
      <c r="Q4" s="20" t="s">
        <v>256</v>
      </c>
      <c r="R4" s="20">
        <v>0</v>
      </c>
      <c r="T4" s="138" t="s">
        <v>134</v>
      </c>
    </row>
    <row r="5" spans="1:20" x14ac:dyDescent="0.35">
      <c r="C5" t="s">
        <v>105</v>
      </c>
      <c r="T5" s="138" t="s">
        <v>135</v>
      </c>
    </row>
    <row r="6" spans="1:20" ht="21" x14ac:dyDescent="0.5">
      <c r="B6" s="102"/>
      <c r="C6" s="103">
        <v>2021</v>
      </c>
      <c r="D6" s="103">
        <v>2022</v>
      </c>
      <c r="E6" s="103">
        <f t="shared" ref="E6:Q6" si="0">D6+1</f>
        <v>2023</v>
      </c>
      <c r="F6" s="103">
        <f t="shared" si="0"/>
        <v>2024</v>
      </c>
      <c r="G6" s="103">
        <f t="shared" si="0"/>
        <v>2025</v>
      </c>
      <c r="H6" s="103">
        <f t="shared" si="0"/>
        <v>2026</v>
      </c>
      <c r="I6" s="103">
        <f t="shared" si="0"/>
        <v>2027</v>
      </c>
      <c r="J6" s="103">
        <f t="shared" si="0"/>
        <v>2028</v>
      </c>
      <c r="K6" s="103">
        <f t="shared" si="0"/>
        <v>2029</v>
      </c>
      <c r="L6" s="104">
        <f t="shared" si="0"/>
        <v>2030</v>
      </c>
      <c r="M6" s="103">
        <f t="shared" si="0"/>
        <v>2031</v>
      </c>
      <c r="N6" s="103">
        <f t="shared" si="0"/>
        <v>2032</v>
      </c>
      <c r="O6" s="103">
        <f t="shared" si="0"/>
        <v>2033</v>
      </c>
      <c r="P6" s="103">
        <f t="shared" si="0"/>
        <v>2034</v>
      </c>
      <c r="Q6" s="103">
        <f t="shared" si="0"/>
        <v>2035</v>
      </c>
      <c r="R6" s="112" t="s">
        <v>96</v>
      </c>
      <c r="T6" s="138" t="s">
        <v>136</v>
      </c>
    </row>
    <row r="7" spans="1:20" ht="15.5" x14ac:dyDescent="0.35">
      <c r="A7" s="116" t="s">
        <v>132</v>
      </c>
      <c r="B7" s="117" t="s">
        <v>107</v>
      </c>
      <c r="C7" s="117"/>
      <c r="D7" s="118"/>
      <c r="E7" s="118"/>
      <c r="F7" s="118"/>
      <c r="G7" s="118"/>
      <c r="H7" s="118"/>
      <c r="I7" s="118"/>
      <c r="J7" s="118"/>
      <c r="K7" s="118"/>
      <c r="L7" s="118"/>
      <c r="M7" s="118"/>
      <c r="N7" s="118"/>
      <c r="O7" s="118"/>
      <c r="P7" s="118"/>
      <c r="Q7" s="118"/>
      <c r="R7" s="119"/>
    </row>
    <row r="8" spans="1:20" ht="15.5" x14ac:dyDescent="0.35">
      <c r="A8" s="116"/>
      <c r="B8" s="120" t="s">
        <v>108</v>
      </c>
      <c r="C8" s="120"/>
      <c r="D8" s="116"/>
      <c r="E8" s="116"/>
      <c r="F8" s="116"/>
      <c r="G8" s="116"/>
      <c r="H8" s="116"/>
      <c r="I8" s="116"/>
      <c r="J8" s="116"/>
      <c r="K8" s="116"/>
      <c r="L8" s="116"/>
      <c r="M8" s="116"/>
      <c r="N8" s="116"/>
      <c r="O8" s="116"/>
      <c r="P8" s="116"/>
      <c r="Q8" s="116"/>
      <c r="R8" s="115"/>
    </row>
    <row r="9" spans="1:20" ht="15.5" x14ac:dyDescent="0.35">
      <c r="A9" s="116"/>
      <c r="B9" s="129" t="s">
        <v>350</v>
      </c>
      <c r="C9" s="129"/>
      <c r="D9" s="129"/>
      <c r="E9" s="129"/>
      <c r="F9" s="129"/>
      <c r="G9" s="129"/>
      <c r="H9" s="129"/>
      <c r="I9" s="129"/>
      <c r="J9" s="129"/>
      <c r="K9" s="129"/>
      <c r="L9" s="129"/>
      <c r="M9" s="129"/>
      <c r="N9" s="129"/>
      <c r="O9" s="129"/>
      <c r="P9" s="129"/>
      <c r="Q9" s="129"/>
      <c r="R9" s="130"/>
    </row>
    <row r="10" spans="1:20" ht="15.5" x14ac:dyDescent="0.35">
      <c r="A10" s="121">
        <f>MAX(Assumptions!C$45:C$47)</f>
        <v>1</v>
      </c>
      <c r="B10" s="111">
        <v>12</v>
      </c>
      <c r="C10" s="108" cm="1">
        <f t="array" aca="1" ref="C10" ca="1">INDIRECT("R[36]C["&amp;$A$10&amp;"]",FALSE)</f>
        <v>42.769230769230774</v>
      </c>
      <c r="D10" s="108" cm="1">
        <f t="array" aca="1" ref="D10" ca="1">INDIRECT("R[36]C["&amp;$A$10&amp;"]",FALSE)</f>
        <v>261.79487179487182</v>
      </c>
      <c r="E10" s="108" cm="1">
        <f t="array" aca="1" ref="E10" ca="1">INDIRECT("R[36]C["&amp;$A$10&amp;"]",FALSE)</f>
        <v>187.5128205128205</v>
      </c>
      <c r="F10" s="108" cm="1">
        <f t="array" aca="1" ref="F10" ca="1">INDIRECT("R[36]C["&amp;$A$10&amp;"]",FALSE)</f>
        <v>60.666666666666664</v>
      </c>
      <c r="G10" s="108" cm="1">
        <f t="array" aca="1" ref="G10" ca="1">INDIRECT("R[36]C["&amp;$A$10&amp;"]",FALSE)</f>
        <v>0</v>
      </c>
      <c r="H10" s="108" cm="1">
        <f t="array" aca="1" ref="H10" ca="1">INDIRECT("R[36]C["&amp;$A$10&amp;"]",FALSE)</f>
        <v>0</v>
      </c>
      <c r="I10" s="108" cm="1">
        <f t="array" aca="1" ref="I10" ca="1">INDIRECT("R[36]C["&amp;$A$10&amp;"]",FALSE)</f>
        <v>0</v>
      </c>
      <c r="J10" s="108" cm="1">
        <f t="array" aca="1" ref="J10" ca="1">INDIRECT("R[36]C["&amp;$A$10&amp;"]",FALSE)</f>
        <v>0</v>
      </c>
      <c r="K10" s="108" cm="1">
        <f t="array" aca="1" ref="K10" ca="1">INDIRECT("R[36]C["&amp;$A$10&amp;"]",FALSE)</f>
        <v>0</v>
      </c>
      <c r="L10" s="108" cm="1">
        <f t="array" aca="1" ref="L10" ca="1">INDIRECT("R[36]C["&amp;$A$10&amp;"]",FALSE)</f>
        <v>0</v>
      </c>
      <c r="M10" s="108" cm="1">
        <f t="array" aca="1" ref="M10" ca="1">INDIRECT("R[36]C["&amp;$A$10&amp;"]",FALSE)</f>
        <v>0</v>
      </c>
      <c r="N10" s="108" cm="1">
        <f t="array" aca="1" ref="N10" ca="1">INDIRECT("R[36]C["&amp;$A$10&amp;"]",FALSE)</f>
        <v>0</v>
      </c>
      <c r="O10" s="108" cm="1">
        <f t="array" aca="1" ref="O10" ca="1">INDIRECT("R[36]C["&amp;$A$10&amp;"]",FALSE)</f>
        <v>0</v>
      </c>
      <c r="P10" s="110"/>
      <c r="Q10" s="110"/>
      <c r="R10" s="113">
        <f ca="1">SUM(C10:P10)</f>
        <v>552.74358974358972</v>
      </c>
    </row>
    <row r="11" spans="1:20" ht="15.5" x14ac:dyDescent="0.35">
      <c r="A11" s="121">
        <f>MAX(Assumptions!C$45:C$47)</f>
        <v>1</v>
      </c>
      <c r="B11" s="111">
        <v>15</v>
      </c>
      <c r="C11" s="108" cm="1">
        <f t="array" aca="1" ref="C11" ca="1">INDIRECT("R[36]C["&amp;$A$11&amp;"]",FALSE)</f>
        <v>0</v>
      </c>
      <c r="D11" s="108" cm="1">
        <f t="array" aca="1" ref="D11" ca="1">INDIRECT("R[36]C["&amp;$A$11&amp;"]",FALSE)</f>
        <v>76.52100840336135</v>
      </c>
      <c r="E11" s="108" cm="1">
        <f t="array" aca="1" ref="E11" ca="1">INDIRECT("R[36]C["&amp;$A$11&amp;"]",FALSE)</f>
        <v>102.33333333333334</v>
      </c>
      <c r="F11" s="108" cm="1">
        <f t="array" aca="1" ref="F11" ca="1">INDIRECT("R[36]C["&amp;$A$11&amp;"]",FALSE)</f>
        <v>183.06666666666666</v>
      </c>
      <c r="G11" s="108" cm="1">
        <f t="array" aca="1" ref="G11" ca="1">INDIRECT("R[36]C["&amp;$A$11&amp;"]",FALSE)</f>
        <v>193.64</v>
      </c>
      <c r="H11" s="108" cm="1">
        <f t="array" aca="1" ref="H11" ca="1">INDIRECT("R[36]C["&amp;$A$11&amp;"]",FALSE)</f>
        <v>375.06625590388217</v>
      </c>
      <c r="I11" s="108" cm="1">
        <f t="array" aca="1" ref="I11" ca="1">INDIRECT("R[36]C["&amp;$A$11&amp;"]",FALSE)</f>
        <v>152.93333333333334</v>
      </c>
      <c r="J11" s="108" cm="1">
        <f t="array" aca="1" ref="J11" ca="1">INDIRECT("R[36]C["&amp;$A$11&amp;"]",FALSE)</f>
        <v>315.26251267836159</v>
      </c>
      <c r="K11" s="108" cm="1">
        <f t="array" aca="1" ref="K11" ca="1">INDIRECT("R[36]C["&amp;$A$11&amp;"]",FALSE)</f>
        <v>0</v>
      </c>
      <c r="L11" s="108" cm="1">
        <f t="array" aca="1" ref="L11" ca="1">INDIRECT("R[36]C["&amp;$A$11&amp;"]",FALSE)</f>
        <v>0</v>
      </c>
      <c r="M11" s="108" cm="1">
        <f t="array" aca="1" ref="M11" ca="1">INDIRECT("R[36]C["&amp;$A$11&amp;"]",FALSE)</f>
        <v>0</v>
      </c>
      <c r="N11" s="108" cm="1">
        <f t="array" aca="1" ref="N11" ca="1">INDIRECT("R[36]C["&amp;$A$11&amp;"]",FALSE)</f>
        <v>0</v>
      </c>
      <c r="O11" s="108" cm="1">
        <f t="array" aca="1" ref="O11" ca="1">INDIRECT("R[36]C["&amp;$A$11&amp;"]",FALSE)</f>
        <v>0</v>
      </c>
      <c r="P11" s="110"/>
      <c r="Q11" s="110"/>
      <c r="R11" s="113">
        <f t="shared" ref="R11:R12" ca="1" si="1">SUM(C11:P11)</f>
        <v>1398.8231103189385</v>
      </c>
    </row>
    <row r="12" spans="1:20" ht="15.5" x14ac:dyDescent="0.35">
      <c r="A12" s="121">
        <f>MAX(Assumptions!C$45:C$47)</f>
        <v>1</v>
      </c>
      <c r="B12" s="111">
        <v>18</v>
      </c>
      <c r="C12" s="108" cm="1">
        <f t="array" aca="1" ref="C12" ca="1">INDIRECT("R[36]C["&amp;$A$12&amp;"]",FALSE)</f>
        <v>0</v>
      </c>
      <c r="D12" s="108" cm="1">
        <f t="array" aca="1" ref="D12" ca="1">INDIRECT("R[36]C["&amp;$A$12&amp;"]",FALSE)</f>
        <v>0</v>
      </c>
      <c r="E12" s="108" cm="1">
        <f t="array" aca="1" ref="E12" ca="1">INDIRECT("R[36]C["&amp;$A$12&amp;"]",FALSE)</f>
        <v>0</v>
      </c>
      <c r="F12" s="108" cm="1">
        <f t="array" aca="1" ref="F12" ca="1">INDIRECT("R[36]C["&amp;$A$12&amp;"]",FALSE)</f>
        <v>0</v>
      </c>
      <c r="G12" s="108" cm="1">
        <f t="array" aca="1" ref="G12" ca="1">INDIRECT("R[36]C["&amp;$A$12&amp;"]",FALSE)</f>
        <v>0</v>
      </c>
      <c r="H12" s="108" cm="1">
        <f t="array" aca="1" ref="H12" ca="1">INDIRECT("R[36]C["&amp;$A$12&amp;"]",FALSE)</f>
        <v>0</v>
      </c>
      <c r="I12" s="108" cm="1">
        <f t="array" aca="1" ref="I12" ca="1">INDIRECT("R[36]C["&amp;$A$12&amp;"]",FALSE)</f>
        <v>0</v>
      </c>
      <c r="J12" s="108" cm="1">
        <f t="array" aca="1" ref="J12" ca="1">INDIRECT("R[36]C["&amp;$A$12&amp;"]",FALSE)</f>
        <v>0</v>
      </c>
      <c r="K12" s="108" cm="1">
        <f t="array" aca="1" ref="K12" ca="1">INDIRECT("R[36]C["&amp;$A$12&amp;"]",FALSE)</f>
        <v>83.452104386772191</v>
      </c>
      <c r="L12" s="108" cm="1">
        <f t="array" aca="1" ref="L12" ca="1">INDIRECT("R[36]C["&amp;$A$12&amp;"]",FALSE)</f>
        <v>189.51487939326151</v>
      </c>
      <c r="M12" s="108" cm="1">
        <f t="array" aca="1" ref="M12" ca="1">INDIRECT("R[36]C["&amp;$A$12&amp;"]",FALSE)</f>
        <v>59.277777777777779</v>
      </c>
      <c r="N12" s="108" cm="1">
        <f t="array" aca="1" ref="N12" ca="1">INDIRECT("R[36]C["&amp;$A$12&amp;"]",FALSE)</f>
        <v>80.082867813976321</v>
      </c>
      <c r="O12" s="108" cm="1">
        <f t="array" aca="1" ref="O12" ca="1">INDIRECT("R[36]C["&amp;$A$12&amp;"]",FALSE)</f>
        <v>51.333333333333336</v>
      </c>
      <c r="P12" s="110"/>
      <c r="Q12" s="110"/>
      <c r="R12" s="113">
        <f t="shared" ca="1" si="1"/>
        <v>463.66096270512111</v>
      </c>
      <c r="S12" t="s">
        <v>91</v>
      </c>
    </row>
    <row r="13" spans="1:20" ht="15.5" x14ac:dyDescent="0.35">
      <c r="A13" s="116"/>
      <c r="B13" s="129" t="s">
        <v>351</v>
      </c>
      <c r="C13" s="129"/>
      <c r="D13" s="129"/>
      <c r="E13" s="129"/>
      <c r="F13" s="129"/>
      <c r="G13" s="129"/>
      <c r="H13" s="129"/>
      <c r="I13" s="129"/>
      <c r="J13" s="129"/>
      <c r="K13" s="129"/>
      <c r="L13" s="129"/>
      <c r="M13" s="129"/>
      <c r="N13" s="129"/>
      <c r="O13" s="129"/>
      <c r="P13" s="129"/>
      <c r="Q13" s="129"/>
      <c r="R13" s="130"/>
    </row>
    <row r="14" spans="1:20" ht="15.5" x14ac:dyDescent="0.35">
      <c r="A14" s="121">
        <f>Assumptions!C$45</f>
        <v>1</v>
      </c>
      <c r="B14" s="111">
        <v>12</v>
      </c>
      <c r="C14" s="108" cm="1">
        <f t="array" aca="1" ref="C14" ca="1">INDIRECT("R[36]C["&amp;$A$14&amp;"]",FALSE)</f>
        <v>128.30769230769232</v>
      </c>
      <c r="D14" s="108" cm="1">
        <f t="array" aca="1" ref="D14" ca="1">INDIRECT("R[36]C["&amp;$A$14&amp;"]",FALSE)</f>
        <v>785.38461538461547</v>
      </c>
      <c r="E14" s="108" cm="1">
        <f t="array" aca="1" ref="E14" ca="1">INDIRECT("R[36]C["&amp;$A$14&amp;"]",FALSE)</f>
        <v>562.53846153846143</v>
      </c>
      <c r="F14" s="108" cm="1">
        <f t="array" aca="1" ref="F14" ca="1">INDIRECT("R[36]C["&amp;$A$14&amp;"]",FALSE)</f>
        <v>182</v>
      </c>
      <c r="G14" s="108" cm="1">
        <f t="array" aca="1" ref="G14" ca="1">INDIRECT("R[36]C["&amp;$A$14&amp;"]",FALSE)</f>
        <v>0</v>
      </c>
      <c r="H14" s="108" cm="1">
        <f t="array" aca="1" ref="H14" ca="1">INDIRECT("R[36]C["&amp;$A$14&amp;"]",FALSE)</f>
        <v>0</v>
      </c>
      <c r="I14" s="108" cm="1">
        <f t="array" aca="1" ref="I14" ca="1">INDIRECT("R[36]C["&amp;$A$14&amp;"]",FALSE)</f>
        <v>0</v>
      </c>
      <c r="J14" s="108" cm="1">
        <f t="array" aca="1" ref="J14" ca="1">INDIRECT("R[36]C["&amp;$A$14&amp;"]",FALSE)</f>
        <v>0</v>
      </c>
      <c r="K14" s="108" cm="1">
        <f t="array" aca="1" ref="K14" ca="1">INDIRECT("R[36]C["&amp;$A$14&amp;"]",FALSE)</f>
        <v>0</v>
      </c>
      <c r="L14" s="108" cm="1">
        <f t="array" aca="1" ref="L14" ca="1">INDIRECT("R[36]C["&amp;$A$14&amp;"]",FALSE)</f>
        <v>0</v>
      </c>
      <c r="M14" s="108" cm="1">
        <f t="array" aca="1" ref="M14" ca="1">INDIRECT("R[36]C["&amp;$A$14&amp;"]",FALSE)</f>
        <v>0</v>
      </c>
      <c r="N14" s="108" cm="1">
        <f t="array" aca="1" ref="N14" ca="1">INDIRECT("R[36]C["&amp;$A$14&amp;"]",FALSE)</f>
        <v>0</v>
      </c>
      <c r="O14" s="108" cm="1">
        <f t="array" aca="1" ref="O14" ca="1">INDIRECT("R[36]C["&amp;$A$14&amp;"]",FALSE)</f>
        <v>0</v>
      </c>
      <c r="P14" s="106"/>
      <c r="Q14" s="106"/>
      <c r="R14" s="113">
        <f ca="1">SUM(C14:P14)</f>
        <v>1658.2307692307693</v>
      </c>
    </row>
    <row r="15" spans="1:20" ht="15.5" x14ac:dyDescent="0.35">
      <c r="A15" s="121">
        <f>Assumptions!C$45</f>
        <v>1</v>
      </c>
      <c r="B15" s="111">
        <v>15</v>
      </c>
      <c r="C15" s="108" cm="1">
        <f t="array" aca="1" ref="C15" ca="1">INDIRECT("R[36]C["&amp;$A$15&amp;"]",FALSE)</f>
        <v>0</v>
      </c>
      <c r="D15" s="108" cm="1">
        <f t="array" aca="1" ref="D15" ca="1">INDIRECT("R[36]C["&amp;$A$15&amp;"]",FALSE)</f>
        <v>229.56302521008405</v>
      </c>
      <c r="E15" s="108" cm="1">
        <f t="array" aca="1" ref="E15" ca="1">INDIRECT("R[36]C["&amp;$A$15&amp;"]",FALSE)</f>
        <v>307</v>
      </c>
      <c r="F15" s="108" cm="1">
        <f t="array" aca="1" ref="F15" ca="1">INDIRECT("R[36]C["&amp;$A$15&amp;"]",FALSE)</f>
        <v>549.20000000000005</v>
      </c>
      <c r="G15" s="108" cm="1">
        <f t="array" aca="1" ref="G15" ca="1">INDIRECT("R[36]C["&amp;$A$15&amp;"]",FALSE)</f>
        <v>580.91999999999996</v>
      </c>
      <c r="H15" s="108" cm="1">
        <f t="array" aca="1" ref="H15" ca="1">INDIRECT("R[36]C["&amp;$A$15&amp;"]",FALSE)</f>
        <v>1125.1987677116465</v>
      </c>
      <c r="I15" s="108" cm="1">
        <f t="array" aca="1" ref="I15" ca="1">INDIRECT("R[36]C["&amp;$A$15&amp;"]",FALSE)</f>
        <v>458.8</v>
      </c>
      <c r="J15" s="108" cm="1">
        <f t="array" aca="1" ref="J15" ca="1">INDIRECT("R[36]C["&amp;$A$15&amp;"]",FALSE)</f>
        <v>945.78753803508471</v>
      </c>
      <c r="K15" s="108" cm="1">
        <f t="array" aca="1" ref="K15" ca="1">INDIRECT("R[36]C["&amp;$A$15&amp;"]",FALSE)</f>
        <v>0</v>
      </c>
      <c r="L15" s="108" cm="1">
        <f t="array" aca="1" ref="L15" ca="1">INDIRECT("R[36]C["&amp;$A$15&amp;"]",FALSE)</f>
        <v>0</v>
      </c>
      <c r="M15" s="108" cm="1">
        <f t="array" aca="1" ref="M15" ca="1">INDIRECT("R[36]C["&amp;$A$15&amp;"]",FALSE)</f>
        <v>0</v>
      </c>
      <c r="N15" s="108" cm="1">
        <f t="array" aca="1" ref="N15" ca="1">INDIRECT("R[36]C["&amp;$A$15&amp;"]",FALSE)</f>
        <v>0</v>
      </c>
      <c r="O15" s="108" cm="1">
        <f t="array" aca="1" ref="O15" ca="1">INDIRECT("R[36]C["&amp;$A$15&amp;"]",FALSE)</f>
        <v>0</v>
      </c>
      <c r="P15" s="106"/>
      <c r="Q15" s="106"/>
      <c r="R15" s="113">
        <f t="shared" ref="R15:R16" ca="1" si="2">SUM(C15:P15)</f>
        <v>4196.4693309568156</v>
      </c>
    </row>
    <row r="16" spans="1:20" ht="15.5" x14ac:dyDescent="0.35">
      <c r="A16" s="121">
        <f>Assumptions!C$45</f>
        <v>1</v>
      </c>
      <c r="B16" s="111">
        <v>18</v>
      </c>
      <c r="C16" s="108" cm="1">
        <f t="array" aca="1" ref="C16" ca="1">INDIRECT("R[36]C["&amp;$A$16&amp;"]",FALSE)</f>
        <v>0</v>
      </c>
      <c r="D16" s="108" cm="1">
        <f t="array" aca="1" ref="D16" ca="1">INDIRECT("R[36]C["&amp;$A$16&amp;"]",FALSE)</f>
        <v>0</v>
      </c>
      <c r="E16" s="108" cm="1">
        <f t="array" aca="1" ref="E16" ca="1">INDIRECT("R[36]C["&amp;$A$16&amp;"]",FALSE)</f>
        <v>0</v>
      </c>
      <c r="F16" s="108" cm="1">
        <f t="array" aca="1" ref="F16" ca="1">INDIRECT("R[36]C["&amp;$A$16&amp;"]",FALSE)</f>
        <v>0</v>
      </c>
      <c r="G16" s="108" cm="1">
        <f t="array" aca="1" ref="G16" ca="1">INDIRECT("R[36]C["&amp;$A$16&amp;"]",FALSE)</f>
        <v>0</v>
      </c>
      <c r="H16" s="108" cm="1">
        <f t="array" aca="1" ref="H16" ca="1">INDIRECT("R[36]C["&amp;$A$16&amp;"]",FALSE)</f>
        <v>0</v>
      </c>
      <c r="I16" s="108" cm="1">
        <f t="array" aca="1" ref="I16" ca="1">INDIRECT("R[36]C["&amp;$A$16&amp;"]",FALSE)</f>
        <v>0</v>
      </c>
      <c r="J16" s="108" cm="1">
        <f t="array" aca="1" ref="J16" ca="1">INDIRECT("R[36]C["&amp;$A$16&amp;"]",FALSE)</f>
        <v>0</v>
      </c>
      <c r="K16" s="108" cm="1">
        <f t="array" aca="1" ref="K16" ca="1">INDIRECT("R[36]C["&amp;$A$16&amp;"]",FALSE)</f>
        <v>250.35631316031657</v>
      </c>
      <c r="L16" s="108" cm="1">
        <f t="array" aca="1" ref="L16" ca="1">INDIRECT("R[36]C["&amp;$A$16&amp;"]",FALSE)</f>
        <v>568.54463817978456</v>
      </c>
      <c r="M16" s="108" cm="1">
        <f t="array" aca="1" ref="M16" ca="1">INDIRECT("R[36]C["&amp;$A$16&amp;"]",FALSE)</f>
        <v>177.83333333333334</v>
      </c>
      <c r="N16" s="108" cm="1">
        <f t="array" aca="1" ref="N16" ca="1">INDIRECT("R[36]C["&amp;$A$16&amp;"]",FALSE)</f>
        <v>240.24860344192896</v>
      </c>
      <c r="O16" s="108" cm="1">
        <f t="array" aca="1" ref="O16" ca="1">INDIRECT("R[36]C["&amp;$A$16&amp;"]",FALSE)</f>
        <v>154</v>
      </c>
      <c r="P16" s="106"/>
      <c r="Q16" s="106"/>
      <c r="R16" s="113">
        <f t="shared" ca="1" si="2"/>
        <v>1390.9828881153635</v>
      </c>
    </row>
    <row r="17" spans="1:18" ht="15.5" x14ac:dyDescent="0.35">
      <c r="A17" s="116"/>
      <c r="B17" s="129" t="s">
        <v>114</v>
      </c>
      <c r="C17" s="129"/>
      <c r="D17" s="129"/>
      <c r="E17" s="129"/>
      <c r="F17" s="129"/>
      <c r="G17" s="129"/>
      <c r="H17" s="129"/>
      <c r="I17" s="129"/>
      <c r="J17" s="129"/>
      <c r="K17" s="129"/>
      <c r="L17" s="129"/>
      <c r="M17" s="129"/>
      <c r="N17" s="129"/>
      <c r="O17" s="129"/>
      <c r="P17" s="129"/>
      <c r="Q17" s="129"/>
      <c r="R17" s="130"/>
    </row>
    <row r="18" spans="1:18" ht="15.5" x14ac:dyDescent="0.35">
      <c r="A18" s="121">
        <f>Assumptions!C46</f>
        <v>1</v>
      </c>
      <c r="B18" s="111">
        <v>12</v>
      </c>
      <c r="C18" s="108" cm="1">
        <f t="array" aca="1" ref="C18" ca="1">INDIRECT("R[36]C["&amp;$A$18&amp;"]",FALSE)</f>
        <v>42.769230769230774</v>
      </c>
      <c r="D18" s="108" cm="1">
        <f t="array" aca="1" ref="D18" ca="1">INDIRECT("R[36]C["&amp;$A$18&amp;"]",FALSE)</f>
        <v>261.79487179487182</v>
      </c>
      <c r="E18" s="108" cm="1">
        <f t="array" aca="1" ref="E18" ca="1">INDIRECT("R[36]C["&amp;$A$18&amp;"]",FALSE)</f>
        <v>187.5128205128205</v>
      </c>
      <c r="F18" s="108" cm="1">
        <f t="array" aca="1" ref="F18" ca="1">INDIRECT("R[36]C["&amp;$A$18&amp;"]",FALSE)</f>
        <v>60.666666666666664</v>
      </c>
      <c r="G18" s="108" cm="1">
        <f t="array" aca="1" ref="G18" ca="1">INDIRECT("R[36]C["&amp;$A$18&amp;"]",FALSE)</f>
        <v>0</v>
      </c>
      <c r="H18" s="108" cm="1">
        <f t="array" aca="1" ref="H18" ca="1">INDIRECT("R[36]C["&amp;$A$18&amp;"]",FALSE)</f>
        <v>0</v>
      </c>
      <c r="I18" s="108" cm="1">
        <f t="array" aca="1" ref="I18" ca="1">INDIRECT("R[36]C["&amp;$A$18&amp;"]",FALSE)</f>
        <v>0</v>
      </c>
      <c r="J18" s="108" cm="1">
        <f t="array" aca="1" ref="J18" ca="1">INDIRECT("R[36]C["&amp;$A$18&amp;"]",FALSE)</f>
        <v>0</v>
      </c>
      <c r="K18" s="108" cm="1">
        <f t="array" aca="1" ref="K18" ca="1">INDIRECT("R[36]C["&amp;$A$18&amp;"]",FALSE)</f>
        <v>0</v>
      </c>
      <c r="L18" s="108" cm="1">
        <f t="array" aca="1" ref="L18" ca="1">INDIRECT("R[36]C["&amp;$A$18&amp;"]",FALSE)</f>
        <v>0</v>
      </c>
      <c r="M18" s="108" cm="1">
        <f t="array" aca="1" ref="M18" ca="1">INDIRECT("R[36]C["&amp;$A$18&amp;"]",FALSE)</f>
        <v>0</v>
      </c>
      <c r="N18" s="108" cm="1">
        <f t="array" aca="1" ref="N18" ca="1">INDIRECT("R[36]C["&amp;$A$18&amp;"]",FALSE)</f>
        <v>0</v>
      </c>
      <c r="O18" s="108" cm="1">
        <f t="array" aca="1" ref="O18" ca="1">INDIRECT("R[36]C["&amp;$A$18&amp;"]",FALSE)</f>
        <v>0</v>
      </c>
      <c r="P18" s="106"/>
      <c r="Q18" s="106"/>
      <c r="R18" s="113">
        <f ca="1">SUM(C18:P18)</f>
        <v>552.74358974358972</v>
      </c>
    </row>
    <row r="19" spans="1:18" ht="15.5" x14ac:dyDescent="0.35">
      <c r="A19" s="121">
        <f>A18</f>
        <v>1</v>
      </c>
      <c r="B19" s="111">
        <v>15</v>
      </c>
      <c r="C19" s="108" cm="1">
        <f t="array" aca="1" ref="C19" ca="1">INDIRECT("R[36]C["&amp;$A$19&amp;"]",FALSE)</f>
        <v>0</v>
      </c>
      <c r="D19" s="108" cm="1">
        <f t="array" aca="1" ref="D19" ca="1">INDIRECT("R[36]C["&amp;$A$19&amp;"]",FALSE)</f>
        <v>76.52100840336135</v>
      </c>
      <c r="E19" s="108" cm="1">
        <f t="array" aca="1" ref="E19" ca="1">INDIRECT("R[36]C["&amp;$A$19&amp;"]",FALSE)</f>
        <v>102.33333333333334</v>
      </c>
      <c r="F19" s="108" cm="1">
        <f t="array" aca="1" ref="F19" ca="1">INDIRECT("R[36]C["&amp;$A$19&amp;"]",FALSE)</f>
        <v>183.06666666666666</v>
      </c>
      <c r="G19" s="108" cm="1">
        <f t="array" aca="1" ref="G19" ca="1">INDIRECT("R[36]C["&amp;$A$19&amp;"]",FALSE)</f>
        <v>193.64</v>
      </c>
      <c r="H19" s="108" cm="1">
        <f t="array" aca="1" ref="H19" ca="1">INDIRECT("R[36]C["&amp;$A$19&amp;"]",FALSE)</f>
        <v>375.06625590388217</v>
      </c>
      <c r="I19" s="108" cm="1">
        <f t="array" aca="1" ref="I19" ca="1">INDIRECT("R[36]C["&amp;$A$19&amp;"]",FALSE)</f>
        <v>152.93333333333334</v>
      </c>
      <c r="J19" s="108" cm="1">
        <f t="array" aca="1" ref="J19" ca="1">INDIRECT("R[36]C["&amp;$A$19&amp;"]",FALSE)</f>
        <v>315.26251267836159</v>
      </c>
      <c r="K19" s="108" cm="1">
        <f t="array" aca="1" ref="K19" ca="1">INDIRECT("R[36]C["&amp;$A$19&amp;"]",FALSE)</f>
        <v>0</v>
      </c>
      <c r="L19" s="108" cm="1">
        <f t="array" aca="1" ref="L19" ca="1">INDIRECT("R[36]C["&amp;$A$19&amp;"]",FALSE)</f>
        <v>0</v>
      </c>
      <c r="M19" s="108" cm="1">
        <f t="array" aca="1" ref="M19" ca="1">INDIRECT("R[36]C["&amp;$A$19&amp;"]",FALSE)</f>
        <v>0</v>
      </c>
      <c r="N19" s="108" cm="1">
        <f t="array" aca="1" ref="N19" ca="1">INDIRECT("R[36]C["&amp;$A$19&amp;"]",FALSE)</f>
        <v>0</v>
      </c>
      <c r="O19" s="108" cm="1">
        <f t="array" aca="1" ref="O19" ca="1">INDIRECT("R[36]C["&amp;$A$19&amp;"]",FALSE)</f>
        <v>0</v>
      </c>
      <c r="P19" s="106"/>
      <c r="Q19" s="106"/>
      <c r="R19" s="113">
        <f t="shared" ref="R19:R20" ca="1" si="3">SUM(C19:P19)</f>
        <v>1398.8231103189385</v>
      </c>
    </row>
    <row r="20" spans="1:18" ht="15.5" x14ac:dyDescent="0.35">
      <c r="A20" s="121">
        <f>A18</f>
        <v>1</v>
      </c>
      <c r="B20" s="111">
        <v>18</v>
      </c>
      <c r="C20" s="108" cm="1">
        <f t="array" aca="1" ref="C20" ca="1">INDIRECT("R[36]C["&amp;$A$20&amp;"]",FALSE)</f>
        <v>0</v>
      </c>
      <c r="D20" s="108" cm="1">
        <f t="array" aca="1" ref="D20" ca="1">INDIRECT("R[36]C["&amp;$A$20&amp;"]",FALSE)</f>
        <v>0</v>
      </c>
      <c r="E20" s="108" cm="1">
        <f t="array" aca="1" ref="E20" ca="1">INDIRECT("R[36]C["&amp;$A$20&amp;"]",FALSE)</f>
        <v>0</v>
      </c>
      <c r="F20" s="108" cm="1">
        <f t="array" aca="1" ref="F20" ca="1">INDIRECT("R[36]C["&amp;$A$20&amp;"]",FALSE)</f>
        <v>0</v>
      </c>
      <c r="G20" s="108" cm="1">
        <f t="array" aca="1" ref="G20" ca="1">INDIRECT("R[36]C["&amp;$A$20&amp;"]",FALSE)</f>
        <v>0</v>
      </c>
      <c r="H20" s="108" cm="1">
        <f t="array" aca="1" ref="H20" ca="1">INDIRECT("R[36]C["&amp;$A$20&amp;"]",FALSE)</f>
        <v>0</v>
      </c>
      <c r="I20" s="108" cm="1">
        <f t="array" aca="1" ref="I20" ca="1">INDIRECT("R[36]C["&amp;$A$20&amp;"]",FALSE)</f>
        <v>0</v>
      </c>
      <c r="J20" s="108" cm="1">
        <f t="array" aca="1" ref="J20" ca="1">INDIRECT("R[36]C["&amp;$A$20&amp;"]",FALSE)</f>
        <v>0</v>
      </c>
      <c r="K20" s="108" cm="1">
        <f t="array" aca="1" ref="K20" ca="1">INDIRECT("R[36]C["&amp;$A$20&amp;"]",FALSE)</f>
        <v>83.452104386772191</v>
      </c>
      <c r="L20" s="108" cm="1">
        <f t="array" aca="1" ref="L20" ca="1">INDIRECT("R[36]C["&amp;$A$20&amp;"]",FALSE)</f>
        <v>189.51487939326151</v>
      </c>
      <c r="M20" s="108" cm="1">
        <f t="array" aca="1" ref="M20" ca="1">INDIRECT("R[36]C["&amp;$A$20&amp;"]",FALSE)</f>
        <v>59.277777777777779</v>
      </c>
      <c r="N20" s="108" cm="1">
        <f t="array" aca="1" ref="N20" ca="1">INDIRECT("R[36]C["&amp;$A$20&amp;"]",FALSE)</f>
        <v>80.082867813976321</v>
      </c>
      <c r="O20" s="108" cm="1">
        <f t="array" aca="1" ref="O20" ca="1">INDIRECT("R[36]C["&amp;$A$20&amp;"]",FALSE)</f>
        <v>51.333333333333336</v>
      </c>
      <c r="P20" s="106"/>
      <c r="Q20" s="106"/>
      <c r="R20" s="113">
        <f t="shared" ca="1" si="3"/>
        <v>463.66096270512111</v>
      </c>
    </row>
    <row r="21" spans="1:18" ht="15.5" x14ac:dyDescent="0.35">
      <c r="A21" s="116"/>
      <c r="B21" s="129" t="s">
        <v>352</v>
      </c>
      <c r="C21" s="129"/>
      <c r="D21" s="129"/>
      <c r="E21" s="129"/>
      <c r="F21" s="129"/>
      <c r="G21" s="129"/>
      <c r="H21" s="129"/>
      <c r="I21" s="129"/>
      <c r="J21" s="129"/>
      <c r="K21" s="129"/>
      <c r="L21" s="129"/>
      <c r="M21" s="129"/>
      <c r="N21" s="129"/>
      <c r="O21" s="129"/>
      <c r="P21" s="129"/>
      <c r="Q21" s="129"/>
      <c r="R21" s="130"/>
    </row>
    <row r="22" spans="1:18" ht="15.5" x14ac:dyDescent="0.35">
      <c r="A22" s="121">
        <f>Assumptions!C47</f>
        <v>1</v>
      </c>
      <c r="B22" s="111">
        <v>12</v>
      </c>
      <c r="C22" s="108" cm="1">
        <f t="array" aca="1" ref="C22" ca="1">INDIRECT("R[36]C["&amp;$A$22&amp;"]",FALSE)</f>
        <v>42.769230769230774</v>
      </c>
      <c r="D22" s="108" cm="1">
        <f t="array" aca="1" ref="D22" ca="1">INDIRECT("R[36]C["&amp;$A$18&amp;"]",FALSE)</f>
        <v>261.79487179487182</v>
      </c>
      <c r="E22" s="108" cm="1">
        <f t="array" aca="1" ref="E22" ca="1">INDIRECT("R[36]C["&amp;$A$18&amp;"]",FALSE)</f>
        <v>187.5128205128205</v>
      </c>
      <c r="F22" s="108" cm="1">
        <f t="array" aca="1" ref="F22" ca="1">INDIRECT("R[36]C["&amp;$A$18&amp;"]",FALSE)</f>
        <v>60.666666666666664</v>
      </c>
      <c r="G22" s="108" cm="1">
        <f t="array" aca="1" ref="G22" ca="1">INDIRECT("R[36]C["&amp;$A$18&amp;"]",FALSE)</f>
        <v>0</v>
      </c>
      <c r="H22" s="108" cm="1">
        <f t="array" aca="1" ref="H22" ca="1">INDIRECT("R[36]C["&amp;$A$18&amp;"]",FALSE)</f>
        <v>0</v>
      </c>
      <c r="I22" s="108" cm="1">
        <f t="array" aca="1" ref="I22" ca="1">INDIRECT("R[36]C["&amp;$A$18&amp;"]",FALSE)</f>
        <v>0</v>
      </c>
      <c r="J22" s="108" cm="1">
        <f t="array" aca="1" ref="J22" ca="1">INDIRECT("R[36]C["&amp;$A$18&amp;"]",FALSE)</f>
        <v>0</v>
      </c>
      <c r="K22" s="108" cm="1">
        <f t="array" aca="1" ref="K22" ca="1">INDIRECT("R[36]C["&amp;$A$18&amp;"]",FALSE)</f>
        <v>0</v>
      </c>
      <c r="L22" s="108" cm="1">
        <f t="array" aca="1" ref="L22" ca="1">INDIRECT("R[36]C["&amp;$A$18&amp;"]",FALSE)</f>
        <v>0</v>
      </c>
      <c r="M22" s="108" cm="1">
        <f t="array" aca="1" ref="M22" ca="1">INDIRECT("R[36]C["&amp;$A$18&amp;"]",FALSE)</f>
        <v>0</v>
      </c>
      <c r="N22" s="108" cm="1">
        <f t="array" aca="1" ref="N22" ca="1">INDIRECT("R[36]C["&amp;$A$18&amp;"]",FALSE)</f>
        <v>0</v>
      </c>
      <c r="O22" s="108" cm="1">
        <f t="array" aca="1" ref="O22" ca="1">INDIRECT("R[36]C["&amp;$A$18&amp;"]",FALSE)</f>
        <v>0</v>
      </c>
      <c r="P22" s="111"/>
      <c r="Q22" s="111"/>
      <c r="R22" s="113">
        <f ca="1">SUM(C22:P22)</f>
        <v>552.74358974358972</v>
      </c>
    </row>
    <row r="23" spans="1:18" ht="15.5" x14ac:dyDescent="0.35">
      <c r="A23" s="121">
        <f>A22</f>
        <v>1</v>
      </c>
      <c r="B23" s="111">
        <v>15</v>
      </c>
      <c r="C23" s="108" cm="1">
        <f t="array" aca="1" ref="C23" ca="1">INDIRECT("R[36]C["&amp;$A$23&amp;"]",FALSE)</f>
        <v>0</v>
      </c>
      <c r="D23" s="108" cm="1">
        <f t="array" aca="1" ref="D23" ca="1">INDIRECT("R[36]C["&amp;$A$19&amp;"]",FALSE)</f>
        <v>76.52100840336135</v>
      </c>
      <c r="E23" s="108" cm="1">
        <f t="array" aca="1" ref="E23" ca="1">INDIRECT("R[36]C["&amp;$A$19&amp;"]",FALSE)</f>
        <v>102.33333333333334</v>
      </c>
      <c r="F23" s="108" cm="1">
        <f t="array" aca="1" ref="F23" ca="1">INDIRECT("R[36]C["&amp;$A$19&amp;"]",FALSE)</f>
        <v>183.06666666666666</v>
      </c>
      <c r="G23" s="108" cm="1">
        <f t="array" aca="1" ref="G23" ca="1">INDIRECT("R[36]C["&amp;$A$19&amp;"]",FALSE)</f>
        <v>193.64</v>
      </c>
      <c r="H23" s="108" cm="1">
        <f t="array" aca="1" ref="H23" ca="1">INDIRECT("R[36]C["&amp;$A$19&amp;"]",FALSE)</f>
        <v>375.06625590388217</v>
      </c>
      <c r="I23" s="108" cm="1">
        <f t="array" aca="1" ref="I23" ca="1">INDIRECT("R[36]C["&amp;$A$19&amp;"]",FALSE)</f>
        <v>152.93333333333334</v>
      </c>
      <c r="J23" s="108" cm="1">
        <f t="array" aca="1" ref="J23" ca="1">INDIRECT("R[36]C["&amp;$A$19&amp;"]",FALSE)</f>
        <v>315.26251267836159</v>
      </c>
      <c r="K23" s="108" cm="1">
        <f t="array" aca="1" ref="K23" ca="1">INDIRECT("R[36]C["&amp;$A$19&amp;"]",FALSE)</f>
        <v>0</v>
      </c>
      <c r="L23" s="108" cm="1">
        <f t="array" aca="1" ref="L23" ca="1">INDIRECT("R[36]C["&amp;$A$19&amp;"]",FALSE)</f>
        <v>0</v>
      </c>
      <c r="M23" s="108" cm="1">
        <f t="array" aca="1" ref="M23" ca="1">INDIRECT("R[36]C["&amp;$A$19&amp;"]",FALSE)</f>
        <v>0</v>
      </c>
      <c r="N23" s="108" cm="1">
        <f t="array" aca="1" ref="N23" ca="1">INDIRECT("R[36]C["&amp;$A$19&amp;"]",FALSE)</f>
        <v>0</v>
      </c>
      <c r="O23" s="108" cm="1">
        <f t="array" aca="1" ref="O23" ca="1">INDIRECT("R[36]C["&amp;$A$19&amp;"]",FALSE)</f>
        <v>0</v>
      </c>
      <c r="P23" s="111"/>
      <c r="Q23" s="111"/>
      <c r="R23" s="113">
        <f t="shared" ref="R23:R24" ca="1" si="4">SUM(C23:P23)</f>
        <v>1398.8231103189385</v>
      </c>
    </row>
    <row r="24" spans="1:18" ht="15.5" x14ac:dyDescent="0.35">
      <c r="A24" s="121">
        <f>A22</f>
        <v>1</v>
      </c>
      <c r="B24" s="111">
        <v>18</v>
      </c>
      <c r="C24" s="108" cm="1">
        <f t="array" aca="1" ref="C24" ca="1">INDIRECT("R[36]C["&amp;$A$24&amp;"]",FALSE)</f>
        <v>0</v>
      </c>
      <c r="D24" s="108" cm="1">
        <f t="array" aca="1" ref="D24" ca="1">INDIRECT("R[36]C["&amp;$A$20&amp;"]",FALSE)</f>
        <v>0</v>
      </c>
      <c r="E24" s="108" cm="1">
        <f t="array" aca="1" ref="E24" ca="1">INDIRECT("R[36]C["&amp;$A$20&amp;"]",FALSE)</f>
        <v>0</v>
      </c>
      <c r="F24" s="108" cm="1">
        <f t="array" aca="1" ref="F24" ca="1">INDIRECT("R[36]C["&amp;$A$20&amp;"]",FALSE)</f>
        <v>0</v>
      </c>
      <c r="G24" s="108" cm="1">
        <f t="array" aca="1" ref="G24" ca="1">INDIRECT("R[36]C["&amp;$A$20&amp;"]",FALSE)</f>
        <v>0</v>
      </c>
      <c r="H24" s="108" cm="1">
        <f t="array" aca="1" ref="H24" ca="1">INDIRECT("R[36]C["&amp;$A$20&amp;"]",FALSE)</f>
        <v>0</v>
      </c>
      <c r="I24" s="108" cm="1">
        <f t="array" aca="1" ref="I24" ca="1">INDIRECT("R[36]C["&amp;$A$20&amp;"]",FALSE)</f>
        <v>0</v>
      </c>
      <c r="J24" s="108" cm="1">
        <f t="array" aca="1" ref="J24" ca="1">INDIRECT("R[36]C["&amp;$A$20&amp;"]",FALSE)</f>
        <v>0</v>
      </c>
      <c r="K24" s="108" cm="1">
        <f t="array" aca="1" ref="K24" ca="1">INDIRECT("R[36]C["&amp;$A$20&amp;"]",FALSE)</f>
        <v>83.452104386772191</v>
      </c>
      <c r="L24" s="108" cm="1">
        <f t="array" aca="1" ref="L24" ca="1">INDIRECT("R[36]C["&amp;$A$20&amp;"]",FALSE)</f>
        <v>189.51487939326151</v>
      </c>
      <c r="M24" s="108" cm="1">
        <f t="array" aca="1" ref="M24" ca="1">INDIRECT("R[36]C["&amp;$A$20&amp;"]",FALSE)</f>
        <v>59.277777777777779</v>
      </c>
      <c r="N24" s="108" cm="1">
        <f t="array" aca="1" ref="N24" ca="1">INDIRECT("R[36]C["&amp;$A$20&amp;"]",FALSE)</f>
        <v>80.082867813976321</v>
      </c>
      <c r="O24" s="108" cm="1">
        <f t="array" aca="1" ref="O24" ca="1">INDIRECT("R[36]C["&amp;$A$20&amp;"]",FALSE)</f>
        <v>51.333333333333336</v>
      </c>
      <c r="P24" s="111"/>
      <c r="Q24" s="111"/>
      <c r="R24" s="113">
        <f t="shared" ca="1" si="4"/>
        <v>463.66096270512111</v>
      </c>
    </row>
    <row r="25" spans="1:18" ht="15.5" x14ac:dyDescent="0.35">
      <c r="A25" s="116"/>
      <c r="B25" s="129" t="s">
        <v>116</v>
      </c>
      <c r="C25" s="131"/>
      <c r="D25" s="131"/>
      <c r="E25" s="131"/>
      <c r="F25" s="131"/>
      <c r="G25" s="131"/>
      <c r="H25" s="131"/>
      <c r="I25" s="131"/>
      <c r="J25" s="131"/>
      <c r="K25" s="131"/>
      <c r="L25" s="131"/>
      <c r="M25" s="131"/>
      <c r="N25" s="131"/>
      <c r="O25" s="131"/>
      <c r="P25" s="131"/>
      <c r="Q25" s="131"/>
      <c r="R25" s="130"/>
    </row>
    <row r="26" spans="1:18" ht="15.5" x14ac:dyDescent="0.35">
      <c r="A26" s="121">
        <f>Assumptions!C51</f>
        <v>1</v>
      </c>
      <c r="B26" s="106" t="s">
        <v>257</v>
      </c>
      <c r="C26" s="108" cm="1">
        <f t="array" aca="1" ref="C26" ca="1">INDIRECT("R[36]C["&amp;$A$26&amp;"]",FALSE)</f>
        <v>32.769230769230774</v>
      </c>
      <c r="D26" s="108" cm="1">
        <f t="array" aca="1" ref="D26" ca="1">INDIRECT("R[36]C["&amp;$A$18&amp;"]",FALSE)</f>
        <v>229.49353587588882</v>
      </c>
      <c r="E26" s="108" cm="1">
        <f t="array" aca="1" ref="E26" ca="1">INDIRECT("R[36]C["&amp;$A$18&amp;"]",FALSE)</f>
        <v>179.50641025641025</v>
      </c>
      <c r="F26" s="108" cm="1">
        <f t="array" aca="1" ref="F26" ca="1">INDIRECT("R[36]C["&amp;$A$18&amp;"]",FALSE)</f>
        <v>160.73333333333332</v>
      </c>
      <c r="G26" s="108" cm="1">
        <f t="array" aca="1" ref="G26" ca="1">INDIRECT("R[36]C["&amp;$A$18&amp;"]",FALSE)</f>
        <v>97.213333333333338</v>
      </c>
      <c r="H26" s="108" cm="1">
        <f t="array" aca="1" ref="H26" ca="1">INDIRECT("R[36]C["&amp;$A$18&amp;"]",FALSE)</f>
        <v>226.77599949362576</v>
      </c>
      <c r="I26" s="108" cm="1">
        <f t="array" aca="1" ref="I26" ca="1">INDIRECT("R[36]C["&amp;$A$18&amp;"]",FALSE)</f>
        <v>150.25333333333333</v>
      </c>
      <c r="J26" s="108" cm="1">
        <f t="array" aca="1" ref="J26" ca="1">INDIRECT("R[36]C["&amp;$A$18&amp;"]",FALSE)</f>
        <v>262.03917934502823</v>
      </c>
      <c r="K26" s="108" cm="1">
        <f t="array" aca="1" ref="K26" ca="1">INDIRECT("R[36]C["&amp;$A$18&amp;"]",FALSE)</f>
        <v>38.886145644612462</v>
      </c>
      <c r="L26" s="108" cm="1">
        <f t="array" aca="1" ref="L26" ca="1">INDIRECT("R[36]C["&amp;$A$18&amp;"]",FALSE)</f>
        <v>115.79374890861638</v>
      </c>
      <c r="M26" s="108" cm="1">
        <f t="array" aca="1" ref="M26" ca="1">INDIRECT("R[36]C["&amp;$A$18&amp;"]",FALSE)</f>
        <v>41.49444444444444</v>
      </c>
      <c r="N26" s="108" cm="1">
        <f t="array" aca="1" ref="N26" ca="1">INDIRECT("R[36]C["&amp;$A$18&amp;"]",FALSE)</f>
        <v>62.732867813976327</v>
      </c>
      <c r="O26" s="108" cm="1">
        <f t="array" aca="1" ref="O26" ca="1">INDIRECT("R[36]C["&amp;$A$18&amp;"]",FALSE)</f>
        <v>35.93333333333333</v>
      </c>
      <c r="P26" s="108"/>
      <c r="Q26" s="108"/>
      <c r="R26" s="113">
        <f ca="1">SUM(C26:Q26)</f>
        <v>1633.624895885167</v>
      </c>
    </row>
    <row r="27" spans="1:18" ht="15.5" x14ac:dyDescent="0.35">
      <c r="A27" s="121">
        <f>A26</f>
        <v>1</v>
      </c>
      <c r="B27" s="106" t="s">
        <v>258</v>
      </c>
      <c r="C27" s="108" cm="1">
        <f t="array" aca="1" ref="C27" ca="1">INDIRECT("R[36]C["&amp;$A$27&amp;"]",FALSE)</f>
        <v>32.769230769230774</v>
      </c>
      <c r="D27" s="108" cm="1">
        <f t="array" aca="1" ref="D27" ca="1">INDIRECT("R[36]C["&amp;$A$19&amp;"]",FALSE)</f>
        <v>229.49353587588882</v>
      </c>
      <c r="E27" s="108" cm="1">
        <f t="array" aca="1" ref="E27" ca="1">INDIRECT("R[36]C["&amp;$A$19&amp;"]",FALSE)</f>
        <v>179.50641025641025</v>
      </c>
      <c r="F27" s="108" cm="1">
        <f t="array" aca="1" ref="F27" ca="1">INDIRECT("R[36]C["&amp;$A$19&amp;"]",FALSE)</f>
        <v>160.73333333333332</v>
      </c>
      <c r="G27" s="108" cm="1">
        <f t="array" aca="1" ref="G27" ca="1">INDIRECT("R[36]C["&amp;$A$19&amp;"]",FALSE)</f>
        <v>97.213333333333338</v>
      </c>
      <c r="H27" s="108" cm="1">
        <f t="array" aca="1" ref="H27" ca="1">INDIRECT("R[36]C["&amp;$A$19&amp;"]",FALSE)</f>
        <v>226.77599949362576</v>
      </c>
      <c r="I27" s="108" cm="1">
        <f t="array" aca="1" ref="I27" ca="1">INDIRECT("R[36]C["&amp;$A$19&amp;"]",FALSE)</f>
        <v>150.25333333333333</v>
      </c>
      <c r="J27" s="108" cm="1">
        <f t="array" aca="1" ref="J27" ca="1">INDIRECT("R[36]C["&amp;$A$19&amp;"]",FALSE)</f>
        <v>262.03917934502823</v>
      </c>
      <c r="K27" s="108" cm="1">
        <f t="array" aca="1" ref="K27" ca="1">INDIRECT("R[36]C["&amp;$A$19&amp;"]",FALSE)</f>
        <v>38.886145644612462</v>
      </c>
      <c r="L27" s="108" cm="1">
        <f t="array" aca="1" ref="L27" ca="1">INDIRECT("R[36]C["&amp;$A$19&amp;"]",FALSE)</f>
        <v>115.79374890861638</v>
      </c>
      <c r="M27" s="108" cm="1">
        <f t="array" aca="1" ref="M27" ca="1">INDIRECT("R[36]C["&amp;$A$19&amp;"]",FALSE)</f>
        <v>41.49444444444444</v>
      </c>
      <c r="N27" s="108" cm="1">
        <f t="array" aca="1" ref="N27" ca="1">INDIRECT("R[36]C["&amp;$A$19&amp;"]",FALSE)</f>
        <v>62.732867813976327</v>
      </c>
      <c r="O27" s="108" cm="1">
        <f t="array" aca="1" ref="O27" ca="1">INDIRECT("R[36]C["&amp;$A$19&amp;"]",FALSE)</f>
        <v>35.93333333333333</v>
      </c>
      <c r="P27" s="108"/>
      <c r="Q27" s="108"/>
      <c r="R27" s="113">
        <f t="shared" ref="R27:R30" ca="1" si="5">SUM(C27:Q27)</f>
        <v>1633.624895885167</v>
      </c>
    </row>
    <row r="28" spans="1:18" ht="15.5" x14ac:dyDescent="0.35">
      <c r="A28" s="121">
        <f>Assumptions!C53</f>
        <v>1</v>
      </c>
      <c r="B28" s="106" t="s">
        <v>353</v>
      </c>
      <c r="C28" s="108" cm="1">
        <f t="array" aca="1" ref="C28" ca="1">INDIRECT("R[36]C["&amp;$A$28&amp;"]",FALSE)</f>
        <v>0</v>
      </c>
      <c r="D28" s="108" cm="1">
        <f t="array" aca="1" ref="D28" ca="1">INDIRECT("R[36]C["&amp;$A$28&amp;"]",FALSE)</f>
        <v>29.142857142857142</v>
      </c>
      <c r="E28" s="108" cm="1">
        <f t="array" aca="1" ref="E28" ca="1">INDIRECT("R[36]C["&amp;$A$28&amp;"]",FALSE)</f>
        <v>12</v>
      </c>
      <c r="F28" s="108" cm="1">
        <f t="array" aca="1" ref="F28" ca="1">INDIRECT("R[36]C["&amp;$A$28&amp;"]",FALSE)</f>
        <v>11</v>
      </c>
      <c r="G28" s="108" cm="1">
        <f t="array" aca="1" ref="G28" ca="1">INDIRECT("R[36]C["&amp;$A$28&amp;"]",FALSE)</f>
        <v>5.36</v>
      </c>
      <c r="H28" s="108" cm="1">
        <f t="array" aca="1" ref="H28" ca="1">INDIRECT("R[36]C["&amp;$A$28&amp;"]",FALSE)</f>
        <v>46.23</v>
      </c>
      <c r="I28" s="108" cm="1">
        <f t="array" aca="1" ref="I28" ca="1">INDIRECT("R[36]C["&amp;$A$28&amp;"]",FALSE)</f>
        <v>10.24</v>
      </c>
      <c r="J28" s="108" cm="1">
        <f t="array" aca="1" ref="J28" ca="1">INDIRECT("R[36]C["&amp;$A$28&amp;"]",FALSE)</f>
        <v>9.7199999999999989</v>
      </c>
      <c r="K28" s="108" cm="1">
        <f t="array" aca="1" ref="K28" ca="1">INDIRECT("R[36]C["&amp;$A$28&amp;"]",FALSE)</f>
        <v>0</v>
      </c>
      <c r="L28" s="108" cm="1">
        <f t="array" aca="1" ref="L28" ca="1">INDIRECT("R[36]C["&amp;$A$28&amp;"]",FALSE)</f>
        <v>22.102231908989225</v>
      </c>
      <c r="M28" s="108" cm="1">
        <f t="array" aca="1" ref="M28" ca="1">INDIRECT("R[36]C["&amp;$A$28&amp;"]",FALSE)</f>
        <v>8.8916666666666657</v>
      </c>
      <c r="N28" s="108" cm="1">
        <f t="array" aca="1" ref="N28" ca="1">INDIRECT("R[36]C["&amp;$A$28&amp;"]",FALSE)</f>
        <v>8.6750000000000007</v>
      </c>
      <c r="O28" s="108" cm="1">
        <f t="array" aca="1" ref="O28" ca="1">INDIRECT("R[36]C["&amp;$A$28&amp;"]",FALSE)</f>
        <v>7.7</v>
      </c>
      <c r="P28" s="108"/>
      <c r="Q28" s="108"/>
      <c r="R28" s="113">
        <f t="shared" ca="1" si="5"/>
        <v>171.06175571851304</v>
      </c>
    </row>
    <row r="29" spans="1:18" ht="15.5" x14ac:dyDescent="0.35">
      <c r="A29" s="121">
        <f>Assumptions!C52</f>
        <v>1</v>
      </c>
      <c r="B29" s="106" t="s">
        <v>117</v>
      </c>
      <c r="C29" s="108" cm="1">
        <f t="array" aca="1" ref="C29" ca="1">INDIRECT("R[36]C["&amp;$A$29&amp;"]",FALSE)</f>
        <v>10</v>
      </c>
      <c r="D29" s="108" cm="1">
        <f t="array" aca="1" ref="D29" ca="1">INDIRECT("R[36]C["&amp;$A$29&amp;"]",FALSE)</f>
        <v>79.679487179487182</v>
      </c>
      <c r="E29" s="108" cm="1">
        <f t="array" aca="1" ref="E29" ca="1">INDIRECT("R[36]C["&amp;$A$29&amp;"]",FALSE)</f>
        <v>76.339743589743591</v>
      </c>
      <c r="F29" s="108" cm="1">
        <f t="array" aca="1" ref="F29" ca="1">INDIRECT("R[36]C["&amp;$A$29&amp;"]",FALSE)</f>
        <v>50</v>
      </c>
      <c r="G29" s="108" cm="1">
        <f t="array" aca="1" ref="G29" ca="1">INDIRECT("R[36]C["&amp;$A$29&amp;"]",FALSE)</f>
        <v>91.066666666666677</v>
      </c>
      <c r="H29" s="108" cm="1">
        <f t="array" aca="1" ref="H29" ca="1">INDIRECT("R[36]C["&amp;$A$29&amp;"]",FALSE)</f>
        <v>81.650000000000006</v>
      </c>
      <c r="I29" s="108" cm="1">
        <f t="array" aca="1" ref="I29" ca="1">INDIRECT("R[36]C["&amp;$A$29&amp;"]",FALSE)</f>
        <v>10.24</v>
      </c>
      <c r="J29" s="108" cm="1">
        <f t="array" aca="1" ref="J29" ca="1">INDIRECT("R[36]C["&amp;$A$29&amp;"]",FALSE)</f>
        <v>22.17</v>
      </c>
      <c r="K29" s="108" cm="1">
        <f t="array" aca="1" ref="K29" ca="1">INDIRECT("R[36]C["&amp;$A$29&amp;"]",FALSE)</f>
        <v>0</v>
      </c>
      <c r="L29" s="108" cm="1">
        <f t="array" aca="1" ref="L29" ca="1">INDIRECT("R[36]C["&amp;$A$29&amp;"]",FALSE)</f>
        <v>51.618898575655891</v>
      </c>
      <c r="M29" s="108" cm="1">
        <f t="array" aca="1" ref="M29" ca="1">INDIRECT("R[36]C["&amp;$A$29&amp;"]",FALSE)</f>
        <v>8.8916666666666657</v>
      </c>
      <c r="N29" s="108" cm="1">
        <f t="array" aca="1" ref="N29" ca="1">INDIRECT("R[36]C["&amp;$A$29&amp;"]",FALSE)</f>
        <v>8.6750000000000007</v>
      </c>
      <c r="O29" s="108" cm="1">
        <f t="array" aca="1" ref="O29" ca="1">INDIRECT("R[36]C["&amp;$A$29&amp;"]",FALSE)</f>
        <v>7.7</v>
      </c>
      <c r="P29" s="108"/>
      <c r="Q29" s="108"/>
      <c r="R29" s="113">
        <f t="shared" ca="1" si="5"/>
        <v>498.03146267822001</v>
      </c>
    </row>
    <row r="30" spans="1:18" ht="15.5" x14ac:dyDescent="0.35">
      <c r="A30" s="121">
        <f>Assumptions!C54</f>
        <v>1</v>
      </c>
      <c r="B30" s="106" t="s">
        <v>354</v>
      </c>
      <c r="C30" s="108" cm="1">
        <f t="array" aca="1" ref="C30" ca="1">INDIRECT("R[36]C["&amp;$A$30&amp;"]",FALSE)</f>
        <v>2</v>
      </c>
      <c r="D30" s="108" cm="1">
        <f t="array" aca="1" ref="D30" ca="1">INDIRECT("R[36]C["&amp;$A$30&amp;"]",FALSE)</f>
        <v>10</v>
      </c>
      <c r="E30" s="108" cm="1">
        <f t="array" aca="1" ref="E30" ca="1">INDIRECT("R[36]C["&amp;$A$30&amp;"]",FALSE)</f>
        <v>9</v>
      </c>
      <c r="F30" s="108" cm="1">
        <f t="array" aca="1" ref="F30" ca="1">INDIRECT("R[36]C["&amp;$A$30&amp;"]",FALSE)</f>
        <v>7</v>
      </c>
      <c r="G30" s="108" cm="1">
        <f t="array" aca="1" ref="G30" ca="1">INDIRECT("R[36]C["&amp;$A$30&amp;"]",FALSE)</f>
        <v>5</v>
      </c>
      <c r="H30" s="108" cm="1">
        <f t="array" aca="1" ref="H30" ca="1">INDIRECT("R[36]C["&amp;$A$30&amp;"]",FALSE)</f>
        <v>8</v>
      </c>
      <c r="I30" s="108" cm="1">
        <f t="array" aca="1" ref="I30" ca="1">INDIRECT("R[36]C["&amp;$A$30&amp;"]",FALSE)</f>
        <v>5</v>
      </c>
      <c r="J30" s="108" cm="1">
        <f t="array" aca="1" ref="J30" ca="1">INDIRECT("R[36]C["&amp;$A$30&amp;"]",FALSE)</f>
        <v>11</v>
      </c>
      <c r="K30" s="108" cm="1">
        <f t="array" aca="1" ref="K30" ca="1">INDIRECT("R[36]C["&amp;$A$30&amp;"]",FALSE)</f>
        <v>1</v>
      </c>
      <c r="L30" s="108" cm="1">
        <f t="array" aca="1" ref="L30" ca="1">INDIRECT("R[36]C["&amp;$A$30&amp;"]",FALSE)</f>
        <v>6</v>
      </c>
      <c r="M30" s="108" cm="1">
        <f t="array" aca="1" ref="M30" ca="1">INDIRECT("R[36]C["&amp;$A$30&amp;"]",FALSE)</f>
        <v>2</v>
      </c>
      <c r="N30" s="108" cm="1">
        <f t="array" aca="1" ref="N30" ca="1">INDIRECT("R[36]C["&amp;$A$30&amp;"]",FALSE)</f>
        <v>3</v>
      </c>
      <c r="O30" s="108" cm="1">
        <f t="array" aca="1" ref="O30" ca="1">INDIRECT("R[36]C["&amp;$A$30&amp;"]",FALSE)</f>
        <v>2</v>
      </c>
      <c r="P30" s="108"/>
      <c r="Q30" s="108"/>
      <c r="R30" s="113">
        <f t="shared" ca="1" si="5"/>
        <v>71</v>
      </c>
    </row>
    <row r="31" spans="1:18" ht="15.5" x14ac:dyDescent="0.35">
      <c r="A31" s="116"/>
      <c r="B31" s="129" t="s">
        <v>119</v>
      </c>
      <c r="C31" s="131"/>
      <c r="D31" s="132"/>
      <c r="E31" s="132"/>
      <c r="F31" s="132"/>
      <c r="G31" s="132"/>
      <c r="H31" s="132"/>
      <c r="I31" s="132"/>
      <c r="J31" s="132"/>
      <c r="K31" s="132"/>
      <c r="L31" s="132"/>
      <c r="M31" s="132"/>
      <c r="N31" s="132"/>
      <c r="O31" s="132"/>
      <c r="P31" s="132"/>
      <c r="Q31" s="132"/>
      <c r="R31" s="130"/>
    </row>
    <row r="32" spans="1:18" ht="15.5" x14ac:dyDescent="0.35">
      <c r="A32" s="121">
        <f>Assumptions!C48</f>
        <v>2</v>
      </c>
      <c r="B32" s="106" t="s">
        <v>355</v>
      </c>
      <c r="C32" s="108" cm="1">
        <f t="array" aca="1" ref="C32" ca="1">INDIRECT("R[36]C["&amp;$A$32&amp;"]",FALSE)</f>
        <v>10</v>
      </c>
      <c r="D32" s="108" cm="1">
        <f t="array" aca="1" ref="D32" ca="1">INDIRECT("R[36]C["&amp;$A$32&amp;"]",FALSE)</f>
        <v>6</v>
      </c>
      <c r="E32" s="108" cm="1">
        <f t="array" aca="1" ref="E32" ca="1">INDIRECT("R[36]C["&amp;$A$32&amp;"]",FALSE)</f>
        <v>7</v>
      </c>
      <c r="F32" s="108" cm="1">
        <f t="array" aca="1" ref="F32" ca="1">INDIRECT("R[36]C["&amp;$A$32&amp;"]",FALSE)</f>
        <v>5</v>
      </c>
      <c r="G32" s="108" cm="1">
        <f t="array" aca="1" ref="G32" ca="1">INDIRECT("R[36]C["&amp;$A$32&amp;"]",FALSE)</f>
        <v>8</v>
      </c>
      <c r="H32" s="108" cm="1">
        <f t="array" aca="1" ref="H32" ca="1">INDIRECT("R[36]C["&amp;$A$32&amp;"]",FALSE)</f>
        <v>5</v>
      </c>
      <c r="I32" s="108" cm="1">
        <f t="array" aca="1" ref="I32" ca="1">INDIRECT("R[36]C["&amp;$A$32&amp;"]",FALSE)</f>
        <v>8</v>
      </c>
      <c r="J32" s="108" cm="1">
        <f t="array" aca="1" ref="J32" ca="1">INDIRECT("R[36]C["&amp;$A$32&amp;"]",FALSE)</f>
        <v>1</v>
      </c>
      <c r="K32" s="108" cm="1">
        <f t="array" aca="1" ref="K32" ca="1">INDIRECT("R[36]C["&amp;$A$32&amp;"]",FALSE)</f>
        <v>6</v>
      </c>
      <c r="L32" s="108" cm="1">
        <f t="array" aca="1" ref="L32" ca="1">INDIRECT("R[36]C["&amp;$A$32&amp;"]",FALSE)</f>
        <v>2</v>
      </c>
      <c r="M32" s="108" cm="1">
        <f t="array" aca="1" ref="M32" ca="1">INDIRECT("R[36]C["&amp;$A$32&amp;"]",FALSE)</f>
        <v>3</v>
      </c>
      <c r="N32" s="108" cm="1">
        <f t="array" aca="1" ref="N32" ca="1">INDIRECT("R[36]C["&amp;$A$32&amp;"]",FALSE)</f>
        <v>2</v>
      </c>
      <c r="O32" s="108" cm="1">
        <f t="array" aca="1" ref="O32" ca="1">INDIRECT("R[36]C["&amp;$A$32&amp;"]",FALSE)</f>
        <v>0</v>
      </c>
      <c r="P32" s="108"/>
      <c r="Q32" s="108"/>
      <c r="R32" s="113">
        <f ca="1">SUM(C32:Q32)</f>
        <v>63</v>
      </c>
    </row>
    <row r="33" spans="1:19" ht="15.5" x14ac:dyDescent="0.35">
      <c r="A33" s="116"/>
      <c r="B33" s="129" t="s">
        <v>356</v>
      </c>
      <c r="C33" s="131"/>
      <c r="D33" s="131"/>
      <c r="E33" s="131"/>
      <c r="F33" s="131"/>
      <c r="G33" s="131"/>
      <c r="H33" s="131"/>
      <c r="I33" s="131"/>
      <c r="J33" s="131"/>
      <c r="K33" s="131"/>
      <c r="L33" s="131"/>
      <c r="M33" s="131"/>
      <c r="N33" s="131"/>
      <c r="O33" s="131"/>
      <c r="P33" s="131"/>
      <c r="Q33" s="131"/>
      <c r="R33" s="130"/>
    </row>
    <row r="34" spans="1:19" ht="15.5" x14ac:dyDescent="0.35">
      <c r="A34" s="121">
        <f>Assumptions!C49</f>
        <v>1</v>
      </c>
      <c r="B34" s="106" t="s">
        <v>357</v>
      </c>
      <c r="C34" s="108" cm="1">
        <f t="array" aca="1" ref="C34" ca="1">INDIRECT("R[36]C["&amp;$A$34&amp;"]",FALSE)</f>
        <v>125.50240000000001</v>
      </c>
      <c r="D34" s="108" cm="1">
        <f t="array" aca="1" ref="D34" ca="1">INDIRECT("R[36]C["&amp;$A$34&amp;"]",FALSE)</f>
        <v>862.25390096961871</v>
      </c>
      <c r="E34" s="108" cm="1">
        <f t="array" aca="1" ref="E34" ca="1">INDIRECT("R[36]C["&amp;$A$34&amp;"]",FALSE)</f>
        <v>725.58714358974362</v>
      </c>
      <c r="F34" s="108" cm="1">
        <f t="array" aca="1" ref="F34" ca="1">INDIRECT("R[36]C["&amp;$A$34&amp;"]",FALSE)</f>
        <v>520.27304000000004</v>
      </c>
      <c r="G34" s="108" cm="1">
        <f t="array" aca="1" ref="G34" ca="1">INDIRECT("R[36]C["&amp;$A$34&amp;"]",FALSE)</f>
        <v>417.65050133333341</v>
      </c>
      <c r="H34" s="108" cm="1">
        <f t="array" aca="1" ref="H34" ca="1">INDIRECT("R[36]C["&amp;$A$34&amp;"]",FALSE)</f>
        <v>1004.9766712982587</v>
      </c>
      <c r="I34" s="108" cm="1">
        <f t="array" aca="1" ref="I34" ca="1">INDIRECT("R[36]C["&amp;$A$34&amp;"]",FALSE)</f>
        <v>335.84160000000003</v>
      </c>
      <c r="J34" s="108" cm="1">
        <f t="array" aca="1" ref="J34" ca="1">INDIRECT("R[36]C["&amp;$A$34&amp;"]",FALSE)</f>
        <v>954.2356778416821</v>
      </c>
      <c r="K34" s="108" cm="1">
        <f t="array" aca="1" ref="K34" ca="1">INDIRECT("R[36]C["&amp;$A$34&amp;"]",FALSE)</f>
        <v>85.39397583556898</v>
      </c>
      <c r="L34" s="108" cm="1">
        <f t="array" aca="1" ref="L34" ca="1">INDIRECT("R[36]C["&amp;$A$34&amp;"]",FALSE)</f>
        <v>622.85067514760226</v>
      </c>
      <c r="M34" s="108" cm="1">
        <f t="array" aca="1" ref="M34" ca="1">INDIRECT("R[36]C["&amp;$A$34&amp;"]",FALSE)</f>
        <v>130.17400000000001</v>
      </c>
      <c r="N34" s="108" cm="1">
        <f t="array" aca="1" ref="N34" ca="1">INDIRECT("R[36]C["&amp;$A$34&amp;"]",FALSE)</f>
        <v>175.86197771949202</v>
      </c>
      <c r="O34" s="108" cm="1">
        <f t="array" aca="1" ref="O34" ca="1">INDIRECT("R[36]C["&amp;$A$34&amp;"]",FALSE)</f>
        <v>112.72800000000001</v>
      </c>
      <c r="P34" s="108"/>
      <c r="Q34" s="108"/>
      <c r="R34" s="113">
        <f ca="1">SUM(C34:Q34)</f>
        <v>6073.3295637353003</v>
      </c>
    </row>
    <row r="35" spans="1:19" ht="15.5" x14ac:dyDescent="0.35">
      <c r="A35" s="121">
        <f>Assumptions!C50</f>
        <v>1</v>
      </c>
      <c r="B35" s="106" t="s">
        <v>358</v>
      </c>
      <c r="C35" s="108" cm="1">
        <f t="array" aca="1" ref="C35" ca="1">INDIRECT("R[36]C["&amp;$A$35&amp;"]",FALSE)</f>
        <v>256</v>
      </c>
      <c r="D35" s="108" cm="1">
        <f t="array" aca="1" ref="D35" ca="1">INDIRECT("R[36]C["&amp;$A$35&amp;"]",FALSE)</f>
        <v>926.41359999999997</v>
      </c>
      <c r="E35" s="108" cm="1">
        <f t="array" aca="1" ref="E35" ca="1">INDIRECT("R[36]C["&amp;$A$35&amp;"]",FALSE)</f>
        <v>505.5</v>
      </c>
      <c r="F35" s="108" cm="1">
        <f t="array" aca="1" ref="F35" ca="1">INDIRECT("R[36]C["&amp;$A$35&amp;"]",FALSE)</f>
        <v>498.67899999999997</v>
      </c>
      <c r="G35" s="108" cm="1">
        <f t="array" aca="1" ref="G35" ca="1">INDIRECT("R[36]C["&amp;$A$35&amp;"]",FALSE)</f>
        <v>526</v>
      </c>
      <c r="H35" s="108" cm="1">
        <f t="array" aca="1" ref="H35" ca="1">INDIRECT("R[36]C["&amp;$A$35&amp;"]",FALSE)</f>
        <v>658.6653</v>
      </c>
      <c r="I35" s="108" cm="1">
        <f t="array" aca="1" ref="I35" ca="1">INDIRECT("R[36]C["&amp;$A$35&amp;"]",FALSE)</f>
        <v>690.26030000000003</v>
      </c>
      <c r="J35" s="108" cm="1">
        <f t="array" aca="1" ref="J35" ca="1">INDIRECT("R[36]C["&amp;$A$35&amp;"]",FALSE)</f>
        <v>679.90499999999997</v>
      </c>
      <c r="K35" s="108" cm="1">
        <f t="array" aca="1" ref="K35" ca="1">INDIRECT("R[36]C["&amp;$A$35&amp;"]",FALSE)</f>
        <v>63</v>
      </c>
      <c r="L35" s="108" cm="1">
        <f t="array" aca="1" ref="L35" ca="1">INDIRECT("R[36]C["&amp;$A$35&amp;"]",FALSE)</f>
        <v>802.40499999999997</v>
      </c>
      <c r="M35" s="108" cm="1">
        <f t="array" aca="1" ref="M35" ca="1">INDIRECT("R[36]C["&amp;$A$35&amp;"]",FALSE)</f>
        <v>300</v>
      </c>
      <c r="N35" s="108" cm="1">
        <f t="array" aca="1" ref="N35" ca="1">INDIRECT("R[36]C["&amp;$A$35&amp;"]",FALSE)</f>
        <v>372.40499999999997</v>
      </c>
      <c r="O35" s="108" cm="1">
        <f t="array" aca="1" ref="O35" ca="1">INDIRECT("R[36]C["&amp;$A$35&amp;"]",FALSE)</f>
        <v>280</v>
      </c>
      <c r="P35" s="108"/>
      <c r="Q35" s="108"/>
      <c r="R35" s="113">
        <f ca="1">SUM(C35:Q35)</f>
        <v>6559.2331999999997</v>
      </c>
    </row>
    <row r="36" spans="1:19" ht="15.5" x14ac:dyDescent="0.35">
      <c r="A36" s="116"/>
      <c r="B36" s="129"/>
      <c r="C36" s="129"/>
      <c r="D36" s="129"/>
      <c r="E36" s="129"/>
      <c r="F36" s="129"/>
      <c r="G36" s="129"/>
      <c r="H36" s="129"/>
      <c r="I36" s="129"/>
      <c r="J36" s="129"/>
      <c r="K36" s="129"/>
      <c r="L36" s="129"/>
      <c r="M36" s="129"/>
      <c r="N36" s="129"/>
      <c r="O36" s="129"/>
      <c r="P36" s="129"/>
      <c r="Q36" s="129"/>
      <c r="R36" s="130"/>
    </row>
    <row r="37" spans="1:19" ht="15.5" x14ac:dyDescent="0.35">
      <c r="A37" s="116"/>
      <c r="B37" s="116"/>
      <c r="C37" s="116"/>
      <c r="D37" s="115"/>
      <c r="E37" s="115"/>
      <c r="F37" s="115"/>
      <c r="G37" s="115"/>
      <c r="H37" s="115"/>
      <c r="I37" s="115"/>
      <c r="J37" s="115"/>
      <c r="K37" s="115"/>
      <c r="L37" s="115"/>
      <c r="M37" s="115"/>
      <c r="N37" s="115"/>
      <c r="O37" s="115"/>
      <c r="P37" s="115"/>
      <c r="Q37" s="115"/>
      <c r="R37" s="115"/>
    </row>
    <row r="38" spans="1:19" ht="15.5" x14ac:dyDescent="0.35">
      <c r="A38" s="116"/>
      <c r="B38" s="116"/>
      <c r="C38" s="116"/>
      <c r="D38" s="115"/>
      <c r="E38" s="115"/>
      <c r="F38" s="115"/>
      <c r="G38" s="115"/>
      <c r="H38" s="115"/>
      <c r="I38" s="115"/>
      <c r="J38" s="115"/>
      <c r="K38" s="115"/>
      <c r="L38" s="115"/>
      <c r="M38" s="115"/>
      <c r="N38" s="115"/>
      <c r="O38" s="115"/>
      <c r="P38" s="115"/>
      <c r="Q38" s="115"/>
      <c r="R38" s="115"/>
    </row>
    <row r="39" spans="1:19" ht="15.5" x14ac:dyDescent="0.35">
      <c r="A39" s="116"/>
      <c r="B39" s="116" t="s">
        <v>235</v>
      </c>
      <c r="C39" s="115">
        <f ca="1">SUM(C10:C12)</f>
        <v>42.769230769230774</v>
      </c>
      <c r="D39" s="115">
        <f ca="1">SUM(D10:D12)</f>
        <v>338.31588019823317</v>
      </c>
      <c r="E39" s="115">
        <f t="shared" ref="E39:Q39" ca="1" si="6">SUM(E10:E12)</f>
        <v>289.84615384615381</v>
      </c>
      <c r="F39" s="115">
        <f t="shared" ca="1" si="6"/>
        <v>243.73333333333332</v>
      </c>
      <c r="G39" s="115">
        <f t="shared" ca="1" si="6"/>
        <v>193.64</v>
      </c>
      <c r="H39" s="115">
        <f t="shared" ca="1" si="6"/>
        <v>375.06625590388217</v>
      </c>
      <c r="I39" s="115">
        <f t="shared" ca="1" si="6"/>
        <v>152.93333333333334</v>
      </c>
      <c r="J39" s="115">
        <f t="shared" ca="1" si="6"/>
        <v>315.26251267836159</v>
      </c>
      <c r="K39" s="115">
        <f t="shared" ca="1" si="6"/>
        <v>83.452104386772191</v>
      </c>
      <c r="L39" s="115">
        <f t="shared" ca="1" si="6"/>
        <v>189.51487939326151</v>
      </c>
      <c r="M39" s="115">
        <f t="shared" ca="1" si="6"/>
        <v>59.277777777777779</v>
      </c>
      <c r="N39" s="115">
        <f t="shared" ca="1" si="6"/>
        <v>80.082867813976321</v>
      </c>
      <c r="O39" s="115">
        <f t="shared" ca="1" si="6"/>
        <v>51.333333333333336</v>
      </c>
      <c r="P39" s="115">
        <f t="shared" si="6"/>
        <v>0</v>
      </c>
      <c r="Q39" s="115">
        <f t="shared" si="6"/>
        <v>0</v>
      </c>
      <c r="R39" s="115">
        <f ca="1">SUM(R10:R12)</f>
        <v>2415.2276627676492</v>
      </c>
    </row>
    <row r="40" spans="1:19" ht="15.5" x14ac:dyDescent="0.35">
      <c r="A40" s="116"/>
      <c r="B40" s="116"/>
      <c r="C40" s="116"/>
      <c r="D40" s="115"/>
      <c r="E40" s="115"/>
      <c r="F40" s="115"/>
      <c r="G40" s="115"/>
      <c r="H40" s="115"/>
      <c r="I40" s="115"/>
      <c r="J40" s="115"/>
      <c r="K40" s="115"/>
      <c r="L40" s="115"/>
      <c r="M40" s="115"/>
      <c r="N40" s="115"/>
      <c r="O40" s="115"/>
      <c r="P40" s="115"/>
      <c r="Q40" s="115"/>
      <c r="R40" s="115"/>
    </row>
    <row r="41" spans="1:19" ht="15.5" x14ac:dyDescent="0.35">
      <c r="A41" s="116"/>
      <c r="B41" s="116"/>
      <c r="C41" s="116"/>
      <c r="D41" s="115"/>
      <c r="E41" s="115"/>
      <c r="F41" s="115"/>
      <c r="G41" s="115"/>
      <c r="H41" s="115"/>
      <c r="I41" s="115"/>
      <c r="J41" s="115"/>
      <c r="K41" s="115"/>
      <c r="L41" s="115"/>
      <c r="M41" s="115"/>
      <c r="N41" s="115"/>
      <c r="O41" s="115"/>
      <c r="P41" s="115"/>
      <c r="Q41" s="115"/>
      <c r="R41" s="115"/>
    </row>
    <row r="42" spans="1:19" ht="15.5" x14ac:dyDescent="0.35">
      <c r="A42" s="116"/>
      <c r="B42" s="116"/>
      <c r="C42" s="116"/>
      <c r="D42" s="116"/>
      <c r="E42" s="116"/>
      <c r="F42" s="116"/>
      <c r="G42" s="116"/>
      <c r="H42" s="116"/>
      <c r="I42" s="116"/>
      <c r="J42" s="116"/>
      <c r="K42" s="116"/>
      <c r="L42" s="116"/>
      <c r="M42" s="116"/>
      <c r="N42" s="116"/>
      <c r="O42" s="116"/>
      <c r="P42" s="116"/>
      <c r="Q42" s="116"/>
      <c r="R42" s="115"/>
    </row>
    <row r="43" spans="1:19" ht="15.5" x14ac:dyDescent="0.35">
      <c r="A43" s="116"/>
      <c r="B43" s="116"/>
      <c r="C43" s="116"/>
      <c r="D43" s="116"/>
      <c r="E43" s="116"/>
      <c r="F43" s="116"/>
      <c r="G43" s="116"/>
      <c r="H43" s="116"/>
      <c r="I43" s="116"/>
      <c r="J43" s="116"/>
      <c r="K43" s="116"/>
      <c r="L43" s="116"/>
      <c r="M43" s="116"/>
      <c r="N43" s="116"/>
      <c r="O43" s="116"/>
      <c r="P43" s="116"/>
      <c r="Q43" s="116"/>
      <c r="R43" s="115"/>
    </row>
    <row r="44" spans="1:19" ht="15.5" x14ac:dyDescent="0.35">
      <c r="A44" s="116"/>
      <c r="B44" s="120" t="s">
        <v>193</v>
      </c>
      <c r="C44" s="120"/>
      <c r="D44" s="116"/>
      <c r="E44" s="116"/>
      <c r="F44" s="116"/>
      <c r="G44" s="116"/>
      <c r="H44" s="116"/>
      <c r="I44" s="116"/>
      <c r="J44" s="116"/>
      <c r="K44" s="116"/>
      <c r="L44" s="116"/>
      <c r="M44" s="116"/>
      <c r="N44" s="116"/>
      <c r="O44" s="116"/>
      <c r="P44" s="116"/>
      <c r="Q44" s="116"/>
      <c r="R44" s="115"/>
    </row>
    <row r="45" spans="1:19" ht="15.5" x14ac:dyDescent="0.35">
      <c r="A45" s="116"/>
      <c r="B45" s="129" t="s">
        <v>112</v>
      </c>
      <c r="C45" s="129"/>
      <c r="D45" s="129"/>
      <c r="E45" s="129"/>
      <c r="F45" s="129"/>
      <c r="G45" s="129"/>
      <c r="H45" s="129"/>
      <c r="I45" s="129"/>
      <c r="J45" s="129"/>
      <c r="K45" s="129"/>
      <c r="L45" s="129"/>
      <c r="M45" s="129"/>
      <c r="N45" s="129"/>
      <c r="O45" s="129"/>
      <c r="P45" s="129"/>
      <c r="Q45" s="129"/>
      <c r="R45" s="130"/>
    </row>
    <row r="46" spans="1:19" ht="15.5" x14ac:dyDescent="0.35">
      <c r="A46" s="122">
        <f>Assumptions!C55</f>
        <v>1</v>
      </c>
      <c r="B46" s="123">
        <v>12</v>
      </c>
      <c r="C46" s="127" cm="1">
        <f t="array" aca="1" ref="C46" ca="1">INDIRECT("R[40]C["&amp;$A$46&amp;"]",FALSE)</f>
        <v>0</v>
      </c>
      <c r="D46" s="124" cm="1">
        <f t="array" aca="1" ref="D46" ca="1">INDIRECT("R[40]C["&amp;$A$46&amp;"]",FALSE)</f>
        <v>42.769230769230774</v>
      </c>
      <c r="E46" s="124" cm="1">
        <f t="array" aca="1" ref="E46" ca="1">INDIRECT("R[40]C["&amp;$A$46&amp;"]",FALSE)</f>
        <v>261.79487179487182</v>
      </c>
      <c r="F46" s="124" cm="1">
        <f t="array" aca="1" ref="F46" ca="1">INDIRECT("R[40]C["&amp;$A$46&amp;"]",FALSE)</f>
        <v>187.5128205128205</v>
      </c>
      <c r="G46" s="124" cm="1">
        <f t="array" aca="1" ref="G46" ca="1">INDIRECT("R[40]C["&amp;$A$46&amp;"]",FALSE)</f>
        <v>60.666666666666664</v>
      </c>
      <c r="H46" s="124" cm="1">
        <f t="array" aca="1" ref="H46" ca="1">INDIRECT("R[40]C["&amp;$A$46&amp;"]",FALSE)</f>
        <v>0</v>
      </c>
      <c r="I46" s="124" cm="1">
        <f t="array" aca="1" ref="I46" ca="1">INDIRECT("R[40]C["&amp;$A$46&amp;"]",FALSE)</f>
        <v>0</v>
      </c>
      <c r="J46" s="124" cm="1">
        <f t="array" aca="1" ref="J46" ca="1">INDIRECT("R[40]C["&amp;$A$46&amp;"]",FALSE)</f>
        <v>0</v>
      </c>
      <c r="K46" s="124" cm="1">
        <f t="array" aca="1" ref="K46" ca="1">INDIRECT("R[40]C["&amp;$A$46&amp;"]",FALSE)</f>
        <v>0</v>
      </c>
      <c r="L46" s="124" cm="1">
        <f t="array" aca="1" ref="L46" ca="1">INDIRECT("R[40]C["&amp;$A$46&amp;"]",FALSE)</f>
        <v>0</v>
      </c>
      <c r="M46" s="124" cm="1">
        <f t="array" aca="1" ref="M46" ca="1">INDIRECT("R[40]C["&amp;$A$46&amp;"]",FALSE)</f>
        <v>0</v>
      </c>
      <c r="N46" s="124" cm="1">
        <f t="array" aca="1" ref="N46" ca="1">INDIRECT("R[40]C["&amp;$A$46&amp;"]",FALSE)</f>
        <v>0</v>
      </c>
      <c r="O46" s="124" cm="1">
        <f t="array" aca="1" ref="O46" ca="1">INDIRECT("R[40]C["&amp;$A$46&amp;"]",FALSE)</f>
        <v>0</v>
      </c>
      <c r="P46" s="124" cm="1">
        <f t="array" aca="1" ref="P46" ca="1">INDIRECT("R[40]C["&amp;$A$46&amp;"]",FALSE)</f>
        <v>0</v>
      </c>
      <c r="Q46" s="125"/>
      <c r="R46" s="128">
        <f ca="1">SUM(D46:P46)</f>
        <v>552.74358974358972</v>
      </c>
    </row>
    <row r="47" spans="1:19" ht="15.5" x14ac:dyDescent="0.35">
      <c r="A47" s="121">
        <f>A46</f>
        <v>1</v>
      </c>
      <c r="B47" s="123">
        <v>15</v>
      </c>
      <c r="C47" s="127" cm="1">
        <f t="array" aca="1" ref="C47" ca="1">INDIRECT("R[40]C["&amp;$A$46&amp;"]",FALSE)</f>
        <v>0</v>
      </c>
      <c r="D47" s="124" cm="1">
        <f t="array" aca="1" ref="D47" ca="1">INDIRECT("R[40]C["&amp;$A$46&amp;"]",FALSE)</f>
        <v>0</v>
      </c>
      <c r="E47" s="124" cm="1">
        <f t="array" aca="1" ref="E47" ca="1">INDIRECT("R[40]C["&amp;$A$46&amp;"]",FALSE)</f>
        <v>76.52100840336135</v>
      </c>
      <c r="F47" s="124" cm="1">
        <f t="array" aca="1" ref="F47" ca="1">INDIRECT("R[40]C["&amp;$A$46&amp;"]",FALSE)</f>
        <v>102.33333333333334</v>
      </c>
      <c r="G47" s="124" cm="1">
        <f t="array" aca="1" ref="G47" ca="1">INDIRECT("R[40]C["&amp;$A$46&amp;"]",FALSE)</f>
        <v>183.06666666666666</v>
      </c>
      <c r="H47" s="124" cm="1">
        <f t="array" aca="1" ref="H47" ca="1">INDIRECT("R[40]C["&amp;$A$46&amp;"]",FALSE)</f>
        <v>193.64</v>
      </c>
      <c r="I47" s="124" cm="1">
        <f t="array" aca="1" ref="I47" ca="1">INDIRECT("R[40]C["&amp;$A$46&amp;"]",FALSE)</f>
        <v>375.06625590388217</v>
      </c>
      <c r="J47" s="124" cm="1">
        <f t="array" aca="1" ref="J47" ca="1">INDIRECT("R[40]C["&amp;$A$46&amp;"]",FALSE)</f>
        <v>152.93333333333334</v>
      </c>
      <c r="K47" s="124" cm="1">
        <f t="array" aca="1" ref="K47" ca="1">INDIRECT("R[40]C["&amp;$A$46&amp;"]",FALSE)</f>
        <v>315.26251267836159</v>
      </c>
      <c r="L47" s="124" cm="1">
        <f t="array" aca="1" ref="L47" ca="1">INDIRECT("R[40]C["&amp;$A$46&amp;"]",FALSE)</f>
        <v>0</v>
      </c>
      <c r="M47" s="124" cm="1">
        <f t="array" aca="1" ref="M47" ca="1">INDIRECT("R[40]C["&amp;$A$46&amp;"]",FALSE)</f>
        <v>0</v>
      </c>
      <c r="N47" s="124" cm="1">
        <f t="array" aca="1" ref="N47" ca="1">INDIRECT("R[40]C["&amp;$A$46&amp;"]",FALSE)</f>
        <v>0</v>
      </c>
      <c r="O47" s="124" cm="1">
        <f t="array" aca="1" ref="O47" ca="1">INDIRECT("R[40]C["&amp;$A$46&amp;"]",FALSE)</f>
        <v>0</v>
      </c>
      <c r="P47" s="124" cm="1">
        <f t="array" aca="1" ref="P47" ca="1">INDIRECT("R[40]C["&amp;$A$46&amp;"]",FALSE)</f>
        <v>0</v>
      </c>
      <c r="Q47" s="125"/>
      <c r="R47" s="128">
        <f ca="1">SUM(D47:P47)</f>
        <v>1398.8231103189385</v>
      </c>
    </row>
    <row r="48" spans="1:19" ht="15.5" x14ac:dyDescent="0.35">
      <c r="A48" s="121">
        <f>A47</f>
        <v>1</v>
      </c>
      <c r="B48" s="123">
        <v>18</v>
      </c>
      <c r="C48" s="127" cm="1">
        <f t="array" aca="1" ref="C48" ca="1">INDIRECT("R[40]C["&amp;$A$46&amp;"]",FALSE)</f>
        <v>0</v>
      </c>
      <c r="D48" s="124" cm="1">
        <f t="array" aca="1" ref="D48" ca="1">INDIRECT("R[40]C["&amp;$A$46&amp;"]",FALSE)</f>
        <v>0</v>
      </c>
      <c r="E48" s="124" cm="1">
        <f t="array" aca="1" ref="E48" ca="1">INDIRECT("R[40]C["&amp;$A$46&amp;"]",FALSE)</f>
        <v>0</v>
      </c>
      <c r="F48" s="124" cm="1">
        <f t="array" aca="1" ref="F48" ca="1">INDIRECT("R[40]C["&amp;$A$46&amp;"]",FALSE)</f>
        <v>0</v>
      </c>
      <c r="G48" s="124" cm="1">
        <f t="array" aca="1" ref="G48" ca="1">INDIRECT("R[40]C["&amp;$A$46&amp;"]",FALSE)</f>
        <v>0</v>
      </c>
      <c r="H48" s="124" cm="1">
        <f t="array" aca="1" ref="H48" ca="1">INDIRECT("R[40]C["&amp;$A$46&amp;"]",FALSE)</f>
        <v>0</v>
      </c>
      <c r="I48" s="124" cm="1">
        <f t="array" aca="1" ref="I48" ca="1">INDIRECT("R[40]C["&amp;$A$46&amp;"]",FALSE)</f>
        <v>0</v>
      </c>
      <c r="J48" s="124" cm="1">
        <f t="array" aca="1" ref="J48" ca="1">INDIRECT("R[40]C["&amp;$A$46&amp;"]",FALSE)</f>
        <v>0</v>
      </c>
      <c r="K48" s="124" cm="1">
        <f t="array" aca="1" ref="K48" ca="1">INDIRECT("R[40]C["&amp;$A$46&amp;"]",FALSE)</f>
        <v>0</v>
      </c>
      <c r="L48" s="124" cm="1">
        <f t="array" aca="1" ref="L48" ca="1">INDIRECT("R[40]C["&amp;$A$46&amp;"]",FALSE)</f>
        <v>83.452104386772191</v>
      </c>
      <c r="M48" s="124" cm="1">
        <f t="array" aca="1" ref="M48" ca="1">INDIRECT("R[40]C["&amp;$A$46&amp;"]",FALSE)</f>
        <v>189.51487939326151</v>
      </c>
      <c r="N48" s="124" cm="1">
        <f t="array" aca="1" ref="N48" ca="1">INDIRECT("R[40]C["&amp;$A$46&amp;"]",FALSE)</f>
        <v>59.277777777777779</v>
      </c>
      <c r="O48" s="124" cm="1">
        <f t="array" aca="1" ref="O48" ca="1">INDIRECT("R[40]C["&amp;$A$46&amp;"]",FALSE)</f>
        <v>80.082867813976321</v>
      </c>
      <c r="P48" s="124" cm="1">
        <f t="array" aca="1" ref="P48" ca="1">INDIRECT("R[40]C["&amp;$A$46&amp;"]",FALSE)</f>
        <v>51.333333333333336</v>
      </c>
      <c r="Q48" s="125"/>
      <c r="R48" s="128">
        <f ca="1">SUM(D48:P48)</f>
        <v>463.66096270512111</v>
      </c>
      <c r="S48" t="s">
        <v>91</v>
      </c>
    </row>
    <row r="49" spans="1:18" ht="15.5" x14ac:dyDescent="0.35">
      <c r="A49" s="116"/>
      <c r="B49" s="129" t="s">
        <v>351</v>
      </c>
      <c r="C49" s="133"/>
      <c r="D49" s="129"/>
      <c r="E49" s="129"/>
      <c r="F49" s="129"/>
      <c r="G49" s="129"/>
      <c r="H49" s="129"/>
      <c r="I49" s="129"/>
      <c r="J49" s="129"/>
      <c r="K49" s="129"/>
      <c r="L49" s="129"/>
      <c r="M49" s="129"/>
      <c r="N49" s="129"/>
      <c r="O49" s="129"/>
      <c r="P49" s="129"/>
      <c r="Q49" s="129"/>
      <c r="R49" s="130"/>
    </row>
    <row r="50" spans="1:18" ht="15.5" x14ac:dyDescent="0.35">
      <c r="A50" s="121">
        <f>A48</f>
        <v>1</v>
      </c>
      <c r="B50" s="123">
        <v>12</v>
      </c>
      <c r="C50" s="127" cm="1">
        <f t="array" aca="1" ref="C50" ca="1">INDIRECT("R[40]C["&amp;$A$50&amp;"]",FALSE)</f>
        <v>0</v>
      </c>
      <c r="D50" s="124" cm="1">
        <f t="array" aca="1" ref="D50" ca="1">INDIRECT("R[40]C["&amp;$A$50&amp;"]",FALSE)</f>
        <v>128.30769230769232</v>
      </c>
      <c r="E50" s="124" cm="1">
        <f t="array" aca="1" ref="E50" ca="1">INDIRECT("R[40]C["&amp;$A$50&amp;"]",FALSE)</f>
        <v>785.38461538461547</v>
      </c>
      <c r="F50" s="124" cm="1">
        <f t="array" aca="1" ref="F50" ca="1">INDIRECT("R[40]C["&amp;$A$50&amp;"]",FALSE)</f>
        <v>562.53846153846143</v>
      </c>
      <c r="G50" s="124" cm="1">
        <f t="array" aca="1" ref="G50" ca="1">INDIRECT("R[40]C["&amp;$A$50&amp;"]",FALSE)</f>
        <v>182</v>
      </c>
      <c r="H50" s="124" cm="1">
        <f t="array" aca="1" ref="H50" ca="1">INDIRECT("R[40]C["&amp;$A$50&amp;"]",FALSE)</f>
        <v>0</v>
      </c>
      <c r="I50" s="124" cm="1">
        <f t="array" aca="1" ref="I50" ca="1">INDIRECT("R[40]C["&amp;$A$50&amp;"]",FALSE)</f>
        <v>0</v>
      </c>
      <c r="J50" s="124" cm="1">
        <f t="array" aca="1" ref="J50" ca="1">INDIRECT("R[40]C["&amp;$A$50&amp;"]",FALSE)</f>
        <v>0</v>
      </c>
      <c r="K50" s="124" cm="1">
        <f t="array" aca="1" ref="K50" ca="1">INDIRECT("R[40]C["&amp;$A$50&amp;"]",FALSE)</f>
        <v>0</v>
      </c>
      <c r="L50" s="124" cm="1">
        <f t="array" aca="1" ref="L50" ca="1">INDIRECT("R[40]C["&amp;$A$50&amp;"]",FALSE)</f>
        <v>0</v>
      </c>
      <c r="M50" s="124" cm="1">
        <f t="array" aca="1" ref="M50" ca="1">INDIRECT("R[40]C["&amp;$A$50&amp;"]",FALSE)</f>
        <v>0</v>
      </c>
      <c r="N50" s="124" cm="1">
        <f t="array" aca="1" ref="N50" ca="1">INDIRECT("R[40]C["&amp;$A$50&amp;"]",FALSE)</f>
        <v>0</v>
      </c>
      <c r="O50" s="124" cm="1">
        <f t="array" aca="1" ref="O50" ca="1">INDIRECT("R[40]C["&amp;$A$50&amp;"]",FALSE)</f>
        <v>0</v>
      </c>
      <c r="P50" s="124" cm="1">
        <f t="array" aca="1" ref="P50" ca="1">INDIRECT("R[40]C["&amp;$A$50&amp;"]",FALSE)</f>
        <v>0</v>
      </c>
      <c r="Q50" s="126"/>
      <c r="R50" s="128">
        <f ca="1">SUM(D50:P50)</f>
        <v>1658.2307692307693</v>
      </c>
    </row>
    <row r="51" spans="1:18" ht="15.5" x14ac:dyDescent="0.35">
      <c r="A51" s="121">
        <f>A50</f>
        <v>1</v>
      </c>
      <c r="B51" s="123">
        <v>15</v>
      </c>
      <c r="C51" s="127" cm="1">
        <f t="array" aca="1" ref="C51" ca="1">INDIRECT("R[40]C["&amp;$A$50&amp;"]",FALSE)</f>
        <v>0</v>
      </c>
      <c r="D51" s="124" cm="1">
        <f t="array" aca="1" ref="D51" ca="1">INDIRECT("R[40]C["&amp;$A$50&amp;"]",FALSE)</f>
        <v>0</v>
      </c>
      <c r="E51" s="124" cm="1">
        <f t="array" aca="1" ref="E51" ca="1">INDIRECT("R[40]C["&amp;$A$50&amp;"]",FALSE)</f>
        <v>229.56302521008405</v>
      </c>
      <c r="F51" s="124" cm="1">
        <f t="array" aca="1" ref="F51" ca="1">INDIRECT("R[40]C["&amp;$A$50&amp;"]",FALSE)</f>
        <v>307</v>
      </c>
      <c r="G51" s="124" cm="1">
        <f t="array" aca="1" ref="G51" ca="1">INDIRECT("R[40]C["&amp;$A$50&amp;"]",FALSE)</f>
        <v>549.20000000000005</v>
      </c>
      <c r="H51" s="124" cm="1">
        <f t="array" aca="1" ref="H51" ca="1">INDIRECT("R[40]C["&amp;$A$50&amp;"]",FALSE)</f>
        <v>580.91999999999996</v>
      </c>
      <c r="I51" s="124" cm="1">
        <f t="array" aca="1" ref="I51" ca="1">INDIRECT("R[40]C["&amp;$A$50&amp;"]",FALSE)</f>
        <v>1125.1987677116465</v>
      </c>
      <c r="J51" s="124" cm="1">
        <f t="array" aca="1" ref="J51" ca="1">INDIRECT("R[40]C["&amp;$A$50&amp;"]",FALSE)</f>
        <v>458.8</v>
      </c>
      <c r="K51" s="124" cm="1">
        <f t="array" aca="1" ref="K51" ca="1">INDIRECT("R[40]C["&amp;$A$50&amp;"]",FALSE)</f>
        <v>945.78753803508471</v>
      </c>
      <c r="L51" s="124" cm="1">
        <f t="array" aca="1" ref="L51" ca="1">INDIRECT("R[40]C["&amp;$A$50&amp;"]",FALSE)</f>
        <v>0</v>
      </c>
      <c r="M51" s="124" cm="1">
        <f t="array" aca="1" ref="M51" ca="1">INDIRECT("R[40]C["&amp;$A$50&amp;"]",FALSE)</f>
        <v>0</v>
      </c>
      <c r="N51" s="124" cm="1">
        <f t="array" aca="1" ref="N51" ca="1">INDIRECT("R[40]C["&amp;$A$50&amp;"]",FALSE)</f>
        <v>0</v>
      </c>
      <c r="O51" s="124" cm="1">
        <f t="array" aca="1" ref="O51" ca="1">INDIRECT("R[40]C["&amp;$A$50&amp;"]",FALSE)</f>
        <v>0</v>
      </c>
      <c r="P51" s="124" cm="1">
        <f t="array" aca="1" ref="P51" ca="1">INDIRECT("R[40]C["&amp;$A$50&amp;"]",FALSE)</f>
        <v>0</v>
      </c>
      <c r="Q51" s="126"/>
      <c r="R51" s="128">
        <f ca="1">SUM(D51:P51)</f>
        <v>4196.4693309568156</v>
      </c>
    </row>
    <row r="52" spans="1:18" ht="15.5" x14ac:dyDescent="0.35">
      <c r="A52" s="121">
        <f>A51</f>
        <v>1</v>
      </c>
      <c r="B52" s="123">
        <v>18</v>
      </c>
      <c r="C52" s="127" cm="1">
        <f t="array" aca="1" ref="C52" ca="1">INDIRECT("R[40]C["&amp;$A$50&amp;"]",FALSE)</f>
        <v>0</v>
      </c>
      <c r="D52" s="124" cm="1">
        <f t="array" aca="1" ref="D52" ca="1">INDIRECT("R[40]C["&amp;$A$50&amp;"]",FALSE)</f>
        <v>0</v>
      </c>
      <c r="E52" s="124" cm="1">
        <f t="array" aca="1" ref="E52" ca="1">INDIRECT("R[40]C["&amp;$A$50&amp;"]",FALSE)</f>
        <v>0</v>
      </c>
      <c r="F52" s="124" cm="1">
        <f t="array" aca="1" ref="F52" ca="1">INDIRECT("R[40]C["&amp;$A$50&amp;"]",FALSE)</f>
        <v>0</v>
      </c>
      <c r="G52" s="124" cm="1">
        <f t="array" aca="1" ref="G52" ca="1">INDIRECT("R[40]C["&amp;$A$50&amp;"]",FALSE)</f>
        <v>0</v>
      </c>
      <c r="H52" s="124" cm="1">
        <f t="array" aca="1" ref="H52" ca="1">INDIRECT("R[40]C["&amp;$A$50&amp;"]",FALSE)</f>
        <v>0</v>
      </c>
      <c r="I52" s="124" cm="1">
        <f t="array" aca="1" ref="I52" ca="1">INDIRECT("R[40]C["&amp;$A$50&amp;"]",FALSE)</f>
        <v>0</v>
      </c>
      <c r="J52" s="124" cm="1">
        <f t="array" aca="1" ref="J52" ca="1">INDIRECT("R[40]C["&amp;$A$50&amp;"]",FALSE)</f>
        <v>0</v>
      </c>
      <c r="K52" s="124" cm="1">
        <f t="array" aca="1" ref="K52" ca="1">INDIRECT("R[40]C["&amp;$A$50&amp;"]",FALSE)</f>
        <v>0</v>
      </c>
      <c r="L52" s="124" cm="1">
        <f t="array" aca="1" ref="L52" ca="1">INDIRECT("R[40]C["&amp;$A$50&amp;"]",FALSE)</f>
        <v>250.35631316031657</v>
      </c>
      <c r="M52" s="124" cm="1">
        <f t="array" aca="1" ref="M52" ca="1">INDIRECT("R[40]C["&amp;$A$50&amp;"]",FALSE)</f>
        <v>568.54463817978456</v>
      </c>
      <c r="N52" s="124" cm="1">
        <f t="array" aca="1" ref="N52" ca="1">INDIRECT("R[40]C["&amp;$A$50&amp;"]",FALSE)</f>
        <v>177.83333333333334</v>
      </c>
      <c r="O52" s="124" cm="1">
        <f t="array" aca="1" ref="O52" ca="1">INDIRECT("R[40]C["&amp;$A$50&amp;"]",FALSE)</f>
        <v>240.24860344192896</v>
      </c>
      <c r="P52" s="124" cm="1">
        <f t="array" aca="1" ref="P52" ca="1">INDIRECT("R[40]C["&amp;$A$50&amp;"]",FALSE)</f>
        <v>154</v>
      </c>
      <c r="Q52" s="126"/>
      <c r="R52" s="128">
        <f ca="1">SUM(D52:P52)</f>
        <v>1390.9828881153635</v>
      </c>
    </row>
    <row r="53" spans="1:18" ht="15.5" x14ac:dyDescent="0.35">
      <c r="A53" s="116"/>
      <c r="B53" s="129" t="s">
        <v>114</v>
      </c>
      <c r="C53" s="133"/>
      <c r="D53" s="129"/>
      <c r="E53" s="129"/>
      <c r="F53" s="129"/>
      <c r="G53" s="129"/>
      <c r="H53" s="129"/>
      <c r="I53" s="129"/>
      <c r="J53" s="129"/>
      <c r="K53" s="129"/>
      <c r="L53" s="129"/>
      <c r="M53" s="129"/>
      <c r="N53" s="129"/>
      <c r="O53" s="129"/>
      <c r="P53" s="129"/>
      <c r="Q53" s="129"/>
      <c r="R53" s="130"/>
    </row>
    <row r="54" spans="1:18" ht="15.5" x14ac:dyDescent="0.35">
      <c r="A54" s="121">
        <f>A52</f>
        <v>1</v>
      </c>
      <c r="B54" s="123">
        <v>12</v>
      </c>
      <c r="C54" s="127" cm="1">
        <f t="array" aca="1" ref="C54" ca="1">INDIRECT("R[40]C["&amp;$A$46&amp;"]",FALSE)</f>
        <v>0</v>
      </c>
      <c r="D54" s="124" cm="1">
        <f t="array" aca="1" ref="D54" ca="1">INDIRECT("R[40]C["&amp;$A$46&amp;"]",FALSE)</f>
        <v>42.769230769230774</v>
      </c>
      <c r="E54" s="124" cm="1">
        <f t="array" aca="1" ref="E54" ca="1">INDIRECT("R[40]C["&amp;$A$46&amp;"]",FALSE)</f>
        <v>261.79487179487182</v>
      </c>
      <c r="F54" s="124" cm="1">
        <f t="array" aca="1" ref="F54" ca="1">INDIRECT("R[40]C["&amp;$A$46&amp;"]",FALSE)</f>
        <v>187.5128205128205</v>
      </c>
      <c r="G54" s="124" cm="1">
        <f t="array" aca="1" ref="G54" ca="1">INDIRECT("R[40]C["&amp;$A$46&amp;"]",FALSE)</f>
        <v>60.666666666666664</v>
      </c>
      <c r="H54" s="124" cm="1">
        <f t="array" aca="1" ref="H54" ca="1">INDIRECT("R[40]C["&amp;$A$46&amp;"]",FALSE)</f>
        <v>0</v>
      </c>
      <c r="I54" s="124" cm="1">
        <f t="array" aca="1" ref="I54" ca="1">INDIRECT("R[40]C["&amp;$A$46&amp;"]",FALSE)</f>
        <v>0</v>
      </c>
      <c r="J54" s="124" cm="1">
        <f t="array" aca="1" ref="J54" ca="1">INDIRECT("R[40]C["&amp;$A$46&amp;"]",FALSE)</f>
        <v>0</v>
      </c>
      <c r="K54" s="124" cm="1">
        <f t="array" aca="1" ref="K54" ca="1">INDIRECT("R[40]C["&amp;$A$46&amp;"]",FALSE)</f>
        <v>0</v>
      </c>
      <c r="L54" s="124" cm="1">
        <f t="array" aca="1" ref="L54" ca="1">INDIRECT("R[40]C["&amp;$A$46&amp;"]",FALSE)</f>
        <v>0</v>
      </c>
      <c r="M54" s="124" cm="1">
        <f t="array" aca="1" ref="M54" ca="1">INDIRECT("R[40]C["&amp;$A$46&amp;"]",FALSE)</f>
        <v>0</v>
      </c>
      <c r="N54" s="124" cm="1">
        <f t="array" aca="1" ref="N54" ca="1">INDIRECT("R[40]C["&amp;$A$46&amp;"]",FALSE)</f>
        <v>0</v>
      </c>
      <c r="O54" s="124" cm="1">
        <f t="array" aca="1" ref="O54" ca="1">INDIRECT("R[40]C["&amp;$A$46&amp;"]",FALSE)</f>
        <v>0</v>
      </c>
      <c r="P54" s="124" cm="1">
        <f t="array" aca="1" ref="P54" ca="1">INDIRECT("R[40]C["&amp;$A$46&amp;"]",FALSE)</f>
        <v>0</v>
      </c>
      <c r="Q54" s="123"/>
      <c r="R54" s="128">
        <f ca="1">SUM(D54:P54)</f>
        <v>552.74358974358972</v>
      </c>
    </row>
    <row r="55" spans="1:18" ht="15.5" x14ac:dyDescent="0.35">
      <c r="A55" s="121">
        <f>A54</f>
        <v>1</v>
      </c>
      <c r="B55" s="123">
        <v>15</v>
      </c>
      <c r="C55" s="127" cm="1">
        <f t="array" aca="1" ref="C55" ca="1">INDIRECT("R[40]C["&amp;$A$46&amp;"]",FALSE)</f>
        <v>0</v>
      </c>
      <c r="D55" s="124" cm="1">
        <f t="array" aca="1" ref="D55" ca="1">INDIRECT("R[40]C["&amp;$A$46&amp;"]",FALSE)</f>
        <v>0</v>
      </c>
      <c r="E55" s="124" cm="1">
        <f t="array" aca="1" ref="E55" ca="1">INDIRECT("R[40]C["&amp;$A$46&amp;"]",FALSE)</f>
        <v>76.52100840336135</v>
      </c>
      <c r="F55" s="124" cm="1">
        <f t="array" aca="1" ref="F55" ca="1">INDIRECT("R[40]C["&amp;$A$46&amp;"]",FALSE)</f>
        <v>102.33333333333334</v>
      </c>
      <c r="G55" s="124" cm="1">
        <f t="array" aca="1" ref="G55" ca="1">INDIRECT("R[40]C["&amp;$A$46&amp;"]",FALSE)</f>
        <v>183.06666666666666</v>
      </c>
      <c r="H55" s="124" cm="1">
        <f t="array" aca="1" ref="H55" ca="1">INDIRECT("R[40]C["&amp;$A$46&amp;"]",FALSE)</f>
        <v>193.64</v>
      </c>
      <c r="I55" s="124" cm="1">
        <f t="array" aca="1" ref="I55" ca="1">INDIRECT("R[40]C["&amp;$A$46&amp;"]",FALSE)</f>
        <v>375.06625590388217</v>
      </c>
      <c r="J55" s="124" cm="1">
        <f t="array" aca="1" ref="J55" ca="1">INDIRECT("R[40]C["&amp;$A$46&amp;"]",FALSE)</f>
        <v>152.93333333333334</v>
      </c>
      <c r="K55" s="124" cm="1">
        <f t="array" aca="1" ref="K55" ca="1">INDIRECT("R[40]C["&amp;$A$46&amp;"]",FALSE)</f>
        <v>315.26251267836159</v>
      </c>
      <c r="L55" s="124" cm="1">
        <f t="array" aca="1" ref="L55" ca="1">INDIRECT("R[40]C["&amp;$A$46&amp;"]",FALSE)</f>
        <v>0</v>
      </c>
      <c r="M55" s="124" cm="1">
        <f t="array" aca="1" ref="M55" ca="1">INDIRECT("R[40]C["&amp;$A$46&amp;"]",FALSE)</f>
        <v>0</v>
      </c>
      <c r="N55" s="124" cm="1">
        <f t="array" aca="1" ref="N55" ca="1">INDIRECT("R[40]C["&amp;$A$46&amp;"]",FALSE)</f>
        <v>0</v>
      </c>
      <c r="O55" s="124" cm="1">
        <f t="array" aca="1" ref="O55" ca="1">INDIRECT("R[40]C["&amp;$A$46&amp;"]",FALSE)</f>
        <v>0</v>
      </c>
      <c r="P55" s="124" cm="1">
        <f t="array" aca="1" ref="P55" ca="1">INDIRECT("R[40]C["&amp;$A$46&amp;"]",FALSE)</f>
        <v>0</v>
      </c>
      <c r="Q55" s="123"/>
      <c r="R55" s="128">
        <f ca="1">SUM(D55:P55)</f>
        <v>1398.8231103189385</v>
      </c>
    </row>
    <row r="56" spans="1:18" ht="15.5" x14ac:dyDescent="0.35">
      <c r="A56" s="121">
        <f>A55</f>
        <v>1</v>
      </c>
      <c r="B56" s="123">
        <v>18</v>
      </c>
      <c r="C56" s="127" cm="1">
        <f t="array" aca="1" ref="C56" ca="1">INDIRECT("R[40]C["&amp;$A$46&amp;"]",FALSE)</f>
        <v>0</v>
      </c>
      <c r="D56" s="124" cm="1">
        <f t="array" aca="1" ref="D56" ca="1">INDIRECT("R[40]C["&amp;$A$46&amp;"]",FALSE)</f>
        <v>0</v>
      </c>
      <c r="E56" s="124" cm="1">
        <f t="array" aca="1" ref="E56" ca="1">INDIRECT("R[40]C["&amp;$A$46&amp;"]",FALSE)</f>
        <v>0</v>
      </c>
      <c r="F56" s="124" cm="1">
        <f t="array" aca="1" ref="F56" ca="1">INDIRECT("R[40]C["&amp;$A$46&amp;"]",FALSE)</f>
        <v>0</v>
      </c>
      <c r="G56" s="124" cm="1">
        <f t="array" aca="1" ref="G56" ca="1">INDIRECT("R[40]C["&amp;$A$46&amp;"]",FALSE)</f>
        <v>0</v>
      </c>
      <c r="H56" s="124" cm="1">
        <f t="array" aca="1" ref="H56" ca="1">INDIRECT("R[40]C["&amp;$A$46&amp;"]",FALSE)</f>
        <v>0</v>
      </c>
      <c r="I56" s="124" cm="1">
        <f t="array" aca="1" ref="I56" ca="1">INDIRECT("R[40]C["&amp;$A$46&amp;"]",FALSE)</f>
        <v>0</v>
      </c>
      <c r="J56" s="124" cm="1">
        <f t="array" aca="1" ref="J56" ca="1">INDIRECT("R[40]C["&amp;$A$46&amp;"]",FALSE)</f>
        <v>0</v>
      </c>
      <c r="K56" s="124" cm="1">
        <f t="array" aca="1" ref="K56" ca="1">INDIRECT("R[40]C["&amp;$A$46&amp;"]",FALSE)</f>
        <v>0</v>
      </c>
      <c r="L56" s="124" cm="1">
        <f t="array" aca="1" ref="L56" ca="1">INDIRECT("R[40]C["&amp;$A$46&amp;"]",FALSE)</f>
        <v>83.452104386772191</v>
      </c>
      <c r="M56" s="124" cm="1">
        <f t="array" aca="1" ref="M56" ca="1">INDIRECT("R[40]C["&amp;$A$46&amp;"]",FALSE)</f>
        <v>189.51487939326151</v>
      </c>
      <c r="N56" s="124" cm="1">
        <f t="array" aca="1" ref="N56" ca="1">INDIRECT("R[40]C["&amp;$A$46&amp;"]",FALSE)</f>
        <v>59.277777777777779</v>
      </c>
      <c r="O56" s="124" cm="1">
        <f t="array" aca="1" ref="O56" ca="1">INDIRECT("R[40]C["&amp;$A$46&amp;"]",FALSE)</f>
        <v>80.082867813976321</v>
      </c>
      <c r="P56" s="124" cm="1">
        <f t="array" aca="1" ref="P56" ca="1">INDIRECT("R[40]C["&amp;$A$46&amp;"]",FALSE)</f>
        <v>51.333333333333336</v>
      </c>
      <c r="Q56" s="123"/>
      <c r="R56" s="128">
        <f ca="1">SUM(D56:P56)</f>
        <v>463.66096270512111</v>
      </c>
    </row>
    <row r="57" spans="1:18" ht="15.5" x14ac:dyDescent="0.35">
      <c r="A57" s="116"/>
      <c r="B57" s="129" t="s">
        <v>352</v>
      </c>
      <c r="C57" s="133"/>
      <c r="D57" s="129"/>
      <c r="E57" s="129"/>
      <c r="F57" s="129"/>
      <c r="G57" s="129"/>
      <c r="H57" s="129"/>
      <c r="I57" s="129"/>
      <c r="J57" s="129"/>
      <c r="K57" s="129"/>
      <c r="L57" s="129"/>
      <c r="M57" s="129"/>
      <c r="N57" s="129"/>
      <c r="O57" s="129"/>
      <c r="P57" s="129"/>
      <c r="Q57" s="129"/>
      <c r="R57" s="130"/>
    </row>
    <row r="58" spans="1:18" ht="15.5" x14ac:dyDescent="0.35">
      <c r="A58" s="121">
        <f>A56</f>
        <v>1</v>
      </c>
      <c r="B58" s="123">
        <v>12</v>
      </c>
      <c r="C58" s="127" cm="1">
        <f t="array" aca="1" ref="C58" ca="1">INDIRECT("R[40]C["&amp;$A$58&amp;"]",FALSE)</f>
        <v>0</v>
      </c>
      <c r="D58" s="124" cm="1">
        <f t="array" aca="1" ref="D58" ca="1">INDIRECT("R[40]C["&amp;$A$58&amp;"]",FALSE)</f>
        <v>42.769230769230774</v>
      </c>
      <c r="E58" s="124" cm="1">
        <f t="array" aca="1" ref="E58" ca="1">INDIRECT("R[40]C["&amp;$A$58&amp;"]",FALSE)</f>
        <v>261.79487179487182</v>
      </c>
      <c r="F58" s="124" cm="1">
        <f t="array" aca="1" ref="F58" ca="1">INDIRECT("R[40]C["&amp;$A$58&amp;"]",FALSE)</f>
        <v>187.5128205128205</v>
      </c>
      <c r="G58" s="124" cm="1">
        <f t="array" aca="1" ref="G58" ca="1">INDIRECT("R[40]C["&amp;$A$58&amp;"]",FALSE)</f>
        <v>60.666666666666664</v>
      </c>
      <c r="H58" s="124" cm="1">
        <f t="array" aca="1" ref="H58" ca="1">INDIRECT("R[40]C["&amp;$A$58&amp;"]",FALSE)</f>
        <v>0</v>
      </c>
      <c r="I58" s="124" cm="1">
        <f t="array" aca="1" ref="I58" ca="1">INDIRECT("R[40]C["&amp;$A$58&amp;"]",FALSE)</f>
        <v>0</v>
      </c>
      <c r="J58" s="124" cm="1">
        <f t="array" aca="1" ref="J58" ca="1">INDIRECT("R[40]C["&amp;$A$58&amp;"]",FALSE)</f>
        <v>0</v>
      </c>
      <c r="K58" s="124" cm="1">
        <f t="array" aca="1" ref="K58" ca="1">INDIRECT("R[40]C["&amp;$A$58&amp;"]",FALSE)</f>
        <v>0</v>
      </c>
      <c r="L58" s="124" cm="1">
        <f t="array" aca="1" ref="L58" ca="1">INDIRECT("R[40]C["&amp;$A$58&amp;"]",FALSE)</f>
        <v>0</v>
      </c>
      <c r="M58" s="124" cm="1">
        <f t="array" aca="1" ref="M58" ca="1">INDIRECT("R[40]C["&amp;$A$58&amp;"]",FALSE)</f>
        <v>0</v>
      </c>
      <c r="N58" s="124" cm="1">
        <f t="array" aca="1" ref="N58" ca="1">INDIRECT("R[40]C["&amp;$A$58&amp;"]",FALSE)</f>
        <v>0</v>
      </c>
      <c r="O58" s="124" cm="1">
        <f t="array" aca="1" ref="O58" ca="1">INDIRECT("R[40]C["&amp;$A$58&amp;"]",FALSE)</f>
        <v>0</v>
      </c>
      <c r="P58" s="124" cm="1">
        <f t="array" aca="1" ref="P58" ca="1">INDIRECT("R[40]C["&amp;$A$58&amp;"]",FALSE)</f>
        <v>0</v>
      </c>
      <c r="Q58" s="125"/>
      <c r="R58" s="128">
        <f ca="1">SUM(D58:P58)</f>
        <v>552.74358974358972</v>
      </c>
    </row>
    <row r="59" spans="1:18" ht="15.5" x14ac:dyDescent="0.35">
      <c r="A59" s="121">
        <f>A56</f>
        <v>1</v>
      </c>
      <c r="B59" s="123">
        <v>15</v>
      </c>
      <c r="C59" s="127" cm="1">
        <f t="array" aca="1" ref="C59" ca="1">INDIRECT("R[40]C["&amp;$A$58&amp;"]",FALSE)</f>
        <v>0</v>
      </c>
      <c r="D59" s="124" cm="1">
        <f t="array" aca="1" ref="D59" ca="1">INDIRECT("R[40]C["&amp;$A$58&amp;"]",FALSE)</f>
        <v>0</v>
      </c>
      <c r="E59" s="124" cm="1">
        <f t="array" aca="1" ref="E59" ca="1">INDIRECT("R[40]C["&amp;$A$58&amp;"]",FALSE)</f>
        <v>76.52100840336135</v>
      </c>
      <c r="F59" s="124" cm="1">
        <f t="array" aca="1" ref="F59" ca="1">INDIRECT("R[40]C["&amp;$A$58&amp;"]",FALSE)</f>
        <v>102.33333333333334</v>
      </c>
      <c r="G59" s="124" cm="1">
        <f t="array" aca="1" ref="G59" ca="1">INDIRECT("R[40]C["&amp;$A$58&amp;"]",FALSE)</f>
        <v>183.06666666666666</v>
      </c>
      <c r="H59" s="124" cm="1">
        <f t="array" aca="1" ref="H59" ca="1">INDIRECT("R[40]C["&amp;$A$58&amp;"]",FALSE)</f>
        <v>193.64</v>
      </c>
      <c r="I59" s="124" cm="1">
        <f t="array" aca="1" ref="I59" ca="1">INDIRECT("R[40]C["&amp;$A$58&amp;"]",FALSE)</f>
        <v>375.06625590388217</v>
      </c>
      <c r="J59" s="124" cm="1">
        <f t="array" aca="1" ref="J59" ca="1">INDIRECT("R[40]C["&amp;$A$58&amp;"]",FALSE)</f>
        <v>152.93333333333334</v>
      </c>
      <c r="K59" s="124" cm="1">
        <f t="array" aca="1" ref="K59" ca="1">INDIRECT("R[40]C["&amp;$A$58&amp;"]",FALSE)</f>
        <v>315.26251267836159</v>
      </c>
      <c r="L59" s="124" cm="1">
        <f t="array" aca="1" ref="L59" ca="1">INDIRECT("R[40]C["&amp;$A$58&amp;"]",FALSE)</f>
        <v>0</v>
      </c>
      <c r="M59" s="124" cm="1">
        <f t="array" aca="1" ref="M59" ca="1">INDIRECT("R[40]C["&amp;$A$58&amp;"]",FALSE)</f>
        <v>0</v>
      </c>
      <c r="N59" s="124" cm="1">
        <f t="array" aca="1" ref="N59" ca="1">INDIRECT("R[40]C["&amp;$A$58&amp;"]",FALSE)</f>
        <v>0</v>
      </c>
      <c r="O59" s="124" cm="1">
        <f t="array" aca="1" ref="O59" ca="1">INDIRECT("R[40]C["&amp;$A$58&amp;"]",FALSE)</f>
        <v>0</v>
      </c>
      <c r="P59" s="124" cm="1">
        <f t="array" aca="1" ref="P59" ca="1">INDIRECT("R[40]C["&amp;$A$58&amp;"]",FALSE)</f>
        <v>0</v>
      </c>
      <c r="Q59" s="125"/>
      <c r="R59" s="128">
        <f ca="1">SUM(D59:P59)</f>
        <v>1398.8231103189385</v>
      </c>
    </row>
    <row r="60" spans="1:18" ht="15.5" x14ac:dyDescent="0.35">
      <c r="A60" s="121">
        <f>A56</f>
        <v>1</v>
      </c>
      <c r="B60" s="123">
        <v>18</v>
      </c>
      <c r="C60" s="127" cm="1">
        <f t="array" aca="1" ref="C60" ca="1">INDIRECT("R[40]C["&amp;$A$58&amp;"]",FALSE)</f>
        <v>0</v>
      </c>
      <c r="D60" s="124" cm="1">
        <f t="array" aca="1" ref="D60" ca="1">INDIRECT("R[40]C["&amp;$A$58&amp;"]",FALSE)</f>
        <v>0</v>
      </c>
      <c r="E60" s="124" cm="1">
        <f t="array" aca="1" ref="E60" ca="1">INDIRECT("R[40]C["&amp;$A$58&amp;"]",FALSE)</f>
        <v>0</v>
      </c>
      <c r="F60" s="124" cm="1">
        <f t="array" aca="1" ref="F60" ca="1">INDIRECT("R[40]C["&amp;$A$58&amp;"]",FALSE)</f>
        <v>0</v>
      </c>
      <c r="G60" s="124" cm="1">
        <f t="array" aca="1" ref="G60" ca="1">INDIRECT("R[40]C["&amp;$A$58&amp;"]",FALSE)</f>
        <v>0</v>
      </c>
      <c r="H60" s="124" cm="1">
        <f t="array" aca="1" ref="H60" ca="1">INDIRECT("R[40]C["&amp;$A$58&amp;"]",FALSE)</f>
        <v>0</v>
      </c>
      <c r="I60" s="124" cm="1">
        <f t="array" aca="1" ref="I60" ca="1">INDIRECT("R[40]C["&amp;$A$58&amp;"]",FALSE)</f>
        <v>0</v>
      </c>
      <c r="J60" s="124" cm="1">
        <f t="array" aca="1" ref="J60" ca="1">INDIRECT("R[40]C["&amp;$A$58&amp;"]",FALSE)</f>
        <v>0</v>
      </c>
      <c r="K60" s="124" cm="1">
        <f t="array" aca="1" ref="K60" ca="1">INDIRECT("R[40]C["&amp;$A$58&amp;"]",FALSE)</f>
        <v>0</v>
      </c>
      <c r="L60" s="124" cm="1">
        <f t="array" aca="1" ref="L60" ca="1">INDIRECT("R[40]C["&amp;$A$58&amp;"]",FALSE)</f>
        <v>83.452104386772191</v>
      </c>
      <c r="M60" s="124" cm="1">
        <f t="array" aca="1" ref="M60" ca="1">INDIRECT("R[40]C["&amp;$A$58&amp;"]",FALSE)</f>
        <v>189.51487939326151</v>
      </c>
      <c r="N60" s="124" cm="1">
        <f t="array" aca="1" ref="N60" ca="1">INDIRECT("R[40]C["&amp;$A$58&amp;"]",FALSE)</f>
        <v>59.277777777777779</v>
      </c>
      <c r="O60" s="124" cm="1">
        <f t="array" aca="1" ref="O60" ca="1">INDIRECT("R[40]C["&amp;$A$58&amp;"]",FALSE)</f>
        <v>80.082867813976321</v>
      </c>
      <c r="P60" s="124" cm="1">
        <f t="array" aca="1" ref="P60" ca="1">INDIRECT("R[40]C["&amp;$A$58&amp;"]",FALSE)</f>
        <v>51.333333333333336</v>
      </c>
      <c r="Q60" s="125"/>
      <c r="R60" s="128">
        <f ca="1">SUM(D60:P60)</f>
        <v>463.66096270512111</v>
      </c>
    </row>
    <row r="61" spans="1:18" ht="15.5" x14ac:dyDescent="0.35">
      <c r="A61" s="116"/>
      <c r="B61" s="129" t="s">
        <v>116</v>
      </c>
      <c r="C61" s="133"/>
      <c r="D61" s="129"/>
      <c r="E61" s="129"/>
      <c r="F61" s="129"/>
      <c r="G61" s="129"/>
      <c r="H61" s="129"/>
      <c r="I61" s="129"/>
      <c r="J61" s="129"/>
      <c r="K61" s="129"/>
      <c r="L61" s="129"/>
      <c r="M61" s="129"/>
      <c r="N61" s="129"/>
      <c r="O61" s="129"/>
      <c r="P61" s="129"/>
      <c r="Q61" s="129"/>
      <c r="R61" s="130"/>
    </row>
    <row r="62" spans="1:18" ht="15.5" x14ac:dyDescent="0.35">
      <c r="A62" s="121">
        <f>A60</f>
        <v>1</v>
      </c>
      <c r="B62" s="125" t="s">
        <v>257</v>
      </c>
      <c r="C62" s="127" cm="1">
        <f t="array" aca="1" ref="C62" ca="1">INDIRECT("R[40]C["&amp;$A$62&amp;"]",FALSE)</f>
        <v>0</v>
      </c>
      <c r="D62" s="124" cm="1">
        <f t="array" aca="1" ref="D62" ca="1">INDIRECT("R[40]C["&amp;$A$62&amp;"]",FALSE)</f>
        <v>32.769230769230774</v>
      </c>
      <c r="E62" s="124" cm="1">
        <f t="array" aca="1" ref="E62" ca="1">INDIRECT("R[40]C["&amp;$A$62&amp;"]",FALSE)</f>
        <v>229.49353587588882</v>
      </c>
      <c r="F62" s="124" cm="1">
        <f t="array" aca="1" ref="F62" ca="1">INDIRECT("R[40]C["&amp;$A$62&amp;"]",FALSE)</f>
        <v>179.50641025641025</v>
      </c>
      <c r="G62" s="124" cm="1">
        <f t="array" aca="1" ref="G62" ca="1">INDIRECT("R[40]C["&amp;$A$62&amp;"]",FALSE)</f>
        <v>160.73333333333332</v>
      </c>
      <c r="H62" s="124" cm="1">
        <f t="array" aca="1" ref="H62" ca="1">INDIRECT("R[40]C["&amp;$A$62&amp;"]",FALSE)</f>
        <v>97.213333333333338</v>
      </c>
      <c r="I62" s="124" cm="1">
        <f t="array" aca="1" ref="I62" ca="1">INDIRECT("R[40]C["&amp;$A$62&amp;"]",FALSE)</f>
        <v>226.77599949362576</v>
      </c>
      <c r="J62" s="124" cm="1">
        <f t="array" aca="1" ref="J62" ca="1">INDIRECT("R[40]C["&amp;$A$62&amp;"]",FALSE)</f>
        <v>150.25333333333333</v>
      </c>
      <c r="K62" s="124" cm="1">
        <f t="array" aca="1" ref="K62" ca="1">INDIRECT("R[40]C["&amp;$A$62&amp;"]",FALSE)</f>
        <v>262.03917934502823</v>
      </c>
      <c r="L62" s="124" cm="1">
        <f t="array" aca="1" ref="L62" ca="1">INDIRECT("R[40]C["&amp;$A$62&amp;"]",FALSE)</f>
        <v>38.886145644612462</v>
      </c>
      <c r="M62" s="124" cm="1">
        <f t="array" aca="1" ref="M62" ca="1">INDIRECT("R[40]C["&amp;$A$62&amp;"]",FALSE)</f>
        <v>115.79374890861638</v>
      </c>
      <c r="N62" s="124" cm="1">
        <f t="array" aca="1" ref="N62" ca="1">INDIRECT("R[40]C["&amp;$A$62&amp;"]",FALSE)</f>
        <v>41.49444444444444</v>
      </c>
      <c r="O62" s="124" cm="1">
        <f t="array" aca="1" ref="O62" ca="1">INDIRECT("R[40]C["&amp;$A$62&amp;"]",FALSE)</f>
        <v>62.732867813976327</v>
      </c>
      <c r="P62" s="124" cm="1">
        <f t="array" aca="1" ref="P62" ca="1">INDIRECT("R[40]C["&amp;$A$62&amp;"]",FALSE)</f>
        <v>35.93333333333333</v>
      </c>
      <c r="Q62" s="124"/>
      <c r="R62" s="128">
        <f t="shared" ref="R62" ca="1" si="7">SUM(D62:Q62)</f>
        <v>1633.624895885167</v>
      </c>
    </row>
    <row r="63" spans="1:18" ht="15.5" x14ac:dyDescent="0.35">
      <c r="A63" s="121">
        <f>A60</f>
        <v>1</v>
      </c>
      <c r="B63" s="125" t="s">
        <v>258</v>
      </c>
      <c r="C63" s="127" cm="1">
        <f t="array" aca="1" ref="C63" ca="1">INDIRECT("R[40]C["&amp;$A$62&amp;"]",FALSE)</f>
        <v>0</v>
      </c>
      <c r="D63" s="124" cm="1">
        <f t="array" aca="1" ref="D63" ca="1">INDIRECT("R[40]C["&amp;$A$62&amp;"]",FALSE)</f>
        <v>32.769230769230774</v>
      </c>
      <c r="E63" s="124" cm="1">
        <f t="array" aca="1" ref="E63" ca="1">INDIRECT("R[40]C["&amp;$A$62&amp;"]",FALSE)</f>
        <v>229.49353587588882</v>
      </c>
      <c r="F63" s="124" cm="1">
        <f t="array" aca="1" ref="F63" ca="1">INDIRECT("R[40]C["&amp;$A$62&amp;"]",FALSE)</f>
        <v>179.50641025641025</v>
      </c>
      <c r="G63" s="124" cm="1">
        <f t="array" aca="1" ref="G63" ca="1">INDIRECT("R[40]C["&amp;$A$62&amp;"]",FALSE)</f>
        <v>160.73333333333332</v>
      </c>
      <c r="H63" s="124" cm="1">
        <f t="array" aca="1" ref="H63" ca="1">INDIRECT("R[40]C["&amp;$A$62&amp;"]",FALSE)</f>
        <v>97.213333333333338</v>
      </c>
      <c r="I63" s="124" cm="1">
        <f t="array" aca="1" ref="I63" ca="1">INDIRECT("R[40]C["&amp;$A$62&amp;"]",FALSE)</f>
        <v>226.77599949362576</v>
      </c>
      <c r="J63" s="124" cm="1">
        <f t="array" aca="1" ref="J63" ca="1">INDIRECT("R[40]C["&amp;$A$62&amp;"]",FALSE)</f>
        <v>150.25333333333333</v>
      </c>
      <c r="K63" s="124" cm="1">
        <f t="array" aca="1" ref="K63" ca="1">INDIRECT("R[40]C["&amp;$A$62&amp;"]",FALSE)</f>
        <v>262.03917934502823</v>
      </c>
      <c r="L63" s="124" cm="1">
        <f t="array" aca="1" ref="L63" ca="1">INDIRECT("R[40]C["&amp;$A$62&amp;"]",FALSE)</f>
        <v>38.886145644612462</v>
      </c>
      <c r="M63" s="124" cm="1">
        <f t="array" aca="1" ref="M63" ca="1">INDIRECT("R[40]C["&amp;$A$62&amp;"]",FALSE)</f>
        <v>115.79374890861638</v>
      </c>
      <c r="N63" s="124" cm="1">
        <f t="array" aca="1" ref="N63" ca="1">INDIRECT("R[40]C["&amp;$A$62&amp;"]",FALSE)</f>
        <v>41.49444444444444</v>
      </c>
      <c r="O63" s="124" cm="1">
        <f t="array" aca="1" ref="O63" ca="1">INDIRECT("R[40]C["&amp;$A$62&amp;"]",FALSE)</f>
        <v>62.732867813976327</v>
      </c>
      <c r="P63" s="124" cm="1">
        <f t="array" aca="1" ref="P63" ca="1">INDIRECT("R[40]C["&amp;$A$62&amp;"]",FALSE)</f>
        <v>35.93333333333333</v>
      </c>
      <c r="Q63" s="124"/>
      <c r="R63" s="128"/>
    </row>
    <row r="64" spans="1:18" ht="15.5" x14ac:dyDescent="0.35">
      <c r="A64" s="121">
        <f>A60</f>
        <v>1</v>
      </c>
      <c r="B64" s="125" t="s">
        <v>353</v>
      </c>
      <c r="C64" s="127" cm="1">
        <f t="array" aca="1" ref="C64" ca="1">INDIRECT("R[40]C["&amp;$A$62&amp;"]",FALSE)</f>
        <v>0</v>
      </c>
      <c r="D64" s="124" cm="1">
        <f t="array" aca="1" ref="D64" ca="1">INDIRECT("R[40]C["&amp;$A$62&amp;"]",FALSE)</f>
        <v>0</v>
      </c>
      <c r="E64" s="124" cm="1">
        <f t="array" aca="1" ref="E64" ca="1">INDIRECT("R[40]C["&amp;$A$62&amp;"]",FALSE)</f>
        <v>29.142857142857142</v>
      </c>
      <c r="F64" s="124" cm="1">
        <f t="array" aca="1" ref="F64" ca="1">INDIRECT("R[40]C["&amp;$A$62&amp;"]",FALSE)</f>
        <v>12</v>
      </c>
      <c r="G64" s="124" cm="1">
        <f t="array" aca="1" ref="G64" ca="1">INDIRECT("R[40]C["&amp;$A$62&amp;"]",FALSE)</f>
        <v>11</v>
      </c>
      <c r="H64" s="124" cm="1">
        <f t="array" aca="1" ref="H64" ca="1">INDIRECT("R[40]C["&amp;$A$62&amp;"]",FALSE)</f>
        <v>5.36</v>
      </c>
      <c r="I64" s="124" cm="1">
        <f t="array" aca="1" ref="I64" ca="1">INDIRECT("R[40]C["&amp;$A$62&amp;"]",FALSE)</f>
        <v>46.23</v>
      </c>
      <c r="J64" s="124" cm="1">
        <f t="array" aca="1" ref="J64" ca="1">INDIRECT("R[40]C["&amp;$A$62&amp;"]",FALSE)</f>
        <v>10.24</v>
      </c>
      <c r="K64" s="124" cm="1">
        <f t="array" aca="1" ref="K64" ca="1">INDIRECT("R[40]C["&amp;$A$62&amp;"]",FALSE)</f>
        <v>9.7199999999999989</v>
      </c>
      <c r="L64" s="124" cm="1">
        <f t="array" aca="1" ref="L64" ca="1">INDIRECT("R[40]C["&amp;$A$62&amp;"]",FALSE)</f>
        <v>0</v>
      </c>
      <c r="M64" s="124" cm="1">
        <f t="array" aca="1" ref="M64" ca="1">INDIRECT("R[40]C["&amp;$A$62&amp;"]",FALSE)</f>
        <v>22.102231908989225</v>
      </c>
      <c r="N64" s="124" cm="1">
        <f t="array" aca="1" ref="N64" ca="1">INDIRECT("R[40]C["&amp;$A$62&amp;"]",FALSE)</f>
        <v>8.8916666666666657</v>
      </c>
      <c r="O64" s="124" cm="1">
        <f t="array" aca="1" ref="O64" ca="1">INDIRECT("R[40]C["&amp;$A$62&amp;"]",FALSE)</f>
        <v>8.6750000000000007</v>
      </c>
      <c r="P64" s="124" cm="1">
        <f t="array" aca="1" ref="P64" ca="1">INDIRECT("R[40]C["&amp;$A$62&amp;"]",FALSE)</f>
        <v>7.7</v>
      </c>
      <c r="Q64" s="124"/>
      <c r="R64" s="128">
        <f t="shared" ref="R64:R66" ca="1" si="8">SUM(D64:Q64)</f>
        <v>171.06175571851304</v>
      </c>
    </row>
    <row r="65" spans="1:18" ht="15.5" x14ac:dyDescent="0.35">
      <c r="A65" s="121">
        <f>A60</f>
        <v>1</v>
      </c>
      <c r="B65" s="125" t="s">
        <v>117</v>
      </c>
      <c r="C65" s="127" cm="1">
        <f t="array" aca="1" ref="C65" ca="1">INDIRECT("R[40]C["&amp;$A$62&amp;"]",FALSE)</f>
        <v>0</v>
      </c>
      <c r="D65" s="124" cm="1">
        <f t="array" aca="1" ref="D65" ca="1">INDIRECT("R[40]C["&amp;$A$62&amp;"]",FALSE)</f>
        <v>10</v>
      </c>
      <c r="E65" s="124" cm="1">
        <f t="array" aca="1" ref="E65" ca="1">INDIRECT("R[40]C["&amp;$A$62&amp;"]",FALSE)</f>
        <v>79.679487179487182</v>
      </c>
      <c r="F65" s="124" cm="1">
        <f t="array" aca="1" ref="F65" ca="1">INDIRECT("R[40]C["&amp;$A$62&amp;"]",FALSE)</f>
        <v>76.339743589743591</v>
      </c>
      <c r="G65" s="124" cm="1">
        <f t="array" aca="1" ref="G65" ca="1">INDIRECT("R[40]C["&amp;$A$62&amp;"]",FALSE)</f>
        <v>50</v>
      </c>
      <c r="H65" s="124" cm="1">
        <f t="array" aca="1" ref="H65" ca="1">INDIRECT("R[40]C["&amp;$A$62&amp;"]",FALSE)</f>
        <v>91.066666666666677</v>
      </c>
      <c r="I65" s="124" cm="1">
        <f t="array" aca="1" ref="I65" ca="1">INDIRECT("R[40]C["&amp;$A$62&amp;"]",FALSE)</f>
        <v>81.650000000000006</v>
      </c>
      <c r="J65" s="124" cm="1">
        <f t="array" aca="1" ref="J65" ca="1">INDIRECT("R[40]C["&amp;$A$62&amp;"]",FALSE)</f>
        <v>10.24</v>
      </c>
      <c r="K65" s="124" cm="1">
        <f t="array" aca="1" ref="K65" ca="1">INDIRECT("R[40]C["&amp;$A$62&amp;"]",FALSE)</f>
        <v>22.17</v>
      </c>
      <c r="L65" s="124" cm="1">
        <f t="array" aca="1" ref="L65" ca="1">INDIRECT("R[40]C["&amp;$A$62&amp;"]",FALSE)</f>
        <v>0</v>
      </c>
      <c r="M65" s="124" cm="1">
        <f t="array" aca="1" ref="M65" ca="1">INDIRECT("R[40]C["&amp;$A$62&amp;"]",FALSE)</f>
        <v>51.618898575655891</v>
      </c>
      <c r="N65" s="124" cm="1">
        <f t="array" aca="1" ref="N65" ca="1">INDIRECT("R[40]C["&amp;$A$62&amp;"]",FALSE)</f>
        <v>8.8916666666666657</v>
      </c>
      <c r="O65" s="124" cm="1">
        <f t="array" aca="1" ref="O65" ca="1">INDIRECT("R[40]C["&amp;$A$62&amp;"]",FALSE)</f>
        <v>8.6750000000000007</v>
      </c>
      <c r="P65" s="124" cm="1">
        <f t="array" aca="1" ref="P65" ca="1">INDIRECT("R[40]C["&amp;$A$62&amp;"]",FALSE)</f>
        <v>7.7</v>
      </c>
      <c r="Q65" s="124"/>
      <c r="R65" s="128">
        <f t="shared" ca="1" si="8"/>
        <v>498.03146267822001</v>
      </c>
    </row>
    <row r="66" spans="1:18" ht="15.5" x14ac:dyDescent="0.35">
      <c r="A66" s="121">
        <f>A60</f>
        <v>1</v>
      </c>
      <c r="B66" s="125" t="s">
        <v>354</v>
      </c>
      <c r="C66" s="127" cm="1">
        <f t="array" aca="1" ref="C66" ca="1">INDIRECT("R[40]C["&amp;$A$62&amp;"]",FALSE)</f>
        <v>0</v>
      </c>
      <c r="D66" s="124" cm="1">
        <f t="array" aca="1" ref="D66" ca="1">INDIRECT("R[40]C["&amp;$A$62&amp;"]",FALSE)</f>
        <v>2</v>
      </c>
      <c r="E66" s="124" cm="1">
        <f t="array" aca="1" ref="E66" ca="1">INDIRECT("R[40]C["&amp;$A$62&amp;"]",FALSE)</f>
        <v>10</v>
      </c>
      <c r="F66" s="124" cm="1">
        <f t="array" aca="1" ref="F66" ca="1">INDIRECT("R[40]C["&amp;$A$62&amp;"]",FALSE)</f>
        <v>9</v>
      </c>
      <c r="G66" s="124" cm="1">
        <f t="array" aca="1" ref="G66" ca="1">INDIRECT("R[40]C["&amp;$A$62&amp;"]",FALSE)</f>
        <v>7</v>
      </c>
      <c r="H66" s="124" cm="1">
        <f t="array" aca="1" ref="H66" ca="1">INDIRECT("R[40]C["&amp;$A$62&amp;"]",FALSE)</f>
        <v>5</v>
      </c>
      <c r="I66" s="124" cm="1">
        <f t="array" aca="1" ref="I66" ca="1">INDIRECT("R[40]C["&amp;$A$62&amp;"]",FALSE)</f>
        <v>8</v>
      </c>
      <c r="J66" s="124" cm="1">
        <f t="array" aca="1" ref="J66" ca="1">INDIRECT("R[40]C["&amp;$A$62&amp;"]",FALSE)</f>
        <v>5</v>
      </c>
      <c r="K66" s="124" cm="1">
        <f t="array" aca="1" ref="K66" ca="1">INDIRECT("R[40]C["&amp;$A$62&amp;"]",FALSE)</f>
        <v>11</v>
      </c>
      <c r="L66" s="124" cm="1">
        <f t="array" aca="1" ref="L66" ca="1">INDIRECT("R[40]C["&amp;$A$62&amp;"]",FALSE)</f>
        <v>1</v>
      </c>
      <c r="M66" s="124" cm="1">
        <f t="array" aca="1" ref="M66" ca="1">INDIRECT("R[40]C["&amp;$A$62&amp;"]",FALSE)</f>
        <v>6</v>
      </c>
      <c r="N66" s="124" cm="1">
        <f t="array" aca="1" ref="N66" ca="1">INDIRECT("R[40]C["&amp;$A$62&amp;"]",FALSE)</f>
        <v>2</v>
      </c>
      <c r="O66" s="124" cm="1">
        <f t="array" aca="1" ref="O66" ca="1">INDIRECT("R[40]C["&amp;$A$62&amp;"]",FALSE)</f>
        <v>3</v>
      </c>
      <c r="P66" s="124" cm="1">
        <f t="array" aca="1" ref="P66" ca="1">INDIRECT("R[40]C["&amp;$A$62&amp;"]",FALSE)</f>
        <v>2</v>
      </c>
      <c r="Q66" s="124"/>
      <c r="R66" s="128">
        <f t="shared" ca="1" si="8"/>
        <v>71</v>
      </c>
    </row>
    <row r="67" spans="1:18" ht="15.5" x14ac:dyDescent="0.35">
      <c r="A67" s="116"/>
      <c r="B67" s="129" t="s">
        <v>119</v>
      </c>
      <c r="C67" s="134"/>
      <c r="D67" s="132"/>
      <c r="E67" s="132"/>
      <c r="F67" s="132"/>
      <c r="G67" s="132"/>
      <c r="H67" s="132"/>
      <c r="I67" s="132"/>
      <c r="J67" s="132"/>
      <c r="K67" s="132"/>
      <c r="L67" s="132"/>
      <c r="M67" s="132"/>
      <c r="N67" s="132"/>
      <c r="O67" s="132"/>
      <c r="P67" s="132"/>
      <c r="Q67" s="132"/>
      <c r="R67" s="130"/>
    </row>
    <row r="68" spans="1:18" ht="15.5" x14ac:dyDescent="0.35">
      <c r="A68" s="121">
        <f>A59</f>
        <v>1</v>
      </c>
      <c r="B68" s="125" t="s">
        <v>355</v>
      </c>
      <c r="C68" s="127" cm="1">
        <f t="array" aca="1" ref="C68" ca="1">INDIRECT("R[40]C["&amp;$A$68&amp;"]",FALSE)</f>
        <v>0</v>
      </c>
      <c r="D68" s="124" cm="1">
        <f t="array" aca="1" ref="D68" ca="1">INDIRECT("R[40]C["&amp;$A$68&amp;"]",FALSE)</f>
        <v>2</v>
      </c>
      <c r="E68" s="124" cm="1">
        <f t="array" aca="1" ref="E68" ca="1">INDIRECT("R[40]C["&amp;$A$68&amp;"]",FALSE)</f>
        <v>10</v>
      </c>
      <c r="F68" s="124" cm="1">
        <f t="array" aca="1" ref="F68" ca="1">INDIRECT("R[40]C["&amp;$A$68&amp;"]",FALSE)</f>
        <v>6</v>
      </c>
      <c r="G68" s="124" cm="1">
        <f t="array" aca="1" ref="G68" ca="1">INDIRECT("R[40]C["&amp;$A$68&amp;"]",FALSE)</f>
        <v>7</v>
      </c>
      <c r="H68" s="124" cm="1">
        <f t="array" aca="1" ref="H68" ca="1">INDIRECT("R[40]C["&amp;$A$68&amp;"]",FALSE)</f>
        <v>5</v>
      </c>
      <c r="I68" s="124" cm="1">
        <f t="array" aca="1" ref="I68" ca="1">INDIRECT("R[40]C["&amp;$A$68&amp;"]",FALSE)</f>
        <v>8</v>
      </c>
      <c r="J68" s="124" cm="1">
        <f t="array" aca="1" ref="J68" ca="1">INDIRECT("R[40]C["&amp;$A$68&amp;"]",FALSE)</f>
        <v>5</v>
      </c>
      <c r="K68" s="124" cm="1">
        <f t="array" aca="1" ref="K68" ca="1">INDIRECT("R[40]C["&amp;$A$68&amp;"]",FALSE)</f>
        <v>8</v>
      </c>
      <c r="L68" s="124" cm="1">
        <f t="array" aca="1" ref="L68" ca="1">INDIRECT("R[40]C["&amp;$A$68&amp;"]",FALSE)</f>
        <v>1</v>
      </c>
      <c r="M68" s="124" cm="1">
        <f t="array" aca="1" ref="M68" ca="1">INDIRECT("R[40]C["&amp;$A$68&amp;"]",FALSE)</f>
        <v>6</v>
      </c>
      <c r="N68" s="124" cm="1">
        <f t="array" aca="1" ref="N68" ca="1">INDIRECT("R[40]C["&amp;$A$68&amp;"]",FALSE)</f>
        <v>2</v>
      </c>
      <c r="O68" s="124" cm="1">
        <f t="array" aca="1" ref="O68" ca="1">INDIRECT("R[40]C["&amp;$A$68&amp;"]",FALSE)</f>
        <v>3</v>
      </c>
      <c r="P68" s="124" cm="1">
        <f t="array" aca="1" ref="P68" ca="1">INDIRECT("R[40]C["&amp;$A$68&amp;"]",FALSE)</f>
        <v>2</v>
      </c>
      <c r="Q68" s="124"/>
      <c r="R68" s="128">
        <f t="shared" ref="R68" ca="1" si="9">SUM(D68:Q68)</f>
        <v>65</v>
      </c>
    </row>
    <row r="69" spans="1:18" ht="15.5" x14ac:dyDescent="0.35">
      <c r="A69" s="116"/>
      <c r="B69" s="129" t="s">
        <v>356</v>
      </c>
      <c r="C69" s="134"/>
      <c r="D69" s="131"/>
      <c r="E69" s="131"/>
      <c r="F69" s="131"/>
      <c r="G69" s="131"/>
      <c r="H69" s="131"/>
      <c r="I69" s="131"/>
      <c r="J69" s="131"/>
      <c r="K69" s="131"/>
      <c r="L69" s="131"/>
      <c r="M69" s="131"/>
      <c r="N69" s="131"/>
      <c r="O69" s="131"/>
      <c r="P69" s="131"/>
      <c r="Q69" s="131"/>
      <c r="R69" s="130"/>
    </row>
    <row r="70" spans="1:18" ht="15.5" x14ac:dyDescent="0.35">
      <c r="A70" s="121">
        <f>A59</f>
        <v>1</v>
      </c>
      <c r="B70" s="125" t="s">
        <v>357</v>
      </c>
      <c r="C70" s="127" cm="1">
        <f t="array" aca="1" ref="C70" ca="1">INDIRECT("R[40]C["&amp;$A$70&amp;"]",FALSE)</f>
        <v>0</v>
      </c>
      <c r="D70" s="124" cm="1">
        <f t="array" aca="1" ref="D70" ca="1">INDIRECT("R[40]C["&amp;$A$70&amp;"]",FALSE)</f>
        <v>125.50240000000001</v>
      </c>
      <c r="E70" s="124" cm="1">
        <f t="array" aca="1" ref="E70" ca="1">INDIRECT("R[40]C["&amp;$A$70&amp;"]",FALSE)</f>
        <v>862.25390096961871</v>
      </c>
      <c r="F70" s="124" cm="1">
        <f t="array" aca="1" ref="F70" ca="1">INDIRECT("R[40]C["&amp;$A$70&amp;"]",FALSE)</f>
        <v>725.58714358974362</v>
      </c>
      <c r="G70" s="124" cm="1">
        <f t="array" aca="1" ref="G70" ca="1">INDIRECT("R[40]C["&amp;$A$70&amp;"]",FALSE)</f>
        <v>520.27304000000004</v>
      </c>
      <c r="H70" s="124" cm="1">
        <f t="array" aca="1" ref="H70" ca="1">INDIRECT("R[40]C["&amp;$A$70&amp;"]",FALSE)</f>
        <v>417.65050133333341</v>
      </c>
      <c r="I70" s="124" cm="1">
        <f t="array" aca="1" ref="I70" ca="1">INDIRECT("R[40]C["&amp;$A$70&amp;"]",FALSE)</f>
        <v>1004.9766712982587</v>
      </c>
      <c r="J70" s="124" cm="1">
        <f t="array" aca="1" ref="J70" ca="1">INDIRECT("R[40]C["&amp;$A$70&amp;"]",FALSE)</f>
        <v>335.84160000000003</v>
      </c>
      <c r="K70" s="124" cm="1">
        <f t="array" aca="1" ref="K70" ca="1">INDIRECT("R[40]C["&amp;$A$70&amp;"]",FALSE)</f>
        <v>954.2356778416821</v>
      </c>
      <c r="L70" s="124" cm="1">
        <f t="array" aca="1" ref="L70" ca="1">INDIRECT("R[40]C["&amp;$A$70&amp;"]",FALSE)</f>
        <v>85.39397583556898</v>
      </c>
      <c r="M70" s="124" cm="1">
        <f t="array" aca="1" ref="M70" ca="1">INDIRECT("R[40]C["&amp;$A$70&amp;"]",FALSE)</f>
        <v>622.85067514760226</v>
      </c>
      <c r="N70" s="124" cm="1">
        <f t="array" aca="1" ref="N70" ca="1">INDIRECT("R[40]C["&amp;$A$70&amp;"]",FALSE)</f>
        <v>130.17400000000001</v>
      </c>
      <c r="O70" s="124" cm="1">
        <f t="array" aca="1" ref="O70" ca="1">INDIRECT("R[40]C["&amp;$A$70&amp;"]",FALSE)</f>
        <v>175.86197771949202</v>
      </c>
      <c r="P70" s="124" cm="1">
        <f t="array" aca="1" ref="P70" ca="1">INDIRECT("R[40]C["&amp;$A$70&amp;"]",FALSE)</f>
        <v>112.72800000000001</v>
      </c>
      <c r="Q70" s="124"/>
      <c r="R70" s="128">
        <f t="shared" ref="R70:R71" ca="1" si="10">SUM(D70:Q70)</f>
        <v>6073.3295637353003</v>
      </c>
    </row>
    <row r="71" spans="1:18" ht="15.5" x14ac:dyDescent="0.35">
      <c r="A71" s="121">
        <f>A59</f>
        <v>1</v>
      </c>
      <c r="B71" s="125" t="s">
        <v>358</v>
      </c>
      <c r="C71" s="127" cm="1">
        <f t="array" aca="1" ref="C71" ca="1">INDIRECT("R[40]C["&amp;$A$70&amp;"]",FALSE)</f>
        <v>0</v>
      </c>
      <c r="D71" s="124" cm="1">
        <f t="array" aca="1" ref="D71" ca="1">INDIRECT("R[40]C["&amp;$A$70&amp;"]",FALSE)</f>
        <v>256</v>
      </c>
      <c r="E71" s="124" cm="1">
        <f t="array" aca="1" ref="E71" ca="1">INDIRECT("R[40]C["&amp;$A$70&amp;"]",FALSE)</f>
        <v>926.41359999999997</v>
      </c>
      <c r="F71" s="124" cm="1">
        <f t="array" aca="1" ref="F71" ca="1">INDIRECT("R[40]C["&amp;$A$70&amp;"]",FALSE)</f>
        <v>505.5</v>
      </c>
      <c r="G71" s="124" cm="1">
        <f t="array" aca="1" ref="G71" ca="1">INDIRECT("R[40]C["&amp;$A$70&amp;"]",FALSE)</f>
        <v>498.67899999999997</v>
      </c>
      <c r="H71" s="124" cm="1">
        <f t="array" aca="1" ref="H71" ca="1">INDIRECT("R[40]C["&amp;$A$70&amp;"]",FALSE)</f>
        <v>526</v>
      </c>
      <c r="I71" s="124" cm="1">
        <f t="array" aca="1" ref="I71" ca="1">INDIRECT("R[40]C["&amp;$A$70&amp;"]",FALSE)</f>
        <v>658.6653</v>
      </c>
      <c r="J71" s="124" cm="1">
        <f t="array" aca="1" ref="J71" ca="1">INDIRECT("R[40]C["&amp;$A$70&amp;"]",FALSE)</f>
        <v>690.26030000000003</v>
      </c>
      <c r="K71" s="124" cm="1">
        <f t="array" aca="1" ref="K71" ca="1">INDIRECT("R[40]C["&amp;$A$70&amp;"]",FALSE)</f>
        <v>679.90499999999997</v>
      </c>
      <c r="L71" s="124" cm="1">
        <f t="array" aca="1" ref="L71" ca="1">INDIRECT("R[40]C["&amp;$A$70&amp;"]",FALSE)</f>
        <v>63</v>
      </c>
      <c r="M71" s="124" cm="1">
        <f t="array" aca="1" ref="M71" ca="1">INDIRECT("R[40]C["&amp;$A$70&amp;"]",FALSE)</f>
        <v>802.40499999999997</v>
      </c>
      <c r="N71" s="124" cm="1">
        <f t="array" aca="1" ref="N71" ca="1">INDIRECT("R[40]C["&amp;$A$70&amp;"]",FALSE)</f>
        <v>300</v>
      </c>
      <c r="O71" s="124" cm="1">
        <f t="array" aca="1" ref="O71" ca="1">INDIRECT("R[40]C["&amp;$A$70&amp;"]",FALSE)</f>
        <v>372.40499999999997</v>
      </c>
      <c r="P71" s="124" cm="1">
        <f t="array" aca="1" ref="P71" ca="1">INDIRECT("R[40]C["&amp;$A$70&amp;"]",FALSE)</f>
        <v>280</v>
      </c>
      <c r="Q71" s="124"/>
      <c r="R71" s="128">
        <f t="shared" ca="1" si="10"/>
        <v>6559.2331999999997</v>
      </c>
    </row>
    <row r="72" spans="1:18" ht="15.5" x14ac:dyDescent="0.35">
      <c r="A72" s="116"/>
      <c r="B72" s="129"/>
      <c r="C72" s="133"/>
      <c r="D72" s="129"/>
      <c r="E72" s="129"/>
      <c r="F72" s="129"/>
      <c r="G72" s="129"/>
      <c r="H72" s="129"/>
      <c r="I72" s="129"/>
      <c r="J72" s="129"/>
      <c r="K72" s="129"/>
      <c r="L72" s="129"/>
      <c r="M72" s="129"/>
      <c r="N72" s="129"/>
      <c r="O72" s="129"/>
      <c r="P72" s="129"/>
      <c r="Q72" s="129"/>
      <c r="R72" s="130"/>
    </row>
    <row r="73" spans="1:18" ht="15.5" x14ac:dyDescent="0.35">
      <c r="A73" s="116"/>
      <c r="B73" s="116"/>
      <c r="C73" s="116"/>
      <c r="D73" s="116"/>
      <c r="E73" s="116"/>
      <c r="F73" s="116"/>
      <c r="G73" s="116"/>
      <c r="H73" s="116"/>
      <c r="I73" s="116"/>
      <c r="J73" s="116"/>
      <c r="K73" s="116"/>
      <c r="L73" s="116"/>
      <c r="M73" s="116"/>
      <c r="N73" s="116"/>
      <c r="O73" s="116"/>
      <c r="P73" s="116"/>
      <c r="Q73" s="116"/>
      <c r="R73" s="115"/>
    </row>
    <row r="74" spans="1:18" ht="15.5" x14ac:dyDescent="0.35">
      <c r="A74" s="116"/>
      <c r="B74" s="116"/>
      <c r="C74" s="116"/>
      <c r="D74" s="116"/>
      <c r="E74" s="116"/>
      <c r="F74" s="116"/>
      <c r="G74" s="116"/>
      <c r="H74" s="116"/>
      <c r="I74" s="116"/>
      <c r="J74" s="116"/>
      <c r="K74" s="116"/>
      <c r="L74" s="116"/>
      <c r="M74" s="116"/>
      <c r="N74" s="116"/>
      <c r="O74" s="116"/>
      <c r="P74" s="116"/>
      <c r="Q74" s="116"/>
      <c r="R74" s="115"/>
    </row>
    <row r="75" spans="1:18" ht="15.5" x14ac:dyDescent="0.35">
      <c r="A75" s="116"/>
      <c r="B75" s="116" t="s">
        <v>235</v>
      </c>
      <c r="C75" s="115">
        <f ca="1">SUM(C46:C48)</f>
        <v>0</v>
      </c>
      <c r="D75" s="115">
        <f ca="1">SUM(D46:D48)</f>
        <v>42.769230769230774</v>
      </c>
      <c r="E75" s="115">
        <f t="shared" ref="E75:Q75" ca="1" si="11">SUM(E46:E48)</f>
        <v>338.31588019823317</v>
      </c>
      <c r="F75" s="115">
        <f t="shared" ca="1" si="11"/>
        <v>289.84615384615381</v>
      </c>
      <c r="G75" s="115">
        <f t="shared" ca="1" si="11"/>
        <v>243.73333333333332</v>
      </c>
      <c r="H75" s="115">
        <f t="shared" ca="1" si="11"/>
        <v>193.64</v>
      </c>
      <c r="I75" s="115">
        <f t="shared" ca="1" si="11"/>
        <v>375.06625590388217</v>
      </c>
      <c r="J75" s="115">
        <f t="shared" ca="1" si="11"/>
        <v>152.93333333333334</v>
      </c>
      <c r="K75" s="115">
        <f t="shared" ca="1" si="11"/>
        <v>315.26251267836159</v>
      </c>
      <c r="L75" s="115">
        <f t="shared" ca="1" si="11"/>
        <v>83.452104386772191</v>
      </c>
      <c r="M75" s="115">
        <f t="shared" ca="1" si="11"/>
        <v>189.51487939326151</v>
      </c>
      <c r="N75" s="115">
        <f t="shared" ca="1" si="11"/>
        <v>59.277777777777779</v>
      </c>
      <c r="O75" s="115">
        <f t="shared" ca="1" si="11"/>
        <v>80.082867813976321</v>
      </c>
      <c r="P75" s="115">
        <f t="shared" ca="1" si="11"/>
        <v>51.333333333333336</v>
      </c>
      <c r="Q75" s="115">
        <f t="shared" si="11"/>
        <v>0</v>
      </c>
      <c r="R75" s="115">
        <f ca="1">SUM(R46:R48)</f>
        <v>2415.2276627676492</v>
      </c>
    </row>
    <row r="77" spans="1:18" x14ac:dyDescent="0.35">
      <c r="R77" s="22"/>
    </row>
    <row r="78" spans="1:18" x14ac:dyDescent="0.35">
      <c r="R78" s="22"/>
    </row>
    <row r="79" spans="1:18" x14ac:dyDescent="0.35">
      <c r="R79" s="22"/>
    </row>
    <row r="80" spans="1:18" x14ac:dyDescent="0.35">
      <c r="B80" s="28" t="s">
        <v>276</v>
      </c>
      <c r="C80" s="28"/>
      <c r="D80" s="28"/>
      <c r="E80" s="28"/>
      <c r="F80" s="28"/>
      <c r="G80" s="28"/>
      <c r="H80" s="28"/>
      <c r="I80" s="28"/>
      <c r="J80" s="28"/>
      <c r="R80" s="22"/>
    </row>
    <row r="81" spans="1:26" x14ac:dyDescent="0.35">
      <c r="B81" s="7" t="s">
        <v>170</v>
      </c>
      <c r="C81" s="7"/>
      <c r="R81" s="22"/>
    </row>
    <row r="82" spans="1:26" ht="15.5" x14ac:dyDescent="0.35">
      <c r="B82" s="105" t="s">
        <v>110</v>
      </c>
      <c r="C82" s="105"/>
      <c r="D82" s="107">
        <f>D83</f>
        <v>0</v>
      </c>
      <c r="E82" s="108">
        <f>SUM($E83:E83)</f>
        <v>513.23076923076928</v>
      </c>
      <c r="F82" s="108">
        <f>SUM($E83:F83)</f>
        <v>4802.5843568196515</v>
      </c>
      <c r="G82" s="108">
        <f>SUM($E83:G83)</f>
        <v>8587.7382029734981</v>
      </c>
      <c r="H82" s="108">
        <f>SUM($E83:H83)</f>
        <v>12061.738202973498</v>
      </c>
      <c r="I82" s="108">
        <f>SUM($E83:I83)</f>
        <v>14966.338202973498</v>
      </c>
      <c r="J82" s="108">
        <f>SUM($E83:J83)</f>
        <v>20592.332041531732</v>
      </c>
      <c r="K82" s="108">
        <f>SUM($E83:K83)</f>
        <v>22886.332041531732</v>
      </c>
      <c r="L82" s="109">
        <f>SUM($E83:L83)</f>
        <v>27615.269731707158</v>
      </c>
      <c r="M82" s="108">
        <f>SUM($E83:M83)</f>
        <v>29117.407610669055</v>
      </c>
      <c r="N82" s="108">
        <f>SUM($E83:N83)</f>
        <v>32528.675439747763</v>
      </c>
      <c r="O82" s="108">
        <f>SUM($E83:O83)</f>
        <v>33595.675439747763</v>
      </c>
      <c r="P82" s="108">
        <f>SUM($E83:P83)</f>
        <v>35037.167060399341</v>
      </c>
      <c r="Q82" s="108">
        <f>SUM($E83:Q83)</f>
        <v>35961.167060399341</v>
      </c>
      <c r="R82" s="113">
        <f>Q82</f>
        <v>35961.167060399341</v>
      </c>
    </row>
    <row r="83" spans="1:26" ht="15.5" x14ac:dyDescent="0.35">
      <c r="B83" s="105" t="s">
        <v>360</v>
      </c>
      <c r="C83" s="105"/>
      <c r="D83" s="107">
        <f>SUMPRODUCT(D86:D88,$B$86:$B$88)</f>
        <v>0</v>
      </c>
      <c r="E83" s="108">
        <f>SUMPRODUCT(E86:E88,$B$86:$B$88)</f>
        <v>513.23076923076928</v>
      </c>
      <c r="F83" s="108">
        <f t="shared" ref="F83:Q83" si="12">SUMPRODUCT(F86:F88,$B$86:$B$88)</f>
        <v>4289.353587588882</v>
      </c>
      <c r="G83" s="108">
        <f t="shared" si="12"/>
        <v>3785.1538461538457</v>
      </c>
      <c r="H83" s="108">
        <f t="shared" si="12"/>
        <v>3474</v>
      </c>
      <c r="I83" s="108">
        <f>SUMPRODUCT(I86:I88,$B$86:$B$88)</f>
        <v>2904.6</v>
      </c>
      <c r="J83" s="108">
        <f>SUMPRODUCT(J86:J88,$B$86:$B$88)</f>
        <v>5625.9938385582327</v>
      </c>
      <c r="K83" s="108">
        <f t="shared" si="12"/>
        <v>2294</v>
      </c>
      <c r="L83" s="109">
        <f t="shared" si="12"/>
        <v>4728.937690175424</v>
      </c>
      <c r="M83" s="108">
        <f>SUMPRODUCT(M86:M88,$B$86:$B$88)</f>
        <v>1502.1378789618993</v>
      </c>
      <c r="N83" s="108">
        <f t="shared" si="12"/>
        <v>3411.2678290787071</v>
      </c>
      <c r="O83" s="108">
        <f>SUMPRODUCT(O86:O88,$B$86:$B$88)</f>
        <v>1067</v>
      </c>
      <c r="P83" s="108">
        <f t="shared" si="12"/>
        <v>1441.4916206515738</v>
      </c>
      <c r="Q83" s="108">
        <f t="shared" si="12"/>
        <v>924</v>
      </c>
      <c r="R83" s="113">
        <f>SUM(D83:Q83)</f>
        <v>35961.167060399341</v>
      </c>
    </row>
    <row r="84" spans="1:26" ht="15.5" x14ac:dyDescent="0.35">
      <c r="B84" s="105" t="s">
        <v>236</v>
      </c>
      <c r="C84" s="105"/>
      <c r="D84" s="107">
        <f>Aggregated!AA7*$R$2+Aggregated!AP7*$R$3</f>
        <v>0</v>
      </c>
      <c r="E84" s="108">
        <f>Aggregated!AB7*$R$2+Aggregated!AQ7*$R$3</f>
        <v>2</v>
      </c>
      <c r="F84" s="108">
        <f>Aggregated!AC7*$R$2+Aggregated!AR7*$R$3</f>
        <v>6</v>
      </c>
      <c r="G84" s="108">
        <f>Aggregated!AD7*$R$2+Aggregated!AS7*$R$3</f>
        <v>5</v>
      </c>
      <c r="H84" s="108">
        <f>Aggregated!AE7*$R$2+Aggregated!AT7*$R$3</f>
        <v>6</v>
      </c>
      <c r="I84" s="108">
        <f>Aggregated!AF7*$R$2+Aggregated!AU7*$R$3</f>
        <v>3</v>
      </c>
      <c r="J84" s="108">
        <f>Aggregated!AG7*$R$2+Aggregated!AV7*$R$3</f>
        <v>7</v>
      </c>
      <c r="K84" s="108">
        <f>Aggregated!AH7*$R$2+Aggregated!AW7*$R$3</f>
        <v>3</v>
      </c>
      <c r="L84" s="108">
        <f>Aggregated!AI7*$R$2+Aggregated!AX7*$R$3</f>
        <v>6</v>
      </c>
      <c r="M84" s="108">
        <f>Aggregated!AJ7*$R$2+Aggregated!AY7*$R$3</f>
        <v>2</v>
      </c>
      <c r="N84" s="108">
        <f>Aggregated!AK7*$R$2+Aggregated!AZ7*$R$3</f>
        <v>3</v>
      </c>
      <c r="O84" s="108">
        <f>Aggregated!AL7*$R$2+Aggregated!BA7*$R$3</f>
        <v>1</v>
      </c>
      <c r="P84" s="108">
        <f>Aggregated!AM7*$R$2+Aggregated!BB7*$R$3</f>
        <v>2</v>
      </c>
      <c r="Q84" s="108">
        <f>Aggregated!AN7*$R$2+Aggregated!BC7*$R$3</f>
        <v>1</v>
      </c>
      <c r="R84" s="113">
        <f>SUM(D84:Q84)</f>
        <v>47</v>
      </c>
    </row>
    <row r="85" spans="1:26" ht="15.5" x14ac:dyDescent="0.35">
      <c r="B85" s="135" t="s">
        <v>275</v>
      </c>
      <c r="C85" s="152">
        <v>0</v>
      </c>
      <c r="D85" s="153">
        <v>0</v>
      </c>
      <c r="E85" s="154">
        <f>SUM(E86:E88)</f>
        <v>42.769230769230774</v>
      </c>
      <c r="F85" s="154">
        <f t="shared" ref="F85:Q85" si="13">SUM(F86:F88)</f>
        <v>338.31588019823317</v>
      </c>
      <c r="G85" s="154">
        <f t="shared" si="13"/>
        <v>289.84615384615381</v>
      </c>
      <c r="H85" s="154">
        <f t="shared" si="13"/>
        <v>243.73333333333332</v>
      </c>
      <c r="I85" s="154">
        <f t="shared" si="13"/>
        <v>193.64</v>
      </c>
      <c r="J85" s="154">
        <f t="shared" si="13"/>
        <v>375.06625590388217</v>
      </c>
      <c r="K85" s="154">
        <f t="shared" si="13"/>
        <v>152.93333333333334</v>
      </c>
      <c r="L85" s="154">
        <f t="shared" si="13"/>
        <v>315.26251267836159</v>
      </c>
      <c r="M85" s="154">
        <f t="shared" si="13"/>
        <v>83.452104386772191</v>
      </c>
      <c r="N85" s="154">
        <f t="shared" si="13"/>
        <v>189.51487939326151</v>
      </c>
      <c r="O85" s="154">
        <f t="shared" si="13"/>
        <v>59.277777777777779</v>
      </c>
      <c r="P85" s="154">
        <f t="shared" si="13"/>
        <v>80.082867813976321</v>
      </c>
      <c r="Q85" s="154">
        <f t="shared" si="13"/>
        <v>51.333333333333336</v>
      </c>
      <c r="R85" s="130">
        <f>SUM(E85:Q85)</f>
        <v>2415.2276627676497</v>
      </c>
    </row>
    <row r="86" spans="1:26" ht="15.5" x14ac:dyDescent="0.35">
      <c r="A86" s="29"/>
      <c r="B86" s="111">
        <f>Assumptions!F16</f>
        <v>12</v>
      </c>
      <c r="C86" s="111"/>
      <c r="D86" s="107">
        <v>0</v>
      </c>
      <c r="E86" s="108">
        <f>Aggregated!AB9*$R$2+Aggregated!AQ9*$R$3+Aggregated!BF9*$R$4</f>
        <v>42.769230769230774</v>
      </c>
      <c r="F86" s="108">
        <f>Aggregated!AC9*$R$2+Aggregated!AR9*$R$3+Aggregated!BG9*$R$4</f>
        <v>261.79487179487182</v>
      </c>
      <c r="G86" s="108">
        <f>Aggregated!AD9*$R$2+Aggregated!AS9*$R$3+Aggregated!BH9*$R$4</f>
        <v>187.5128205128205</v>
      </c>
      <c r="H86" s="108">
        <f>Aggregated!AE9*$R$2+Aggregated!AT9*$R$3+Aggregated!BI9*$R$4</f>
        <v>60.666666666666664</v>
      </c>
      <c r="I86" s="108">
        <f>Aggregated!AF9*$R$2+Aggregated!AU9*$R$3+Aggregated!BJ9*$R$4</f>
        <v>0</v>
      </c>
      <c r="J86" s="108">
        <f>Aggregated!AG9*$R$2+Aggregated!AV9*$R$3+Aggregated!BK9*$R$4</f>
        <v>0</v>
      </c>
      <c r="K86" s="108">
        <f>Aggregated!AH9*$R$2+Aggregated!AW9*$R$3+Aggregated!BL9*$R$4</f>
        <v>0</v>
      </c>
      <c r="L86" s="108">
        <f>Aggregated!AI9*$R$2+Aggregated!AX9*$R$3+Aggregated!BM9*$R$4</f>
        <v>0</v>
      </c>
      <c r="M86" s="108">
        <f>Aggregated!AJ9*$R$2+Aggregated!AY9*$R$3+Aggregated!BN9*$R$4</f>
        <v>0</v>
      </c>
      <c r="N86" s="108">
        <f>Aggregated!AK9*$R$2+Aggregated!AZ9*$R$3+Aggregated!BO9*$R$4</f>
        <v>0</v>
      </c>
      <c r="O86" s="108">
        <f>Aggregated!AL9*$R$2+Aggregated!BA9*$R$3+Aggregated!BP9*$R$4</f>
        <v>0</v>
      </c>
      <c r="P86" s="108">
        <f>Aggregated!AM9*$R$2+Aggregated!BB9*$R$3+Aggregated!BQ9*$R$4</f>
        <v>0</v>
      </c>
      <c r="Q86" s="108">
        <f>Aggregated!AN9*$R$2+Aggregated!BC9*$R$3+Aggregated!BR9*$R$4</f>
        <v>0</v>
      </c>
      <c r="R86" s="113">
        <f>SUM(D86:Q86)</f>
        <v>552.74358974358972</v>
      </c>
      <c r="S86" s="44"/>
      <c r="T86" s="30"/>
      <c r="U86" s="30"/>
      <c r="V86" s="30"/>
      <c r="W86" s="30"/>
      <c r="X86" s="30"/>
      <c r="Y86" s="30"/>
      <c r="Z86" s="30"/>
    </row>
    <row r="87" spans="1:26" ht="15.5" x14ac:dyDescent="0.35">
      <c r="B87" s="111">
        <f>Assumptions!F17</f>
        <v>15</v>
      </c>
      <c r="C87" s="111"/>
      <c r="D87" s="107">
        <v>0</v>
      </c>
      <c r="E87" s="108">
        <f>Aggregated!AB10*$R$2+Aggregated!AQ10*$R$3+Aggregated!BF10*$R$4</f>
        <v>0</v>
      </c>
      <c r="F87" s="108">
        <f>Aggregated!AC10*$R$2+Aggregated!AR10*$R$3+Aggregated!BG10*$R$4</f>
        <v>76.52100840336135</v>
      </c>
      <c r="G87" s="108">
        <f>Aggregated!AD10*$R$2+Aggregated!AS10*$R$3+Aggregated!BH10*$R$4</f>
        <v>102.33333333333334</v>
      </c>
      <c r="H87" s="108">
        <f>Aggregated!AE10*$R$2+Aggregated!AT10*$R$3+Aggregated!BI10*$R$4</f>
        <v>183.06666666666666</v>
      </c>
      <c r="I87" s="108">
        <f>Aggregated!AF10*$R$2+Aggregated!AU10*$R$3+Aggregated!BJ10*$R$4</f>
        <v>193.64</v>
      </c>
      <c r="J87" s="108">
        <f>Aggregated!AG10*$R$2+Aggregated!AV10*$R$3+Aggregated!BK10*$R$4</f>
        <v>375.06625590388217</v>
      </c>
      <c r="K87" s="108">
        <f>Aggregated!AH10*$R$2+Aggregated!AW10*$R$3+Aggregated!BL10*$R$4</f>
        <v>152.93333333333334</v>
      </c>
      <c r="L87" s="108">
        <f>Aggregated!AI10*$R$2+Aggregated!AX10*$R$3+Aggregated!BM10*$R$4</f>
        <v>315.26251267836159</v>
      </c>
      <c r="M87" s="108">
        <f>Aggregated!AJ10*$R$2+Aggregated!AY10*$R$3+Aggregated!BN10*$R$4</f>
        <v>0</v>
      </c>
      <c r="N87" s="108">
        <f>Aggregated!AK10*$R$2+Aggregated!AZ10*$R$3+Aggregated!BO10*$R$4</f>
        <v>0</v>
      </c>
      <c r="O87" s="108">
        <f>Aggregated!AL10*$R$2+Aggregated!BA10*$R$3+Aggregated!BP10*$R$4</f>
        <v>0</v>
      </c>
      <c r="P87" s="108">
        <f>Aggregated!AM10*$R$2+Aggregated!BB10*$R$3+Aggregated!BQ10*$R$4</f>
        <v>0</v>
      </c>
      <c r="Q87" s="108">
        <f>Aggregated!AN10*$R$2+Aggregated!BC10*$R$3+Aggregated!BR10*$R$4</f>
        <v>0</v>
      </c>
      <c r="R87" s="113">
        <f t="shared" ref="R87:R88" si="14">SUM(D87:Q87)</f>
        <v>1398.8231103189385</v>
      </c>
      <c r="S87" s="22"/>
    </row>
    <row r="88" spans="1:26" ht="15.5" x14ac:dyDescent="0.35">
      <c r="B88" s="111">
        <f>Assumptions!F18</f>
        <v>18</v>
      </c>
      <c r="C88" s="111"/>
      <c r="D88" s="107">
        <v>0</v>
      </c>
      <c r="E88" s="108">
        <f>Aggregated!AB11*$R$2+Aggregated!AQ11*$R$3+Aggregated!BF11*$R$4</f>
        <v>0</v>
      </c>
      <c r="F88" s="108">
        <f>Aggregated!AC11*$R$2+Aggregated!AR11*$R$3+Aggregated!BG11*$R$4</f>
        <v>0</v>
      </c>
      <c r="G88" s="108">
        <f>Aggregated!AD11*$R$2+Aggregated!AS11*$R$3+Aggregated!BH11*$R$4</f>
        <v>0</v>
      </c>
      <c r="H88" s="108">
        <f>Aggregated!AE11*$R$2+Aggregated!AT11*$R$3+Aggregated!BI11*$R$4</f>
        <v>0</v>
      </c>
      <c r="I88" s="108">
        <f>Aggregated!AF11*$R$2+Aggregated!AU11*$R$3+Aggregated!BJ11*$R$4</f>
        <v>0</v>
      </c>
      <c r="J88" s="108">
        <f>Aggregated!AG11*$R$2+Aggregated!AV11*$R$3+Aggregated!BK11*$R$4</f>
        <v>0</v>
      </c>
      <c r="K88" s="108">
        <f>Aggregated!AH11*$R$2+Aggregated!AW11*$R$3+Aggregated!BL11*$R$4</f>
        <v>0</v>
      </c>
      <c r="L88" s="108">
        <f>Aggregated!AI11*$R$2+Aggregated!AX11*$R$3+Aggregated!BM11*$R$4</f>
        <v>0</v>
      </c>
      <c r="M88" s="108">
        <f>Aggregated!AJ11*$R$2+Aggregated!AY11*$R$3+Aggregated!BN11*$R$4</f>
        <v>83.452104386772191</v>
      </c>
      <c r="N88" s="108">
        <f>Aggregated!AK11*$R$2+Aggregated!AZ11*$R$3+Aggregated!BO11*$R$4</f>
        <v>189.51487939326151</v>
      </c>
      <c r="O88" s="108">
        <f>Aggregated!AL11*$R$2+Aggregated!BA11*$R$3+Aggregated!BP11*$R$4</f>
        <v>59.277777777777779</v>
      </c>
      <c r="P88" s="108">
        <f>Aggregated!AM11*$R$2+Aggregated!BB11*$R$3+Aggregated!BQ11*$R$4</f>
        <v>80.082867813976321</v>
      </c>
      <c r="Q88" s="108">
        <f>Aggregated!AN11*$R$2+Aggregated!BC11*$R$3+Aggregated!BR11*$R$4</f>
        <v>51.333333333333336</v>
      </c>
      <c r="R88" s="113">
        <f t="shared" si="14"/>
        <v>463.66096270512111</v>
      </c>
      <c r="S88" s="22"/>
    </row>
    <row r="89" spans="1:26" ht="15.5" x14ac:dyDescent="0.35">
      <c r="B89" s="135" t="s">
        <v>239</v>
      </c>
      <c r="C89" s="129"/>
      <c r="D89" s="136"/>
      <c r="E89" s="132"/>
      <c r="F89" s="132"/>
      <c r="G89" s="132"/>
      <c r="H89" s="132"/>
      <c r="I89" s="132"/>
      <c r="J89" s="132"/>
      <c r="K89" s="132"/>
      <c r="L89" s="137"/>
      <c r="M89" s="132"/>
      <c r="N89" s="132"/>
      <c r="O89" s="132"/>
      <c r="P89" s="132"/>
      <c r="Q89" s="132"/>
      <c r="R89" s="130"/>
      <c r="S89" s="22"/>
    </row>
    <row r="90" spans="1:26" ht="15.5" x14ac:dyDescent="0.35">
      <c r="B90" s="111">
        <f>B86</f>
        <v>12</v>
      </c>
      <c r="C90" s="111"/>
      <c r="D90" s="107">
        <f>3*D86</f>
        <v>0</v>
      </c>
      <c r="E90" s="108">
        <f t="shared" ref="E90:Q90" si="15">3*E86</f>
        <v>128.30769230769232</v>
      </c>
      <c r="F90" s="108">
        <f t="shared" si="15"/>
        <v>785.38461538461547</v>
      </c>
      <c r="G90" s="108">
        <f t="shared" si="15"/>
        <v>562.53846153846143</v>
      </c>
      <c r="H90" s="108">
        <f t="shared" si="15"/>
        <v>182</v>
      </c>
      <c r="I90" s="108">
        <f t="shared" si="15"/>
        <v>0</v>
      </c>
      <c r="J90" s="108">
        <f t="shared" si="15"/>
        <v>0</v>
      </c>
      <c r="K90" s="108">
        <f t="shared" si="15"/>
        <v>0</v>
      </c>
      <c r="L90" s="109">
        <f t="shared" si="15"/>
        <v>0</v>
      </c>
      <c r="M90" s="108">
        <f t="shared" si="15"/>
        <v>0</v>
      </c>
      <c r="N90" s="108">
        <f t="shared" si="15"/>
        <v>0</v>
      </c>
      <c r="O90" s="108">
        <f t="shared" si="15"/>
        <v>0</v>
      </c>
      <c r="P90" s="108">
        <f t="shared" si="15"/>
        <v>0</v>
      </c>
      <c r="Q90" s="108">
        <f t="shared" si="15"/>
        <v>0</v>
      </c>
      <c r="R90" s="113">
        <f>SUM(D90:Q90)</f>
        <v>1658.2307692307693</v>
      </c>
    </row>
    <row r="91" spans="1:26" ht="15.5" x14ac:dyDescent="0.35">
      <c r="B91" s="111">
        <f t="shared" ref="B91:B92" si="16">B87</f>
        <v>15</v>
      </c>
      <c r="C91" s="111"/>
      <c r="D91" s="107">
        <f t="shared" ref="D91:Q92" si="17">3*D87</f>
        <v>0</v>
      </c>
      <c r="E91" s="108">
        <f t="shared" si="17"/>
        <v>0</v>
      </c>
      <c r="F91" s="108">
        <f t="shared" si="17"/>
        <v>229.56302521008405</v>
      </c>
      <c r="G91" s="108">
        <f t="shared" si="17"/>
        <v>307</v>
      </c>
      <c r="H91" s="108">
        <f t="shared" si="17"/>
        <v>549.20000000000005</v>
      </c>
      <c r="I91" s="108">
        <f t="shared" si="17"/>
        <v>580.91999999999996</v>
      </c>
      <c r="J91" s="108">
        <f t="shared" si="17"/>
        <v>1125.1987677116465</v>
      </c>
      <c r="K91" s="108">
        <f t="shared" si="17"/>
        <v>458.8</v>
      </c>
      <c r="L91" s="109">
        <f t="shared" si="17"/>
        <v>945.78753803508471</v>
      </c>
      <c r="M91" s="108">
        <f t="shared" si="17"/>
        <v>0</v>
      </c>
      <c r="N91" s="108">
        <f t="shared" si="17"/>
        <v>0</v>
      </c>
      <c r="O91" s="108">
        <f t="shared" si="17"/>
        <v>0</v>
      </c>
      <c r="P91" s="108">
        <f t="shared" si="17"/>
        <v>0</v>
      </c>
      <c r="Q91" s="108">
        <f t="shared" si="17"/>
        <v>0</v>
      </c>
      <c r="R91" s="113">
        <f t="shared" ref="R91:R92" si="18">SUM(D91:Q91)</f>
        <v>4196.4693309568156</v>
      </c>
    </row>
    <row r="92" spans="1:26" ht="15.5" x14ac:dyDescent="0.35">
      <c r="B92" s="111">
        <f t="shared" si="16"/>
        <v>18</v>
      </c>
      <c r="C92" s="111"/>
      <c r="D92" s="107">
        <f t="shared" si="17"/>
        <v>0</v>
      </c>
      <c r="E92" s="108">
        <f t="shared" si="17"/>
        <v>0</v>
      </c>
      <c r="F92" s="108">
        <f t="shared" si="17"/>
        <v>0</v>
      </c>
      <c r="G92" s="108">
        <f t="shared" si="17"/>
        <v>0</v>
      </c>
      <c r="H92" s="108">
        <f t="shared" si="17"/>
        <v>0</v>
      </c>
      <c r="I92" s="108">
        <f t="shared" si="17"/>
        <v>0</v>
      </c>
      <c r="J92" s="108">
        <f t="shared" si="17"/>
        <v>0</v>
      </c>
      <c r="K92" s="108">
        <f t="shared" si="17"/>
        <v>0</v>
      </c>
      <c r="L92" s="109">
        <f t="shared" si="17"/>
        <v>0</v>
      </c>
      <c r="M92" s="108">
        <f t="shared" si="17"/>
        <v>250.35631316031657</v>
      </c>
      <c r="N92" s="108">
        <f t="shared" si="17"/>
        <v>568.54463817978456</v>
      </c>
      <c r="O92" s="108">
        <f t="shared" si="17"/>
        <v>177.83333333333334</v>
      </c>
      <c r="P92" s="108">
        <f t="shared" si="17"/>
        <v>240.24860344192896</v>
      </c>
      <c r="Q92" s="108">
        <f t="shared" si="17"/>
        <v>154</v>
      </c>
      <c r="R92" s="113">
        <f t="shared" si="18"/>
        <v>1390.9828881153635</v>
      </c>
    </row>
    <row r="93" spans="1:26" ht="15.5" x14ac:dyDescent="0.35">
      <c r="B93" s="135" t="s">
        <v>240</v>
      </c>
      <c r="C93" s="129"/>
      <c r="D93" s="136"/>
      <c r="E93" s="132"/>
      <c r="F93" s="132"/>
      <c r="G93" s="132"/>
      <c r="H93" s="132"/>
      <c r="I93" s="132"/>
      <c r="J93" s="132"/>
      <c r="K93" s="132"/>
      <c r="L93" s="137"/>
      <c r="M93" s="132"/>
      <c r="N93" s="132"/>
      <c r="O93" s="132"/>
      <c r="P93" s="132"/>
      <c r="Q93" s="132"/>
      <c r="R93" s="130"/>
    </row>
    <row r="94" spans="1:26" ht="15.5" x14ac:dyDescent="0.35">
      <c r="B94" s="111">
        <f>B86</f>
        <v>12</v>
      </c>
      <c r="C94" s="111"/>
      <c r="D94" s="107">
        <f>D86</f>
        <v>0</v>
      </c>
      <c r="E94" s="108">
        <f t="shared" ref="E94:Q94" si="19">E86</f>
        <v>42.769230769230774</v>
      </c>
      <c r="F94" s="108">
        <f t="shared" si="19"/>
        <v>261.79487179487182</v>
      </c>
      <c r="G94" s="108">
        <f t="shared" si="19"/>
        <v>187.5128205128205</v>
      </c>
      <c r="H94" s="108">
        <f t="shared" si="19"/>
        <v>60.666666666666664</v>
      </c>
      <c r="I94" s="108">
        <f t="shared" si="19"/>
        <v>0</v>
      </c>
      <c r="J94" s="108">
        <f t="shared" si="19"/>
        <v>0</v>
      </c>
      <c r="K94" s="108">
        <f t="shared" si="19"/>
        <v>0</v>
      </c>
      <c r="L94" s="109">
        <f t="shared" si="19"/>
        <v>0</v>
      </c>
      <c r="M94" s="108">
        <f t="shared" si="19"/>
        <v>0</v>
      </c>
      <c r="N94" s="108">
        <f t="shared" si="19"/>
        <v>0</v>
      </c>
      <c r="O94" s="108">
        <f t="shared" si="19"/>
        <v>0</v>
      </c>
      <c r="P94" s="108">
        <f t="shared" si="19"/>
        <v>0</v>
      </c>
      <c r="Q94" s="108">
        <f t="shared" si="19"/>
        <v>0</v>
      </c>
      <c r="R94" s="113">
        <f>SUM(D94:Q94)</f>
        <v>552.74358974358972</v>
      </c>
    </row>
    <row r="95" spans="1:26" ht="15.5" x14ac:dyDescent="0.35">
      <c r="B95" s="111">
        <f t="shared" ref="B95:B96" si="20">B87</f>
        <v>15</v>
      </c>
      <c r="C95" s="111"/>
      <c r="D95" s="107">
        <f t="shared" ref="D95:Q96" si="21">D87</f>
        <v>0</v>
      </c>
      <c r="E95" s="108">
        <f t="shared" si="21"/>
        <v>0</v>
      </c>
      <c r="F95" s="108">
        <f t="shared" si="21"/>
        <v>76.52100840336135</v>
      </c>
      <c r="G95" s="108">
        <f t="shared" si="21"/>
        <v>102.33333333333334</v>
      </c>
      <c r="H95" s="108">
        <f t="shared" si="21"/>
        <v>183.06666666666666</v>
      </c>
      <c r="I95" s="108">
        <f t="shared" si="21"/>
        <v>193.64</v>
      </c>
      <c r="J95" s="108">
        <f t="shared" si="21"/>
        <v>375.06625590388217</v>
      </c>
      <c r="K95" s="108">
        <f t="shared" si="21"/>
        <v>152.93333333333334</v>
      </c>
      <c r="L95" s="109">
        <f t="shared" si="21"/>
        <v>315.26251267836159</v>
      </c>
      <c r="M95" s="108">
        <f t="shared" si="21"/>
        <v>0</v>
      </c>
      <c r="N95" s="108">
        <f t="shared" si="21"/>
        <v>0</v>
      </c>
      <c r="O95" s="108">
        <f t="shared" si="21"/>
        <v>0</v>
      </c>
      <c r="P95" s="108">
        <f t="shared" si="21"/>
        <v>0</v>
      </c>
      <c r="Q95" s="108">
        <f t="shared" si="21"/>
        <v>0</v>
      </c>
      <c r="R95" s="113">
        <f t="shared" ref="R95:R96" si="22">SUM(D95:Q95)</f>
        <v>1398.8231103189385</v>
      </c>
    </row>
    <row r="96" spans="1:26" ht="15.5" x14ac:dyDescent="0.35">
      <c r="B96" s="111">
        <f t="shared" si="20"/>
        <v>18</v>
      </c>
      <c r="C96" s="111"/>
      <c r="D96" s="107">
        <f t="shared" si="21"/>
        <v>0</v>
      </c>
      <c r="E96" s="108">
        <f t="shared" si="21"/>
        <v>0</v>
      </c>
      <c r="F96" s="108">
        <f t="shared" si="21"/>
        <v>0</v>
      </c>
      <c r="G96" s="108">
        <f t="shared" si="21"/>
        <v>0</v>
      </c>
      <c r="H96" s="108">
        <f t="shared" si="21"/>
        <v>0</v>
      </c>
      <c r="I96" s="108">
        <f t="shared" si="21"/>
        <v>0</v>
      </c>
      <c r="J96" s="108">
        <f t="shared" si="21"/>
        <v>0</v>
      </c>
      <c r="K96" s="108">
        <f t="shared" si="21"/>
        <v>0</v>
      </c>
      <c r="L96" s="109">
        <f t="shared" si="21"/>
        <v>0</v>
      </c>
      <c r="M96" s="108">
        <f t="shared" si="21"/>
        <v>83.452104386772191</v>
      </c>
      <c r="N96" s="108">
        <f t="shared" si="21"/>
        <v>189.51487939326151</v>
      </c>
      <c r="O96" s="108">
        <f t="shared" si="21"/>
        <v>59.277777777777779</v>
      </c>
      <c r="P96" s="108">
        <f t="shared" si="21"/>
        <v>80.082867813976321</v>
      </c>
      <c r="Q96" s="108">
        <f t="shared" si="21"/>
        <v>51.333333333333336</v>
      </c>
      <c r="R96" s="113">
        <f t="shared" si="22"/>
        <v>463.66096270512111</v>
      </c>
    </row>
    <row r="97" spans="2:19" ht="15.5" x14ac:dyDescent="0.35">
      <c r="B97" s="135" t="s">
        <v>241</v>
      </c>
      <c r="C97" s="129"/>
      <c r="D97" s="136"/>
      <c r="E97" s="132"/>
      <c r="F97" s="132"/>
      <c r="G97" s="132"/>
      <c r="H97" s="132"/>
      <c r="I97" s="132"/>
      <c r="J97" s="132"/>
      <c r="K97" s="132"/>
      <c r="L97" s="137"/>
      <c r="M97" s="132"/>
      <c r="N97" s="132"/>
      <c r="O97" s="132"/>
      <c r="P97" s="132"/>
      <c r="Q97" s="132"/>
      <c r="R97" s="130"/>
    </row>
    <row r="98" spans="2:19" ht="15.5" x14ac:dyDescent="0.35">
      <c r="B98" s="111">
        <f>B86</f>
        <v>12</v>
      </c>
      <c r="C98" s="111"/>
      <c r="D98" s="107">
        <f>D86</f>
        <v>0</v>
      </c>
      <c r="E98" s="108">
        <f t="shared" ref="E98:Q98" si="23">E86</f>
        <v>42.769230769230774</v>
      </c>
      <c r="F98" s="108">
        <f t="shared" si="23"/>
        <v>261.79487179487182</v>
      </c>
      <c r="G98" s="108">
        <f t="shared" si="23"/>
        <v>187.5128205128205</v>
      </c>
      <c r="H98" s="108">
        <f t="shared" si="23"/>
        <v>60.666666666666664</v>
      </c>
      <c r="I98" s="108">
        <f t="shared" si="23"/>
        <v>0</v>
      </c>
      <c r="J98" s="108">
        <f t="shared" si="23"/>
        <v>0</v>
      </c>
      <c r="K98" s="108">
        <f t="shared" si="23"/>
        <v>0</v>
      </c>
      <c r="L98" s="109">
        <f t="shared" si="23"/>
        <v>0</v>
      </c>
      <c r="M98" s="108">
        <f t="shared" si="23"/>
        <v>0</v>
      </c>
      <c r="N98" s="108">
        <f t="shared" si="23"/>
        <v>0</v>
      </c>
      <c r="O98" s="108">
        <f t="shared" si="23"/>
        <v>0</v>
      </c>
      <c r="P98" s="108">
        <f t="shared" si="23"/>
        <v>0</v>
      </c>
      <c r="Q98" s="108">
        <f t="shared" si="23"/>
        <v>0</v>
      </c>
      <c r="R98" s="113">
        <f t="shared" ref="R98:R100" si="24">SUM(D98:Q98)</f>
        <v>552.74358974358972</v>
      </c>
    </row>
    <row r="99" spans="2:19" ht="15.5" x14ac:dyDescent="0.35">
      <c r="B99" s="111">
        <f t="shared" ref="B99:B100" si="25">B87</f>
        <v>15</v>
      </c>
      <c r="C99" s="111"/>
      <c r="D99" s="107">
        <f t="shared" ref="D99:Q100" si="26">D87</f>
        <v>0</v>
      </c>
      <c r="E99" s="108">
        <f t="shared" si="26"/>
        <v>0</v>
      </c>
      <c r="F99" s="108">
        <f t="shared" si="26"/>
        <v>76.52100840336135</v>
      </c>
      <c r="G99" s="108">
        <f t="shared" si="26"/>
        <v>102.33333333333334</v>
      </c>
      <c r="H99" s="108">
        <f t="shared" si="26"/>
        <v>183.06666666666666</v>
      </c>
      <c r="I99" s="108">
        <f t="shared" si="26"/>
        <v>193.64</v>
      </c>
      <c r="J99" s="108">
        <f t="shared" si="26"/>
        <v>375.06625590388217</v>
      </c>
      <c r="K99" s="108">
        <f t="shared" si="26"/>
        <v>152.93333333333334</v>
      </c>
      <c r="L99" s="109">
        <f t="shared" si="26"/>
        <v>315.26251267836159</v>
      </c>
      <c r="M99" s="108">
        <f t="shared" si="26"/>
        <v>0</v>
      </c>
      <c r="N99" s="108">
        <f t="shared" si="26"/>
        <v>0</v>
      </c>
      <c r="O99" s="108">
        <f t="shared" si="26"/>
        <v>0</v>
      </c>
      <c r="P99" s="108">
        <f t="shared" si="26"/>
        <v>0</v>
      </c>
      <c r="Q99" s="108">
        <f t="shared" si="26"/>
        <v>0</v>
      </c>
      <c r="R99" s="113">
        <f t="shared" si="24"/>
        <v>1398.8231103189385</v>
      </c>
    </row>
    <row r="100" spans="2:19" ht="15.5" x14ac:dyDescent="0.35">
      <c r="B100" s="111">
        <f t="shared" si="25"/>
        <v>18</v>
      </c>
      <c r="C100" s="111"/>
      <c r="D100" s="107">
        <f t="shared" si="26"/>
        <v>0</v>
      </c>
      <c r="E100" s="108">
        <f t="shared" si="26"/>
        <v>0</v>
      </c>
      <c r="F100" s="108">
        <f t="shared" si="26"/>
        <v>0</v>
      </c>
      <c r="G100" s="108">
        <f t="shared" si="26"/>
        <v>0</v>
      </c>
      <c r="H100" s="108">
        <f t="shared" si="26"/>
        <v>0</v>
      </c>
      <c r="I100" s="108">
        <f t="shared" si="26"/>
        <v>0</v>
      </c>
      <c r="J100" s="108">
        <f t="shared" si="26"/>
        <v>0</v>
      </c>
      <c r="K100" s="108">
        <f t="shared" si="26"/>
        <v>0</v>
      </c>
      <c r="L100" s="109">
        <f t="shared" si="26"/>
        <v>0</v>
      </c>
      <c r="M100" s="108">
        <f t="shared" si="26"/>
        <v>83.452104386772191</v>
      </c>
      <c r="N100" s="108">
        <f t="shared" si="26"/>
        <v>189.51487939326151</v>
      </c>
      <c r="O100" s="108">
        <f t="shared" si="26"/>
        <v>59.277777777777779</v>
      </c>
      <c r="P100" s="108">
        <f t="shared" si="26"/>
        <v>80.082867813976321</v>
      </c>
      <c r="Q100" s="108">
        <f t="shared" si="26"/>
        <v>51.333333333333336</v>
      </c>
      <c r="R100" s="113">
        <f t="shared" si="24"/>
        <v>463.66096270512111</v>
      </c>
    </row>
    <row r="101" spans="2:19" ht="15.5" x14ac:dyDescent="0.35">
      <c r="B101" s="135" t="s">
        <v>116</v>
      </c>
      <c r="C101" s="139"/>
      <c r="D101" s="151">
        <f>SUM(D103:D105)</f>
        <v>0</v>
      </c>
      <c r="E101" s="151">
        <f t="shared" ref="E101:Q101" si="27">SUM(E103:E105)</f>
        <v>42.769230769230774</v>
      </c>
      <c r="F101" s="151">
        <f t="shared" si="27"/>
        <v>338.31588019823317</v>
      </c>
      <c r="G101" s="151">
        <f t="shared" si="27"/>
        <v>267.84615384615381</v>
      </c>
      <c r="H101" s="151">
        <f t="shared" si="27"/>
        <v>221.73333333333332</v>
      </c>
      <c r="I101" s="151">
        <f t="shared" si="27"/>
        <v>193.64000000000001</v>
      </c>
      <c r="J101" s="151">
        <f t="shared" si="27"/>
        <v>354.65599949362581</v>
      </c>
      <c r="K101" s="151">
        <f t="shared" si="27"/>
        <v>170.73333333333335</v>
      </c>
      <c r="L101" s="151">
        <f t="shared" si="27"/>
        <v>293.92917934502822</v>
      </c>
      <c r="M101" s="151">
        <f t="shared" si="27"/>
        <v>38.886145644612462</v>
      </c>
      <c r="N101" s="151">
        <f t="shared" si="27"/>
        <v>189.51487939326151</v>
      </c>
      <c r="O101" s="151">
        <f t="shared" si="27"/>
        <v>59.277777777777771</v>
      </c>
      <c r="P101" s="151">
        <f t="shared" si="27"/>
        <v>80.082867813976321</v>
      </c>
      <c r="Q101" s="151">
        <f t="shared" si="27"/>
        <v>51.333333333333336</v>
      </c>
      <c r="R101" s="130">
        <f>SUM(C101:Q101)</f>
        <v>2302.7181142819004</v>
      </c>
    </row>
    <row r="102" spans="2:19" ht="15.5" x14ac:dyDescent="0.35">
      <c r="B102" s="106" t="s">
        <v>257</v>
      </c>
      <c r="C102" s="106"/>
      <c r="D102" s="108">
        <f>Aggregated!AA15*$R$2+Aggregated!AP15*$R$3</f>
        <v>0</v>
      </c>
      <c r="E102" s="108">
        <f>Aggregated!AB15*$R$2+Aggregated!AQ15*$R$3</f>
        <v>32.769230769230774</v>
      </c>
      <c r="F102" s="108">
        <f>Aggregated!AC15*$R$2+Aggregated!AR15*$R$3</f>
        <v>229.49353587588882</v>
      </c>
      <c r="G102" s="108">
        <f>Aggregated!AD15*$R$2+Aggregated!AS15*$R$3</f>
        <v>179.50641025641025</v>
      </c>
      <c r="H102" s="108">
        <f>Aggregated!AE15*$R$2+Aggregated!AT15*$R$3</f>
        <v>160.73333333333332</v>
      </c>
      <c r="I102" s="108">
        <f>Aggregated!AF15*$R$2+Aggregated!AU15*$R$3</f>
        <v>97.213333333333338</v>
      </c>
      <c r="J102" s="108">
        <f>Aggregated!AG15*$R$2+Aggregated!AV15*$R$3</f>
        <v>226.77599949362576</v>
      </c>
      <c r="K102" s="108">
        <f>Aggregated!AH15*$R$2+Aggregated!AW15*$R$3</f>
        <v>150.25333333333333</v>
      </c>
      <c r="L102" s="108">
        <f>Aggregated!AI15*$R$2+Aggregated!AX15*$R$3</f>
        <v>262.03917934502823</v>
      </c>
      <c r="M102" s="108">
        <f>Aggregated!AJ15*$R$2+Aggregated!AY15*$R$3</f>
        <v>38.886145644612462</v>
      </c>
      <c r="N102" s="108">
        <f>Aggregated!AK15*$R$2+Aggregated!AZ15*$R$3</f>
        <v>115.79374890861638</v>
      </c>
      <c r="O102" s="108">
        <f>Aggregated!AL15*$R$2+Aggregated!BA15*$R$3</f>
        <v>41.49444444444444</v>
      </c>
      <c r="P102" s="108">
        <f>Aggregated!AM15*$R$2+Aggregated!BB15*$R$3</f>
        <v>62.732867813976327</v>
      </c>
      <c r="Q102" s="108">
        <f>Aggregated!AN15*$R$2+Aggregated!BC15*$R$3</f>
        <v>35.93333333333333</v>
      </c>
      <c r="R102" s="113">
        <f t="shared" ref="R102:R111" si="28">SUM(D102:Q102)</f>
        <v>1633.624895885167</v>
      </c>
    </row>
    <row r="103" spans="2:19" ht="15.5" x14ac:dyDescent="0.35">
      <c r="B103" s="106" t="s">
        <v>258</v>
      </c>
      <c r="C103" s="106"/>
      <c r="D103" s="108">
        <f t="shared" ref="D103" si="29">D102</f>
        <v>0</v>
      </c>
      <c r="E103" s="108">
        <f t="shared" ref="E103" si="30">E102</f>
        <v>32.769230769230774</v>
      </c>
      <c r="F103" s="108">
        <f t="shared" ref="F103:Q103" si="31">F102</f>
        <v>229.49353587588882</v>
      </c>
      <c r="G103" s="108">
        <f t="shared" si="31"/>
        <v>179.50641025641025</v>
      </c>
      <c r="H103" s="108">
        <f t="shared" si="31"/>
        <v>160.73333333333332</v>
      </c>
      <c r="I103" s="108">
        <f t="shared" si="31"/>
        <v>97.213333333333338</v>
      </c>
      <c r="J103" s="108">
        <f t="shared" si="31"/>
        <v>226.77599949362576</v>
      </c>
      <c r="K103" s="108">
        <f t="shared" si="31"/>
        <v>150.25333333333333</v>
      </c>
      <c r="L103" s="108">
        <f t="shared" si="31"/>
        <v>262.03917934502823</v>
      </c>
      <c r="M103" s="108">
        <f t="shared" si="31"/>
        <v>38.886145644612462</v>
      </c>
      <c r="N103" s="108">
        <f t="shared" si="31"/>
        <v>115.79374890861638</v>
      </c>
      <c r="O103" s="108">
        <f t="shared" si="31"/>
        <v>41.49444444444444</v>
      </c>
      <c r="P103" s="108">
        <f t="shared" si="31"/>
        <v>62.732867813976327</v>
      </c>
      <c r="Q103" s="108">
        <f t="shared" si="31"/>
        <v>35.93333333333333</v>
      </c>
      <c r="R103" s="113">
        <f t="shared" si="28"/>
        <v>1633.624895885167</v>
      </c>
      <c r="S103" s="140"/>
    </row>
    <row r="104" spans="2:19" ht="15.5" x14ac:dyDescent="0.35">
      <c r="B104" s="106" t="s">
        <v>117</v>
      </c>
      <c r="C104" s="106"/>
      <c r="D104" s="108">
        <f>Aggregated!AA16*$R$2+Aggregated!AP16*$R$3</f>
        <v>0</v>
      </c>
      <c r="E104" s="108">
        <f>Aggregated!AB16*$R$2+Aggregated!AQ16*$R$3</f>
        <v>0</v>
      </c>
      <c r="F104" s="108">
        <f>Aggregated!AC16*$R$2+Aggregated!AR16*$R$3</f>
        <v>29.142857142857142</v>
      </c>
      <c r="G104" s="108">
        <f>Aggregated!AD16*$R$2+Aggregated!AS16*$R$3</f>
        <v>12</v>
      </c>
      <c r="H104" s="108">
        <f>Aggregated!AE16*$R$2+Aggregated!AT16*$R$3</f>
        <v>11</v>
      </c>
      <c r="I104" s="108">
        <f>Aggregated!AF16*$R$2+Aggregated!AU16*$R$3</f>
        <v>5.36</v>
      </c>
      <c r="J104" s="108">
        <f>Aggregated!AG16*$R$2+Aggregated!AV16*$R$3</f>
        <v>46.23</v>
      </c>
      <c r="K104" s="108">
        <f>Aggregated!AH16*$R$2+Aggregated!AW16*$R$3</f>
        <v>10.24</v>
      </c>
      <c r="L104" s="108">
        <f>Aggregated!AI16*$R$2+Aggregated!AX16*$R$3</f>
        <v>9.7199999999999989</v>
      </c>
      <c r="M104" s="108">
        <f>Aggregated!AJ16*$R$2+Aggregated!AY16*$R$3</f>
        <v>0</v>
      </c>
      <c r="N104" s="108">
        <f>Aggregated!AK16*$R$2+Aggregated!AZ16*$R$3</f>
        <v>22.102231908989225</v>
      </c>
      <c r="O104" s="108">
        <f>Aggregated!AL16*$R$2+Aggregated!BA16*$R$3</f>
        <v>8.8916666666666657</v>
      </c>
      <c r="P104" s="108">
        <f>Aggregated!AM16*$R$2+Aggregated!BB16*$R$3</f>
        <v>8.6750000000000007</v>
      </c>
      <c r="Q104" s="108">
        <f>Aggregated!AN16*$R$2+Aggregated!BC16*$R$3</f>
        <v>7.7</v>
      </c>
      <c r="R104" s="113">
        <f t="shared" si="28"/>
        <v>171.06175571851304</v>
      </c>
      <c r="S104" s="140"/>
    </row>
    <row r="105" spans="2:19" ht="15.5" x14ac:dyDescent="0.35">
      <c r="B105" s="106" t="s">
        <v>118</v>
      </c>
      <c r="C105" s="106"/>
      <c r="D105" s="108">
        <f>Aggregated!AA17*$R$2+Aggregated!AP17*$R$3</f>
        <v>0</v>
      </c>
      <c r="E105" s="108">
        <f>Aggregated!AB17*$R$2+Aggregated!AQ17*$R$3</f>
        <v>10</v>
      </c>
      <c r="F105" s="108">
        <f>Aggregated!AC17*$R$2+Aggregated!AR17*$R$3</f>
        <v>79.679487179487182</v>
      </c>
      <c r="G105" s="108">
        <f>Aggregated!AD17*$R$2+Aggregated!AS17*$R$3</f>
        <v>76.339743589743591</v>
      </c>
      <c r="H105" s="108">
        <f>Aggregated!AE17*$R$2+Aggregated!AT17*$R$3</f>
        <v>50</v>
      </c>
      <c r="I105" s="108">
        <f>Aggregated!AF17*$R$2+Aggregated!AU17*$R$3</f>
        <v>91.066666666666677</v>
      </c>
      <c r="J105" s="108">
        <f>Aggregated!AG17*$R$2+Aggregated!AV17*$R$3</f>
        <v>81.650000000000006</v>
      </c>
      <c r="K105" s="108">
        <f>Aggregated!AH17*$R$2+Aggregated!AW17*$R$3</f>
        <v>10.24</v>
      </c>
      <c r="L105" s="108">
        <f>Aggregated!AI17*$R$2+Aggregated!AX17*$R$3</f>
        <v>22.17</v>
      </c>
      <c r="M105" s="108">
        <f>Aggregated!AJ17*$R$2+Aggregated!AY17*$R$3</f>
        <v>0</v>
      </c>
      <c r="N105" s="108">
        <f>Aggregated!AK17*$R$2+Aggregated!AZ17*$R$3</f>
        <v>51.618898575655891</v>
      </c>
      <c r="O105" s="108">
        <f>Aggregated!AL17*$R$2+Aggregated!BA17*$R$3</f>
        <v>8.8916666666666657</v>
      </c>
      <c r="P105" s="108">
        <f>Aggregated!AM17*$R$2+Aggregated!BB17*$R$3</f>
        <v>8.6750000000000007</v>
      </c>
      <c r="Q105" s="108">
        <f>Aggregated!AN17*$R$2+Aggregated!BC17*$R$3</f>
        <v>7.7</v>
      </c>
      <c r="R105" s="113">
        <f t="shared" si="28"/>
        <v>498.03146267822001</v>
      </c>
      <c r="S105" s="140"/>
    </row>
    <row r="106" spans="2:19" ht="15.5" x14ac:dyDescent="0.35">
      <c r="B106" s="106" t="s">
        <v>259</v>
      </c>
      <c r="C106" s="106"/>
      <c r="D106" s="108">
        <f>Aggregated!AA18*$R$2+Aggregated!AP18*$R$3</f>
        <v>0</v>
      </c>
      <c r="E106" s="108">
        <f>Aggregated!AB18*$R$2+Aggregated!AQ18*$R$3</f>
        <v>2</v>
      </c>
      <c r="F106" s="108">
        <f>Aggregated!AC18*$R$2+Aggregated!AR18*$R$3</f>
        <v>10</v>
      </c>
      <c r="G106" s="108">
        <f>Aggregated!AD18*$R$2+Aggregated!AS18*$R$3</f>
        <v>9</v>
      </c>
      <c r="H106" s="108">
        <f>Aggregated!AE18*$R$2+Aggregated!AT18*$R$3</f>
        <v>7</v>
      </c>
      <c r="I106" s="108">
        <f>Aggregated!AF18*$R$2+Aggregated!AU18*$R$3</f>
        <v>5</v>
      </c>
      <c r="J106" s="108">
        <f>Aggregated!AG18*$R$2+Aggregated!AV18*$R$3</f>
        <v>8</v>
      </c>
      <c r="K106" s="108">
        <f>Aggregated!AH18*$R$2+Aggregated!AW18*$R$3</f>
        <v>5</v>
      </c>
      <c r="L106" s="108">
        <f>Aggregated!AI18*$R$2+Aggregated!AX18*$R$3</f>
        <v>11</v>
      </c>
      <c r="M106" s="108">
        <f>Aggregated!AJ18*$R$2+Aggregated!AY18*$R$3</f>
        <v>1</v>
      </c>
      <c r="N106" s="108">
        <f>Aggregated!AK18*$R$2+Aggregated!AZ18*$R$3</f>
        <v>6</v>
      </c>
      <c r="O106" s="108">
        <f>Aggregated!AL18*$R$2+Aggregated!BA18*$R$3</f>
        <v>2</v>
      </c>
      <c r="P106" s="108">
        <f>Aggregated!AM18*$R$2+Aggregated!BB18*$R$3</f>
        <v>3</v>
      </c>
      <c r="Q106" s="108">
        <f>Aggregated!AN18*$R$2+Aggregated!BC18*$R$3</f>
        <v>2</v>
      </c>
      <c r="R106" s="113">
        <f t="shared" si="28"/>
        <v>71</v>
      </c>
    </row>
    <row r="107" spans="2:19" ht="15.5" x14ac:dyDescent="0.35">
      <c r="B107" s="135" t="s">
        <v>119</v>
      </c>
      <c r="C107" s="129"/>
      <c r="D107" s="132"/>
      <c r="E107" s="132"/>
      <c r="F107" s="132"/>
      <c r="G107" s="132"/>
      <c r="H107" s="132"/>
      <c r="I107" s="132"/>
      <c r="J107" s="132"/>
      <c r="K107" s="132"/>
      <c r="L107" s="132"/>
      <c r="M107" s="132"/>
      <c r="N107" s="132"/>
      <c r="O107" s="132"/>
      <c r="P107" s="132"/>
      <c r="Q107" s="132"/>
      <c r="R107" s="130"/>
    </row>
    <row r="108" spans="2:19" ht="15.5" x14ac:dyDescent="0.35">
      <c r="B108" s="106" t="s">
        <v>271</v>
      </c>
      <c r="C108" s="106"/>
      <c r="D108" s="108">
        <f>Aggregated!AA19*$R$2+Aggregated!AP19*$R$3+Aggregated!BE19*$R$4</f>
        <v>0</v>
      </c>
      <c r="E108" s="108">
        <f>Aggregated!AB19*$R$2+Aggregated!AQ19*$R$3+Aggregated!BF19*$R$4</f>
        <v>2</v>
      </c>
      <c r="F108" s="108">
        <f>Aggregated!AC19*$R$2+Aggregated!AR19*$R$3+Aggregated!BG19*$R$4</f>
        <v>10</v>
      </c>
      <c r="G108" s="108">
        <f>Aggregated!AD19*$R$2+Aggregated!AS19*$R$3+Aggregated!BH19*$R$4</f>
        <v>6</v>
      </c>
      <c r="H108" s="108">
        <f>Aggregated!AE19*$R$2+Aggregated!AT19*$R$3+Aggregated!BI19*$R$4</f>
        <v>7</v>
      </c>
      <c r="I108" s="108">
        <f>Aggregated!AF19*$R$2+Aggregated!AU19*$R$3+Aggregated!BJ19*$R$4</f>
        <v>5</v>
      </c>
      <c r="J108" s="108">
        <f>Aggregated!AG19*$R$2+Aggregated!AV19*$R$3+Aggregated!BK19*$R$4</f>
        <v>8</v>
      </c>
      <c r="K108" s="108">
        <f>Aggregated!AH19*$R$2+Aggregated!AW19*$R$3+Aggregated!BL19*$R$4</f>
        <v>5</v>
      </c>
      <c r="L108" s="108">
        <f>Aggregated!AI19*$R$2+Aggregated!AX19*$R$3+Aggregated!BM19*$R$4</f>
        <v>8</v>
      </c>
      <c r="M108" s="108">
        <f>Aggregated!AJ19*$R$2+Aggregated!AY19*$R$3+Aggregated!BN19*$R$4</f>
        <v>1</v>
      </c>
      <c r="N108" s="108">
        <f>Aggregated!AK19*$R$2+Aggregated!AZ19*$R$3+Aggregated!BO19*$R$4</f>
        <v>6</v>
      </c>
      <c r="O108" s="108">
        <f>Aggregated!AL19*$R$2+Aggregated!BA19*$R$3+Aggregated!BP19*$R$4</f>
        <v>2</v>
      </c>
      <c r="P108" s="108">
        <f>Aggregated!AM19*$R$2+Aggregated!BB19*$R$3+Aggregated!BQ19*$R$4</f>
        <v>3</v>
      </c>
      <c r="Q108" s="108">
        <f>Aggregated!AN19*$R$2+Aggregated!BC19*$R$3+Aggregated!BR19*$R$4</f>
        <v>2</v>
      </c>
      <c r="R108" s="113">
        <f t="shared" si="28"/>
        <v>65</v>
      </c>
    </row>
    <row r="109" spans="2:19" ht="15.5" x14ac:dyDescent="0.35">
      <c r="B109" s="135" t="s">
        <v>120</v>
      </c>
      <c r="C109" s="129"/>
      <c r="D109" s="132"/>
      <c r="E109" s="132"/>
      <c r="F109" s="132"/>
      <c r="G109" s="132"/>
      <c r="H109" s="132"/>
      <c r="I109" s="132"/>
      <c r="J109" s="132"/>
      <c r="K109" s="132"/>
      <c r="L109" s="132"/>
      <c r="M109" s="132"/>
      <c r="N109" s="132"/>
      <c r="O109" s="132"/>
      <c r="P109" s="132"/>
      <c r="Q109" s="132"/>
      <c r="R109" s="130"/>
    </row>
    <row r="110" spans="2:19" ht="15.5" x14ac:dyDescent="0.35">
      <c r="B110" s="106" t="s">
        <v>272</v>
      </c>
      <c r="C110" s="106"/>
      <c r="D110" s="108">
        <f>Aggregated!AA21*$R$2+Aggregated!AP21*$R$3</f>
        <v>0</v>
      </c>
      <c r="E110" s="108">
        <f>Aggregated!AB21*$R$2+Aggregated!AQ21*$R$3</f>
        <v>125.50240000000001</v>
      </c>
      <c r="F110" s="108">
        <f>Aggregated!AC21*$R$2+Aggregated!AR21*$R$3</f>
        <v>862.25390096961871</v>
      </c>
      <c r="G110" s="108">
        <f>Aggregated!AD21*$R$2+Aggregated!AS21*$R$3</f>
        <v>725.58714358974362</v>
      </c>
      <c r="H110" s="108">
        <f>Aggregated!AE21*$R$2+Aggregated!AT21*$R$3</f>
        <v>520.27304000000004</v>
      </c>
      <c r="I110" s="108">
        <f>Aggregated!AF21*$R$2+Aggregated!AU21*$R$3</f>
        <v>417.65050133333341</v>
      </c>
      <c r="J110" s="108">
        <f>Aggregated!AG21*$R$2+Aggregated!AV21*$R$3</f>
        <v>1004.9766712982587</v>
      </c>
      <c r="K110" s="108">
        <f>Aggregated!AH21*$R$2+Aggregated!AW21*$R$3</f>
        <v>335.84160000000003</v>
      </c>
      <c r="L110" s="108">
        <f>Aggregated!AI21*$R$2+Aggregated!AX21*$R$3</f>
        <v>954.2356778416821</v>
      </c>
      <c r="M110" s="108">
        <f>Aggregated!AJ21*$R$2+Aggregated!AY21*$R$3</f>
        <v>85.39397583556898</v>
      </c>
      <c r="N110" s="108">
        <f>Aggregated!AK21*$R$2+Aggregated!AZ21*$R$3</f>
        <v>622.85067514760226</v>
      </c>
      <c r="O110" s="108">
        <f>Aggregated!AL21*$R$2+Aggregated!BA21*$R$3</f>
        <v>130.17400000000001</v>
      </c>
      <c r="P110" s="108">
        <f>Aggregated!AM21*$R$2+Aggregated!BB21*$R$3</f>
        <v>175.86197771949202</v>
      </c>
      <c r="Q110" s="108">
        <f>Aggregated!AN21*$R$2+Aggregated!BC21*$R$3</f>
        <v>112.72800000000001</v>
      </c>
      <c r="R110" s="113">
        <f t="shared" si="28"/>
        <v>6073.3295637353003</v>
      </c>
    </row>
    <row r="111" spans="2:19" ht="15.5" x14ac:dyDescent="0.35">
      <c r="B111" s="106" t="s">
        <v>273</v>
      </c>
      <c r="C111" s="106"/>
      <c r="D111" s="108">
        <f>Aggregated!AA24*$R$2+Aggregated!AP24*$R$3</f>
        <v>0</v>
      </c>
      <c r="E111" s="108">
        <f>Aggregated!AB24*$R$2+Aggregated!AQ24*$R$3</f>
        <v>256</v>
      </c>
      <c r="F111" s="108">
        <f>Aggregated!AC24*$R$2+Aggregated!AR24*$R$3</f>
        <v>926.41359999999997</v>
      </c>
      <c r="G111" s="108">
        <f>Aggregated!AD24*$R$2+Aggregated!AS24*$R$3</f>
        <v>505.5</v>
      </c>
      <c r="H111" s="108">
        <f>Aggregated!AE24*$R$2+Aggregated!AT24*$R$3</f>
        <v>498.67899999999997</v>
      </c>
      <c r="I111" s="108">
        <f>Aggregated!AF24*$R$2+Aggregated!AU24*$R$3</f>
        <v>526</v>
      </c>
      <c r="J111" s="108">
        <f>Aggregated!AG24*$R$2+Aggregated!AV24*$R$3</f>
        <v>658.6653</v>
      </c>
      <c r="K111" s="108">
        <f>Aggregated!AH24*$R$2+Aggregated!AW24*$R$3</f>
        <v>690.26030000000003</v>
      </c>
      <c r="L111" s="108">
        <f>Aggregated!AI24*$R$2+Aggregated!AX24*$R$3</f>
        <v>679.90499999999997</v>
      </c>
      <c r="M111" s="108">
        <f>Aggregated!AJ24*$R$2+Aggregated!AY24*$R$3</f>
        <v>63</v>
      </c>
      <c r="N111" s="108">
        <f>Aggregated!AK24*$R$2+Aggregated!AZ24*$R$3</f>
        <v>802.40499999999997</v>
      </c>
      <c r="O111" s="108">
        <f>Aggregated!AL24*$R$2+Aggregated!BA24*$R$3</f>
        <v>300</v>
      </c>
      <c r="P111" s="108">
        <f>Aggregated!AM24*$R$2+Aggregated!BB24*$R$3</f>
        <v>372.40499999999997</v>
      </c>
      <c r="Q111" s="108">
        <f>Aggregated!AN24*$R$2+Aggregated!BC24*$R$3</f>
        <v>280</v>
      </c>
      <c r="R111" s="113">
        <f t="shared" si="28"/>
        <v>6559.2331999999997</v>
      </c>
    </row>
    <row r="112" spans="2:19" ht="15.5" x14ac:dyDescent="0.35">
      <c r="B112" s="135" t="s">
        <v>244</v>
      </c>
      <c r="C112" s="129"/>
      <c r="D112" s="136"/>
      <c r="E112" s="132"/>
      <c r="F112" s="132"/>
      <c r="G112" s="132"/>
      <c r="H112" s="132"/>
      <c r="I112" s="132"/>
      <c r="J112" s="132"/>
      <c r="K112" s="132"/>
      <c r="L112" s="137"/>
      <c r="M112" s="132"/>
      <c r="N112" s="132"/>
      <c r="O112" s="132"/>
      <c r="P112" s="132"/>
      <c r="Q112" s="132"/>
      <c r="R112" s="130"/>
    </row>
    <row r="113" spans="2:21" ht="15.5" x14ac:dyDescent="0.35">
      <c r="B113" s="106" t="s">
        <v>121</v>
      </c>
      <c r="C113" s="106"/>
      <c r="D113" s="108">
        <f>D86*Assumptions!$K$25/24</f>
        <v>0</v>
      </c>
      <c r="E113" s="108">
        <f>E86*Assumptions!$K$25/24</f>
        <v>64.15384615384616</v>
      </c>
      <c r="F113" s="108">
        <f>F86*Assumptions!$K$25/24</f>
        <v>392.69230769230779</v>
      </c>
      <c r="G113" s="108">
        <f>G86*Assumptions!$K$25/24</f>
        <v>281.26923076923077</v>
      </c>
      <c r="H113" s="108">
        <f>H86*Assumptions!$K$25/24</f>
        <v>91</v>
      </c>
      <c r="I113" s="108">
        <f>I86*Assumptions!$K$25/24</f>
        <v>0</v>
      </c>
      <c r="J113" s="108">
        <f>J86*Assumptions!$K$25/24</f>
        <v>0</v>
      </c>
      <c r="K113" s="108">
        <f>K86*Assumptions!$K$25/24</f>
        <v>0</v>
      </c>
      <c r="L113" s="109">
        <f>L86*Assumptions!$K$25/24</f>
        <v>0</v>
      </c>
      <c r="M113" s="108">
        <f>M86*Assumptions!$K$25/24</f>
        <v>0</v>
      </c>
      <c r="N113" s="108">
        <f>N86*Assumptions!$K$25/24</f>
        <v>0</v>
      </c>
      <c r="O113" s="108">
        <f>O86*Assumptions!$K$25/24</f>
        <v>0</v>
      </c>
      <c r="P113" s="108">
        <f>P86*Assumptions!$K$25/24</f>
        <v>0</v>
      </c>
      <c r="Q113" s="108">
        <f>Q86*Assumptions!$K$25/24</f>
        <v>0</v>
      </c>
      <c r="R113" s="113"/>
      <c r="T113" t="s">
        <v>139</v>
      </c>
    </row>
    <row r="114" spans="2:21" ht="15.5" x14ac:dyDescent="0.35">
      <c r="B114" s="106" t="s">
        <v>122</v>
      </c>
      <c r="C114" s="106"/>
      <c r="D114" s="108">
        <f>D87*Assumptions!$K$25/24</f>
        <v>0</v>
      </c>
      <c r="E114" s="108">
        <f>E87*Assumptions!$K$25/24</f>
        <v>0</v>
      </c>
      <c r="F114" s="108">
        <f>F87*Assumptions!$K$25/24</f>
        <v>114.78151260504201</v>
      </c>
      <c r="G114" s="108">
        <f>G87*Assumptions!$K$25/24</f>
        <v>153.50000000000003</v>
      </c>
      <c r="H114" s="108">
        <f>H87*Assumptions!$K$25/24</f>
        <v>274.59999999999997</v>
      </c>
      <c r="I114" s="108">
        <f>I87*Assumptions!$K$25/24</f>
        <v>290.45999999999998</v>
      </c>
      <c r="J114" s="108">
        <f>J87*Assumptions!$K$25/24</f>
        <v>562.59938385582325</v>
      </c>
      <c r="K114" s="108">
        <f>K87*Assumptions!$K$25/24</f>
        <v>229.4</v>
      </c>
      <c r="L114" s="109">
        <f>L87*Assumptions!$K$25/24</f>
        <v>472.89376901754235</v>
      </c>
      <c r="M114" s="108">
        <f>M87*Assumptions!$K$25/24</f>
        <v>0</v>
      </c>
      <c r="N114" s="108">
        <f>N87*Assumptions!$K$25/24</f>
        <v>0</v>
      </c>
      <c r="O114" s="108">
        <f>O87*Assumptions!$K$25/24</f>
        <v>0</v>
      </c>
      <c r="P114" s="108">
        <f>P87*Assumptions!$K$25/24</f>
        <v>0</v>
      </c>
      <c r="Q114" s="108">
        <f>Q87*Assumptions!$K$25/24</f>
        <v>0</v>
      </c>
      <c r="R114" s="113"/>
      <c r="T114" t="s">
        <v>148</v>
      </c>
    </row>
    <row r="115" spans="2:21" ht="15.5" x14ac:dyDescent="0.35">
      <c r="B115" s="106" t="s">
        <v>123</v>
      </c>
      <c r="C115" s="106"/>
      <c r="D115" s="108">
        <f>D88*Assumptions!$K$25/24</f>
        <v>0</v>
      </c>
      <c r="E115" s="108">
        <f>E88*Assumptions!$K$25/24</f>
        <v>0</v>
      </c>
      <c r="F115" s="108">
        <f>F88*Assumptions!$K$25/24</f>
        <v>0</v>
      </c>
      <c r="G115" s="108">
        <f>G88*Assumptions!$K$25/24</f>
        <v>0</v>
      </c>
      <c r="H115" s="108">
        <f>H88*Assumptions!$K$25/24</f>
        <v>0</v>
      </c>
      <c r="I115" s="108">
        <f>I88*Assumptions!$K$25/24</f>
        <v>0</v>
      </c>
      <c r="J115" s="108">
        <f>J88*Assumptions!$K$25/24</f>
        <v>0</v>
      </c>
      <c r="K115" s="108">
        <f>K88*Assumptions!$K$25/24</f>
        <v>0</v>
      </c>
      <c r="L115" s="109">
        <f>L88*Assumptions!$K$25/24</f>
        <v>0</v>
      </c>
      <c r="M115" s="108">
        <f>M88*Assumptions!$K$25/24</f>
        <v>125.17815658015827</v>
      </c>
      <c r="N115" s="108">
        <f>N88*Assumptions!$K$25/24</f>
        <v>284.27231908989228</v>
      </c>
      <c r="O115" s="108">
        <f>O88*Assumptions!$K$25/24</f>
        <v>88.916666666666671</v>
      </c>
      <c r="P115" s="108">
        <f>P88*Assumptions!$K$25/24</f>
        <v>120.12430172096448</v>
      </c>
      <c r="Q115" s="108">
        <f>Q88*Assumptions!$K$25/24</f>
        <v>77</v>
      </c>
      <c r="R115" s="113"/>
      <c r="U115" t="s">
        <v>150</v>
      </c>
    </row>
    <row r="116" spans="2:21" ht="15.5" x14ac:dyDescent="0.35">
      <c r="B116" s="106" t="s">
        <v>140</v>
      </c>
      <c r="C116" s="106"/>
      <c r="D116" s="108">
        <f>(D102+D105)*Assumptions!$K$26/24</f>
        <v>0</v>
      </c>
      <c r="E116" s="108">
        <f>(E102+E105)*Assumptions!$K$26/24</f>
        <v>64.15384615384616</v>
      </c>
      <c r="F116" s="108">
        <f>(F102+F105)*Assumptions!$K$26/24</f>
        <v>463.75953458306395</v>
      </c>
      <c r="G116" s="108">
        <f>(G102+G105)*Assumptions!$K$26/24</f>
        <v>383.76923076923077</v>
      </c>
      <c r="H116" s="108">
        <f>(H102+H105)*Assumptions!$K$26/24</f>
        <v>316.09999999999997</v>
      </c>
      <c r="I116" s="108">
        <f>(I102+I105)*Assumptions!$K$26/24</f>
        <v>282.42</v>
      </c>
      <c r="J116" s="108">
        <f>(J102+J105)*Assumptions!$K$26/24</f>
        <v>462.63899924043864</v>
      </c>
      <c r="K116" s="108">
        <f>(K102+K105)*Assumptions!$K$26/24</f>
        <v>240.74</v>
      </c>
      <c r="L116" s="109">
        <f>(L102+L105)*Assumptions!$K$26/24</f>
        <v>426.31376901754237</v>
      </c>
      <c r="M116" s="108">
        <f>(M102+M105)*Assumptions!$K$26/24</f>
        <v>58.32921846691869</v>
      </c>
      <c r="N116" s="108">
        <f>(N102+N105)*Assumptions!$K$26/24</f>
        <v>251.11897122640843</v>
      </c>
      <c r="O116" s="108">
        <f>(O102+O105)*Assumptions!$K$26/24</f>
        <v>75.579166666666666</v>
      </c>
      <c r="P116" s="108">
        <f>(P102+P105)*Assumptions!$K$26/24</f>
        <v>107.11180172096448</v>
      </c>
      <c r="Q116" s="108">
        <f>(Q102+Q105)*Assumptions!$K$26/24</f>
        <v>65.45</v>
      </c>
      <c r="R116" s="113"/>
    </row>
    <row r="117" spans="2:21" ht="15.5" x14ac:dyDescent="0.35">
      <c r="B117" s="106" t="s">
        <v>252</v>
      </c>
      <c r="C117" s="106"/>
      <c r="D117" s="108"/>
      <c r="E117" s="108">
        <f>SUM(E113:E116)</f>
        <v>128.30769230769232</v>
      </c>
      <c r="F117" s="108">
        <f t="shared" ref="F117:Q117" si="32">SUM(F113:F116)</f>
        <v>971.2333548804138</v>
      </c>
      <c r="G117" s="108">
        <f t="shared" si="32"/>
        <v>818.53846153846166</v>
      </c>
      <c r="H117" s="108">
        <f t="shared" si="32"/>
        <v>681.69999999999993</v>
      </c>
      <c r="I117" s="108">
        <f t="shared" si="32"/>
        <v>572.88</v>
      </c>
      <c r="J117" s="108">
        <f t="shared" si="32"/>
        <v>1025.2383830962619</v>
      </c>
      <c r="K117" s="108">
        <f>SUM(K113:K116)</f>
        <v>470.14</v>
      </c>
      <c r="L117" s="108">
        <f t="shared" si="32"/>
        <v>899.20753803508478</v>
      </c>
      <c r="M117" s="108">
        <f t="shared" si="32"/>
        <v>183.50737504707695</v>
      </c>
      <c r="N117" s="108">
        <f t="shared" si="32"/>
        <v>535.39129031630068</v>
      </c>
      <c r="O117" s="108">
        <f t="shared" si="32"/>
        <v>164.49583333333334</v>
      </c>
      <c r="P117" s="108">
        <f t="shared" si="32"/>
        <v>227.23610344192895</v>
      </c>
      <c r="Q117" s="108">
        <f t="shared" si="32"/>
        <v>142.44999999999999</v>
      </c>
      <c r="R117" s="113"/>
    </row>
    <row r="118" spans="2:21" ht="15.5" x14ac:dyDescent="0.35">
      <c r="B118" s="106" t="s">
        <v>138</v>
      </c>
      <c r="C118" s="106"/>
      <c r="D118" s="108">
        <f>D108*Assumptions!$K$27/24</f>
        <v>0</v>
      </c>
      <c r="E118" s="108">
        <f>E108*Assumptions!$K$27/24</f>
        <v>20</v>
      </c>
      <c r="F118" s="108">
        <f>F108*Assumptions!$K$27/24</f>
        <v>100</v>
      </c>
      <c r="G118" s="108">
        <f>G108*Assumptions!$K$27/24</f>
        <v>60</v>
      </c>
      <c r="H118" s="108">
        <f>H108*Assumptions!$K$27/24</f>
        <v>70</v>
      </c>
      <c r="I118" s="108">
        <f>I108*Assumptions!$K$27/24</f>
        <v>50</v>
      </c>
      <c r="J118" s="108">
        <f>J108*Assumptions!$K$27/24</f>
        <v>80</v>
      </c>
      <c r="K118" s="108">
        <f>K108*Assumptions!$K$27/24</f>
        <v>50</v>
      </c>
      <c r="L118" s="109">
        <f>L108*Assumptions!$K$27/24</f>
        <v>80</v>
      </c>
      <c r="M118" s="108">
        <f>M108*Assumptions!$K$27/24</f>
        <v>10</v>
      </c>
      <c r="N118" s="108">
        <f>N108*Assumptions!$K$27/24</f>
        <v>60</v>
      </c>
      <c r="O118" s="108">
        <f>O108*Assumptions!$K$27/24</f>
        <v>20</v>
      </c>
      <c r="P118" s="108">
        <f>P108*Assumptions!$K$27/24</f>
        <v>30</v>
      </c>
      <c r="Q118" s="108">
        <f>Q108*Assumptions!$K$27/24</f>
        <v>20</v>
      </c>
      <c r="R118" s="113"/>
    </row>
    <row r="119" spans="2:21" ht="15.5" x14ac:dyDescent="0.35">
      <c r="B119" s="106" t="s">
        <v>195</v>
      </c>
      <c r="C119" s="106"/>
      <c r="D119" s="108">
        <f>(ROUNDUP(D83/400,1)+D84)*Assumptions!$K$45+SUM(D110:D111)/Assumptions!$K$44</f>
        <v>0</v>
      </c>
      <c r="E119" s="108">
        <f>(ROUNDUP(E83/400,1)+E84)*Assumptions!$K$45+SUM(E110:E111)/Assumptions!$K$44</f>
        <v>161.37560000000002</v>
      </c>
      <c r="F119" s="108">
        <f>(ROUNDUP(F83/400,1)+F84)*Assumptions!$K$45+SUM(F110:F111)/Assumptions!$K$44</f>
        <v>783.16687524240456</v>
      </c>
      <c r="G119" s="108">
        <f>(ROUNDUP(G83/400,1)+G84)*Assumptions!$K$45+SUM(G110:G111)/Assumptions!$K$44</f>
        <v>597.77178589743585</v>
      </c>
      <c r="H119" s="108">
        <f>(ROUNDUP(H83/400,1)+H84)*Assumptions!$K$45+SUM(H110:H111)/Assumptions!$K$44</f>
        <v>548.73801000000003</v>
      </c>
      <c r="I119" s="108">
        <f>(ROUNDUP(I83/400,1)+I84)*Assumptions!$K$45+SUM(I110:I111)/Assumptions!$K$44</f>
        <v>441.91262533333338</v>
      </c>
      <c r="J119" s="108">
        <f>(ROUNDUP(J83/400,1)+J84)*Assumptions!$K$45+SUM(J110:J111)/Assumptions!$K$44</f>
        <v>837.9104928245647</v>
      </c>
      <c r="K119" s="108">
        <f>(ROUNDUP(K83/400,1)+K84)*Assumptions!$K$45+SUM(K110:K111)/Assumptions!$K$44</f>
        <v>432.52547500000003</v>
      </c>
      <c r="L119" s="109">
        <f>(ROUNDUP(L83/400,1)+L84)*Assumptions!$K$45+SUM(L110:L111)/Assumptions!$K$44</f>
        <v>766.53516946042055</v>
      </c>
      <c r="M119" s="108">
        <f>(ROUNDUP(M83/400,1)+M84)*Assumptions!$K$45+SUM(M110:M111)/Assumptions!$K$44</f>
        <v>153.09849395889228</v>
      </c>
      <c r="N119" s="108">
        <f>(ROUNDUP(N83/400,1)+N84)*Assumptions!$K$45+SUM(N110:N111)/Assumptions!$K$44</f>
        <v>588.31391878690056</v>
      </c>
      <c r="O119" s="108">
        <f>(ROUNDUP(O83/400,1)+O84)*Assumptions!$K$45+SUM(O110:O111)/Assumptions!$K$44</f>
        <v>181.54349999999999</v>
      </c>
      <c r="P119" s="108">
        <f>(ROUNDUP(P83/400,1)+P84)*Assumptions!$K$45+SUM(P110:P111)/Assumptions!$K$44</f>
        <v>251.06674442987298</v>
      </c>
      <c r="Q119" s="108">
        <f>(ROUNDUP(Q83/400,1)+Q84)*Assumptions!$K$45+SUM(Q110:Q111)/Assumptions!$K$44</f>
        <v>166.18200000000002</v>
      </c>
      <c r="R119" s="113"/>
    </row>
    <row r="120" spans="2:21" ht="15.5" x14ac:dyDescent="0.35">
      <c r="B120" s="106" t="s">
        <v>297</v>
      </c>
      <c r="C120" s="106"/>
      <c r="D120" s="108">
        <f>D102*Assumptions!$K$28/24</f>
        <v>0</v>
      </c>
      <c r="E120" s="108">
        <f>E102*Assumptions!$K$28/24</f>
        <v>49.15384615384616</v>
      </c>
      <c r="F120" s="108">
        <f>F102*Assumptions!$K$28/24</f>
        <v>344.24030381383324</v>
      </c>
      <c r="G120" s="108">
        <f>G102*Assumptions!$K$28/24</f>
        <v>269.25961538461536</v>
      </c>
      <c r="H120" s="108">
        <f>H102*Assumptions!$K$28/24</f>
        <v>241.1</v>
      </c>
      <c r="I120" s="108">
        <f>I102*Assumptions!$K$28/24</f>
        <v>145.82000000000002</v>
      </c>
      <c r="J120" s="108">
        <f>J102*Assumptions!$K$28/24</f>
        <v>340.16399924043861</v>
      </c>
      <c r="K120" s="108">
        <f>K102*Assumptions!$K$28/24</f>
        <v>225.38</v>
      </c>
      <c r="L120" s="108">
        <f>L102*Assumptions!$K$28/24</f>
        <v>393.05876901754232</v>
      </c>
      <c r="M120" s="108">
        <f>M102*Assumptions!$K$28/24</f>
        <v>58.32921846691869</v>
      </c>
      <c r="N120" s="108">
        <f>N102*Assumptions!$K$28/24</f>
        <v>173.69062336292458</v>
      </c>
      <c r="O120" s="108">
        <f>O102*Assumptions!$K$28/24</f>
        <v>62.241666666666653</v>
      </c>
      <c r="P120" s="108">
        <f>P102*Assumptions!$K$28/24</f>
        <v>94.09930172096449</v>
      </c>
      <c r="Q120" s="108">
        <f>Q102*Assumptions!$K$28/24</f>
        <v>53.9</v>
      </c>
      <c r="R120" s="113"/>
    </row>
    <row r="121" spans="2:21" ht="15.5" x14ac:dyDescent="0.35">
      <c r="B121" s="135" t="s">
        <v>243</v>
      </c>
      <c r="C121" s="129"/>
      <c r="D121" s="132"/>
      <c r="E121" s="132"/>
      <c r="F121" s="132"/>
      <c r="G121" s="132"/>
      <c r="H121" s="132"/>
      <c r="I121" s="132"/>
      <c r="J121" s="132"/>
      <c r="K121" s="132"/>
      <c r="L121" s="137"/>
      <c r="M121" s="132"/>
      <c r="N121" s="132"/>
      <c r="O121" s="132"/>
      <c r="P121" s="132"/>
      <c r="Q121" s="132"/>
      <c r="R121" s="130"/>
    </row>
    <row r="122" spans="2:21" ht="15.5" x14ac:dyDescent="0.35">
      <c r="B122" s="106" t="s">
        <v>121</v>
      </c>
      <c r="C122" s="106"/>
      <c r="D122" s="108">
        <f>ROUNDUP(D113/(Assumptions!$C$36*365),0)</f>
        <v>0</v>
      </c>
      <c r="E122" s="108">
        <f>ROUNDUP(E113/(Assumptions!$C$36*365),0)</f>
        <v>1</v>
      </c>
      <c r="F122" s="108">
        <f>ROUNDUP(F113/(Assumptions!$C$36*365),0)</f>
        <v>2</v>
      </c>
      <c r="G122" s="108">
        <f>ROUNDUP(G113/(Assumptions!$C$36*365),0)</f>
        <v>2</v>
      </c>
      <c r="H122" s="108">
        <f>ROUNDUP(H113/(Assumptions!$C$36*365),0)</f>
        <v>1</v>
      </c>
      <c r="I122" s="108">
        <f>ROUNDUP(I113/(Assumptions!$C$36*365),0)</f>
        <v>0</v>
      </c>
      <c r="J122" s="108">
        <f>ROUNDUP(J113/(Assumptions!$C$36*365),0)</f>
        <v>0</v>
      </c>
      <c r="K122" s="108">
        <f>ROUNDUP(K113/(Assumptions!$C$36*365),0)</f>
        <v>0</v>
      </c>
      <c r="L122" s="109">
        <f>ROUNDUP(L113/(Assumptions!$C$36*365),0)</f>
        <v>0</v>
      </c>
      <c r="M122" s="108">
        <f>ROUNDUP(M113/(Assumptions!$C$36*365),0)</f>
        <v>0</v>
      </c>
      <c r="N122" s="108">
        <f>ROUNDUP(N113/(Assumptions!$C$36*365),0)</f>
        <v>0</v>
      </c>
      <c r="O122" s="108">
        <f>ROUNDUP(O113/(Assumptions!$C$36*365),0)</f>
        <v>0</v>
      </c>
      <c r="P122" s="108">
        <f>ROUNDUP(P113/(Assumptions!$C$36*365),0)</f>
        <v>0</v>
      </c>
      <c r="Q122" s="108">
        <f>ROUNDUP(Q113/(Assumptions!$C$36*365),0)</f>
        <v>0</v>
      </c>
      <c r="R122" s="113"/>
    </row>
    <row r="123" spans="2:21" ht="15.5" x14ac:dyDescent="0.35">
      <c r="B123" s="106" t="s">
        <v>122</v>
      </c>
      <c r="C123" s="106"/>
      <c r="D123" s="108">
        <f>ROUNDUP(D114/(Assumptions!$C$36*365),0)</f>
        <v>0</v>
      </c>
      <c r="E123" s="108">
        <f>ROUNDUP(E114/(Assumptions!$C$36*365),0)</f>
        <v>0</v>
      </c>
      <c r="F123" s="108">
        <f>ROUNDUP(F114/(Assumptions!$C$36*365),0)</f>
        <v>1</v>
      </c>
      <c r="G123" s="108">
        <f>ROUNDUP(G114/(Assumptions!$C$36*365),0)</f>
        <v>1</v>
      </c>
      <c r="H123" s="108">
        <f>ROUNDUP(H114/(Assumptions!$C$36*365),0)</f>
        <v>2</v>
      </c>
      <c r="I123" s="108">
        <f>ROUNDUP(I114/(Assumptions!$C$36*365),0)</f>
        <v>2</v>
      </c>
      <c r="J123" s="108">
        <f>ROUNDUP(J114/(Assumptions!$C$36*365),0)</f>
        <v>3</v>
      </c>
      <c r="K123" s="108">
        <f>ROUNDUP(K114/(Assumptions!$C$36*365),0)</f>
        <v>1</v>
      </c>
      <c r="L123" s="109">
        <f>ROUNDUP(L114/(Assumptions!$C$36*365),0)</f>
        <v>2</v>
      </c>
      <c r="M123" s="108">
        <f>ROUNDUP(M114/(Assumptions!$C$36*365),0)</f>
        <v>0</v>
      </c>
      <c r="N123" s="108">
        <f>ROUNDUP(N114/(Assumptions!$C$36*365),0)</f>
        <v>0</v>
      </c>
      <c r="O123" s="108">
        <f>ROUNDUP(O114/(Assumptions!$C$36*365),0)</f>
        <v>0</v>
      </c>
      <c r="P123" s="108">
        <f>ROUNDUP(P114/(Assumptions!$C$36*365),0)</f>
        <v>0</v>
      </c>
      <c r="Q123" s="108">
        <f>ROUNDUP(Q114/(Assumptions!$C$36*365),0)</f>
        <v>0</v>
      </c>
      <c r="R123" s="113"/>
    </row>
    <row r="124" spans="2:21" ht="15.5" x14ac:dyDescent="0.35">
      <c r="B124" s="106" t="s">
        <v>123</v>
      </c>
      <c r="C124" s="106"/>
      <c r="D124" s="108">
        <f>ROUNDUP(D115/(Assumptions!$C$36*365),0)</f>
        <v>0</v>
      </c>
      <c r="E124" s="108">
        <f>ROUNDUP(E115/(Assumptions!$C$36*365),0)</f>
        <v>0</v>
      </c>
      <c r="F124" s="108">
        <f>ROUNDUP(F115/(Assumptions!$C$36*365),0)</f>
        <v>0</v>
      </c>
      <c r="G124" s="108">
        <f>ROUNDUP(G115/(Assumptions!$C$36*365),0)</f>
        <v>0</v>
      </c>
      <c r="H124" s="108">
        <f>ROUNDUP(H115/(Assumptions!$C$36*365),0)</f>
        <v>0</v>
      </c>
      <c r="I124" s="108">
        <f>ROUNDUP(I115/(Assumptions!$C$36*365),0)</f>
        <v>0</v>
      </c>
      <c r="J124" s="108">
        <f>ROUNDUP(J115/(Assumptions!$C$36*365),0)</f>
        <v>0</v>
      </c>
      <c r="K124" s="108">
        <f>ROUNDUP(K115/(Assumptions!$C$36*365),0)</f>
        <v>0</v>
      </c>
      <c r="L124" s="109">
        <f>ROUNDUP(L115/(Assumptions!$C$36*365),0)</f>
        <v>0</v>
      </c>
      <c r="M124" s="108">
        <f>ROUNDUP(M115/(Assumptions!$C$36*365),0)</f>
        <v>1</v>
      </c>
      <c r="N124" s="108">
        <f>ROUNDUP(N115/(Assumptions!$C$36*365),0)</f>
        <v>2</v>
      </c>
      <c r="O124" s="108">
        <f>ROUNDUP(O115/(Assumptions!$C$36*365),0)</f>
        <v>1</v>
      </c>
      <c r="P124" s="108">
        <f>ROUNDUP(P115/(Assumptions!$C$36*365),0)</f>
        <v>1</v>
      </c>
      <c r="Q124" s="108">
        <f>ROUNDUP(Q115/(Assumptions!$C$36*365),0)</f>
        <v>1</v>
      </c>
      <c r="R124" s="113"/>
    </row>
    <row r="125" spans="2:21" ht="15.5" x14ac:dyDescent="0.35">
      <c r="B125" s="106" t="s">
        <v>140</v>
      </c>
      <c r="C125" s="106"/>
      <c r="D125" s="108">
        <f>ROUNDUP(D116/(Assumptions!$C$36*365),0)</f>
        <v>0</v>
      </c>
      <c r="E125" s="108">
        <f>ROUNDUP(E116/(Assumptions!$C$36*365),0)</f>
        <v>1</v>
      </c>
      <c r="F125" s="108">
        <f>ROUNDUP(F116/(Assumptions!$C$36*365),0)</f>
        <v>2</v>
      </c>
      <c r="G125" s="108">
        <f>ROUNDUP(G116/(Assumptions!$C$36*365),0)</f>
        <v>2</v>
      </c>
      <c r="H125" s="108">
        <f>ROUNDUP(H116/(Assumptions!$C$36*365),0)</f>
        <v>2</v>
      </c>
      <c r="I125" s="108">
        <f>ROUNDUP(I116/(Assumptions!$C$36*365),0)</f>
        <v>2</v>
      </c>
      <c r="J125" s="108">
        <f>ROUNDUP(J116/(Assumptions!$C$36*365),0)</f>
        <v>2</v>
      </c>
      <c r="K125" s="108">
        <f>ROUNDUP(K116/(Assumptions!$C$36*365),0)</f>
        <v>1</v>
      </c>
      <c r="L125" s="109">
        <f>ROUNDUP(L116/(Assumptions!$C$36*365),0)</f>
        <v>2</v>
      </c>
      <c r="M125" s="108">
        <f>ROUNDUP(M116/(Assumptions!$C$36*365),0)</f>
        <v>1</v>
      </c>
      <c r="N125" s="108">
        <f>ROUNDUP(N116/(Assumptions!$C$36*365),0)</f>
        <v>2</v>
      </c>
      <c r="O125" s="108">
        <f>ROUNDUP(O116/(Assumptions!$C$36*365),0)</f>
        <v>1</v>
      </c>
      <c r="P125" s="108">
        <f>ROUNDUP(P116/(Assumptions!$C$36*365),0)</f>
        <v>1</v>
      </c>
      <c r="Q125" s="108">
        <f>ROUNDUP(Q116/(Assumptions!$C$36*365),0)</f>
        <v>1</v>
      </c>
      <c r="R125" s="113"/>
    </row>
    <row r="126" spans="2:21" ht="15.5" x14ac:dyDescent="0.35">
      <c r="B126" s="105" t="s">
        <v>149</v>
      </c>
      <c r="C126" s="106"/>
      <c r="D126" s="108">
        <f>SUM(D122:D125)</f>
        <v>0</v>
      </c>
      <c r="E126" s="108">
        <f t="shared" ref="E126:Q126" si="33">SUM(E122:E125)</f>
        <v>2</v>
      </c>
      <c r="F126" s="108">
        <f t="shared" si="33"/>
        <v>5</v>
      </c>
      <c r="G126" s="108">
        <f t="shared" si="33"/>
        <v>5</v>
      </c>
      <c r="H126" s="108">
        <f t="shared" si="33"/>
        <v>5</v>
      </c>
      <c r="I126" s="108">
        <f>SUM(I122:I125)</f>
        <v>4</v>
      </c>
      <c r="J126" s="108">
        <f t="shared" si="33"/>
        <v>5</v>
      </c>
      <c r="K126" s="108">
        <f t="shared" si="33"/>
        <v>2</v>
      </c>
      <c r="L126" s="109">
        <f t="shared" si="33"/>
        <v>4</v>
      </c>
      <c r="M126" s="108">
        <f t="shared" si="33"/>
        <v>2</v>
      </c>
      <c r="N126" s="108">
        <f t="shared" si="33"/>
        <v>4</v>
      </c>
      <c r="O126" s="108">
        <f t="shared" si="33"/>
        <v>2</v>
      </c>
      <c r="P126" s="108">
        <f t="shared" si="33"/>
        <v>2</v>
      </c>
      <c r="Q126" s="108">
        <f t="shared" si="33"/>
        <v>2</v>
      </c>
      <c r="R126" s="113"/>
    </row>
    <row r="127" spans="2:21" ht="15.5" x14ac:dyDescent="0.35">
      <c r="B127" s="105"/>
      <c r="C127" s="106"/>
      <c r="D127" s="108"/>
      <c r="E127" s="108">
        <f>ROUNDUP(E117/(Assumptions!$C$36*365),0)</f>
        <v>1</v>
      </c>
      <c r="F127" s="108">
        <f>ROUNDUP(F117/(Assumptions!$C$36*365),0)</f>
        <v>4</v>
      </c>
      <c r="G127" s="108">
        <f>ROUNDUP(G117/(Assumptions!$C$36*365),0)</f>
        <v>4</v>
      </c>
      <c r="H127" s="108">
        <f>ROUNDUP(H117/(Assumptions!$C$36*365),0)</f>
        <v>3</v>
      </c>
      <c r="I127" s="108">
        <f>ROUNDUP(I117/(Assumptions!$C$36*365),0)</f>
        <v>3</v>
      </c>
      <c r="J127" s="108">
        <f>ROUNDUP(J117/(Assumptions!$C$36*365),0)</f>
        <v>5</v>
      </c>
      <c r="K127" s="108">
        <f>ROUNDUP(K117/(Assumptions!$C$36*365),0)</f>
        <v>2</v>
      </c>
      <c r="L127" s="108">
        <f>ROUNDUP(L117/(Assumptions!$C$36*365),0)</f>
        <v>4</v>
      </c>
      <c r="M127" s="108">
        <f>ROUNDUP(M117/(Assumptions!$C$36*365),0)</f>
        <v>1</v>
      </c>
      <c r="N127" s="108">
        <f>ROUNDUP(N117/(Assumptions!$C$36*365),0)</f>
        <v>3</v>
      </c>
      <c r="O127" s="108">
        <f>ROUNDUP(O117/(Assumptions!$C$36*365),0)</f>
        <v>1</v>
      </c>
      <c r="P127" s="108">
        <f>ROUNDUP(P117/(Assumptions!$C$36*365),0)</f>
        <v>1</v>
      </c>
      <c r="Q127" s="108">
        <f>ROUNDUP(Q117/(Assumptions!$C$36*365),0)</f>
        <v>1</v>
      </c>
      <c r="R127" s="113"/>
    </row>
    <row r="128" spans="2:21" ht="15.5" x14ac:dyDescent="0.35">
      <c r="B128" s="106" t="s">
        <v>138</v>
      </c>
      <c r="C128" s="106"/>
      <c r="D128" s="108">
        <f>ROUNDUP(D118/(Assumptions!$C$36*365),0)</f>
        <v>0</v>
      </c>
      <c r="E128" s="108">
        <f>ROUNDUP(E118/(Assumptions!$C$36*365),0)</f>
        <v>1</v>
      </c>
      <c r="F128" s="108">
        <f>ROUNDUP(F118/(Assumptions!$C$36*365),0)</f>
        <v>1</v>
      </c>
      <c r="G128" s="108">
        <f>ROUNDUP(G118/(Assumptions!$C$36*365),0)</f>
        <v>1</v>
      </c>
      <c r="H128" s="108">
        <f>ROUNDUP(H118/(Assumptions!$C$36*365),0)</f>
        <v>1</v>
      </c>
      <c r="I128" s="108">
        <f>ROUNDUP(I118/(Assumptions!$C$36*365),0)</f>
        <v>1</v>
      </c>
      <c r="J128" s="108">
        <f>ROUNDUP(J118/(Assumptions!$C$36*365),0)</f>
        <v>1</v>
      </c>
      <c r="K128" s="108">
        <f>ROUNDUP(K118/(Assumptions!$C$36*365),0)</f>
        <v>1</v>
      </c>
      <c r="L128" s="109">
        <f>ROUNDUP(L118/(Assumptions!$C$36*365),0)</f>
        <v>1</v>
      </c>
      <c r="M128" s="108">
        <f>ROUNDUP(M118/(Assumptions!$C$36*365),0)</f>
        <v>1</v>
      </c>
      <c r="N128" s="108">
        <f>ROUNDUP(N118/(Assumptions!$C$36*365),0)</f>
        <v>1</v>
      </c>
      <c r="O128" s="108">
        <f>ROUNDUP(O118/(Assumptions!$C$36*365),0)</f>
        <v>1</v>
      </c>
      <c r="P128" s="108">
        <f>ROUNDUP(P118/(Assumptions!$C$36*365),0)</f>
        <v>1</v>
      </c>
      <c r="Q128" s="108">
        <f>ROUNDUP(Q118/(Assumptions!$C$36*365),0)</f>
        <v>1</v>
      </c>
      <c r="R128" s="113"/>
    </row>
    <row r="129" spans="2:18" ht="15.5" x14ac:dyDescent="0.35">
      <c r="B129" s="106" t="s">
        <v>242</v>
      </c>
      <c r="C129" s="106"/>
      <c r="D129" s="108">
        <f>D126*2</f>
        <v>0</v>
      </c>
      <c r="E129" s="108">
        <f t="shared" ref="E129:Q129" si="34">E126*2</f>
        <v>4</v>
      </c>
      <c r="F129" s="108">
        <f t="shared" si="34"/>
        <v>10</v>
      </c>
      <c r="G129" s="108">
        <f t="shared" si="34"/>
        <v>10</v>
      </c>
      <c r="H129" s="108">
        <f t="shared" si="34"/>
        <v>10</v>
      </c>
      <c r="I129" s="108">
        <f t="shared" si="34"/>
        <v>8</v>
      </c>
      <c r="J129" s="108">
        <f t="shared" si="34"/>
        <v>10</v>
      </c>
      <c r="K129" s="108">
        <f t="shared" si="34"/>
        <v>4</v>
      </c>
      <c r="L129" s="109">
        <f t="shared" si="34"/>
        <v>8</v>
      </c>
      <c r="M129" s="108">
        <f t="shared" si="34"/>
        <v>4</v>
      </c>
      <c r="N129" s="108">
        <f t="shared" si="34"/>
        <v>8</v>
      </c>
      <c r="O129" s="108">
        <f t="shared" si="34"/>
        <v>4</v>
      </c>
      <c r="P129" s="108">
        <f t="shared" si="34"/>
        <v>4</v>
      </c>
      <c r="Q129" s="108">
        <f t="shared" si="34"/>
        <v>4</v>
      </c>
      <c r="R129" s="113"/>
    </row>
    <row r="130" spans="2:18" ht="15.5" x14ac:dyDescent="0.35">
      <c r="B130" s="106" t="s">
        <v>179</v>
      </c>
      <c r="C130" s="106"/>
      <c r="D130" s="108">
        <v>0</v>
      </c>
      <c r="E130" s="108">
        <f>IF(E82=0,0,E84*Assumptions!$K$35+D84*Assumptions!$K$36+SUM($C84:C84)*Assumptions!$K$37+Assumptions!$K$38)</f>
        <v>6</v>
      </c>
      <c r="F130" s="108">
        <f>IF(F82=0,0,F84*Assumptions!$K$35+E84*Assumptions!$K$36+SUM($C84:D84)*Assumptions!$K$37+Assumptions!$K$38)</f>
        <v>18</v>
      </c>
      <c r="G130" s="108">
        <f>IF(G82=0,0,G84*Assumptions!$K$35+F84*Assumptions!$K$36+SUM($C84:E84)*Assumptions!$K$37+Assumptions!$K$38)</f>
        <v>26</v>
      </c>
      <c r="H130" s="108">
        <f>IF(H82=0,0,H84*Assumptions!$K$35+G84*Assumptions!$K$36+SUM($C84:F84)*Assumptions!$K$37+Assumptions!$K$38)</f>
        <v>32</v>
      </c>
      <c r="I130" s="108">
        <f>IF(I82=0,0,I84*Assumptions!$K$35+H84*Assumptions!$K$36+SUM($C84:G84)*Assumptions!$K$37+Assumptions!$K$38)</f>
        <v>33</v>
      </c>
      <c r="J130" s="108">
        <f>IF(J82=0,0,J84*Assumptions!$K$35+I84*Assumptions!$K$36+SUM($C84:H84)*Assumptions!$K$37+Assumptions!$K$38)</f>
        <v>41</v>
      </c>
      <c r="K130" s="108">
        <f>IF(K82=0,0,K84*Assumptions!$K$35+J84*Assumptions!$K$36+SUM($C84:I84)*Assumptions!$K$37+Assumptions!$K$38)</f>
        <v>44</v>
      </c>
      <c r="L130" s="108">
        <f>IF(L82=0,0,L84*Assumptions!$K$35+K84*Assumptions!$K$36+SUM($C84:J84)*Assumptions!$K$37+Assumptions!$K$38)</f>
        <v>49</v>
      </c>
      <c r="M130" s="108">
        <f>IF(M82=0,0,M84*Assumptions!$K$35+L84*Assumptions!$K$36+SUM($C84:K84)*Assumptions!$K$37+Assumptions!$K$38)</f>
        <v>50</v>
      </c>
      <c r="N130" s="108">
        <f>IF(N82=0,0,N84*Assumptions!$K$35+M84*Assumptions!$K$36+SUM($C84:L84)*Assumptions!$K$37+Assumptions!$K$38)</f>
        <v>50</v>
      </c>
      <c r="O130" s="108">
        <f>IF(O82=0,0,O84*Assumptions!$K$35+N84*Assumptions!$K$36+SUM($C84:M84)*Assumptions!$K$37+Assumptions!$K$38)</f>
        <v>50</v>
      </c>
      <c r="P130" s="108">
        <f>IF(P82=0,0,P84*Assumptions!$K$35+O84*Assumptions!$K$36+SUM($C84:N84)*Assumptions!$K$37+Assumptions!$K$38)</f>
        <v>51</v>
      </c>
      <c r="Q130" s="108">
        <f>IF(Q82=0,0,Q84*Assumptions!$K$35+P84*Assumptions!$K$36+SUM($C84:O84)*Assumptions!$K$37+Assumptions!$K$38)</f>
        <v>52</v>
      </c>
      <c r="R130" s="113">
        <f>Q130</f>
        <v>52</v>
      </c>
    </row>
    <row r="131" spans="2:18" ht="15.5" x14ac:dyDescent="0.35">
      <c r="B131" s="106" t="s">
        <v>343</v>
      </c>
      <c r="C131" s="106"/>
      <c r="D131" s="108">
        <v>0</v>
      </c>
      <c r="E131" s="108">
        <f>ROUNDUP((SUM($E86:E88)+D131)/Assumptions!$K$41,0)</f>
        <v>1</v>
      </c>
      <c r="F131" s="108">
        <f>ROUNDUP((SUM($E86:F88)+E131)/Assumptions!$K$41,0)</f>
        <v>2</v>
      </c>
      <c r="G131" s="108">
        <f>ROUNDUP((SUM($E86:G88)+F131)/Assumptions!$K$41,0)</f>
        <v>4</v>
      </c>
      <c r="H131" s="108">
        <f>ROUNDUP((SUM($E86:H88)+G131)/Assumptions!$K$41,0)</f>
        <v>5</v>
      </c>
      <c r="I131" s="108">
        <f>ROUNDUP((SUM($E86:I88)+H131)/Assumptions!$K$41,0)</f>
        <v>6</v>
      </c>
      <c r="J131" s="108">
        <f>ROUNDUP((SUM($E86:J88)+I131)/Assumptions!$K$41,0)</f>
        <v>8</v>
      </c>
      <c r="K131" s="108">
        <f>ROUNDUP((SUM($E86:K88)+J131)/Assumptions!$K$41,0)</f>
        <v>9</v>
      </c>
      <c r="L131" s="108">
        <f>ROUNDUP((SUM($E86:L88)+K131)/Assumptions!$K$41,0)</f>
        <v>10</v>
      </c>
      <c r="M131" s="108">
        <f>ROUNDUP((SUM($E86:M88)+L131)/Assumptions!$K$41,0)</f>
        <v>11</v>
      </c>
      <c r="N131" s="108">
        <f>ROUNDUP((SUM($E86:N88)+M131)/Assumptions!$K$41,0)</f>
        <v>12</v>
      </c>
      <c r="O131" s="108">
        <f>ROUNDUP((SUM($E86:O88)+N131)/Assumptions!$K$41,0)</f>
        <v>12</v>
      </c>
      <c r="P131" s="108">
        <f>ROUNDUP((SUM($E86:P88)+O131)/Assumptions!$K$41,0)</f>
        <v>12</v>
      </c>
      <c r="Q131" s="108">
        <f>ROUNDUP((SUM($E86:Q88)+P131)/Assumptions!$K$41,0)</f>
        <v>13</v>
      </c>
      <c r="R131" s="113">
        <f>Q131</f>
        <v>13</v>
      </c>
    </row>
    <row r="132" spans="2:18" ht="15.5" x14ac:dyDescent="0.35">
      <c r="B132" s="106" t="s">
        <v>195</v>
      </c>
      <c r="C132" s="106"/>
      <c r="D132" s="108">
        <f>ROUNDUP(D119/(Assumptions!$C$36*365),0)</f>
        <v>0</v>
      </c>
      <c r="E132" s="108">
        <f>ROUNDUP(E119/(Assumptions!$C$36*365),0)</f>
        <v>1</v>
      </c>
      <c r="F132" s="108">
        <f>ROUNDUP(F119/(Assumptions!$C$36*365),0)</f>
        <v>4</v>
      </c>
      <c r="G132" s="108">
        <f>ROUNDUP(G119/(Assumptions!$C$36*365),0)</f>
        <v>3</v>
      </c>
      <c r="H132" s="108">
        <f>ROUNDUP(H119/(Assumptions!$C$36*365),0)</f>
        <v>3</v>
      </c>
      <c r="I132" s="108">
        <f>ROUNDUP(I119/(Assumptions!$C$36*365),0)</f>
        <v>2</v>
      </c>
      <c r="J132" s="108">
        <f>ROUNDUP(J119/(Assumptions!$C$36*365),0)</f>
        <v>4</v>
      </c>
      <c r="K132" s="108">
        <f>ROUNDUP(K119/(Assumptions!$C$36*365),0)</f>
        <v>2</v>
      </c>
      <c r="L132" s="109">
        <f>ROUNDUP(L119/(Assumptions!$C$36*365),0)</f>
        <v>4</v>
      </c>
      <c r="M132" s="108">
        <f>ROUNDUP(M119/(Assumptions!$C$36*365),0)</f>
        <v>1</v>
      </c>
      <c r="N132" s="108">
        <f>ROUNDUP(N119/(Assumptions!$C$36*365),0)</f>
        <v>3</v>
      </c>
      <c r="O132" s="108">
        <f>ROUNDUP(O119/(Assumptions!$C$36*365),0)</f>
        <v>1</v>
      </c>
      <c r="P132" s="108">
        <f>ROUNDUP(P119/(Assumptions!$C$36*365),0)</f>
        <v>2</v>
      </c>
      <c r="Q132" s="108">
        <f>ROUNDUP(Q119/(Assumptions!$C$36*365),0)</f>
        <v>1</v>
      </c>
      <c r="R132" s="114"/>
    </row>
    <row r="133" spans="2:18" ht="15.5" x14ac:dyDescent="0.35">
      <c r="B133" s="106" t="s">
        <v>305</v>
      </c>
      <c r="C133" s="106"/>
      <c r="D133" s="108">
        <f>ROUNDUP(D120/(Assumptions!$C$36*365),0)</f>
        <v>0</v>
      </c>
      <c r="E133" s="108">
        <f>ROUNDUP(E120/(Assumptions!$C$36*365),0)</f>
        <v>1</v>
      </c>
      <c r="F133" s="108">
        <f>ROUNDUP(F120/(Assumptions!$C$36*365),0)</f>
        <v>2</v>
      </c>
      <c r="G133" s="108">
        <f>ROUNDUP(G120/(Assumptions!$C$36*365),0)</f>
        <v>2</v>
      </c>
      <c r="H133" s="108">
        <f>ROUNDUP(H120/(Assumptions!$C$36*365),0)</f>
        <v>1</v>
      </c>
      <c r="I133" s="108">
        <f>ROUNDUP(I120/(Assumptions!$C$36*365),0)</f>
        <v>1</v>
      </c>
      <c r="J133" s="108">
        <f>ROUNDUP(J120/(Assumptions!$C$36*365),0)</f>
        <v>2</v>
      </c>
      <c r="K133" s="108">
        <f>ROUNDUP(K120/(Assumptions!$C$36*365),0)</f>
        <v>1</v>
      </c>
      <c r="L133" s="108">
        <f>ROUNDUP(L120/(Assumptions!$C$36*365),0)</f>
        <v>2</v>
      </c>
      <c r="M133" s="108">
        <f>ROUNDUP(M120/(Assumptions!$C$36*365),0)</f>
        <v>1</v>
      </c>
      <c r="N133" s="108">
        <f>ROUNDUP(N120/(Assumptions!$C$36*365),0)</f>
        <v>1</v>
      </c>
      <c r="O133" s="108">
        <f>ROUNDUP(O120/(Assumptions!$C$36*365),0)</f>
        <v>1</v>
      </c>
      <c r="P133" s="108">
        <f>ROUNDUP(P120/(Assumptions!$C$36*365),0)</f>
        <v>1</v>
      </c>
      <c r="Q133" s="108">
        <f>ROUNDUP(Q120/(Assumptions!$C$36*365),0)</f>
        <v>1</v>
      </c>
      <c r="R133" s="114"/>
    </row>
    <row r="134" spans="2:18" ht="15.5" x14ac:dyDescent="0.35">
      <c r="B134" s="106"/>
      <c r="C134" s="106"/>
      <c r="D134" s="108"/>
      <c r="E134" s="108"/>
      <c r="F134" s="108"/>
      <c r="G134" s="108"/>
      <c r="H134" s="108"/>
      <c r="I134" s="108"/>
      <c r="J134" s="108"/>
      <c r="K134" s="108"/>
      <c r="L134" s="109"/>
      <c r="M134" s="108"/>
      <c r="N134" s="108"/>
      <c r="O134" s="108"/>
      <c r="P134" s="108"/>
      <c r="Q134" s="108"/>
      <c r="R134" s="114"/>
    </row>
    <row r="135" spans="2:18" ht="15.5" x14ac:dyDescent="0.35">
      <c r="B135" s="135" t="s">
        <v>253</v>
      </c>
      <c r="C135" s="143"/>
      <c r="D135" s="143"/>
      <c r="E135" s="143"/>
      <c r="F135" s="143"/>
      <c r="G135" s="143"/>
      <c r="H135" s="143"/>
      <c r="I135" s="143"/>
      <c r="J135" s="143"/>
      <c r="K135" s="143"/>
      <c r="L135" s="143"/>
      <c r="M135" s="143"/>
      <c r="N135" s="143"/>
      <c r="O135" s="143"/>
      <c r="P135" s="143"/>
      <c r="Q135" s="143"/>
      <c r="R135" s="143"/>
    </row>
    <row r="136" spans="2:18" ht="15.5" x14ac:dyDescent="0.35">
      <c r="B136" s="135"/>
      <c r="C136" s="143">
        <f t="shared" ref="C136:Q136" si="35">C6</f>
        <v>2021</v>
      </c>
      <c r="D136" s="143">
        <f t="shared" si="35"/>
        <v>2022</v>
      </c>
      <c r="E136" s="143">
        <f t="shared" si="35"/>
        <v>2023</v>
      </c>
      <c r="F136" s="143">
        <f t="shared" si="35"/>
        <v>2024</v>
      </c>
      <c r="G136" s="143">
        <f t="shared" si="35"/>
        <v>2025</v>
      </c>
      <c r="H136" s="143">
        <f t="shared" si="35"/>
        <v>2026</v>
      </c>
      <c r="I136" s="143">
        <f t="shared" si="35"/>
        <v>2027</v>
      </c>
      <c r="J136" s="143">
        <f t="shared" si="35"/>
        <v>2028</v>
      </c>
      <c r="K136" s="143">
        <f t="shared" si="35"/>
        <v>2029</v>
      </c>
      <c r="L136" s="143">
        <f t="shared" si="35"/>
        <v>2030</v>
      </c>
      <c r="M136" s="143">
        <f t="shared" si="35"/>
        <v>2031</v>
      </c>
      <c r="N136" s="143">
        <f t="shared" si="35"/>
        <v>2032</v>
      </c>
      <c r="O136" s="143">
        <f t="shared" si="35"/>
        <v>2033</v>
      </c>
      <c r="P136" s="143">
        <f t="shared" si="35"/>
        <v>2034</v>
      </c>
      <c r="Q136" s="143">
        <f t="shared" si="35"/>
        <v>2035</v>
      </c>
      <c r="R136" s="143"/>
    </row>
    <row r="137" spans="2:18" x14ac:dyDescent="0.35">
      <c r="B137" s="144" t="s">
        <v>254</v>
      </c>
      <c r="C137" s="144"/>
      <c r="D137" s="144">
        <f>ROUNDUP(D126*1.5,0)</f>
        <v>0</v>
      </c>
      <c r="E137" s="144">
        <f>ROUNDUP(E126*1.5,0)</f>
        <v>3</v>
      </c>
      <c r="F137" s="144">
        <f t="shared" ref="F137:Q137" si="36">ROUNDUP(F126*1.5,0)</f>
        <v>8</v>
      </c>
      <c r="G137" s="144">
        <f t="shared" si="36"/>
        <v>8</v>
      </c>
      <c r="H137" s="144">
        <f t="shared" si="36"/>
        <v>8</v>
      </c>
      <c r="I137" s="144">
        <f>ROUNDUP(I126*1.5,0)</f>
        <v>6</v>
      </c>
      <c r="J137" s="144">
        <f>ROUNDUP(J126*1.5,0)</f>
        <v>8</v>
      </c>
      <c r="K137" s="144">
        <f t="shared" si="36"/>
        <v>3</v>
      </c>
      <c r="L137" s="144">
        <f t="shared" si="36"/>
        <v>6</v>
      </c>
      <c r="M137" s="144">
        <f t="shared" si="36"/>
        <v>3</v>
      </c>
      <c r="N137" s="144">
        <f t="shared" si="36"/>
        <v>6</v>
      </c>
      <c r="O137" s="144">
        <f t="shared" si="36"/>
        <v>3</v>
      </c>
      <c r="P137" s="144">
        <f t="shared" si="36"/>
        <v>3</v>
      </c>
      <c r="Q137" s="144">
        <f t="shared" si="36"/>
        <v>3</v>
      </c>
      <c r="R137" s="144"/>
    </row>
    <row r="138" spans="2:18" x14ac:dyDescent="0.35">
      <c r="B138" s="144" t="s">
        <v>269</v>
      </c>
      <c r="C138" s="145"/>
      <c r="D138" s="145">
        <f t="shared" ref="D138" si="37">D127*29*$R$2*$R$3</f>
        <v>0</v>
      </c>
      <c r="E138" s="145">
        <f t="shared" ref="E138:Q138" si="38">E127*40*$R$2*$R$3</f>
        <v>40</v>
      </c>
      <c r="F138" s="145">
        <f t="shared" si="38"/>
        <v>160</v>
      </c>
      <c r="G138" s="145">
        <f t="shared" si="38"/>
        <v>160</v>
      </c>
      <c r="H138" s="145">
        <f t="shared" si="38"/>
        <v>120</v>
      </c>
      <c r="I138" s="145">
        <f t="shared" si="38"/>
        <v>120</v>
      </c>
      <c r="J138" s="145">
        <f t="shared" si="38"/>
        <v>200</v>
      </c>
      <c r="K138" s="145">
        <f t="shared" si="38"/>
        <v>80</v>
      </c>
      <c r="L138" s="145">
        <f t="shared" si="38"/>
        <v>160</v>
      </c>
      <c r="M138" s="145">
        <f t="shared" si="38"/>
        <v>40</v>
      </c>
      <c r="N138" s="145">
        <f t="shared" si="38"/>
        <v>120</v>
      </c>
      <c r="O138" s="145">
        <f t="shared" si="38"/>
        <v>40</v>
      </c>
      <c r="P138" s="145">
        <f t="shared" si="38"/>
        <v>40</v>
      </c>
      <c r="Q138" s="145">
        <f t="shared" si="38"/>
        <v>40</v>
      </c>
      <c r="R138" s="144"/>
    </row>
    <row r="139" spans="2:18" x14ac:dyDescent="0.35">
      <c r="B139" s="83"/>
      <c r="C139" s="54"/>
      <c r="D139" s="54"/>
      <c r="E139" s="54"/>
      <c r="F139" s="54"/>
      <c r="G139" s="54"/>
      <c r="H139" s="54"/>
      <c r="I139" s="54"/>
      <c r="J139" s="54"/>
      <c r="K139" s="54"/>
      <c r="L139" s="54"/>
      <c r="M139" s="54"/>
      <c r="N139" s="54"/>
      <c r="O139" s="54"/>
      <c r="P139" s="54"/>
      <c r="Q139" s="54"/>
      <c r="R139" s="83"/>
    </row>
    <row r="140" spans="2:18" x14ac:dyDescent="0.35">
      <c r="B140" s="83"/>
      <c r="C140" s="54"/>
      <c r="D140" s="54"/>
      <c r="E140" s="54"/>
      <c r="F140" s="54"/>
      <c r="G140" s="54"/>
      <c r="H140" s="54"/>
      <c r="I140" s="54"/>
      <c r="J140" s="54"/>
      <c r="K140" s="54"/>
      <c r="L140" s="54"/>
      <c r="M140" s="54"/>
      <c r="N140" s="54"/>
      <c r="O140" s="54"/>
      <c r="P140" s="54"/>
      <c r="Q140" s="54"/>
      <c r="R140" s="83"/>
    </row>
    <row r="142" spans="2:18" ht="15.5" x14ac:dyDescent="0.35">
      <c r="B142" t="s">
        <v>235</v>
      </c>
      <c r="D142" s="115">
        <f t="shared" ref="D142:R142" si="39">SUM(D86:D88)</f>
        <v>0</v>
      </c>
      <c r="E142" s="115">
        <f t="shared" si="39"/>
        <v>42.769230769230774</v>
      </c>
      <c r="F142" s="115">
        <f t="shared" si="39"/>
        <v>338.31588019823317</v>
      </c>
      <c r="G142" s="115">
        <f t="shared" si="39"/>
        <v>289.84615384615381</v>
      </c>
      <c r="H142" s="115">
        <f t="shared" si="39"/>
        <v>243.73333333333332</v>
      </c>
      <c r="I142" s="115">
        <f t="shared" si="39"/>
        <v>193.64</v>
      </c>
      <c r="J142" s="115">
        <f t="shared" si="39"/>
        <v>375.06625590388217</v>
      </c>
      <c r="K142" s="115">
        <f t="shared" si="39"/>
        <v>152.93333333333334</v>
      </c>
      <c r="L142" s="115">
        <f t="shared" si="39"/>
        <v>315.26251267836159</v>
      </c>
      <c r="M142" s="115">
        <f t="shared" si="39"/>
        <v>83.452104386772191</v>
      </c>
      <c r="N142" s="115">
        <f t="shared" si="39"/>
        <v>189.51487939326151</v>
      </c>
      <c r="O142" s="115">
        <f t="shared" si="39"/>
        <v>59.277777777777779</v>
      </c>
      <c r="P142" s="115">
        <f t="shared" si="39"/>
        <v>80.082867813976321</v>
      </c>
      <c r="Q142" s="115">
        <f t="shared" si="39"/>
        <v>51.333333333333336</v>
      </c>
      <c r="R142" s="115">
        <f t="shared" si="39"/>
        <v>2415.2276627676492</v>
      </c>
    </row>
    <row r="146" spans="6:17" x14ac:dyDescent="0.35">
      <c r="F146" s="22"/>
      <c r="G146" s="22"/>
      <c r="H146" s="22"/>
      <c r="I146" s="22"/>
      <c r="J146" s="22"/>
      <c r="K146" s="22"/>
      <c r="L146" s="22"/>
      <c r="M146" s="22"/>
      <c r="N146" s="22"/>
      <c r="O146" s="22"/>
      <c r="P146" s="22"/>
      <c r="Q146" s="22"/>
    </row>
    <row r="147" spans="6:17" x14ac:dyDescent="0.35">
      <c r="F147" s="22"/>
      <c r="G147" s="22"/>
      <c r="H147" s="22"/>
      <c r="I147" s="22"/>
      <c r="J147" s="22"/>
      <c r="K147" s="22"/>
      <c r="L147" s="22"/>
      <c r="M147" s="22"/>
      <c r="N147" s="22"/>
      <c r="O147" s="22"/>
      <c r="P147" s="22"/>
      <c r="Q147" s="22"/>
    </row>
    <row r="148" spans="6:17" x14ac:dyDescent="0.35">
      <c r="F148" s="22"/>
      <c r="G148" s="22"/>
      <c r="H148" s="22"/>
      <c r="I148" s="22"/>
      <c r="J148" s="22"/>
      <c r="K148" s="22"/>
      <c r="L148" s="22"/>
      <c r="M148" s="22"/>
      <c r="N148" s="22"/>
      <c r="O148" s="22"/>
      <c r="P148" s="22"/>
      <c r="Q148" s="22"/>
    </row>
    <row r="150" spans="6:17" x14ac:dyDescent="0.35">
      <c r="F150" s="58"/>
      <c r="G150" s="58"/>
      <c r="H150" s="58"/>
      <c r="I150" s="58"/>
      <c r="J150" s="58"/>
      <c r="K150" s="58"/>
      <c r="L150" s="58"/>
      <c r="M150" s="58"/>
      <c r="N150" s="58"/>
      <c r="O150" s="58"/>
      <c r="P150" s="58"/>
      <c r="Q150" s="58"/>
    </row>
    <row r="151" spans="6:17" x14ac:dyDescent="0.35">
      <c r="F151" s="58"/>
      <c r="G151" s="58"/>
      <c r="H151" s="58"/>
      <c r="I151" s="58"/>
      <c r="J151" s="58"/>
      <c r="K151" s="58"/>
      <c r="L151" s="58"/>
      <c r="M151" s="58"/>
      <c r="N151" s="58"/>
      <c r="O151" s="58"/>
      <c r="P151" s="58"/>
      <c r="Q151" s="58"/>
    </row>
    <row r="152" spans="6:17" x14ac:dyDescent="0.35">
      <c r="F152" s="58"/>
      <c r="G152" s="58"/>
      <c r="H152" s="58"/>
      <c r="I152" s="58"/>
      <c r="J152" s="58"/>
      <c r="K152" s="58"/>
      <c r="L152" s="58"/>
      <c r="M152" s="58"/>
      <c r="N152" s="58"/>
      <c r="O152" s="58"/>
      <c r="P152" s="58"/>
      <c r="Q152" s="58"/>
    </row>
    <row r="153" spans="6:17" x14ac:dyDescent="0.35">
      <c r="F153" s="58"/>
      <c r="G153" s="58"/>
      <c r="H153" s="58"/>
      <c r="I153" s="58"/>
      <c r="J153" s="58"/>
      <c r="K153" s="58"/>
      <c r="L153" s="58"/>
      <c r="M153" s="58"/>
      <c r="N153" s="58"/>
      <c r="O153" s="58"/>
      <c r="P153" s="58"/>
      <c r="Q153" s="58"/>
    </row>
  </sheetData>
  <conditionalFormatting sqref="C10:Q12">
    <cfRule type="colorScale" priority="64">
      <colorScale>
        <cfvo type="min"/>
        <cfvo type="max"/>
        <color theme="0"/>
        <color rgb="FF5D9732"/>
      </colorScale>
    </cfRule>
  </conditionalFormatting>
  <conditionalFormatting sqref="C18:Q20">
    <cfRule type="colorScale" priority="62">
      <colorScale>
        <cfvo type="min"/>
        <cfvo type="max"/>
        <color theme="0"/>
        <color rgb="FF5D9732"/>
      </colorScale>
    </cfRule>
  </conditionalFormatting>
  <conditionalFormatting sqref="C30:Q32">
    <cfRule type="colorScale" priority="57">
      <colorScale>
        <cfvo type="min"/>
        <cfvo type="max"/>
        <color theme="0"/>
        <color rgb="FF5D9732"/>
      </colorScale>
    </cfRule>
  </conditionalFormatting>
  <conditionalFormatting sqref="C34:Q35">
    <cfRule type="colorScale" priority="55">
      <colorScale>
        <cfvo type="min"/>
        <cfvo type="max"/>
        <color theme="0"/>
        <color rgb="FF5D9732"/>
      </colorScale>
    </cfRule>
  </conditionalFormatting>
  <conditionalFormatting sqref="D67:Q67">
    <cfRule type="colorScale" priority="54">
      <colorScale>
        <cfvo type="min"/>
        <cfvo type="max"/>
        <color rgb="FFFCFCFF"/>
        <color rgb="FF00B050"/>
      </colorScale>
    </cfRule>
  </conditionalFormatting>
  <conditionalFormatting sqref="C50:Q52">
    <cfRule type="colorScale" priority="52">
      <colorScale>
        <cfvo type="min"/>
        <cfvo type="max"/>
        <color theme="0"/>
        <color rgb="FF5D9732"/>
      </colorScale>
    </cfRule>
  </conditionalFormatting>
  <conditionalFormatting sqref="Q58:Q60">
    <cfRule type="colorScale" priority="50">
      <colorScale>
        <cfvo type="min"/>
        <cfvo type="max"/>
        <color theme="0"/>
        <color rgb="FF00B050"/>
      </colorScale>
    </cfRule>
  </conditionalFormatting>
  <conditionalFormatting sqref="C68:Q68">
    <cfRule type="colorScale" priority="46">
      <colorScale>
        <cfvo type="min"/>
        <cfvo type="max"/>
        <color theme="0"/>
        <color rgb="FF5D9732"/>
      </colorScale>
    </cfRule>
  </conditionalFormatting>
  <conditionalFormatting sqref="C70:Q71">
    <cfRule type="colorScale" priority="44">
      <colorScale>
        <cfvo type="min"/>
        <cfvo type="max"/>
        <color theme="0"/>
        <color rgb="FF5D9732"/>
      </colorScale>
    </cfRule>
  </conditionalFormatting>
  <conditionalFormatting sqref="D86:Q88">
    <cfRule type="colorScale" priority="42">
      <colorScale>
        <cfvo type="min"/>
        <cfvo type="max"/>
        <color theme="0"/>
        <color rgb="FF5D9732"/>
      </colorScale>
    </cfRule>
  </conditionalFormatting>
  <conditionalFormatting sqref="D90:Q92">
    <cfRule type="colorScale" priority="41">
      <colorScale>
        <cfvo type="min"/>
        <cfvo type="max"/>
        <color theme="0"/>
        <color rgb="FF5D9732"/>
      </colorScale>
    </cfRule>
  </conditionalFormatting>
  <conditionalFormatting sqref="D94:Q96">
    <cfRule type="colorScale" priority="40">
      <colorScale>
        <cfvo type="min"/>
        <cfvo type="max"/>
        <color theme="0"/>
        <color rgb="FF5D9732"/>
      </colorScale>
    </cfRule>
  </conditionalFormatting>
  <conditionalFormatting sqref="D98:Q100">
    <cfRule type="colorScale" priority="39">
      <colorScale>
        <cfvo type="min"/>
        <cfvo type="max"/>
        <color theme="0"/>
        <color rgb="FF5D9732"/>
      </colorScale>
    </cfRule>
  </conditionalFormatting>
  <conditionalFormatting sqref="C14:Q16">
    <cfRule type="colorScale" priority="29">
      <colorScale>
        <cfvo type="min"/>
        <cfvo type="max"/>
        <color theme="0"/>
        <color rgb="FF5D9732"/>
      </colorScale>
    </cfRule>
  </conditionalFormatting>
  <conditionalFormatting sqref="C46:Q48">
    <cfRule type="colorScale" priority="28">
      <colorScale>
        <cfvo type="min"/>
        <cfvo type="max"/>
        <color theme="0"/>
        <color rgb="FF5D9732"/>
      </colorScale>
    </cfRule>
  </conditionalFormatting>
  <conditionalFormatting sqref="C54:Q60">
    <cfRule type="colorScale" priority="26">
      <colorScale>
        <cfvo type="min"/>
        <cfvo type="max"/>
        <color theme="0"/>
        <color rgb="FF5D9732"/>
      </colorScale>
    </cfRule>
  </conditionalFormatting>
  <conditionalFormatting sqref="D113:Q116 D118:Q120">
    <cfRule type="colorScale" priority="24">
      <colorScale>
        <cfvo type="min"/>
        <cfvo type="max"/>
        <color rgb="FFFCFCFF"/>
        <color rgb="FF5D9732"/>
      </colorScale>
    </cfRule>
  </conditionalFormatting>
  <conditionalFormatting sqref="D122:Q126 D128:Q128">
    <cfRule type="colorScale" priority="67">
      <colorScale>
        <cfvo type="min"/>
        <cfvo type="max"/>
        <color rgb="FFFCFCFF"/>
        <color rgb="FF5D9732"/>
      </colorScale>
    </cfRule>
  </conditionalFormatting>
  <conditionalFormatting sqref="D77:Q80">
    <cfRule type="colorScale" priority="68">
      <colorScale>
        <cfvo type="min"/>
        <cfvo type="max"/>
        <color rgb="FFFCFCFF"/>
        <color rgb="FF00B050"/>
      </colorScale>
    </cfRule>
  </conditionalFormatting>
  <conditionalFormatting sqref="D84:Q84">
    <cfRule type="colorScale" priority="13">
      <colorScale>
        <cfvo type="min"/>
        <cfvo type="max"/>
        <color rgb="FFFCFCFF"/>
        <color rgb="FF5D9732"/>
      </colorScale>
    </cfRule>
  </conditionalFormatting>
  <conditionalFormatting sqref="C62:Q65">
    <cfRule type="colorScale" priority="19">
      <colorScale>
        <cfvo type="min"/>
        <cfvo type="max"/>
        <color theme="0"/>
        <color rgb="FF5D9732"/>
      </colorScale>
    </cfRule>
  </conditionalFormatting>
  <conditionalFormatting sqref="C22:Q24">
    <cfRule type="colorScale" priority="18">
      <colorScale>
        <cfvo type="min"/>
        <cfvo type="max"/>
        <color theme="0"/>
        <color rgb="FF5D9732"/>
      </colorScale>
    </cfRule>
  </conditionalFormatting>
  <conditionalFormatting sqref="C26:Q29">
    <cfRule type="colorScale" priority="16">
      <colorScale>
        <cfvo type="min"/>
        <cfvo type="max"/>
        <color theme="0"/>
        <color rgb="FF5D9732"/>
      </colorScale>
    </cfRule>
  </conditionalFormatting>
  <conditionalFormatting sqref="C66:P66">
    <cfRule type="colorScale" priority="11">
      <colorScale>
        <cfvo type="min"/>
        <cfvo type="max"/>
        <color rgb="FFFCFCFF"/>
        <color rgb="FF5D9732"/>
      </colorScale>
    </cfRule>
  </conditionalFormatting>
  <conditionalFormatting sqref="D117:Q117">
    <cfRule type="colorScale" priority="10">
      <colorScale>
        <cfvo type="min"/>
        <cfvo type="max"/>
        <color rgb="FFFCFCFF"/>
        <color rgb="FF5D9732"/>
      </colorScale>
    </cfRule>
  </conditionalFormatting>
  <conditionalFormatting sqref="D127:Q127">
    <cfRule type="colorScale" priority="9">
      <colorScale>
        <cfvo type="min"/>
        <cfvo type="max"/>
        <color rgb="FFFCFCFF"/>
        <color rgb="FF5D9732"/>
      </colorScale>
    </cfRule>
  </conditionalFormatting>
  <conditionalFormatting sqref="D132:Q133">
    <cfRule type="colorScale" priority="5">
      <colorScale>
        <cfvo type="min"/>
        <cfvo type="max"/>
        <color theme="0"/>
        <color rgb="FF5D9732"/>
      </colorScale>
    </cfRule>
  </conditionalFormatting>
  <conditionalFormatting sqref="D102:Q106">
    <cfRule type="colorScale" priority="94">
      <colorScale>
        <cfvo type="min"/>
        <cfvo type="max"/>
        <color theme="0"/>
        <color rgb="FF5D9732"/>
      </colorScale>
    </cfRule>
  </conditionalFormatting>
  <conditionalFormatting sqref="D107:Q108">
    <cfRule type="colorScale" priority="95">
      <colorScale>
        <cfvo type="min"/>
        <cfvo type="max"/>
        <color rgb="FFFCFCFF"/>
        <color rgb="FF5D9732"/>
      </colorScale>
    </cfRule>
  </conditionalFormatting>
  <conditionalFormatting sqref="D110:Q111">
    <cfRule type="colorScale" priority="96">
      <colorScale>
        <cfvo type="min"/>
        <cfvo type="max"/>
        <color theme="0"/>
        <color rgb="FF5D9732"/>
      </colorScale>
    </cfRule>
  </conditionalFormatting>
  <conditionalFormatting sqref="D129:Q130">
    <cfRule type="colorScale" priority="2">
      <colorScale>
        <cfvo type="min"/>
        <cfvo type="max"/>
        <color theme="0"/>
        <color rgb="FF5D9732"/>
      </colorScale>
    </cfRule>
  </conditionalFormatting>
  <conditionalFormatting sqref="D131:Q131">
    <cfRule type="colorScale" priority="1">
      <colorScale>
        <cfvo type="min"/>
        <cfvo type="max"/>
        <color theme="0"/>
        <color rgb="FF5D9732"/>
      </colorScale>
    </cfRule>
  </conditionalFormatting>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16A6BA-05B6-4BF8-AAEC-84C96F1A9FDE}">
  <sheetPr codeName="Sheet17">
    <tabColor rgb="FF8CC63F"/>
  </sheetPr>
  <dimension ref="A1:Z143"/>
  <sheetViews>
    <sheetView zoomScale="70" zoomScaleNormal="70" workbookViewId="0">
      <pane ySplit="6" topLeftCell="A76" activePane="bottomLeft" state="frozen"/>
      <selection activeCell="B117" sqref="B117"/>
      <selection pane="bottomLeft" activeCell="B117" sqref="B117"/>
    </sheetView>
  </sheetViews>
  <sheetFormatPr defaultRowHeight="14.5" x14ac:dyDescent="0.35"/>
  <cols>
    <col min="1" max="1" width="5.08984375" customWidth="1"/>
    <col min="2" max="2" width="25.1796875" customWidth="1"/>
    <col min="3" max="3" width="7.1796875" bestFit="1" customWidth="1"/>
    <col min="6" max="16" width="9.36328125" bestFit="1" customWidth="1"/>
    <col min="17" max="17" width="10.08984375" customWidth="1"/>
  </cols>
  <sheetData>
    <row r="1" spans="1:20" x14ac:dyDescent="0.35">
      <c r="R1" t="s">
        <v>104</v>
      </c>
    </row>
    <row r="2" spans="1:20" x14ac:dyDescent="0.35">
      <c r="A2" s="30"/>
      <c r="B2" s="7" t="s">
        <v>369</v>
      </c>
      <c r="C2" s="30"/>
      <c r="D2" s="30"/>
      <c r="E2" s="30"/>
      <c r="F2" s="30"/>
      <c r="G2" s="30"/>
      <c r="Q2" s="4"/>
      <c r="R2" s="23"/>
    </row>
    <row r="3" spans="1:20" x14ac:dyDescent="0.35">
      <c r="Q3" s="4"/>
      <c r="R3" s="23"/>
      <c r="T3" s="138" t="s">
        <v>133</v>
      </c>
    </row>
    <row r="4" spans="1:20" x14ac:dyDescent="0.35">
      <c r="Q4" s="4" t="s">
        <v>256</v>
      </c>
      <c r="R4" s="23">
        <v>1</v>
      </c>
      <c r="T4" s="138" t="s">
        <v>134</v>
      </c>
    </row>
    <row r="5" spans="1:20" x14ac:dyDescent="0.35">
      <c r="C5" t="s">
        <v>105</v>
      </c>
      <c r="T5" s="138" t="s">
        <v>135</v>
      </c>
    </row>
    <row r="6" spans="1:20" ht="21" x14ac:dyDescent="0.5">
      <c r="B6" s="102"/>
      <c r="C6" s="103">
        <v>2021</v>
      </c>
      <c r="D6" s="103">
        <v>2022</v>
      </c>
      <c r="E6" s="103">
        <f t="shared" ref="E6:Q6" si="0">D6+1</f>
        <v>2023</v>
      </c>
      <c r="F6" s="103">
        <f t="shared" si="0"/>
        <v>2024</v>
      </c>
      <c r="G6" s="103">
        <f t="shared" si="0"/>
        <v>2025</v>
      </c>
      <c r="H6" s="103">
        <f t="shared" si="0"/>
        <v>2026</v>
      </c>
      <c r="I6" s="103">
        <f t="shared" si="0"/>
        <v>2027</v>
      </c>
      <c r="J6" s="103">
        <f t="shared" si="0"/>
        <v>2028</v>
      </c>
      <c r="K6" s="103">
        <f t="shared" si="0"/>
        <v>2029</v>
      </c>
      <c r="L6" s="104">
        <f t="shared" si="0"/>
        <v>2030</v>
      </c>
      <c r="M6" s="103">
        <f t="shared" si="0"/>
        <v>2031</v>
      </c>
      <c r="N6" s="103">
        <f t="shared" si="0"/>
        <v>2032</v>
      </c>
      <c r="O6" s="103">
        <f t="shared" si="0"/>
        <v>2033</v>
      </c>
      <c r="P6" s="103">
        <f t="shared" si="0"/>
        <v>2034</v>
      </c>
      <c r="Q6" s="103">
        <f t="shared" si="0"/>
        <v>2035</v>
      </c>
      <c r="R6" s="112" t="s">
        <v>96</v>
      </c>
      <c r="T6" s="138" t="s">
        <v>136</v>
      </c>
    </row>
    <row r="7" spans="1:20" ht="15.5" x14ac:dyDescent="0.35">
      <c r="A7" s="116" t="s">
        <v>132</v>
      </c>
      <c r="B7" s="117" t="s">
        <v>107</v>
      </c>
      <c r="C7" s="117"/>
      <c r="D7" s="118"/>
      <c r="E7" s="118"/>
      <c r="F7" s="118"/>
      <c r="G7" s="118"/>
      <c r="H7" s="118"/>
      <c r="I7" s="118"/>
      <c r="J7" s="118"/>
      <c r="K7" s="118"/>
      <c r="L7" s="118"/>
      <c r="M7" s="118"/>
      <c r="N7" s="118"/>
      <c r="O7" s="118"/>
      <c r="P7" s="118"/>
      <c r="Q7" s="118"/>
      <c r="R7" s="119"/>
    </row>
    <row r="8" spans="1:20" ht="15.5" x14ac:dyDescent="0.35">
      <c r="A8" s="116"/>
      <c r="B8" s="120" t="s">
        <v>108</v>
      </c>
      <c r="C8" s="120"/>
      <c r="D8" s="116"/>
      <c r="E8" s="116"/>
      <c r="F8" s="116"/>
      <c r="G8" s="116"/>
      <c r="H8" s="116"/>
      <c r="I8" s="116"/>
      <c r="J8" s="116"/>
      <c r="K8" s="116"/>
      <c r="L8" s="116"/>
      <c r="M8" s="116"/>
      <c r="N8" s="116"/>
      <c r="O8" s="116"/>
      <c r="P8" s="116"/>
      <c r="Q8" s="116"/>
      <c r="R8" s="115"/>
    </row>
    <row r="9" spans="1:20" ht="15.5" x14ac:dyDescent="0.35">
      <c r="A9" s="116"/>
      <c r="B9" s="129" t="s">
        <v>350</v>
      </c>
      <c r="C9" s="129"/>
      <c r="D9" s="129"/>
      <c r="E9" s="129"/>
      <c r="F9" s="129"/>
      <c r="G9" s="129"/>
      <c r="H9" s="129"/>
      <c r="I9" s="129"/>
      <c r="J9" s="129"/>
      <c r="K9" s="129"/>
      <c r="L9" s="129"/>
      <c r="M9" s="129"/>
      <c r="N9" s="129"/>
      <c r="O9" s="129"/>
      <c r="P9" s="129"/>
      <c r="Q9" s="129"/>
      <c r="R9" s="130"/>
    </row>
    <row r="10" spans="1:20" ht="15.5" x14ac:dyDescent="0.35">
      <c r="A10" s="121">
        <f>MAX(Assumptions!C$45:C$47)</f>
        <v>1</v>
      </c>
      <c r="B10" s="111">
        <v>12</v>
      </c>
      <c r="C10" s="108" cm="1">
        <f t="array" aca="1" ref="C10" ca="1">INDIRECT("R[36]C["&amp;$A$10&amp;"]",FALSE)</f>
        <v>0</v>
      </c>
      <c r="D10" s="108" cm="1">
        <f t="array" aca="1" ref="D10" ca="1">INDIRECT("R[36]C["&amp;$A$10&amp;"]",FALSE)</f>
        <v>0</v>
      </c>
      <c r="E10" s="108" cm="1">
        <f t="array" aca="1" ref="E10" ca="1">INDIRECT("R[36]C["&amp;$A$10&amp;"]",FALSE)</f>
        <v>0</v>
      </c>
      <c r="F10" s="108" cm="1">
        <f t="array" aca="1" ref="F10" ca="1">INDIRECT("R[36]C["&amp;$A$10&amp;"]",FALSE)</f>
        <v>0</v>
      </c>
      <c r="G10" s="108" cm="1">
        <f t="array" aca="1" ref="G10" ca="1">INDIRECT("R[36]C["&amp;$A$10&amp;"]",FALSE)</f>
        <v>0</v>
      </c>
      <c r="H10" s="108" cm="1">
        <f t="array" aca="1" ref="H10" ca="1">INDIRECT("R[36]C["&amp;$A$10&amp;"]",FALSE)</f>
        <v>0</v>
      </c>
      <c r="I10" s="108" cm="1">
        <f t="array" aca="1" ref="I10" ca="1">INDIRECT("R[36]C["&amp;$A$10&amp;"]",FALSE)</f>
        <v>0</v>
      </c>
      <c r="J10" s="108" cm="1">
        <f t="array" aca="1" ref="J10" ca="1">INDIRECT("R[36]C["&amp;$A$10&amp;"]",FALSE)</f>
        <v>0</v>
      </c>
      <c r="K10" s="108" cm="1">
        <f t="array" aca="1" ref="K10" ca="1">INDIRECT("R[36]C["&amp;$A$10&amp;"]",FALSE)</f>
        <v>0</v>
      </c>
      <c r="L10" s="108" cm="1">
        <f t="array" aca="1" ref="L10" ca="1">INDIRECT("R[36]C["&amp;$A$10&amp;"]",FALSE)</f>
        <v>0</v>
      </c>
      <c r="M10" s="108" cm="1">
        <f t="array" aca="1" ref="M10" ca="1">INDIRECT("R[36]C["&amp;$A$10&amp;"]",FALSE)</f>
        <v>0</v>
      </c>
      <c r="N10" s="108" cm="1">
        <f t="array" aca="1" ref="N10" ca="1">INDIRECT("R[36]C["&amp;$A$10&amp;"]",FALSE)</f>
        <v>0</v>
      </c>
      <c r="O10" s="108" cm="1">
        <f t="array" aca="1" ref="O10" ca="1">INDIRECT("R[36]C["&amp;$A$10&amp;"]",FALSE)</f>
        <v>0</v>
      </c>
      <c r="P10" s="110"/>
      <c r="Q10" s="110"/>
      <c r="R10" s="113">
        <f ca="1">SUM(C10:P10)</f>
        <v>0</v>
      </c>
    </row>
    <row r="11" spans="1:20" ht="15.5" x14ac:dyDescent="0.35">
      <c r="A11" s="121">
        <f>MAX(Assumptions!C$45:C$47)</f>
        <v>1</v>
      </c>
      <c r="B11" s="111">
        <v>15</v>
      </c>
      <c r="C11" s="108" cm="1">
        <f t="array" aca="1" ref="C11" ca="1">INDIRECT("R[36]C["&amp;$A$11&amp;"]",FALSE)</f>
        <v>0</v>
      </c>
      <c r="D11" s="108" cm="1">
        <f t="array" aca="1" ref="D11" ca="1">INDIRECT("R[36]C["&amp;$A$11&amp;"]",FALSE)</f>
        <v>0</v>
      </c>
      <c r="E11" s="108" cm="1">
        <f t="array" aca="1" ref="E11" ca="1">INDIRECT("R[36]C["&amp;$A$11&amp;"]",FALSE)</f>
        <v>0</v>
      </c>
      <c r="F11" s="108" cm="1">
        <f t="array" aca="1" ref="F11" ca="1">INDIRECT("R[36]C["&amp;$A$11&amp;"]",FALSE)</f>
        <v>0</v>
      </c>
      <c r="G11" s="108" cm="1">
        <f t="array" aca="1" ref="G11" ca="1">INDIRECT("R[36]C["&amp;$A$11&amp;"]",FALSE)</f>
        <v>0</v>
      </c>
      <c r="H11" s="108" cm="1">
        <f t="array" aca="1" ref="H11" ca="1">INDIRECT("R[36]C["&amp;$A$11&amp;"]",FALSE)</f>
        <v>33.345014087697692</v>
      </c>
      <c r="I11" s="108" cm="1">
        <f t="array" aca="1" ref="I11" ca="1">INDIRECT("R[36]C["&amp;$A$11&amp;"]",FALSE)</f>
        <v>66.679419262979792</v>
      </c>
      <c r="J11" s="108" cm="1">
        <f t="array" aca="1" ref="J11" ca="1">INDIRECT("R[36]C["&amp;$A$11&amp;"]",FALSE)</f>
        <v>66.679419262979792</v>
      </c>
      <c r="K11" s="108" cm="1">
        <f t="array" aca="1" ref="K11" ca="1">INDIRECT("R[36]C["&amp;$A$11&amp;"]",FALSE)</f>
        <v>0</v>
      </c>
      <c r="L11" s="108" cm="1">
        <f t="array" aca="1" ref="L11" ca="1">INDIRECT("R[36]C["&amp;$A$11&amp;"]",FALSE)</f>
        <v>0</v>
      </c>
      <c r="M11" s="108" cm="1">
        <f t="array" aca="1" ref="M11" ca="1">INDIRECT("R[36]C["&amp;$A$11&amp;"]",FALSE)</f>
        <v>0</v>
      </c>
      <c r="N11" s="108" cm="1">
        <f t="array" aca="1" ref="N11" ca="1">INDIRECT("R[36]C["&amp;$A$11&amp;"]",FALSE)</f>
        <v>0</v>
      </c>
      <c r="O11" s="108" cm="1">
        <f t="array" aca="1" ref="O11" ca="1">INDIRECT("R[36]C["&amp;$A$11&amp;"]",FALSE)</f>
        <v>0</v>
      </c>
      <c r="P11" s="110"/>
      <c r="Q11" s="110"/>
      <c r="R11" s="113">
        <f t="shared" ref="R11:R12" ca="1" si="1">SUM(C11:P11)</f>
        <v>166.70385261365726</v>
      </c>
    </row>
    <row r="12" spans="1:20" ht="15.5" x14ac:dyDescent="0.35">
      <c r="A12" s="121">
        <f>MAX(Assumptions!C$45:C$47)</f>
        <v>1</v>
      </c>
      <c r="B12" s="111">
        <v>18</v>
      </c>
      <c r="C12" s="108" cm="1">
        <f t="array" aca="1" ref="C12" ca="1">INDIRECT("R[36]C["&amp;$A$12&amp;"]",FALSE)</f>
        <v>0</v>
      </c>
      <c r="D12" s="108" cm="1">
        <f t="array" aca="1" ref="D12" ca="1">INDIRECT("R[36]C["&amp;$A$12&amp;"]",FALSE)</f>
        <v>0</v>
      </c>
      <c r="E12" s="108" cm="1">
        <f t="array" aca="1" ref="E12" ca="1">INDIRECT("R[36]C["&amp;$A$12&amp;"]",FALSE)</f>
        <v>0</v>
      </c>
      <c r="F12" s="108" cm="1">
        <f t="array" aca="1" ref="F12" ca="1">INDIRECT("R[36]C["&amp;$A$12&amp;"]",FALSE)</f>
        <v>0</v>
      </c>
      <c r="G12" s="108" cm="1">
        <f t="array" aca="1" ref="G12" ca="1">INDIRECT("R[36]C["&amp;$A$12&amp;"]",FALSE)</f>
        <v>0</v>
      </c>
      <c r="H12" s="108" cm="1">
        <f t="array" aca="1" ref="H12" ca="1">INDIRECT("R[36]C["&amp;$A$12&amp;"]",FALSE)</f>
        <v>0</v>
      </c>
      <c r="I12" s="108" cm="1">
        <f t="array" aca="1" ref="I12" ca="1">INDIRECT("R[36]C["&amp;$A$12&amp;"]",FALSE)</f>
        <v>0</v>
      </c>
      <c r="J12" s="108" cm="1">
        <f t="array" aca="1" ref="J12" ca="1">INDIRECT("R[36]C["&amp;$A$12&amp;"]",FALSE)</f>
        <v>0</v>
      </c>
      <c r="K12" s="108" cm="1">
        <f t="array" aca="1" ref="K12" ca="1">INDIRECT("R[36]C["&amp;$A$12&amp;"]",FALSE)</f>
        <v>61.087673353013642</v>
      </c>
      <c r="L12" s="108" cm="1">
        <f t="array" aca="1" ref="L12" ca="1">INDIRECT("R[36]C["&amp;$A$12&amp;"]",FALSE)</f>
        <v>27.76302935055006</v>
      </c>
      <c r="M12" s="108" cm="1">
        <f t="array" aca="1" ref="M12" ca="1">INDIRECT("R[36]C["&amp;$A$12&amp;"]",FALSE)</f>
        <v>22.215775389712444</v>
      </c>
      <c r="N12" s="108" cm="1">
        <f t="array" aca="1" ref="N12" ca="1">INDIRECT("R[36]C["&amp;$A$12&amp;"]",FALSE)</f>
        <v>0</v>
      </c>
      <c r="O12" s="108" cm="1">
        <f t="array" aca="1" ref="O12" ca="1">INDIRECT("R[36]C["&amp;$A$12&amp;"]",FALSE)</f>
        <v>0</v>
      </c>
      <c r="P12" s="110"/>
      <c r="Q12" s="110"/>
      <c r="R12" s="113">
        <f t="shared" ca="1" si="1"/>
        <v>111.06647809327615</v>
      </c>
      <c r="S12" t="s">
        <v>91</v>
      </c>
    </row>
    <row r="13" spans="1:20" ht="15.5" x14ac:dyDescent="0.35">
      <c r="A13" s="116"/>
      <c r="B13" s="129" t="s">
        <v>351</v>
      </c>
      <c r="C13" s="129"/>
      <c r="D13" s="129"/>
      <c r="E13" s="129"/>
      <c r="F13" s="129"/>
      <c r="G13" s="129"/>
      <c r="H13" s="129"/>
      <c r="I13" s="129"/>
      <c r="J13" s="129"/>
      <c r="K13" s="129"/>
      <c r="L13" s="129"/>
      <c r="M13" s="129"/>
      <c r="N13" s="129"/>
      <c r="O13" s="129"/>
      <c r="P13" s="129"/>
      <c r="Q13" s="129"/>
      <c r="R13" s="130"/>
    </row>
    <row r="14" spans="1:20" ht="15.5" x14ac:dyDescent="0.35">
      <c r="A14" s="121">
        <f>Assumptions!C$45</f>
        <v>1</v>
      </c>
      <c r="B14" s="111">
        <v>12</v>
      </c>
      <c r="C14" s="108" cm="1">
        <f t="array" aca="1" ref="C14" ca="1">INDIRECT("R[36]C["&amp;$A$14&amp;"]",FALSE)</f>
        <v>0</v>
      </c>
      <c r="D14" s="108" cm="1">
        <f t="array" aca="1" ref="D14" ca="1">INDIRECT("R[36]C["&amp;$A$14&amp;"]",FALSE)</f>
        <v>0</v>
      </c>
      <c r="E14" s="108" cm="1">
        <f t="array" aca="1" ref="E14" ca="1">INDIRECT("R[36]C["&amp;$A$14&amp;"]",FALSE)</f>
        <v>0</v>
      </c>
      <c r="F14" s="108" cm="1">
        <f t="array" aca="1" ref="F14" ca="1">INDIRECT("R[36]C["&amp;$A$14&amp;"]",FALSE)</f>
        <v>0</v>
      </c>
      <c r="G14" s="108" cm="1">
        <f t="array" aca="1" ref="G14" ca="1">INDIRECT("R[36]C["&amp;$A$14&amp;"]",FALSE)</f>
        <v>0</v>
      </c>
      <c r="H14" s="108" cm="1">
        <f t="array" aca="1" ref="H14" ca="1">INDIRECT("R[36]C["&amp;$A$14&amp;"]",FALSE)</f>
        <v>0</v>
      </c>
      <c r="I14" s="108" cm="1">
        <f t="array" aca="1" ref="I14" ca="1">INDIRECT("R[36]C["&amp;$A$14&amp;"]",FALSE)</f>
        <v>0</v>
      </c>
      <c r="J14" s="108" cm="1">
        <f t="array" aca="1" ref="J14" ca="1">INDIRECT("R[36]C["&amp;$A$14&amp;"]",FALSE)</f>
        <v>0</v>
      </c>
      <c r="K14" s="108" cm="1">
        <f t="array" aca="1" ref="K14" ca="1">INDIRECT("R[36]C["&amp;$A$14&amp;"]",FALSE)</f>
        <v>0</v>
      </c>
      <c r="L14" s="108" cm="1">
        <f t="array" aca="1" ref="L14" ca="1">INDIRECT("R[36]C["&amp;$A$14&amp;"]",FALSE)</f>
        <v>0</v>
      </c>
      <c r="M14" s="108" cm="1">
        <f t="array" aca="1" ref="M14" ca="1">INDIRECT("R[36]C["&amp;$A$14&amp;"]",FALSE)</f>
        <v>0</v>
      </c>
      <c r="N14" s="108" cm="1">
        <f t="array" aca="1" ref="N14" ca="1">INDIRECT("R[36]C["&amp;$A$14&amp;"]",FALSE)</f>
        <v>0</v>
      </c>
      <c r="O14" s="108" cm="1">
        <f t="array" aca="1" ref="O14" ca="1">INDIRECT("R[36]C["&amp;$A$14&amp;"]",FALSE)</f>
        <v>0</v>
      </c>
      <c r="P14" s="106"/>
      <c r="Q14" s="106"/>
      <c r="R14" s="113">
        <f ca="1">SUM(C14:P14)</f>
        <v>0</v>
      </c>
    </row>
    <row r="15" spans="1:20" ht="15.5" x14ac:dyDescent="0.35">
      <c r="A15" s="121">
        <f>Assumptions!C$45</f>
        <v>1</v>
      </c>
      <c r="B15" s="111">
        <v>15</v>
      </c>
      <c r="C15" s="108" cm="1">
        <f t="array" aca="1" ref="C15" ca="1">INDIRECT("R[36]C["&amp;$A$15&amp;"]",FALSE)</f>
        <v>0</v>
      </c>
      <c r="D15" s="108" cm="1">
        <f t="array" aca="1" ref="D15" ca="1">INDIRECT("R[36]C["&amp;$A$15&amp;"]",FALSE)</f>
        <v>0</v>
      </c>
      <c r="E15" s="108" cm="1">
        <f t="array" aca="1" ref="E15" ca="1">INDIRECT("R[36]C["&amp;$A$15&amp;"]",FALSE)</f>
        <v>0</v>
      </c>
      <c r="F15" s="108" cm="1">
        <f t="array" aca="1" ref="F15" ca="1">INDIRECT("R[36]C["&amp;$A$15&amp;"]",FALSE)</f>
        <v>0</v>
      </c>
      <c r="G15" s="108" cm="1">
        <f t="array" aca="1" ref="G15" ca="1">INDIRECT("R[36]C["&amp;$A$15&amp;"]",FALSE)</f>
        <v>0</v>
      </c>
      <c r="H15" s="108" cm="1">
        <f t="array" aca="1" ref="H15" ca="1">INDIRECT("R[36]C["&amp;$A$15&amp;"]",FALSE)</f>
        <v>100.03504226309308</v>
      </c>
      <c r="I15" s="108" cm="1">
        <f t="array" aca="1" ref="I15" ca="1">INDIRECT("R[36]C["&amp;$A$15&amp;"]",FALSE)</f>
        <v>200.03825778893938</v>
      </c>
      <c r="J15" s="108" cm="1">
        <f t="array" aca="1" ref="J15" ca="1">INDIRECT("R[36]C["&amp;$A$15&amp;"]",FALSE)</f>
        <v>200.03825778893938</v>
      </c>
      <c r="K15" s="108" cm="1">
        <f t="array" aca="1" ref="K15" ca="1">INDIRECT("R[36]C["&amp;$A$15&amp;"]",FALSE)</f>
        <v>0</v>
      </c>
      <c r="L15" s="108" cm="1">
        <f t="array" aca="1" ref="L15" ca="1">INDIRECT("R[36]C["&amp;$A$15&amp;"]",FALSE)</f>
        <v>0</v>
      </c>
      <c r="M15" s="108" cm="1">
        <f t="array" aca="1" ref="M15" ca="1">INDIRECT("R[36]C["&amp;$A$15&amp;"]",FALSE)</f>
        <v>0</v>
      </c>
      <c r="N15" s="108" cm="1">
        <f t="array" aca="1" ref="N15" ca="1">INDIRECT("R[36]C["&amp;$A$15&amp;"]",FALSE)</f>
        <v>0</v>
      </c>
      <c r="O15" s="108" cm="1">
        <f t="array" aca="1" ref="O15" ca="1">INDIRECT("R[36]C["&amp;$A$15&amp;"]",FALSE)</f>
        <v>0</v>
      </c>
      <c r="P15" s="106"/>
      <c r="Q15" s="106"/>
      <c r="R15" s="113">
        <f t="shared" ref="R15:R16" ca="1" si="2">SUM(C15:P15)</f>
        <v>500.11155784097184</v>
      </c>
    </row>
    <row r="16" spans="1:20" ht="15.5" x14ac:dyDescent="0.35">
      <c r="A16" s="121">
        <f>Assumptions!C$45</f>
        <v>1</v>
      </c>
      <c r="B16" s="111">
        <v>18</v>
      </c>
      <c r="C16" s="108" cm="1">
        <f t="array" aca="1" ref="C16" ca="1">INDIRECT("R[36]C["&amp;$A$16&amp;"]",FALSE)</f>
        <v>0</v>
      </c>
      <c r="D16" s="108" cm="1">
        <f t="array" aca="1" ref="D16" ca="1">INDIRECT("R[36]C["&amp;$A$16&amp;"]",FALSE)</f>
        <v>0</v>
      </c>
      <c r="E16" s="108" cm="1">
        <f t="array" aca="1" ref="E16" ca="1">INDIRECT("R[36]C["&amp;$A$16&amp;"]",FALSE)</f>
        <v>0</v>
      </c>
      <c r="F16" s="108" cm="1">
        <f t="array" aca="1" ref="F16" ca="1">INDIRECT("R[36]C["&amp;$A$16&amp;"]",FALSE)</f>
        <v>0</v>
      </c>
      <c r="G16" s="108" cm="1">
        <f t="array" aca="1" ref="G16" ca="1">INDIRECT("R[36]C["&amp;$A$16&amp;"]",FALSE)</f>
        <v>0</v>
      </c>
      <c r="H16" s="108" cm="1">
        <f t="array" aca="1" ref="H16" ca="1">INDIRECT("R[36]C["&amp;$A$16&amp;"]",FALSE)</f>
        <v>0</v>
      </c>
      <c r="I16" s="108" cm="1">
        <f t="array" aca="1" ref="I16" ca="1">INDIRECT("R[36]C["&amp;$A$16&amp;"]",FALSE)</f>
        <v>0</v>
      </c>
      <c r="J16" s="108" cm="1">
        <f t="array" aca="1" ref="J16" ca="1">INDIRECT("R[36]C["&amp;$A$16&amp;"]",FALSE)</f>
        <v>0</v>
      </c>
      <c r="K16" s="108" cm="1">
        <f t="array" aca="1" ref="K16" ca="1">INDIRECT("R[36]C["&amp;$A$16&amp;"]",FALSE)</f>
        <v>183.26302005904091</v>
      </c>
      <c r="L16" s="108" cm="1">
        <f t="array" aca="1" ref="L16" ca="1">INDIRECT("R[36]C["&amp;$A$16&amp;"]",FALSE)</f>
        <v>83.289088051650182</v>
      </c>
      <c r="M16" s="108" cm="1">
        <f t="array" aca="1" ref="M16" ca="1">INDIRECT("R[36]C["&amp;$A$16&amp;"]",FALSE)</f>
        <v>66.64732616913733</v>
      </c>
      <c r="N16" s="108" cm="1">
        <f t="array" aca="1" ref="N16" ca="1">INDIRECT("R[36]C["&amp;$A$16&amp;"]",FALSE)</f>
        <v>0</v>
      </c>
      <c r="O16" s="108" cm="1">
        <f t="array" aca="1" ref="O16" ca="1">INDIRECT("R[36]C["&amp;$A$16&amp;"]",FALSE)</f>
        <v>0</v>
      </c>
      <c r="P16" s="106"/>
      <c r="Q16" s="106"/>
      <c r="R16" s="113">
        <f t="shared" ca="1" si="2"/>
        <v>333.19943427982844</v>
      </c>
    </row>
    <row r="17" spans="1:18" ht="15.5" x14ac:dyDescent="0.35">
      <c r="A17" s="116"/>
      <c r="B17" s="129" t="s">
        <v>114</v>
      </c>
      <c r="C17" s="129"/>
      <c r="D17" s="129"/>
      <c r="E17" s="129"/>
      <c r="F17" s="129"/>
      <c r="G17" s="129"/>
      <c r="H17" s="129"/>
      <c r="I17" s="129"/>
      <c r="J17" s="129"/>
      <c r="K17" s="129"/>
      <c r="L17" s="129"/>
      <c r="M17" s="129"/>
      <c r="N17" s="129"/>
      <c r="O17" s="129"/>
      <c r="P17" s="129"/>
      <c r="Q17" s="129"/>
      <c r="R17" s="130"/>
    </row>
    <row r="18" spans="1:18" ht="15.5" x14ac:dyDescent="0.35">
      <c r="A18" s="121">
        <f>Assumptions!C46</f>
        <v>1</v>
      </c>
      <c r="B18" s="111">
        <v>12</v>
      </c>
      <c r="C18" s="108" cm="1">
        <f t="array" aca="1" ref="C18" ca="1">INDIRECT("R[36]C["&amp;$A$18&amp;"]",FALSE)</f>
        <v>0</v>
      </c>
      <c r="D18" s="108" cm="1">
        <f t="array" aca="1" ref="D18" ca="1">INDIRECT("R[36]C["&amp;$A$18&amp;"]",FALSE)</f>
        <v>0</v>
      </c>
      <c r="E18" s="108" cm="1">
        <f t="array" aca="1" ref="E18" ca="1">INDIRECT("R[36]C["&amp;$A$18&amp;"]",FALSE)</f>
        <v>0</v>
      </c>
      <c r="F18" s="108" cm="1">
        <f t="array" aca="1" ref="F18" ca="1">INDIRECT("R[36]C["&amp;$A$18&amp;"]",FALSE)</f>
        <v>0</v>
      </c>
      <c r="G18" s="108" cm="1">
        <f t="array" aca="1" ref="G18" ca="1">INDIRECT("R[36]C["&amp;$A$18&amp;"]",FALSE)</f>
        <v>0</v>
      </c>
      <c r="H18" s="108" cm="1">
        <f t="array" aca="1" ref="H18" ca="1">INDIRECT("R[36]C["&amp;$A$18&amp;"]",FALSE)</f>
        <v>0</v>
      </c>
      <c r="I18" s="108" cm="1">
        <f t="array" aca="1" ref="I18" ca="1">INDIRECT("R[36]C["&amp;$A$18&amp;"]",FALSE)</f>
        <v>0</v>
      </c>
      <c r="J18" s="108" cm="1">
        <f t="array" aca="1" ref="J18" ca="1">INDIRECT("R[36]C["&amp;$A$18&amp;"]",FALSE)</f>
        <v>0</v>
      </c>
      <c r="K18" s="108" cm="1">
        <f t="array" aca="1" ref="K18" ca="1">INDIRECT("R[36]C["&amp;$A$18&amp;"]",FALSE)</f>
        <v>0</v>
      </c>
      <c r="L18" s="108" cm="1">
        <f t="array" aca="1" ref="L18" ca="1">INDIRECT("R[36]C["&amp;$A$18&amp;"]",FALSE)</f>
        <v>0</v>
      </c>
      <c r="M18" s="108" cm="1">
        <f t="array" aca="1" ref="M18" ca="1">INDIRECT("R[36]C["&amp;$A$18&amp;"]",FALSE)</f>
        <v>0</v>
      </c>
      <c r="N18" s="108" cm="1">
        <f t="array" aca="1" ref="N18" ca="1">INDIRECT("R[36]C["&amp;$A$18&amp;"]",FALSE)</f>
        <v>0</v>
      </c>
      <c r="O18" s="108" cm="1">
        <f t="array" aca="1" ref="O18" ca="1">INDIRECT("R[36]C["&amp;$A$18&amp;"]",FALSE)</f>
        <v>0</v>
      </c>
      <c r="P18" s="106"/>
      <c r="Q18" s="106"/>
      <c r="R18" s="113">
        <f ca="1">SUM(C18:P18)</f>
        <v>0</v>
      </c>
    </row>
    <row r="19" spans="1:18" ht="15.5" x14ac:dyDescent="0.35">
      <c r="A19" s="121">
        <f>A18</f>
        <v>1</v>
      </c>
      <c r="B19" s="111">
        <v>15</v>
      </c>
      <c r="C19" s="108" cm="1">
        <f t="array" aca="1" ref="C19" ca="1">INDIRECT("R[36]C["&amp;$A$19&amp;"]",FALSE)</f>
        <v>0</v>
      </c>
      <c r="D19" s="108" cm="1">
        <f t="array" aca="1" ref="D19" ca="1">INDIRECT("R[36]C["&amp;$A$19&amp;"]",FALSE)</f>
        <v>0</v>
      </c>
      <c r="E19" s="108" cm="1">
        <f t="array" aca="1" ref="E19" ca="1">INDIRECT("R[36]C["&amp;$A$19&amp;"]",FALSE)</f>
        <v>0</v>
      </c>
      <c r="F19" s="108" cm="1">
        <f t="array" aca="1" ref="F19" ca="1">INDIRECT("R[36]C["&amp;$A$19&amp;"]",FALSE)</f>
        <v>0</v>
      </c>
      <c r="G19" s="108" cm="1">
        <f t="array" aca="1" ref="G19" ca="1">INDIRECT("R[36]C["&amp;$A$19&amp;"]",FALSE)</f>
        <v>0</v>
      </c>
      <c r="H19" s="108" cm="1">
        <f t="array" aca="1" ref="H19" ca="1">INDIRECT("R[36]C["&amp;$A$19&amp;"]",FALSE)</f>
        <v>33.345014087697692</v>
      </c>
      <c r="I19" s="108" cm="1">
        <f t="array" aca="1" ref="I19" ca="1">INDIRECT("R[36]C["&amp;$A$19&amp;"]",FALSE)</f>
        <v>66.679419262979792</v>
      </c>
      <c r="J19" s="108" cm="1">
        <f t="array" aca="1" ref="J19" ca="1">INDIRECT("R[36]C["&amp;$A$19&amp;"]",FALSE)</f>
        <v>66.679419262979792</v>
      </c>
      <c r="K19" s="108" cm="1">
        <f t="array" aca="1" ref="K19" ca="1">INDIRECT("R[36]C["&amp;$A$19&amp;"]",FALSE)</f>
        <v>0</v>
      </c>
      <c r="L19" s="108" cm="1">
        <f t="array" aca="1" ref="L19" ca="1">INDIRECT("R[36]C["&amp;$A$19&amp;"]",FALSE)</f>
        <v>0</v>
      </c>
      <c r="M19" s="108" cm="1">
        <f t="array" aca="1" ref="M19" ca="1">INDIRECT("R[36]C["&amp;$A$19&amp;"]",FALSE)</f>
        <v>0</v>
      </c>
      <c r="N19" s="108" cm="1">
        <f t="array" aca="1" ref="N19" ca="1">INDIRECT("R[36]C["&amp;$A$19&amp;"]",FALSE)</f>
        <v>0</v>
      </c>
      <c r="O19" s="108" cm="1">
        <f t="array" aca="1" ref="O19" ca="1">INDIRECT("R[36]C["&amp;$A$19&amp;"]",FALSE)</f>
        <v>0</v>
      </c>
      <c r="P19" s="106"/>
      <c r="Q19" s="106"/>
      <c r="R19" s="113">
        <f t="shared" ref="R19:R20" ca="1" si="3">SUM(C19:P19)</f>
        <v>166.70385261365726</v>
      </c>
    </row>
    <row r="20" spans="1:18" ht="15.5" x14ac:dyDescent="0.35">
      <c r="A20" s="121">
        <f>A18</f>
        <v>1</v>
      </c>
      <c r="B20" s="111">
        <v>18</v>
      </c>
      <c r="C20" s="108" cm="1">
        <f t="array" aca="1" ref="C20" ca="1">INDIRECT("R[36]C["&amp;$A$20&amp;"]",FALSE)</f>
        <v>0</v>
      </c>
      <c r="D20" s="108" cm="1">
        <f t="array" aca="1" ref="D20" ca="1">INDIRECT("R[36]C["&amp;$A$20&amp;"]",FALSE)</f>
        <v>0</v>
      </c>
      <c r="E20" s="108" cm="1">
        <f t="array" aca="1" ref="E20" ca="1">INDIRECT("R[36]C["&amp;$A$20&amp;"]",FALSE)</f>
        <v>0</v>
      </c>
      <c r="F20" s="108" cm="1">
        <f t="array" aca="1" ref="F20" ca="1">INDIRECT("R[36]C["&amp;$A$20&amp;"]",FALSE)</f>
        <v>0</v>
      </c>
      <c r="G20" s="108" cm="1">
        <f t="array" aca="1" ref="G20" ca="1">INDIRECT("R[36]C["&amp;$A$20&amp;"]",FALSE)</f>
        <v>0</v>
      </c>
      <c r="H20" s="108" cm="1">
        <f t="array" aca="1" ref="H20" ca="1">INDIRECT("R[36]C["&amp;$A$20&amp;"]",FALSE)</f>
        <v>0</v>
      </c>
      <c r="I20" s="108" cm="1">
        <f t="array" aca="1" ref="I20" ca="1">INDIRECT("R[36]C["&amp;$A$20&amp;"]",FALSE)</f>
        <v>0</v>
      </c>
      <c r="J20" s="108" cm="1">
        <f t="array" aca="1" ref="J20" ca="1">INDIRECT("R[36]C["&amp;$A$20&amp;"]",FALSE)</f>
        <v>0</v>
      </c>
      <c r="K20" s="108" cm="1">
        <f t="array" aca="1" ref="K20" ca="1">INDIRECT("R[36]C["&amp;$A$20&amp;"]",FALSE)</f>
        <v>61.087673353013642</v>
      </c>
      <c r="L20" s="108" cm="1">
        <f t="array" aca="1" ref="L20" ca="1">INDIRECT("R[36]C["&amp;$A$20&amp;"]",FALSE)</f>
        <v>27.76302935055006</v>
      </c>
      <c r="M20" s="108" cm="1">
        <f t="array" aca="1" ref="M20" ca="1">INDIRECT("R[36]C["&amp;$A$20&amp;"]",FALSE)</f>
        <v>22.215775389712444</v>
      </c>
      <c r="N20" s="108" cm="1">
        <f t="array" aca="1" ref="N20" ca="1">INDIRECT("R[36]C["&amp;$A$20&amp;"]",FALSE)</f>
        <v>0</v>
      </c>
      <c r="O20" s="108" cm="1">
        <f t="array" aca="1" ref="O20" ca="1">INDIRECT("R[36]C["&amp;$A$20&amp;"]",FALSE)</f>
        <v>0</v>
      </c>
      <c r="P20" s="106"/>
      <c r="Q20" s="106"/>
      <c r="R20" s="113">
        <f t="shared" ca="1" si="3"/>
        <v>111.06647809327615</v>
      </c>
    </row>
    <row r="21" spans="1:18" ht="15.5" x14ac:dyDescent="0.35">
      <c r="A21" s="116"/>
      <c r="B21" s="129" t="s">
        <v>352</v>
      </c>
      <c r="C21" s="129"/>
      <c r="D21" s="129"/>
      <c r="E21" s="129"/>
      <c r="F21" s="129"/>
      <c r="G21" s="129"/>
      <c r="H21" s="129"/>
      <c r="I21" s="129"/>
      <c r="J21" s="129"/>
      <c r="K21" s="129"/>
      <c r="L21" s="129"/>
      <c r="M21" s="129"/>
      <c r="N21" s="129"/>
      <c r="O21" s="129"/>
      <c r="P21" s="129"/>
      <c r="Q21" s="129"/>
      <c r="R21" s="130"/>
    </row>
    <row r="22" spans="1:18" ht="15.5" x14ac:dyDescent="0.35">
      <c r="A22" s="121">
        <f>Assumptions!C47</f>
        <v>1</v>
      </c>
      <c r="B22" s="111">
        <v>12</v>
      </c>
      <c r="C22" s="108" cm="1">
        <f t="array" aca="1" ref="C22" ca="1">INDIRECT("R[36]C["&amp;$A$22&amp;"]",FALSE)</f>
        <v>0</v>
      </c>
      <c r="D22" s="108" cm="1">
        <f t="array" aca="1" ref="D22" ca="1">INDIRECT("R[36]C["&amp;$A$18&amp;"]",FALSE)</f>
        <v>0</v>
      </c>
      <c r="E22" s="108" cm="1">
        <f t="array" aca="1" ref="E22" ca="1">INDIRECT("R[36]C["&amp;$A$18&amp;"]",FALSE)</f>
        <v>0</v>
      </c>
      <c r="F22" s="108" cm="1">
        <f t="array" aca="1" ref="F22" ca="1">INDIRECT("R[36]C["&amp;$A$18&amp;"]",FALSE)</f>
        <v>0</v>
      </c>
      <c r="G22" s="108" cm="1">
        <f t="array" aca="1" ref="G22" ca="1">INDIRECT("R[36]C["&amp;$A$18&amp;"]",FALSE)</f>
        <v>0</v>
      </c>
      <c r="H22" s="108" cm="1">
        <f t="array" aca="1" ref="H22" ca="1">INDIRECT("R[36]C["&amp;$A$18&amp;"]",FALSE)</f>
        <v>0</v>
      </c>
      <c r="I22" s="108" cm="1">
        <f t="array" aca="1" ref="I22" ca="1">INDIRECT("R[36]C["&amp;$A$18&amp;"]",FALSE)</f>
        <v>0</v>
      </c>
      <c r="J22" s="108" cm="1">
        <f t="array" aca="1" ref="J22" ca="1">INDIRECT("R[36]C["&amp;$A$18&amp;"]",FALSE)</f>
        <v>0</v>
      </c>
      <c r="K22" s="108" cm="1">
        <f t="array" aca="1" ref="K22" ca="1">INDIRECT("R[36]C["&amp;$A$18&amp;"]",FALSE)</f>
        <v>0</v>
      </c>
      <c r="L22" s="108" cm="1">
        <f t="array" aca="1" ref="L22" ca="1">INDIRECT("R[36]C["&amp;$A$18&amp;"]",FALSE)</f>
        <v>0</v>
      </c>
      <c r="M22" s="108" cm="1">
        <f t="array" aca="1" ref="M22" ca="1">INDIRECT("R[36]C["&amp;$A$18&amp;"]",FALSE)</f>
        <v>0</v>
      </c>
      <c r="N22" s="108" cm="1">
        <f t="array" aca="1" ref="N22" ca="1">INDIRECT("R[36]C["&amp;$A$18&amp;"]",FALSE)</f>
        <v>0</v>
      </c>
      <c r="O22" s="108" cm="1">
        <f t="array" aca="1" ref="O22" ca="1">INDIRECT("R[36]C["&amp;$A$18&amp;"]",FALSE)</f>
        <v>0</v>
      </c>
      <c r="P22" s="111"/>
      <c r="Q22" s="111"/>
      <c r="R22" s="113">
        <f ca="1">SUM(C22:P22)</f>
        <v>0</v>
      </c>
    </row>
    <row r="23" spans="1:18" ht="15.5" x14ac:dyDescent="0.35">
      <c r="A23" s="121">
        <f>A22</f>
        <v>1</v>
      </c>
      <c r="B23" s="111">
        <v>15</v>
      </c>
      <c r="C23" s="108" cm="1">
        <f t="array" aca="1" ref="C23" ca="1">INDIRECT("R[36]C["&amp;$A$23&amp;"]",FALSE)</f>
        <v>0</v>
      </c>
      <c r="D23" s="108" cm="1">
        <f t="array" aca="1" ref="D23" ca="1">INDIRECT("R[36]C["&amp;$A$19&amp;"]",FALSE)</f>
        <v>0</v>
      </c>
      <c r="E23" s="108" cm="1">
        <f t="array" aca="1" ref="E23" ca="1">INDIRECT("R[36]C["&amp;$A$19&amp;"]",FALSE)</f>
        <v>0</v>
      </c>
      <c r="F23" s="108" cm="1">
        <f t="array" aca="1" ref="F23" ca="1">INDIRECT("R[36]C["&amp;$A$19&amp;"]",FALSE)</f>
        <v>0</v>
      </c>
      <c r="G23" s="108" cm="1">
        <f t="array" aca="1" ref="G23" ca="1">INDIRECT("R[36]C["&amp;$A$19&amp;"]",FALSE)</f>
        <v>0</v>
      </c>
      <c r="H23" s="108" cm="1">
        <f t="array" aca="1" ref="H23" ca="1">INDIRECT("R[36]C["&amp;$A$19&amp;"]",FALSE)</f>
        <v>33.345014087697692</v>
      </c>
      <c r="I23" s="108" cm="1">
        <f t="array" aca="1" ref="I23" ca="1">INDIRECT("R[36]C["&amp;$A$19&amp;"]",FALSE)</f>
        <v>66.679419262979792</v>
      </c>
      <c r="J23" s="108" cm="1">
        <f t="array" aca="1" ref="J23" ca="1">INDIRECT("R[36]C["&amp;$A$19&amp;"]",FALSE)</f>
        <v>66.679419262979792</v>
      </c>
      <c r="K23" s="108" cm="1">
        <f t="array" aca="1" ref="K23" ca="1">INDIRECT("R[36]C["&amp;$A$19&amp;"]",FALSE)</f>
        <v>0</v>
      </c>
      <c r="L23" s="108" cm="1">
        <f t="array" aca="1" ref="L23" ca="1">INDIRECT("R[36]C["&amp;$A$19&amp;"]",FALSE)</f>
        <v>0</v>
      </c>
      <c r="M23" s="108" cm="1">
        <f t="array" aca="1" ref="M23" ca="1">INDIRECT("R[36]C["&amp;$A$19&amp;"]",FALSE)</f>
        <v>0</v>
      </c>
      <c r="N23" s="108" cm="1">
        <f t="array" aca="1" ref="N23" ca="1">INDIRECT("R[36]C["&amp;$A$19&amp;"]",FALSE)</f>
        <v>0</v>
      </c>
      <c r="O23" s="108" cm="1">
        <f t="array" aca="1" ref="O23" ca="1">INDIRECT("R[36]C["&amp;$A$19&amp;"]",FALSE)</f>
        <v>0</v>
      </c>
      <c r="P23" s="111"/>
      <c r="Q23" s="111"/>
      <c r="R23" s="113">
        <f t="shared" ref="R23:R24" ca="1" si="4">SUM(C23:P23)</f>
        <v>166.70385261365726</v>
      </c>
    </row>
    <row r="24" spans="1:18" ht="15.5" x14ac:dyDescent="0.35">
      <c r="A24" s="121">
        <f>A22</f>
        <v>1</v>
      </c>
      <c r="B24" s="111">
        <v>18</v>
      </c>
      <c r="C24" s="108" cm="1">
        <f t="array" aca="1" ref="C24" ca="1">INDIRECT("R[36]C["&amp;$A$24&amp;"]",FALSE)</f>
        <v>0</v>
      </c>
      <c r="D24" s="108" cm="1">
        <f t="array" aca="1" ref="D24" ca="1">INDIRECT("R[36]C["&amp;$A$20&amp;"]",FALSE)</f>
        <v>0</v>
      </c>
      <c r="E24" s="108" cm="1">
        <f t="array" aca="1" ref="E24" ca="1">INDIRECT("R[36]C["&amp;$A$20&amp;"]",FALSE)</f>
        <v>0</v>
      </c>
      <c r="F24" s="108" cm="1">
        <f t="array" aca="1" ref="F24" ca="1">INDIRECT("R[36]C["&amp;$A$20&amp;"]",FALSE)</f>
        <v>0</v>
      </c>
      <c r="G24" s="108" cm="1">
        <f t="array" aca="1" ref="G24" ca="1">INDIRECT("R[36]C["&amp;$A$20&amp;"]",FALSE)</f>
        <v>0</v>
      </c>
      <c r="H24" s="108" cm="1">
        <f t="array" aca="1" ref="H24" ca="1">INDIRECT("R[36]C["&amp;$A$20&amp;"]",FALSE)</f>
        <v>0</v>
      </c>
      <c r="I24" s="108" cm="1">
        <f t="array" aca="1" ref="I24" ca="1">INDIRECT("R[36]C["&amp;$A$20&amp;"]",FALSE)</f>
        <v>0</v>
      </c>
      <c r="J24" s="108" cm="1">
        <f t="array" aca="1" ref="J24" ca="1">INDIRECT("R[36]C["&amp;$A$20&amp;"]",FALSE)</f>
        <v>0</v>
      </c>
      <c r="K24" s="108" cm="1">
        <f t="array" aca="1" ref="K24" ca="1">INDIRECT("R[36]C["&amp;$A$20&amp;"]",FALSE)</f>
        <v>61.087673353013642</v>
      </c>
      <c r="L24" s="108" cm="1">
        <f t="array" aca="1" ref="L24" ca="1">INDIRECT("R[36]C["&amp;$A$20&amp;"]",FALSE)</f>
        <v>27.76302935055006</v>
      </c>
      <c r="M24" s="108" cm="1">
        <f t="array" aca="1" ref="M24" ca="1">INDIRECT("R[36]C["&amp;$A$20&amp;"]",FALSE)</f>
        <v>22.215775389712444</v>
      </c>
      <c r="N24" s="108" cm="1">
        <f t="array" aca="1" ref="N24" ca="1">INDIRECT("R[36]C["&amp;$A$20&amp;"]",FALSE)</f>
        <v>0</v>
      </c>
      <c r="O24" s="108" cm="1">
        <f t="array" aca="1" ref="O24" ca="1">INDIRECT("R[36]C["&amp;$A$20&amp;"]",FALSE)</f>
        <v>0</v>
      </c>
      <c r="P24" s="111"/>
      <c r="Q24" s="111"/>
      <c r="R24" s="113">
        <f t="shared" ca="1" si="4"/>
        <v>111.06647809327615</v>
      </c>
    </row>
    <row r="25" spans="1:18" ht="15.5" x14ac:dyDescent="0.35">
      <c r="A25" s="116"/>
      <c r="B25" s="129" t="s">
        <v>116</v>
      </c>
      <c r="C25" s="131"/>
      <c r="D25" s="131"/>
      <c r="E25" s="131"/>
      <c r="F25" s="131"/>
      <c r="G25" s="131"/>
      <c r="H25" s="131"/>
      <c r="I25" s="131"/>
      <c r="J25" s="131"/>
      <c r="K25" s="131"/>
      <c r="L25" s="131"/>
      <c r="M25" s="131"/>
      <c r="N25" s="131"/>
      <c r="O25" s="131"/>
      <c r="P25" s="131"/>
      <c r="Q25" s="131"/>
      <c r="R25" s="130"/>
    </row>
    <row r="26" spans="1:18" ht="15.5" x14ac:dyDescent="0.35">
      <c r="A26" s="121">
        <f>Assumptions!C51</f>
        <v>1</v>
      </c>
      <c r="B26" s="106" t="s">
        <v>257</v>
      </c>
      <c r="C26" s="108" cm="1">
        <f t="array" aca="1" ref="C26" ca="1">INDIRECT("R[36]C["&amp;$A$26&amp;"]",FALSE)</f>
        <v>0</v>
      </c>
      <c r="D26" s="108" cm="1">
        <f t="array" aca="1" ref="D26" ca="1">INDIRECT("R[36]C["&amp;$A$18&amp;"]",FALSE)</f>
        <v>0</v>
      </c>
      <c r="E26" s="108" cm="1">
        <f t="array" aca="1" ref="E26" ca="1">INDIRECT("R[36]C["&amp;$A$18&amp;"]",FALSE)</f>
        <v>0</v>
      </c>
      <c r="F26" s="108" cm="1">
        <f t="array" aca="1" ref="F26" ca="1">INDIRECT("R[36]C["&amp;$A$18&amp;"]",FALSE)</f>
        <v>0</v>
      </c>
      <c r="G26" s="108" cm="1">
        <f t="array" aca="1" ref="G26" ca="1">INDIRECT("R[36]C["&amp;$A$18&amp;"]",FALSE)</f>
        <v>0</v>
      </c>
      <c r="H26" s="108" cm="1">
        <f t="array" aca="1" ref="H26" ca="1">INDIRECT("R[36]C["&amp;$A$18&amp;"]",FALSE)</f>
        <v>0</v>
      </c>
      <c r="I26" s="108" cm="1">
        <f t="array" aca="1" ref="I26" ca="1">INDIRECT("R[36]C["&amp;$A$18&amp;"]",FALSE)</f>
        <v>0</v>
      </c>
      <c r="J26" s="108" cm="1">
        <f t="array" aca="1" ref="J26" ca="1">INDIRECT("R[36]C["&amp;$A$18&amp;"]",FALSE)</f>
        <v>0</v>
      </c>
      <c r="K26" s="108" cm="1">
        <f t="array" aca="1" ref="K26" ca="1">INDIRECT("R[36]C["&amp;$A$18&amp;"]",FALSE)</f>
        <v>0</v>
      </c>
      <c r="L26" s="108" cm="1">
        <f t="array" aca="1" ref="L26" ca="1">INDIRECT("R[36]C["&amp;$A$18&amp;"]",FALSE)</f>
        <v>0</v>
      </c>
      <c r="M26" s="108" cm="1">
        <f t="array" aca="1" ref="M26" ca="1">INDIRECT("R[36]C["&amp;$A$18&amp;"]",FALSE)</f>
        <v>0</v>
      </c>
      <c r="N26" s="108" cm="1">
        <f t="array" aca="1" ref="N26" ca="1">INDIRECT("R[36]C["&amp;$A$18&amp;"]",FALSE)</f>
        <v>0</v>
      </c>
      <c r="O26" s="108" cm="1">
        <f t="array" aca="1" ref="O26" ca="1">INDIRECT("R[36]C["&amp;$A$18&amp;"]",FALSE)</f>
        <v>0</v>
      </c>
      <c r="P26" s="108"/>
      <c r="Q26" s="108"/>
      <c r="R26" s="113">
        <f ca="1">SUM(C26:Q26)</f>
        <v>0</v>
      </c>
    </row>
    <row r="27" spans="1:18" ht="15.5" x14ac:dyDescent="0.35">
      <c r="A27" s="121">
        <f>A26</f>
        <v>1</v>
      </c>
      <c r="B27" s="106" t="s">
        <v>258</v>
      </c>
      <c r="C27" s="108" cm="1">
        <f t="array" aca="1" ref="C27" ca="1">INDIRECT("R[36]C["&amp;$A$27&amp;"]",FALSE)</f>
        <v>0</v>
      </c>
      <c r="D27" s="108" cm="1">
        <f t="array" aca="1" ref="D27" ca="1">INDIRECT("R[36]C["&amp;$A$19&amp;"]",FALSE)</f>
        <v>0</v>
      </c>
      <c r="E27" s="108" cm="1">
        <f t="array" aca="1" ref="E27" ca="1">INDIRECT("R[36]C["&amp;$A$19&amp;"]",FALSE)</f>
        <v>0</v>
      </c>
      <c r="F27" s="108" cm="1">
        <f t="array" aca="1" ref="F27" ca="1">INDIRECT("R[36]C["&amp;$A$19&amp;"]",FALSE)</f>
        <v>0</v>
      </c>
      <c r="G27" s="108" cm="1">
        <f t="array" aca="1" ref="G27" ca="1">INDIRECT("R[36]C["&amp;$A$19&amp;"]",FALSE)</f>
        <v>0</v>
      </c>
      <c r="H27" s="108" cm="1">
        <f t="array" aca="1" ref="H27" ca="1">INDIRECT("R[36]C["&amp;$A$19&amp;"]",FALSE)</f>
        <v>0</v>
      </c>
      <c r="I27" s="108" cm="1">
        <f t="array" aca="1" ref="I27" ca="1">INDIRECT("R[36]C["&amp;$A$19&amp;"]",FALSE)</f>
        <v>0</v>
      </c>
      <c r="J27" s="108" cm="1">
        <f t="array" aca="1" ref="J27" ca="1">INDIRECT("R[36]C["&amp;$A$19&amp;"]",FALSE)</f>
        <v>0</v>
      </c>
      <c r="K27" s="108" cm="1">
        <f t="array" aca="1" ref="K27" ca="1">INDIRECT("R[36]C["&amp;$A$19&amp;"]",FALSE)</f>
        <v>0</v>
      </c>
      <c r="L27" s="108" cm="1">
        <f t="array" aca="1" ref="L27" ca="1">INDIRECT("R[36]C["&amp;$A$19&amp;"]",FALSE)</f>
        <v>0</v>
      </c>
      <c r="M27" s="108" cm="1">
        <f t="array" aca="1" ref="M27" ca="1">INDIRECT("R[36]C["&amp;$A$19&amp;"]",FALSE)</f>
        <v>0</v>
      </c>
      <c r="N27" s="108" cm="1">
        <f t="array" aca="1" ref="N27" ca="1">INDIRECT("R[36]C["&amp;$A$19&amp;"]",FALSE)</f>
        <v>0</v>
      </c>
      <c r="O27" s="108" cm="1">
        <f t="array" aca="1" ref="O27" ca="1">INDIRECT("R[36]C["&amp;$A$19&amp;"]",FALSE)</f>
        <v>0</v>
      </c>
      <c r="P27" s="108"/>
      <c r="Q27" s="108"/>
      <c r="R27" s="113">
        <f t="shared" ref="R27:R30" ca="1" si="5">SUM(C27:Q27)</f>
        <v>0</v>
      </c>
    </row>
    <row r="28" spans="1:18" ht="15.5" x14ac:dyDescent="0.35">
      <c r="A28" s="121">
        <f>Assumptions!C53</f>
        <v>1</v>
      </c>
      <c r="B28" s="106" t="s">
        <v>353</v>
      </c>
      <c r="C28" s="108" cm="1">
        <f t="array" aca="1" ref="C28" ca="1">INDIRECT("R[36]C["&amp;$A$28&amp;"]",FALSE)</f>
        <v>0</v>
      </c>
      <c r="D28" s="108" cm="1">
        <f t="array" aca="1" ref="D28" ca="1">INDIRECT("R[36]C["&amp;$A$28&amp;"]",FALSE)</f>
        <v>0</v>
      </c>
      <c r="E28" s="108" cm="1">
        <f t="array" aca="1" ref="E28" ca="1">INDIRECT("R[36]C["&amp;$A$28&amp;"]",FALSE)</f>
        <v>0</v>
      </c>
      <c r="F28" s="108" cm="1">
        <f t="array" aca="1" ref="F28" ca="1">INDIRECT("R[36]C["&amp;$A$28&amp;"]",FALSE)</f>
        <v>0</v>
      </c>
      <c r="G28" s="108" cm="1">
        <f t="array" aca="1" ref="G28" ca="1">INDIRECT("R[36]C["&amp;$A$28&amp;"]",FALSE)</f>
        <v>0</v>
      </c>
      <c r="H28" s="108" cm="1">
        <f t="array" aca="1" ref="H28" ca="1">INDIRECT("R[36]C["&amp;$A$28&amp;"]",FALSE)</f>
        <v>0</v>
      </c>
      <c r="I28" s="108" cm="1">
        <f t="array" aca="1" ref="I28" ca="1">INDIRECT("R[36]C["&amp;$A$28&amp;"]",FALSE)</f>
        <v>0</v>
      </c>
      <c r="J28" s="108" cm="1">
        <f t="array" aca="1" ref="J28" ca="1">INDIRECT("R[36]C["&amp;$A$28&amp;"]",FALSE)</f>
        <v>0</v>
      </c>
      <c r="K28" s="108" cm="1">
        <f t="array" aca="1" ref="K28" ca="1">INDIRECT("R[36]C["&amp;$A$28&amp;"]",FALSE)</f>
        <v>0</v>
      </c>
      <c r="L28" s="108" cm="1">
        <f t="array" aca="1" ref="L28" ca="1">INDIRECT("R[36]C["&amp;$A$28&amp;"]",FALSE)</f>
        <v>0</v>
      </c>
      <c r="M28" s="108" cm="1">
        <f t="array" aca="1" ref="M28" ca="1">INDIRECT("R[36]C["&amp;$A$28&amp;"]",FALSE)</f>
        <v>0</v>
      </c>
      <c r="N28" s="108" cm="1">
        <f t="array" aca="1" ref="N28" ca="1">INDIRECT("R[36]C["&amp;$A$28&amp;"]",FALSE)</f>
        <v>0</v>
      </c>
      <c r="O28" s="108" cm="1">
        <f t="array" aca="1" ref="O28" ca="1">INDIRECT("R[36]C["&amp;$A$28&amp;"]",FALSE)</f>
        <v>0</v>
      </c>
      <c r="P28" s="108"/>
      <c r="Q28" s="108"/>
      <c r="R28" s="113">
        <f t="shared" ca="1" si="5"/>
        <v>0</v>
      </c>
    </row>
    <row r="29" spans="1:18" ht="15.5" x14ac:dyDescent="0.35">
      <c r="A29" s="121">
        <f>Assumptions!C52</f>
        <v>1</v>
      </c>
      <c r="B29" s="106" t="s">
        <v>117</v>
      </c>
      <c r="C29" s="108" cm="1">
        <f t="array" aca="1" ref="C29" ca="1">INDIRECT("R[36]C["&amp;$A$29&amp;"]",FALSE)</f>
        <v>0</v>
      </c>
      <c r="D29" s="108" cm="1">
        <f t="array" aca="1" ref="D29" ca="1">INDIRECT("R[36]C["&amp;$A$29&amp;"]",FALSE)</f>
        <v>0</v>
      </c>
      <c r="E29" s="108" cm="1">
        <f t="array" aca="1" ref="E29" ca="1">INDIRECT("R[36]C["&amp;$A$29&amp;"]",FALSE)</f>
        <v>0</v>
      </c>
      <c r="F29" s="108" cm="1">
        <f t="array" aca="1" ref="F29" ca="1">INDIRECT("R[36]C["&amp;$A$29&amp;"]",FALSE)</f>
        <v>0</v>
      </c>
      <c r="G29" s="108" cm="1">
        <f t="array" aca="1" ref="G29" ca="1">INDIRECT("R[36]C["&amp;$A$29&amp;"]",FALSE)</f>
        <v>0</v>
      </c>
      <c r="H29" s="108" cm="1">
        <f t="array" aca="1" ref="H29" ca="1">INDIRECT("R[36]C["&amp;$A$29&amp;"]",FALSE)</f>
        <v>33.345014087697692</v>
      </c>
      <c r="I29" s="108" cm="1">
        <f t="array" aca="1" ref="I29" ca="1">INDIRECT("R[36]C["&amp;$A$29&amp;"]",FALSE)</f>
        <v>66.679419262979792</v>
      </c>
      <c r="J29" s="108" cm="1">
        <f t="array" aca="1" ref="J29" ca="1">INDIRECT("R[36]C["&amp;$A$29&amp;"]",FALSE)</f>
        <v>66.679419262979792</v>
      </c>
      <c r="K29" s="108" cm="1">
        <f t="array" aca="1" ref="K29" ca="1">INDIRECT("R[36]C["&amp;$A$29&amp;"]",FALSE)</f>
        <v>61.087673353013642</v>
      </c>
      <c r="L29" s="108" cm="1">
        <f t="array" aca="1" ref="L29" ca="1">INDIRECT("R[36]C["&amp;$A$29&amp;"]",FALSE)</f>
        <v>27.76302935055006</v>
      </c>
      <c r="M29" s="108" cm="1">
        <f t="array" aca="1" ref="M29" ca="1">INDIRECT("R[36]C["&amp;$A$29&amp;"]",FALSE)</f>
        <v>22.215775389712444</v>
      </c>
      <c r="N29" s="108" cm="1">
        <f t="array" aca="1" ref="N29" ca="1">INDIRECT("R[36]C["&amp;$A$29&amp;"]",FALSE)</f>
        <v>0</v>
      </c>
      <c r="O29" s="108" cm="1">
        <f t="array" aca="1" ref="O29" ca="1">INDIRECT("R[36]C["&amp;$A$29&amp;"]",FALSE)</f>
        <v>0</v>
      </c>
      <c r="P29" s="108"/>
      <c r="Q29" s="108"/>
      <c r="R29" s="113">
        <f t="shared" ca="1" si="5"/>
        <v>277.77033070693341</v>
      </c>
    </row>
    <row r="30" spans="1:18" ht="15.5" x14ac:dyDescent="0.35">
      <c r="A30" s="121">
        <f>Assumptions!C54</f>
        <v>1</v>
      </c>
      <c r="B30" s="106" t="s">
        <v>354</v>
      </c>
      <c r="C30" s="108" cm="1">
        <f t="array" aca="1" ref="C30" ca="1">INDIRECT("R[36]C["&amp;$A$30&amp;"]",FALSE)</f>
        <v>0</v>
      </c>
      <c r="D30" s="108" cm="1">
        <f t="array" aca="1" ref="D30" ca="1">INDIRECT("R[36]C["&amp;$A$30&amp;"]",FALSE)</f>
        <v>0</v>
      </c>
      <c r="E30" s="108" cm="1">
        <f t="array" aca="1" ref="E30" ca="1">INDIRECT("R[36]C["&amp;$A$30&amp;"]",FALSE)</f>
        <v>0</v>
      </c>
      <c r="F30" s="108" cm="1">
        <f t="array" aca="1" ref="F30" ca="1">INDIRECT("R[36]C["&amp;$A$30&amp;"]",FALSE)</f>
        <v>0</v>
      </c>
      <c r="G30" s="108" cm="1">
        <f t="array" aca="1" ref="G30" ca="1">INDIRECT("R[36]C["&amp;$A$30&amp;"]",FALSE)</f>
        <v>0</v>
      </c>
      <c r="H30" s="108" cm="1">
        <f t="array" aca="1" ref="H30" ca="1">INDIRECT("R[36]C["&amp;$A$30&amp;"]",FALSE)</f>
        <v>1</v>
      </c>
      <c r="I30" s="108" cm="1">
        <f t="array" aca="1" ref="I30" ca="1">INDIRECT("R[36]C["&amp;$A$30&amp;"]",FALSE)</f>
        <v>2</v>
      </c>
      <c r="J30" s="108" cm="1">
        <f t="array" aca="1" ref="J30" ca="1">INDIRECT("R[36]C["&amp;$A$30&amp;"]",FALSE)</f>
        <v>2</v>
      </c>
      <c r="K30" s="108" cm="1">
        <f t="array" aca="1" ref="K30" ca="1">INDIRECT("R[36]C["&amp;$A$30&amp;"]",FALSE)</f>
        <v>2</v>
      </c>
      <c r="L30" s="108" cm="1">
        <f t="array" aca="1" ref="L30" ca="1">INDIRECT("R[36]C["&amp;$A$30&amp;"]",FALSE)</f>
        <v>1</v>
      </c>
      <c r="M30" s="108" cm="1">
        <f t="array" aca="1" ref="M30" ca="1">INDIRECT("R[36]C["&amp;$A$30&amp;"]",FALSE)</f>
        <v>1</v>
      </c>
      <c r="N30" s="108" cm="1">
        <f t="array" aca="1" ref="N30" ca="1">INDIRECT("R[36]C["&amp;$A$30&amp;"]",FALSE)</f>
        <v>0</v>
      </c>
      <c r="O30" s="108" cm="1">
        <f t="array" aca="1" ref="O30" ca="1">INDIRECT("R[36]C["&amp;$A$30&amp;"]",FALSE)</f>
        <v>0</v>
      </c>
      <c r="P30" s="108"/>
      <c r="Q30" s="108"/>
      <c r="R30" s="113">
        <f t="shared" ca="1" si="5"/>
        <v>9</v>
      </c>
    </row>
    <row r="31" spans="1:18" ht="15.5" x14ac:dyDescent="0.35">
      <c r="A31" s="116"/>
      <c r="B31" s="129" t="s">
        <v>119</v>
      </c>
      <c r="C31" s="131"/>
      <c r="D31" s="132"/>
      <c r="E31" s="132"/>
      <c r="F31" s="132"/>
      <c r="G31" s="132"/>
      <c r="H31" s="132"/>
      <c r="I31" s="132"/>
      <c r="J31" s="132"/>
      <c r="K31" s="132"/>
      <c r="L31" s="132"/>
      <c r="M31" s="132"/>
      <c r="N31" s="132"/>
      <c r="O31" s="132"/>
      <c r="P31" s="132"/>
      <c r="Q31" s="132"/>
      <c r="R31" s="130"/>
    </row>
    <row r="32" spans="1:18" ht="15.5" x14ac:dyDescent="0.35">
      <c r="A32" s="121">
        <f>Assumptions!C48</f>
        <v>2</v>
      </c>
      <c r="B32" s="106" t="s">
        <v>355</v>
      </c>
      <c r="C32" s="108" cm="1">
        <f t="array" aca="1" ref="C32" ca="1">INDIRECT("R[36]C["&amp;$A$32&amp;"]",FALSE)</f>
        <v>0</v>
      </c>
      <c r="D32" s="108" cm="1">
        <f t="array" aca="1" ref="D32" ca="1">INDIRECT("R[36]C["&amp;$A$32&amp;"]",FALSE)</f>
        <v>0</v>
      </c>
      <c r="E32" s="108" cm="1">
        <f t="array" aca="1" ref="E32" ca="1">INDIRECT("R[36]C["&amp;$A$32&amp;"]",FALSE)</f>
        <v>0</v>
      </c>
      <c r="F32" s="108" cm="1">
        <f t="array" aca="1" ref="F32" ca="1">INDIRECT("R[36]C["&amp;$A$32&amp;"]",FALSE)</f>
        <v>0</v>
      </c>
      <c r="G32" s="108" cm="1">
        <f t="array" aca="1" ref="G32" ca="1">INDIRECT("R[36]C["&amp;$A$32&amp;"]",FALSE)</f>
        <v>1</v>
      </c>
      <c r="H32" s="108" cm="1">
        <f t="array" aca="1" ref="H32" ca="1">INDIRECT("R[36]C["&amp;$A$32&amp;"]",FALSE)</f>
        <v>2</v>
      </c>
      <c r="I32" s="108" cm="1">
        <f t="array" aca="1" ref="I32" ca="1">INDIRECT("R[36]C["&amp;$A$32&amp;"]",FALSE)</f>
        <v>2</v>
      </c>
      <c r="J32" s="108" cm="1">
        <f t="array" aca="1" ref="J32" ca="1">INDIRECT("R[36]C["&amp;$A$32&amp;"]",FALSE)</f>
        <v>2</v>
      </c>
      <c r="K32" s="108" cm="1">
        <f t="array" aca="1" ref="K32" ca="1">INDIRECT("R[36]C["&amp;$A$32&amp;"]",FALSE)</f>
        <v>1</v>
      </c>
      <c r="L32" s="108" cm="1">
        <f t="array" aca="1" ref="L32" ca="1">INDIRECT("R[36]C["&amp;$A$32&amp;"]",FALSE)</f>
        <v>1</v>
      </c>
      <c r="M32" s="108" cm="1">
        <f t="array" aca="1" ref="M32" ca="1">INDIRECT("R[36]C["&amp;$A$32&amp;"]",FALSE)</f>
        <v>0</v>
      </c>
      <c r="N32" s="108" cm="1">
        <f t="array" aca="1" ref="N32" ca="1">INDIRECT("R[36]C["&amp;$A$32&amp;"]",FALSE)</f>
        <v>0</v>
      </c>
      <c r="O32" s="108" cm="1">
        <f t="array" aca="1" ref="O32" ca="1">INDIRECT("R[36]C["&amp;$A$32&amp;"]",FALSE)</f>
        <v>0</v>
      </c>
      <c r="P32" s="108"/>
      <c r="Q32" s="108"/>
      <c r="R32" s="113">
        <f ca="1">SUM(C32:Q32)</f>
        <v>9</v>
      </c>
    </row>
    <row r="33" spans="1:19" ht="15.5" x14ac:dyDescent="0.35">
      <c r="A33" s="116"/>
      <c r="B33" s="129" t="s">
        <v>356</v>
      </c>
      <c r="C33" s="131"/>
      <c r="D33" s="131"/>
      <c r="E33" s="131"/>
      <c r="F33" s="131"/>
      <c r="G33" s="131"/>
      <c r="H33" s="131"/>
      <c r="I33" s="131"/>
      <c r="J33" s="131"/>
      <c r="K33" s="131"/>
      <c r="L33" s="131"/>
      <c r="M33" s="131"/>
      <c r="N33" s="131"/>
      <c r="O33" s="131"/>
      <c r="P33" s="131"/>
      <c r="Q33" s="131"/>
      <c r="R33" s="130"/>
    </row>
    <row r="34" spans="1:19" ht="15.5" x14ac:dyDescent="0.35">
      <c r="A34" s="121">
        <f>Assumptions!C49</f>
        <v>1</v>
      </c>
      <c r="B34" s="106" t="s">
        <v>357</v>
      </c>
      <c r="C34" s="108" cm="1">
        <f t="array" aca="1" ref="C34" ca="1">INDIRECT("R[36]C["&amp;$A$34&amp;"]",FALSE)</f>
        <v>0</v>
      </c>
      <c r="D34" s="108" cm="1">
        <f t="array" aca="1" ref="D34" ca="1">INDIRECT("R[36]C["&amp;$A$34&amp;"]",FALSE)</f>
        <v>0</v>
      </c>
      <c r="E34" s="108" cm="1">
        <f t="array" aca="1" ref="E34" ca="1">INDIRECT("R[36]C["&amp;$A$34&amp;"]",FALSE)</f>
        <v>0</v>
      </c>
      <c r="F34" s="108" cm="1">
        <f t="array" aca="1" ref="F34" ca="1">INDIRECT("R[36]C["&amp;$A$34&amp;"]",FALSE)</f>
        <v>0</v>
      </c>
      <c r="G34" s="108" cm="1">
        <f t="array" aca="1" ref="G34" ca="1">INDIRECT("R[36]C["&amp;$A$34&amp;"]",FALSE)</f>
        <v>0</v>
      </c>
      <c r="H34" s="108" cm="1">
        <f t="array" aca="1" ref="H34" ca="1">INDIRECT("R[36]C["&amp;$A$34&amp;"]",FALSE)</f>
        <v>122.04275156097356</v>
      </c>
      <c r="I34" s="108" cm="1">
        <f t="array" aca="1" ref="I34" ca="1">INDIRECT("R[36]C["&amp;$A$34&amp;"]",FALSE)</f>
        <v>244.04667450250608</v>
      </c>
      <c r="J34" s="108" cm="1">
        <f t="array" aca="1" ref="J34" ca="1">INDIRECT("R[36]C["&amp;$A$34&amp;"]",FALSE)</f>
        <v>244.04667450250608</v>
      </c>
      <c r="K34" s="108" cm="1">
        <f t="array" aca="1" ref="K34" ca="1">INDIRECT("R[36]C["&amp;$A$34&amp;"]",FALSE)</f>
        <v>223.58088447202994</v>
      </c>
      <c r="L34" s="108" cm="1">
        <f t="array" aca="1" ref="L34" ca="1">INDIRECT("R[36]C["&amp;$A$34&amp;"]",FALSE)</f>
        <v>101.61268742301323</v>
      </c>
      <c r="M34" s="108" cm="1">
        <f t="array" aca="1" ref="M34" ca="1">INDIRECT("R[36]C["&amp;$A$34&amp;"]",FALSE)</f>
        <v>81.309737926347552</v>
      </c>
      <c r="N34" s="108" cm="1">
        <f t="array" aca="1" ref="N34" ca="1">INDIRECT("R[36]C["&amp;$A$34&amp;"]",FALSE)</f>
        <v>0</v>
      </c>
      <c r="O34" s="108" cm="1">
        <f t="array" aca="1" ref="O34" ca="1">INDIRECT("R[36]C["&amp;$A$34&amp;"]",FALSE)</f>
        <v>0</v>
      </c>
      <c r="P34" s="108"/>
      <c r="Q34" s="108"/>
      <c r="R34" s="113">
        <f ca="1">SUM(C34:Q34)</f>
        <v>1016.6394103873765</v>
      </c>
    </row>
    <row r="35" spans="1:19" ht="15.5" x14ac:dyDescent="0.35">
      <c r="A35" s="121">
        <f>Assumptions!C50</f>
        <v>1</v>
      </c>
      <c r="B35" s="106" t="s">
        <v>358</v>
      </c>
      <c r="C35" s="108" cm="1">
        <f t="array" aca="1" ref="C35" ca="1">INDIRECT("R[36]C["&amp;$A$35&amp;"]",FALSE)</f>
        <v>0</v>
      </c>
      <c r="D35" s="108" cm="1">
        <f t="array" aca="1" ref="D35" ca="1">INDIRECT("R[36]C["&amp;$A$35&amp;"]",FALSE)</f>
        <v>0</v>
      </c>
      <c r="E35" s="108" cm="1">
        <f t="array" aca="1" ref="E35" ca="1">INDIRECT("R[36]C["&amp;$A$35&amp;"]",FALSE)</f>
        <v>0</v>
      </c>
      <c r="F35" s="108" cm="1">
        <f t="array" aca="1" ref="F35" ca="1">INDIRECT("R[36]C["&amp;$A$35&amp;"]",FALSE)</f>
        <v>0</v>
      </c>
      <c r="G35" s="108" cm="1">
        <f t="array" aca="1" ref="G35" ca="1">INDIRECT("R[36]C["&amp;$A$35&amp;"]",FALSE)</f>
        <v>0</v>
      </c>
      <c r="H35" s="108" cm="1">
        <f t="array" aca="1" ref="H35" ca="1">INDIRECT("R[36]C["&amp;$A$35&amp;"]",FALSE)</f>
        <v>120</v>
      </c>
      <c r="I35" s="108" cm="1">
        <f t="array" aca="1" ref="I35" ca="1">INDIRECT("R[36]C["&amp;$A$35&amp;"]",FALSE)</f>
        <v>210</v>
      </c>
      <c r="J35" s="108" cm="1">
        <f t="array" aca="1" ref="J35" ca="1">INDIRECT("R[36]C["&amp;$A$35&amp;"]",FALSE)</f>
        <v>210</v>
      </c>
      <c r="K35" s="108" cm="1">
        <f t="array" aca="1" ref="K35" ca="1">INDIRECT("R[36]C["&amp;$A$35&amp;"]",FALSE)</f>
        <v>205</v>
      </c>
      <c r="L35" s="108" cm="1">
        <f t="array" aca="1" ref="L35" ca="1">INDIRECT("R[36]C["&amp;$A$35&amp;"]",FALSE)</f>
        <v>105</v>
      </c>
      <c r="M35" s="108" cm="1">
        <f t="array" aca="1" ref="M35" ca="1">INDIRECT("R[36]C["&amp;$A$35&amp;"]",FALSE)</f>
        <v>105</v>
      </c>
      <c r="N35" s="108" cm="1">
        <f t="array" aca="1" ref="N35" ca="1">INDIRECT("R[36]C["&amp;$A$35&amp;"]",FALSE)</f>
        <v>0</v>
      </c>
      <c r="O35" s="108" cm="1">
        <f t="array" aca="1" ref="O35" ca="1">INDIRECT("R[36]C["&amp;$A$35&amp;"]",FALSE)</f>
        <v>0</v>
      </c>
      <c r="P35" s="108"/>
      <c r="Q35" s="108"/>
      <c r="R35" s="113">
        <f ca="1">SUM(C35:Q35)</f>
        <v>955</v>
      </c>
    </row>
    <row r="36" spans="1:19" ht="15.5" x14ac:dyDescent="0.35">
      <c r="A36" s="116"/>
      <c r="B36" s="129"/>
      <c r="C36" s="129"/>
      <c r="D36" s="129"/>
      <c r="E36" s="129"/>
      <c r="F36" s="129"/>
      <c r="G36" s="129"/>
      <c r="H36" s="129"/>
      <c r="I36" s="129"/>
      <c r="J36" s="129"/>
      <c r="K36" s="129"/>
      <c r="L36" s="129"/>
      <c r="M36" s="129"/>
      <c r="N36" s="129"/>
      <c r="O36" s="129"/>
      <c r="P36" s="129"/>
      <c r="Q36" s="129"/>
      <c r="R36" s="130"/>
    </row>
    <row r="37" spans="1:19" ht="15.5" x14ac:dyDescent="0.35">
      <c r="A37" s="116"/>
      <c r="B37" s="116"/>
      <c r="C37" s="116"/>
      <c r="D37" s="115"/>
      <c r="E37" s="115"/>
      <c r="F37" s="115"/>
      <c r="G37" s="115"/>
      <c r="H37" s="115"/>
      <c r="I37" s="115"/>
      <c r="J37" s="115"/>
      <c r="K37" s="115"/>
      <c r="L37" s="115"/>
      <c r="M37" s="115"/>
      <c r="N37" s="115"/>
      <c r="O37" s="115"/>
      <c r="P37" s="115"/>
      <c r="Q37" s="115"/>
      <c r="R37" s="115"/>
    </row>
    <row r="38" spans="1:19" ht="15.5" x14ac:dyDescent="0.35">
      <c r="A38" s="116"/>
      <c r="B38" s="116"/>
      <c r="C38" s="116"/>
      <c r="D38" s="115"/>
      <c r="E38" s="115"/>
      <c r="F38" s="115"/>
      <c r="G38" s="115"/>
      <c r="H38" s="115"/>
      <c r="I38" s="115"/>
      <c r="J38" s="115"/>
      <c r="K38" s="115"/>
      <c r="L38" s="115"/>
      <c r="M38" s="115"/>
      <c r="N38" s="115"/>
      <c r="O38" s="115"/>
      <c r="P38" s="115"/>
      <c r="Q38" s="115"/>
      <c r="R38" s="115"/>
    </row>
    <row r="39" spans="1:19" ht="15.5" x14ac:dyDescent="0.35">
      <c r="A39" s="116"/>
      <c r="B39" s="116" t="s">
        <v>235</v>
      </c>
      <c r="C39" s="115">
        <f ca="1">SUM(C10:C12)</f>
        <v>0</v>
      </c>
      <c r="D39" s="115">
        <f ca="1">SUM(D10:D12)</f>
        <v>0</v>
      </c>
      <c r="E39" s="115">
        <f t="shared" ref="E39:Q39" ca="1" si="6">SUM(E10:E12)</f>
        <v>0</v>
      </c>
      <c r="F39" s="115">
        <f t="shared" ca="1" si="6"/>
        <v>0</v>
      </c>
      <c r="G39" s="115">
        <f t="shared" ca="1" si="6"/>
        <v>0</v>
      </c>
      <c r="H39" s="115">
        <f t="shared" ca="1" si="6"/>
        <v>33.345014087697692</v>
      </c>
      <c r="I39" s="115">
        <f t="shared" ca="1" si="6"/>
        <v>66.679419262979792</v>
      </c>
      <c r="J39" s="115">
        <f t="shared" ca="1" si="6"/>
        <v>66.679419262979792</v>
      </c>
      <c r="K39" s="115">
        <f t="shared" ca="1" si="6"/>
        <v>61.087673353013642</v>
      </c>
      <c r="L39" s="115">
        <f t="shared" ca="1" si="6"/>
        <v>27.76302935055006</v>
      </c>
      <c r="M39" s="115">
        <f t="shared" ca="1" si="6"/>
        <v>22.215775389712444</v>
      </c>
      <c r="N39" s="115">
        <f t="shared" ca="1" si="6"/>
        <v>0</v>
      </c>
      <c r="O39" s="115">
        <f t="shared" ca="1" si="6"/>
        <v>0</v>
      </c>
      <c r="P39" s="115">
        <f t="shared" si="6"/>
        <v>0</v>
      </c>
      <c r="Q39" s="115">
        <f t="shared" si="6"/>
        <v>0</v>
      </c>
      <c r="R39" s="115">
        <f ca="1">SUM(R10:R12)</f>
        <v>277.77033070693341</v>
      </c>
    </row>
    <row r="40" spans="1:19" ht="15.5" x14ac:dyDescent="0.35">
      <c r="A40" s="116"/>
      <c r="B40" s="116"/>
      <c r="C40" s="116"/>
      <c r="D40" s="115"/>
      <c r="E40" s="115"/>
      <c r="F40" s="115"/>
      <c r="G40" s="115"/>
      <c r="H40" s="115"/>
      <c r="I40" s="115"/>
      <c r="J40" s="115"/>
      <c r="K40" s="115"/>
      <c r="L40" s="115"/>
      <c r="M40" s="115"/>
      <c r="N40" s="115"/>
      <c r="O40" s="115"/>
      <c r="P40" s="115"/>
      <c r="Q40" s="115"/>
      <c r="R40" s="115"/>
    </row>
    <row r="41" spans="1:19" ht="15.5" x14ac:dyDescent="0.35">
      <c r="A41" s="116"/>
      <c r="B41" s="116"/>
      <c r="C41" s="116"/>
      <c r="D41" s="115"/>
      <c r="E41" s="115"/>
      <c r="F41" s="115"/>
      <c r="G41" s="115"/>
      <c r="H41" s="115"/>
      <c r="I41" s="115"/>
      <c r="J41" s="115"/>
      <c r="K41" s="115"/>
      <c r="L41" s="115"/>
      <c r="M41" s="115"/>
      <c r="N41" s="115"/>
      <c r="O41" s="115"/>
      <c r="P41" s="115"/>
      <c r="Q41" s="115"/>
      <c r="R41" s="115"/>
    </row>
    <row r="42" spans="1:19" ht="15.5" x14ac:dyDescent="0.35">
      <c r="A42" s="116"/>
      <c r="B42" s="116"/>
      <c r="C42" s="116"/>
      <c r="D42" s="116"/>
      <c r="E42" s="116"/>
      <c r="F42" s="116"/>
      <c r="G42" s="116"/>
      <c r="H42" s="116"/>
      <c r="I42" s="116"/>
      <c r="J42" s="116"/>
      <c r="K42" s="116"/>
      <c r="L42" s="116"/>
      <c r="M42" s="116"/>
      <c r="N42" s="116"/>
      <c r="O42" s="116"/>
      <c r="P42" s="116"/>
      <c r="Q42" s="116"/>
      <c r="R42" s="115"/>
    </row>
    <row r="43" spans="1:19" ht="15.5" x14ac:dyDescent="0.35">
      <c r="A43" s="116"/>
      <c r="B43" s="116"/>
      <c r="C43" s="116"/>
      <c r="D43" s="116"/>
      <c r="E43" s="116"/>
      <c r="F43" s="116"/>
      <c r="G43" s="116"/>
      <c r="H43" s="116"/>
      <c r="I43" s="116"/>
      <c r="J43" s="116"/>
      <c r="K43" s="116"/>
      <c r="L43" s="116"/>
      <c r="M43" s="116"/>
      <c r="N43" s="116"/>
      <c r="O43" s="116"/>
      <c r="P43" s="116"/>
      <c r="Q43" s="116"/>
      <c r="R43" s="115"/>
    </row>
    <row r="44" spans="1:19" ht="15.5" x14ac:dyDescent="0.35">
      <c r="A44" s="116"/>
      <c r="B44" s="120" t="s">
        <v>193</v>
      </c>
      <c r="C44" s="120"/>
      <c r="D44" s="116"/>
      <c r="E44" s="116"/>
      <c r="F44" s="116"/>
      <c r="G44" s="116"/>
      <c r="H44" s="116"/>
      <c r="I44" s="116"/>
      <c r="J44" s="116"/>
      <c r="K44" s="116"/>
      <c r="L44" s="116"/>
      <c r="M44" s="116"/>
      <c r="N44" s="116"/>
      <c r="O44" s="116"/>
      <c r="P44" s="116"/>
      <c r="Q44" s="116"/>
      <c r="R44" s="115"/>
    </row>
    <row r="45" spans="1:19" ht="15.5" x14ac:dyDescent="0.35">
      <c r="A45" s="116"/>
      <c r="B45" s="129" t="s">
        <v>112</v>
      </c>
      <c r="C45" s="129"/>
      <c r="D45" s="129"/>
      <c r="E45" s="129"/>
      <c r="F45" s="129"/>
      <c r="G45" s="129"/>
      <c r="H45" s="129"/>
      <c r="I45" s="129"/>
      <c r="J45" s="129"/>
      <c r="K45" s="129"/>
      <c r="L45" s="129"/>
      <c r="M45" s="129"/>
      <c r="N45" s="129"/>
      <c r="O45" s="129"/>
      <c r="P45" s="129"/>
      <c r="Q45" s="129"/>
      <c r="R45" s="130"/>
    </row>
    <row r="46" spans="1:19" ht="15.5" x14ac:dyDescent="0.35">
      <c r="A46" s="122">
        <f>Assumptions!C55</f>
        <v>1</v>
      </c>
      <c r="B46" s="123">
        <v>12</v>
      </c>
      <c r="C46" s="127" cm="1">
        <f t="array" aca="1" ref="C46" ca="1">INDIRECT("R[40]C["&amp;$A$46&amp;"]",FALSE)</f>
        <v>0</v>
      </c>
      <c r="D46" s="124" cm="1">
        <f t="array" aca="1" ref="D46" ca="1">INDIRECT("R[40]C["&amp;$A$46&amp;"]",FALSE)</f>
        <v>0</v>
      </c>
      <c r="E46" s="124" cm="1">
        <f t="array" aca="1" ref="E46" ca="1">INDIRECT("R[40]C["&amp;$A$46&amp;"]",FALSE)</f>
        <v>0</v>
      </c>
      <c r="F46" s="124" cm="1">
        <f t="array" aca="1" ref="F46" ca="1">INDIRECT("R[40]C["&amp;$A$46&amp;"]",FALSE)</f>
        <v>0</v>
      </c>
      <c r="G46" s="124" cm="1">
        <f t="array" aca="1" ref="G46" ca="1">INDIRECT("R[40]C["&amp;$A$46&amp;"]",FALSE)</f>
        <v>0</v>
      </c>
      <c r="H46" s="124" cm="1">
        <f t="array" aca="1" ref="H46" ca="1">INDIRECT("R[40]C["&amp;$A$46&amp;"]",FALSE)</f>
        <v>0</v>
      </c>
      <c r="I46" s="124" cm="1">
        <f t="array" aca="1" ref="I46" ca="1">INDIRECT("R[40]C["&amp;$A$46&amp;"]",FALSE)</f>
        <v>0</v>
      </c>
      <c r="J46" s="124" cm="1">
        <f t="array" aca="1" ref="J46" ca="1">INDIRECT("R[40]C["&amp;$A$46&amp;"]",FALSE)</f>
        <v>0</v>
      </c>
      <c r="K46" s="124" cm="1">
        <f t="array" aca="1" ref="K46" ca="1">INDIRECT("R[40]C["&amp;$A$46&amp;"]",FALSE)</f>
        <v>0</v>
      </c>
      <c r="L46" s="124" cm="1">
        <f t="array" aca="1" ref="L46" ca="1">INDIRECT("R[40]C["&amp;$A$46&amp;"]",FALSE)</f>
        <v>0</v>
      </c>
      <c r="M46" s="124" cm="1">
        <f t="array" aca="1" ref="M46" ca="1">INDIRECT("R[40]C["&amp;$A$46&amp;"]",FALSE)</f>
        <v>0</v>
      </c>
      <c r="N46" s="124" cm="1">
        <f t="array" aca="1" ref="N46" ca="1">INDIRECT("R[40]C["&amp;$A$46&amp;"]",FALSE)</f>
        <v>0</v>
      </c>
      <c r="O46" s="124" cm="1">
        <f t="array" aca="1" ref="O46" ca="1">INDIRECT("R[40]C["&amp;$A$46&amp;"]",FALSE)</f>
        <v>0</v>
      </c>
      <c r="P46" s="124" cm="1">
        <f t="array" aca="1" ref="P46" ca="1">INDIRECT("R[40]C["&amp;$A$46&amp;"]",FALSE)</f>
        <v>0</v>
      </c>
      <c r="Q46" s="125"/>
      <c r="R46" s="128">
        <f ca="1">SUM(D46:P46)</f>
        <v>0</v>
      </c>
    </row>
    <row r="47" spans="1:19" ht="15.5" x14ac:dyDescent="0.35">
      <c r="A47" s="121">
        <f>A46</f>
        <v>1</v>
      </c>
      <c r="B47" s="123">
        <v>15</v>
      </c>
      <c r="C47" s="127" cm="1">
        <f t="array" aca="1" ref="C47" ca="1">INDIRECT("R[40]C["&amp;$A$46&amp;"]",FALSE)</f>
        <v>0</v>
      </c>
      <c r="D47" s="124" cm="1">
        <f t="array" aca="1" ref="D47" ca="1">INDIRECT("R[40]C["&amp;$A$46&amp;"]",FALSE)</f>
        <v>0</v>
      </c>
      <c r="E47" s="124" cm="1">
        <f t="array" aca="1" ref="E47" ca="1">INDIRECT("R[40]C["&amp;$A$46&amp;"]",FALSE)</f>
        <v>0</v>
      </c>
      <c r="F47" s="124" cm="1">
        <f t="array" aca="1" ref="F47" ca="1">INDIRECT("R[40]C["&amp;$A$46&amp;"]",FALSE)</f>
        <v>0</v>
      </c>
      <c r="G47" s="124" cm="1">
        <f t="array" aca="1" ref="G47" ca="1">INDIRECT("R[40]C["&amp;$A$46&amp;"]",FALSE)</f>
        <v>0</v>
      </c>
      <c r="H47" s="124" cm="1">
        <f t="array" aca="1" ref="H47" ca="1">INDIRECT("R[40]C["&amp;$A$46&amp;"]",FALSE)</f>
        <v>0</v>
      </c>
      <c r="I47" s="124" cm="1">
        <f t="array" aca="1" ref="I47" ca="1">INDIRECT("R[40]C["&amp;$A$46&amp;"]",FALSE)</f>
        <v>33.345014087697692</v>
      </c>
      <c r="J47" s="124" cm="1">
        <f t="array" aca="1" ref="J47" ca="1">INDIRECT("R[40]C["&amp;$A$46&amp;"]",FALSE)</f>
        <v>66.679419262979792</v>
      </c>
      <c r="K47" s="124" cm="1">
        <f t="array" aca="1" ref="K47" ca="1">INDIRECT("R[40]C["&amp;$A$46&amp;"]",FALSE)</f>
        <v>66.679419262979792</v>
      </c>
      <c r="L47" s="124" cm="1">
        <f t="array" aca="1" ref="L47" ca="1">INDIRECT("R[40]C["&amp;$A$46&amp;"]",FALSE)</f>
        <v>0</v>
      </c>
      <c r="M47" s="124" cm="1">
        <f t="array" aca="1" ref="M47" ca="1">INDIRECT("R[40]C["&amp;$A$46&amp;"]",FALSE)</f>
        <v>0</v>
      </c>
      <c r="N47" s="124" cm="1">
        <f t="array" aca="1" ref="N47" ca="1">INDIRECT("R[40]C["&amp;$A$46&amp;"]",FALSE)</f>
        <v>0</v>
      </c>
      <c r="O47" s="124" cm="1">
        <f t="array" aca="1" ref="O47" ca="1">INDIRECT("R[40]C["&amp;$A$46&amp;"]",FALSE)</f>
        <v>0</v>
      </c>
      <c r="P47" s="124" cm="1">
        <f t="array" aca="1" ref="P47" ca="1">INDIRECT("R[40]C["&amp;$A$46&amp;"]",FALSE)</f>
        <v>0</v>
      </c>
      <c r="Q47" s="125"/>
      <c r="R47" s="128">
        <f ca="1">SUM(D47:P47)</f>
        <v>166.70385261365726</v>
      </c>
    </row>
    <row r="48" spans="1:19" ht="15.5" x14ac:dyDescent="0.35">
      <c r="A48" s="121">
        <f>A47</f>
        <v>1</v>
      </c>
      <c r="B48" s="123">
        <v>18</v>
      </c>
      <c r="C48" s="127" cm="1">
        <f t="array" aca="1" ref="C48" ca="1">INDIRECT("R[40]C["&amp;$A$46&amp;"]",FALSE)</f>
        <v>0</v>
      </c>
      <c r="D48" s="124" cm="1">
        <f t="array" aca="1" ref="D48" ca="1">INDIRECT("R[40]C["&amp;$A$46&amp;"]",FALSE)</f>
        <v>0</v>
      </c>
      <c r="E48" s="124" cm="1">
        <f t="array" aca="1" ref="E48" ca="1">INDIRECT("R[40]C["&amp;$A$46&amp;"]",FALSE)</f>
        <v>0</v>
      </c>
      <c r="F48" s="124" cm="1">
        <f t="array" aca="1" ref="F48" ca="1">INDIRECT("R[40]C["&amp;$A$46&amp;"]",FALSE)</f>
        <v>0</v>
      </c>
      <c r="G48" s="124" cm="1">
        <f t="array" aca="1" ref="G48" ca="1">INDIRECT("R[40]C["&amp;$A$46&amp;"]",FALSE)</f>
        <v>0</v>
      </c>
      <c r="H48" s="124" cm="1">
        <f t="array" aca="1" ref="H48" ca="1">INDIRECT("R[40]C["&amp;$A$46&amp;"]",FALSE)</f>
        <v>0</v>
      </c>
      <c r="I48" s="124" cm="1">
        <f t="array" aca="1" ref="I48" ca="1">INDIRECT("R[40]C["&amp;$A$46&amp;"]",FALSE)</f>
        <v>0</v>
      </c>
      <c r="J48" s="124" cm="1">
        <f t="array" aca="1" ref="J48" ca="1">INDIRECT("R[40]C["&amp;$A$46&amp;"]",FALSE)</f>
        <v>0</v>
      </c>
      <c r="K48" s="124" cm="1">
        <f t="array" aca="1" ref="K48" ca="1">INDIRECT("R[40]C["&amp;$A$46&amp;"]",FALSE)</f>
        <v>0</v>
      </c>
      <c r="L48" s="124" cm="1">
        <f t="array" aca="1" ref="L48" ca="1">INDIRECT("R[40]C["&amp;$A$46&amp;"]",FALSE)</f>
        <v>61.087673353013642</v>
      </c>
      <c r="M48" s="124" cm="1">
        <f t="array" aca="1" ref="M48" ca="1">INDIRECT("R[40]C["&amp;$A$46&amp;"]",FALSE)</f>
        <v>27.76302935055006</v>
      </c>
      <c r="N48" s="124" cm="1">
        <f t="array" aca="1" ref="N48" ca="1">INDIRECT("R[40]C["&amp;$A$46&amp;"]",FALSE)</f>
        <v>22.215775389712444</v>
      </c>
      <c r="O48" s="124" cm="1">
        <f t="array" aca="1" ref="O48" ca="1">INDIRECT("R[40]C["&amp;$A$46&amp;"]",FALSE)</f>
        <v>0</v>
      </c>
      <c r="P48" s="124" cm="1">
        <f t="array" aca="1" ref="P48" ca="1">INDIRECT("R[40]C["&amp;$A$46&amp;"]",FALSE)</f>
        <v>0</v>
      </c>
      <c r="Q48" s="125"/>
      <c r="R48" s="128">
        <f ca="1">SUM(D48:P48)</f>
        <v>111.06647809327615</v>
      </c>
      <c r="S48" t="s">
        <v>91</v>
      </c>
    </row>
    <row r="49" spans="1:18" ht="15.5" x14ac:dyDescent="0.35">
      <c r="A49" s="116"/>
      <c r="B49" s="129" t="s">
        <v>351</v>
      </c>
      <c r="C49" s="133"/>
      <c r="D49" s="129"/>
      <c r="E49" s="129"/>
      <c r="F49" s="129"/>
      <c r="G49" s="129"/>
      <c r="H49" s="129"/>
      <c r="I49" s="129"/>
      <c r="J49" s="129"/>
      <c r="K49" s="129"/>
      <c r="L49" s="129"/>
      <c r="M49" s="129"/>
      <c r="N49" s="129"/>
      <c r="O49" s="129"/>
      <c r="P49" s="129"/>
      <c r="Q49" s="129"/>
      <c r="R49" s="130"/>
    </row>
    <row r="50" spans="1:18" ht="15.5" x14ac:dyDescent="0.35">
      <c r="A50" s="121">
        <f>A48</f>
        <v>1</v>
      </c>
      <c r="B50" s="123">
        <v>12</v>
      </c>
      <c r="C50" s="127" cm="1">
        <f t="array" aca="1" ref="C50" ca="1">INDIRECT("R[40]C["&amp;$A$50&amp;"]",FALSE)</f>
        <v>0</v>
      </c>
      <c r="D50" s="124" cm="1">
        <f t="array" aca="1" ref="D50" ca="1">INDIRECT("R[40]C["&amp;$A$50&amp;"]",FALSE)</f>
        <v>0</v>
      </c>
      <c r="E50" s="124" cm="1">
        <f t="array" aca="1" ref="E50" ca="1">INDIRECT("R[40]C["&amp;$A$50&amp;"]",FALSE)</f>
        <v>0</v>
      </c>
      <c r="F50" s="124" cm="1">
        <f t="array" aca="1" ref="F50" ca="1">INDIRECT("R[40]C["&amp;$A$50&amp;"]",FALSE)</f>
        <v>0</v>
      </c>
      <c r="G50" s="124" cm="1">
        <f t="array" aca="1" ref="G50" ca="1">INDIRECT("R[40]C["&amp;$A$50&amp;"]",FALSE)</f>
        <v>0</v>
      </c>
      <c r="H50" s="124" cm="1">
        <f t="array" aca="1" ref="H50" ca="1">INDIRECT("R[40]C["&amp;$A$50&amp;"]",FALSE)</f>
        <v>0</v>
      </c>
      <c r="I50" s="124" cm="1">
        <f t="array" aca="1" ref="I50" ca="1">INDIRECT("R[40]C["&amp;$A$50&amp;"]",FALSE)</f>
        <v>0</v>
      </c>
      <c r="J50" s="124" cm="1">
        <f t="array" aca="1" ref="J50" ca="1">INDIRECT("R[40]C["&amp;$A$50&amp;"]",FALSE)</f>
        <v>0</v>
      </c>
      <c r="K50" s="124" cm="1">
        <f t="array" aca="1" ref="K50" ca="1">INDIRECT("R[40]C["&amp;$A$50&amp;"]",FALSE)</f>
        <v>0</v>
      </c>
      <c r="L50" s="124" cm="1">
        <f t="array" aca="1" ref="L50" ca="1">INDIRECT("R[40]C["&amp;$A$50&amp;"]",FALSE)</f>
        <v>0</v>
      </c>
      <c r="M50" s="124" cm="1">
        <f t="array" aca="1" ref="M50" ca="1">INDIRECT("R[40]C["&amp;$A$50&amp;"]",FALSE)</f>
        <v>0</v>
      </c>
      <c r="N50" s="124" cm="1">
        <f t="array" aca="1" ref="N50" ca="1">INDIRECT("R[40]C["&amp;$A$50&amp;"]",FALSE)</f>
        <v>0</v>
      </c>
      <c r="O50" s="124" cm="1">
        <f t="array" aca="1" ref="O50" ca="1">INDIRECT("R[40]C["&amp;$A$50&amp;"]",FALSE)</f>
        <v>0</v>
      </c>
      <c r="P50" s="124" cm="1">
        <f t="array" aca="1" ref="P50" ca="1">INDIRECT("R[40]C["&amp;$A$50&amp;"]",FALSE)</f>
        <v>0</v>
      </c>
      <c r="Q50" s="126"/>
      <c r="R50" s="128">
        <f ca="1">SUM(D50:P50)</f>
        <v>0</v>
      </c>
    </row>
    <row r="51" spans="1:18" ht="15.5" x14ac:dyDescent="0.35">
      <c r="A51" s="121">
        <f>A50</f>
        <v>1</v>
      </c>
      <c r="B51" s="123">
        <v>15</v>
      </c>
      <c r="C51" s="127" cm="1">
        <f t="array" aca="1" ref="C51" ca="1">INDIRECT("R[40]C["&amp;$A$50&amp;"]",FALSE)</f>
        <v>0</v>
      </c>
      <c r="D51" s="124" cm="1">
        <f t="array" aca="1" ref="D51" ca="1">INDIRECT("R[40]C["&amp;$A$50&amp;"]",FALSE)</f>
        <v>0</v>
      </c>
      <c r="E51" s="124" cm="1">
        <f t="array" aca="1" ref="E51" ca="1">INDIRECT("R[40]C["&amp;$A$50&amp;"]",FALSE)</f>
        <v>0</v>
      </c>
      <c r="F51" s="124" cm="1">
        <f t="array" aca="1" ref="F51" ca="1">INDIRECT("R[40]C["&amp;$A$50&amp;"]",FALSE)</f>
        <v>0</v>
      </c>
      <c r="G51" s="124" cm="1">
        <f t="array" aca="1" ref="G51" ca="1">INDIRECT("R[40]C["&amp;$A$50&amp;"]",FALSE)</f>
        <v>0</v>
      </c>
      <c r="H51" s="124" cm="1">
        <f t="array" aca="1" ref="H51" ca="1">INDIRECT("R[40]C["&amp;$A$50&amp;"]",FALSE)</f>
        <v>0</v>
      </c>
      <c r="I51" s="124" cm="1">
        <f t="array" aca="1" ref="I51" ca="1">INDIRECT("R[40]C["&amp;$A$50&amp;"]",FALSE)</f>
        <v>100.03504226309308</v>
      </c>
      <c r="J51" s="124" cm="1">
        <f t="array" aca="1" ref="J51" ca="1">INDIRECT("R[40]C["&amp;$A$50&amp;"]",FALSE)</f>
        <v>200.03825778893938</v>
      </c>
      <c r="K51" s="124" cm="1">
        <f t="array" aca="1" ref="K51" ca="1">INDIRECT("R[40]C["&amp;$A$50&amp;"]",FALSE)</f>
        <v>200.03825778893938</v>
      </c>
      <c r="L51" s="124" cm="1">
        <f t="array" aca="1" ref="L51" ca="1">INDIRECT("R[40]C["&amp;$A$50&amp;"]",FALSE)</f>
        <v>0</v>
      </c>
      <c r="M51" s="124" cm="1">
        <f t="array" aca="1" ref="M51" ca="1">INDIRECT("R[40]C["&amp;$A$50&amp;"]",FALSE)</f>
        <v>0</v>
      </c>
      <c r="N51" s="124" cm="1">
        <f t="array" aca="1" ref="N51" ca="1">INDIRECT("R[40]C["&amp;$A$50&amp;"]",FALSE)</f>
        <v>0</v>
      </c>
      <c r="O51" s="124" cm="1">
        <f t="array" aca="1" ref="O51" ca="1">INDIRECT("R[40]C["&amp;$A$50&amp;"]",FALSE)</f>
        <v>0</v>
      </c>
      <c r="P51" s="124" cm="1">
        <f t="array" aca="1" ref="P51" ca="1">INDIRECT("R[40]C["&amp;$A$50&amp;"]",FALSE)</f>
        <v>0</v>
      </c>
      <c r="Q51" s="126"/>
      <c r="R51" s="128">
        <f ca="1">SUM(D51:P51)</f>
        <v>500.11155784097184</v>
      </c>
    </row>
    <row r="52" spans="1:18" ht="15.5" x14ac:dyDescent="0.35">
      <c r="A52" s="121">
        <f>A51</f>
        <v>1</v>
      </c>
      <c r="B52" s="123">
        <v>18</v>
      </c>
      <c r="C52" s="127" cm="1">
        <f t="array" aca="1" ref="C52" ca="1">INDIRECT("R[40]C["&amp;$A$50&amp;"]",FALSE)</f>
        <v>0</v>
      </c>
      <c r="D52" s="124" cm="1">
        <f t="array" aca="1" ref="D52" ca="1">INDIRECT("R[40]C["&amp;$A$50&amp;"]",FALSE)</f>
        <v>0</v>
      </c>
      <c r="E52" s="124" cm="1">
        <f t="array" aca="1" ref="E52" ca="1">INDIRECT("R[40]C["&amp;$A$50&amp;"]",FALSE)</f>
        <v>0</v>
      </c>
      <c r="F52" s="124" cm="1">
        <f t="array" aca="1" ref="F52" ca="1">INDIRECT("R[40]C["&amp;$A$50&amp;"]",FALSE)</f>
        <v>0</v>
      </c>
      <c r="G52" s="124" cm="1">
        <f t="array" aca="1" ref="G52" ca="1">INDIRECT("R[40]C["&amp;$A$50&amp;"]",FALSE)</f>
        <v>0</v>
      </c>
      <c r="H52" s="124" cm="1">
        <f t="array" aca="1" ref="H52" ca="1">INDIRECT("R[40]C["&amp;$A$50&amp;"]",FALSE)</f>
        <v>0</v>
      </c>
      <c r="I52" s="124" cm="1">
        <f t="array" aca="1" ref="I52" ca="1">INDIRECT("R[40]C["&amp;$A$50&amp;"]",FALSE)</f>
        <v>0</v>
      </c>
      <c r="J52" s="124" cm="1">
        <f t="array" aca="1" ref="J52" ca="1">INDIRECT("R[40]C["&amp;$A$50&amp;"]",FALSE)</f>
        <v>0</v>
      </c>
      <c r="K52" s="124" cm="1">
        <f t="array" aca="1" ref="K52" ca="1">INDIRECT("R[40]C["&amp;$A$50&amp;"]",FALSE)</f>
        <v>0</v>
      </c>
      <c r="L52" s="124" cm="1">
        <f t="array" aca="1" ref="L52" ca="1">INDIRECT("R[40]C["&amp;$A$50&amp;"]",FALSE)</f>
        <v>183.26302005904091</v>
      </c>
      <c r="M52" s="124" cm="1">
        <f t="array" aca="1" ref="M52" ca="1">INDIRECT("R[40]C["&amp;$A$50&amp;"]",FALSE)</f>
        <v>83.289088051650182</v>
      </c>
      <c r="N52" s="124" cm="1">
        <f t="array" aca="1" ref="N52" ca="1">INDIRECT("R[40]C["&amp;$A$50&amp;"]",FALSE)</f>
        <v>66.64732616913733</v>
      </c>
      <c r="O52" s="124" cm="1">
        <f t="array" aca="1" ref="O52" ca="1">INDIRECT("R[40]C["&amp;$A$50&amp;"]",FALSE)</f>
        <v>0</v>
      </c>
      <c r="P52" s="124" cm="1">
        <f t="array" aca="1" ref="P52" ca="1">INDIRECT("R[40]C["&amp;$A$50&amp;"]",FALSE)</f>
        <v>0</v>
      </c>
      <c r="Q52" s="126"/>
      <c r="R52" s="128">
        <f ca="1">SUM(D52:P52)</f>
        <v>333.19943427982844</v>
      </c>
    </row>
    <row r="53" spans="1:18" ht="15.5" x14ac:dyDescent="0.35">
      <c r="A53" s="116"/>
      <c r="B53" s="129" t="s">
        <v>114</v>
      </c>
      <c r="C53" s="133"/>
      <c r="D53" s="129"/>
      <c r="E53" s="129"/>
      <c r="F53" s="129"/>
      <c r="G53" s="129"/>
      <c r="H53" s="129"/>
      <c r="I53" s="129"/>
      <c r="J53" s="129"/>
      <c r="K53" s="129"/>
      <c r="L53" s="129"/>
      <c r="M53" s="129"/>
      <c r="N53" s="129"/>
      <c r="O53" s="129"/>
      <c r="P53" s="129"/>
      <c r="Q53" s="129"/>
      <c r="R53" s="130"/>
    </row>
    <row r="54" spans="1:18" ht="15.5" x14ac:dyDescent="0.35">
      <c r="A54" s="121">
        <f>A52</f>
        <v>1</v>
      </c>
      <c r="B54" s="123">
        <v>12</v>
      </c>
      <c r="C54" s="127" cm="1">
        <f t="array" aca="1" ref="C54" ca="1">INDIRECT("R[40]C["&amp;$A$46&amp;"]",FALSE)</f>
        <v>0</v>
      </c>
      <c r="D54" s="124" cm="1">
        <f t="array" aca="1" ref="D54" ca="1">INDIRECT("R[40]C["&amp;$A$46&amp;"]",FALSE)</f>
        <v>0</v>
      </c>
      <c r="E54" s="124" cm="1">
        <f t="array" aca="1" ref="E54" ca="1">INDIRECT("R[40]C["&amp;$A$46&amp;"]",FALSE)</f>
        <v>0</v>
      </c>
      <c r="F54" s="124" cm="1">
        <f t="array" aca="1" ref="F54" ca="1">INDIRECT("R[40]C["&amp;$A$46&amp;"]",FALSE)</f>
        <v>0</v>
      </c>
      <c r="G54" s="124" cm="1">
        <f t="array" aca="1" ref="G54" ca="1">INDIRECT("R[40]C["&amp;$A$46&amp;"]",FALSE)</f>
        <v>0</v>
      </c>
      <c r="H54" s="124" cm="1">
        <f t="array" aca="1" ref="H54" ca="1">INDIRECT("R[40]C["&amp;$A$46&amp;"]",FALSE)</f>
        <v>0</v>
      </c>
      <c r="I54" s="124" cm="1">
        <f t="array" aca="1" ref="I54" ca="1">INDIRECT("R[40]C["&amp;$A$46&amp;"]",FALSE)</f>
        <v>0</v>
      </c>
      <c r="J54" s="124" cm="1">
        <f t="array" aca="1" ref="J54" ca="1">INDIRECT("R[40]C["&amp;$A$46&amp;"]",FALSE)</f>
        <v>0</v>
      </c>
      <c r="K54" s="124" cm="1">
        <f t="array" aca="1" ref="K54" ca="1">INDIRECT("R[40]C["&amp;$A$46&amp;"]",FALSE)</f>
        <v>0</v>
      </c>
      <c r="L54" s="124" cm="1">
        <f t="array" aca="1" ref="L54" ca="1">INDIRECT("R[40]C["&amp;$A$46&amp;"]",FALSE)</f>
        <v>0</v>
      </c>
      <c r="M54" s="124" cm="1">
        <f t="array" aca="1" ref="M54" ca="1">INDIRECT("R[40]C["&amp;$A$46&amp;"]",FALSE)</f>
        <v>0</v>
      </c>
      <c r="N54" s="124" cm="1">
        <f t="array" aca="1" ref="N54" ca="1">INDIRECT("R[40]C["&amp;$A$46&amp;"]",FALSE)</f>
        <v>0</v>
      </c>
      <c r="O54" s="124" cm="1">
        <f t="array" aca="1" ref="O54" ca="1">INDIRECT("R[40]C["&amp;$A$46&amp;"]",FALSE)</f>
        <v>0</v>
      </c>
      <c r="P54" s="124" cm="1">
        <f t="array" aca="1" ref="P54" ca="1">INDIRECT("R[40]C["&amp;$A$46&amp;"]",FALSE)</f>
        <v>0</v>
      </c>
      <c r="Q54" s="123"/>
      <c r="R54" s="128">
        <f ca="1">SUM(D54:P54)</f>
        <v>0</v>
      </c>
    </row>
    <row r="55" spans="1:18" ht="15.5" x14ac:dyDescent="0.35">
      <c r="A55" s="121">
        <f>A54</f>
        <v>1</v>
      </c>
      <c r="B55" s="123">
        <v>15</v>
      </c>
      <c r="C55" s="127" cm="1">
        <f t="array" aca="1" ref="C55" ca="1">INDIRECT("R[40]C["&amp;$A$46&amp;"]",FALSE)</f>
        <v>0</v>
      </c>
      <c r="D55" s="124" cm="1">
        <f t="array" aca="1" ref="D55" ca="1">INDIRECT("R[40]C["&amp;$A$46&amp;"]",FALSE)</f>
        <v>0</v>
      </c>
      <c r="E55" s="124" cm="1">
        <f t="array" aca="1" ref="E55" ca="1">INDIRECT("R[40]C["&amp;$A$46&amp;"]",FALSE)</f>
        <v>0</v>
      </c>
      <c r="F55" s="124" cm="1">
        <f t="array" aca="1" ref="F55" ca="1">INDIRECT("R[40]C["&amp;$A$46&amp;"]",FALSE)</f>
        <v>0</v>
      </c>
      <c r="G55" s="124" cm="1">
        <f t="array" aca="1" ref="G55" ca="1">INDIRECT("R[40]C["&amp;$A$46&amp;"]",FALSE)</f>
        <v>0</v>
      </c>
      <c r="H55" s="124" cm="1">
        <f t="array" aca="1" ref="H55" ca="1">INDIRECT("R[40]C["&amp;$A$46&amp;"]",FALSE)</f>
        <v>0</v>
      </c>
      <c r="I55" s="124" cm="1">
        <f t="array" aca="1" ref="I55" ca="1">INDIRECT("R[40]C["&amp;$A$46&amp;"]",FALSE)</f>
        <v>33.345014087697692</v>
      </c>
      <c r="J55" s="124" cm="1">
        <f t="array" aca="1" ref="J55" ca="1">INDIRECT("R[40]C["&amp;$A$46&amp;"]",FALSE)</f>
        <v>66.679419262979792</v>
      </c>
      <c r="K55" s="124" cm="1">
        <f t="array" aca="1" ref="K55" ca="1">INDIRECT("R[40]C["&amp;$A$46&amp;"]",FALSE)</f>
        <v>66.679419262979792</v>
      </c>
      <c r="L55" s="124" cm="1">
        <f t="array" aca="1" ref="L55" ca="1">INDIRECT("R[40]C["&amp;$A$46&amp;"]",FALSE)</f>
        <v>0</v>
      </c>
      <c r="M55" s="124" cm="1">
        <f t="array" aca="1" ref="M55" ca="1">INDIRECT("R[40]C["&amp;$A$46&amp;"]",FALSE)</f>
        <v>0</v>
      </c>
      <c r="N55" s="124" cm="1">
        <f t="array" aca="1" ref="N55" ca="1">INDIRECT("R[40]C["&amp;$A$46&amp;"]",FALSE)</f>
        <v>0</v>
      </c>
      <c r="O55" s="124" cm="1">
        <f t="array" aca="1" ref="O55" ca="1">INDIRECT("R[40]C["&amp;$A$46&amp;"]",FALSE)</f>
        <v>0</v>
      </c>
      <c r="P55" s="124" cm="1">
        <f t="array" aca="1" ref="P55" ca="1">INDIRECT("R[40]C["&amp;$A$46&amp;"]",FALSE)</f>
        <v>0</v>
      </c>
      <c r="Q55" s="123"/>
      <c r="R55" s="128">
        <f ca="1">SUM(D55:P55)</f>
        <v>166.70385261365726</v>
      </c>
    </row>
    <row r="56" spans="1:18" ht="15.5" x14ac:dyDescent="0.35">
      <c r="A56" s="121">
        <f>A55</f>
        <v>1</v>
      </c>
      <c r="B56" s="123">
        <v>18</v>
      </c>
      <c r="C56" s="127" cm="1">
        <f t="array" aca="1" ref="C56" ca="1">INDIRECT("R[40]C["&amp;$A$46&amp;"]",FALSE)</f>
        <v>0</v>
      </c>
      <c r="D56" s="124" cm="1">
        <f t="array" aca="1" ref="D56" ca="1">INDIRECT("R[40]C["&amp;$A$46&amp;"]",FALSE)</f>
        <v>0</v>
      </c>
      <c r="E56" s="124" cm="1">
        <f t="array" aca="1" ref="E56" ca="1">INDIRECT("R[40]C["&amp;$A$46&amp;"]",FALSE)</f>
        <v>0</v>
      </c>
      <c r="F56" s="124" cm="1">
        <f t="array" aca="1" ref="F56" ca="1">INDIRECT("R[40]C["&amp;$A$46&amp;"]",FALSE)</f>
        <v>0</v>
      </c>
      <c r="G56" s="124" cm="1">
        <f t="array" aca="1" ref="G56" ca="1">INDIRECT("R[40]C["&amp;$A$46&amp;"]",FALSE)</f>
        <v>0</v>
      </c>
      <c r="H56" s="124" cm="1">
        <f t="array" aca="1" ref="H56" ca="1">INDIRECT("R[40]C["&amp;$A$46&amp;"]",FALSE)</f>
        <v>0</v>
      </c>
      <c r="I56" s="124" cm="1">
        <f t="array" aca="1" ref="I56" ca="1">INDIRECT("R[40]C["&amp;$A$46&amp;"]",FALSE)</f>
        <v>0</v>
      </c>
      <c r="J56" s="124" cm="1">
        <f t="array" aca="1" ref="J56" ca="1">INDIRECT("R[40]C["&amp;$A$46&amp;"]",FALSE)</f>
        <v>0</v>
      </c>
      <c r="K56" s="124" cm="1">
        <f t="array" aca="1" ref="K56" ca="1">INDIRECT("R[40]C["&amp;$A$46&amp;"]",FALSE)</f>
        <v>0</v>
      </c>
      <c r="L56" s="124" cm="1">
        <f t="array" aca="1" ref="L56" ca="1">INDIRECT("R[40]C["&amp;$A$46&amp;"]",FALSE)</f>
        <v>61.087673353013642</v>
      </c>
      <c r="M56" s="124" cm="1">
        <f t="array" aca="1" ref="M56" ca="1">INDIRECT("R[40]C["&amp;$A$46&amp;"]",FALSE)</f>
        <v>27.76302935055006</v>
      </c>
      <c r="N56" s="124" cm="1">
        <f t="array" aca="1" ref="N56" ca="1">INDIRECT("R[40]C["&amp;$A$46&amp;"]",FALSE)</f>
        <v>22.215775389712444</v>
      </c>
      <c r="O56" s="124" cm="1">
        <f t="array" aca="1" ref="O56" ca="1">INDIRECT("R[40]C["&amp;$A$46&amp;"]",FALSE)</f>
        <v>0</v>
      </c>
      <c r="P56" s="124" cm="1">
        <f t="array" aca="1" ref="P56" ca="1">INDIRECT("R[40]C["&amp;$A$46&amp;"]",FALSE)</f>
        <v>0</v>
      </c>
      <c r="Q56" s="123"/>
      <c r="R56" s="128">
        <f ca="1">SUM(D56:P56)</f>
        <v>111.06647809327615</v>
      </c>
    </row>
    <row r="57" spans="1:18" ht="15.5" x14ac:dyDescent="0.35">
      <c r="A57" s="116"/>
      <c r="B57" s="129" t="s">
        <v>352</v>
      </c>
      <c r="C57" s="133"/>
      <c r="D57" s="129"/>
      <c r="E57" s="129"/>
      <c r="F57" s="129"/>
      <c r="G57" s="129"/>
      <c r="H57" s="129"/>
      <c r="I57" s="129"/>
      <c r="J57" s="129"/>
      <c r="K57" s="129"/>
      <c r="L57" s="129"/>
      <c r="M57" s="129"/>
      <c r="N57" s="129"/>
      <c r="O57" s="129"/>
      <c r="P57" s="129"/>
      <c r="Q57" s="129"/>
      <c r="R57" s="130"/>
    </row>
    <row r="58" spans="1:18" ht="15.5" x14ac:dyDescent="0.35">
      <c r="A58" s="121">
        <f>A56</f>
        <v>1</v>
      </c>
      <c r="B58" s="123">
        <v>12</v>
      </c>
      <c r="C58" s="127" cm="1">
        <f t="array" aca="1" ref="C58" ca="1">INDIRECT("R[40]C["&amp;$A$58&amp;"]",FALSE)</f>
        <v>0</v>
      </c>
      <c r="D58" s="124" cm="1">
        <f t="array" aca="1" ref="D58" ca="1">INDIRECT("R[40]C["&amp;$A$58&amp;"]",FALSE)</f>
        <v>0</v>
      </c>
      <c r="E58" s="124" cm="1">
        <f t="array" aca="1" ref="E58" ca="1">INDIRECT("R[40]C["&amp;$A$58&amp;"]",FALSE)</f>
        <v>0</v>
      </c>
      <c r="F58" s="124" cm="1">
        <f t="array" aca="1" ref="F58" ca="1">INDIRECT("R[40]C["&amp;$A$58&amp;"]",FALSE)</f>
        <v>0</v>
      </c>
      <c r="G58" s="124" cm="1">
        <f t="array" aca="1" ref="G58" ca="1">INDIRECT("R[40]C["&amp;$A$58&amp;"]",FALSE)</f>
        <v>0</v>
      </c>
      <c r="H58" s="124" cm="1">
        <f t="array" aca="1" ref="H58" ca="1">INDIRECT("R[40]C["&amp;$A$58&amp;"]",FALSE)</f>
        <v>0</v>
      </c>
      <c r="I58" s="124" cm="1">
        <f t="array" aca="1" ref="I58" ca="1">INDIRECT("R[40]C["&amp;$A$58&amp;"]",FALSE)</f>
        <v>0</v>
      </c>
      <c r="J58" s="124" cm="1">
        <f t="array" aca="1" ref="J58" ca="1">INDIRECT("R[40]C["&amp;$A$58&amp;"]",FALSE)</f>
        <v>0</v>
      </c>
      <c r="K58" s="124" cm="1">
        <f t="array" aca="1" ref="K58" ca="1">INDIRECT("R[40]C["&amp;$A$58&amp;"]",FALSE)</f>
        <v>0</v>
      </c>
      <c r="L58" s="124" cm="1">
        <f t="array" aca="1" ref="L58" ca="1">INDIRECT("R[40]C["&amp;$A$58&amp;"]",FALSE)</f>
        <v>0</v>
      </c>
      <c r="M58" s="124" cm="1">
        <f t="array" aca="1" ref="M58" ca="1">INDIRECT("R[40]C["&amp;$A$58&amp;"]",FALSE)</f>
        <v>0</v>
      </c>
      <c r="N58" s="124" cm="1">
        <f t="array" aca="1" ref="N58" ca="1">INDIRECT("R[40]C["&amp;$A$58&amp;"]",FALSE)</f>
        <v>0</v>
      </c>
      <c r="O58" s="124" cm="1">
        <f t="array" aca="1" ref="O58" ca="1">INDIRECT("R[40]C["&amp;$A$58&amp;"]",FALSE)</f>
        <v>0</v>
      </c>
      <c r="P58" s="124" cm="1">
        <f t="array" aca="1" ref="P58" ca="1">INDIRECT("R[40]C["&amp;$A$58&amp;"]",FALSE)</f>
        <v>0</v>
      </c>
      <c r="Q58" s="125"/>
      <c r="R58" s="128">
        <f ca="1">SUM(D58:P58)</f>
        <v>0</v>
      </c>
    </row>
    <row r="59" spans="1:18" ht="15.5" x14ac:dyDescent="0.35">
      <c r="A59" s="121">
        <f>A56</f>
        <v>1</v>
      </c>
      <c r="B59" s="123">
        <v>15</v>
      </c>
      <c r="C59" s="127" cm="1">
        <f t="array" aca="1" ref="C59" ca="1">INDIRECT("R[40]C["&amp;$A$58&amp;"]",FALSE)</f>
        <v>0</v>
      </c>
      <c r="D59" s="124" cm="1">
        <f t="array" aca="1" ref="D59" ca="1">INDIRECT("R[40]C["&amp;$A$58&amp;"]",FALSE)</f>
        <v>0</v>
      </c>
      <c r="E59" s="124" cm="1">
        <f t="array" aca="1" ref="E59" ca="1">INDIRECT("R[40]C["&amp;$A$58&amp;"]",FALSE)</f>
        <v>0</v>
      </c>
      <c r="F59" s="124" cm="1">
        <f t="array" aca="1" ref="F59" ca="1">INDIRECT("R[40]C["&amp;$A$58&amp;"]",FALSE)</f>
        <v>0</v>
      </c>
      <c r="G59" s="124" cm="1">
        <f t="array" aca="1" ref="G59" ca="1">INDIRECT("R[40]C["&amp;$A$58&amp;"]",FALSE)</f>
        <v>0</v>
      </c>
      <c r="H59" s="124" cm="1">
        <f t="array" aca="1" ref="H59" ca="1">INDIRECT("R[40]C["&amp;$A$58&amp;"]",FALSE)</f>
        <v>0</v>
      </c>
      <c r="I59" s="124" cm="1">
        <f t="array" aca="1" ref="I59" ca="1">INDIRECT("R[40]C["&amp;$A$58&amp;"]",FALSE)</f>
        <v>33.345014087697692</v>
      </c>
      <c r="J59" s="124" cm="1">
        <f t="array" aca="1" ref="J59" ca="1">INDIRECT("R[40]C["&amp;$A$58&amp;"]",FALSE)</f>
        <v>66.679419262979792</v>
      </c>
      <c r="K59" s="124" cm="1">
        <f t="array" aca="1" ref="K59" ca="1">INDIRECT("R[40]C["&amp;$A$58&amp;"]",FALSE)</f>
        <v>66.679419262979792</v>
      </c>
      <c r="L59" s="124" cm="1">
        <f t="array" aca="1" ref="L59" ca="1">INDIRECT("R[40]C["&amp;$A$58&amp;"]",FALSE)</f>
        <v>0</v>
      </c>
      <c r="M59" s="124" cm="1">
        <f t="array" aca="1" ref="M59" ca="1">INDIRECT("R[40]C["&amp;$A$58&amp;"]",FALSE)</f>
        <v>0</v>
      </c>
      <c r="N59" s="124" cm="1">
        <f t="array" aca="1" ref="N59" ca="1">INDIRECT("R[40]C["&amp;$A$58&amp;"]",FALSE)</f>
        <v>0</v>
      </c>
      <c r="O59" s="124" cm="1">
        <f t="array" aca="1" ref="O59" ca="1">INDIRECT("R[40]C["&amp;$A$58&amp;"]",FALSE)</f>
        <v>0</v>
      </c>
      <c r="P59" s="124" cm="1">
        <f t="array" aca="1" ref="P59" ca="1">INDIRECT("R[40]C["&amp;$A$58&amp;"]",FALSE)</f>
        <v>0</v>
      </c>
      <c r="Q59" s="125"/>
      <c r="R59" s="128">
        <f ca="1">SUM(D59:P59)</f>
        <v>166.70385261365726</v>
      </c>
    </row>
    <row r="60" spans="1:18" ht="15.5" x14ac:dyDescent="0.35">
      <c r="A60" s="121">
        <f>A56</f>
        <v>1</v>
      </c>
      <c r="B60" s="123">
        <v>18</v>
      </c>
      <c r="C60" s="127" cm="1">
        <f t="array" aca="1" ref="C60" ca="1">INDIRECT("R[40]C["&amp;$A$58&amp;"]",FALSE)</f>
        <v>0</v>
      </c>
      <c r="D60" s="124" cm="1">
        <f t="array" aca="1" ref="D60" ca="1">INDIRECT("R[40]C["&amp;$A$58&amp;"]",FALSE)</f>
        <v>0</v>
      </c>
      <c r="E60" s="124" cm="1">
        <f t="array" aca="1" ref="E60" ca="1">INDIRECT("R[40]C["&amp;$A$58&amp;"]",FALSE)</f>
        <v>0</v>
      </c>
      <c r="F60" s="124" cm="1">
        <f t="array" aca="1" ref="F60" ca="1">INDIRECT("R[40]C["&amp;$A$58&amp;"]",FALSE)</f>
        <v>0</v>
      </c>
      <c r="G60" s="124" cm="1">
        <f t="array" aca="1" ref="G60" ca="1">INDIRECT("R[40]C["&amp;$A$58&amp;"]",FALSE)</f>
        <v>0</v>
      </c>
      <c r="H60" s="124" cm="1">
        <f t="array" aca="1" ref="H60" ca="1">INDIRECT("R[40]C["&amp;$A$58&amp;"]",FALSE)</f>
        <v>0</v>
      </c>
      <c r="I60" s="124" cm="1">
        <f t="array" aca="1" ref="I60" ca="1">INDIRECT("R[40]C["&amp;$A$58&amp;"]",FALSE)</f>
        <v>0</v>
      </c>
      <c r="J60" s="124" cm="1">
        <f t="array" aca="1" ref="J60" ca="1">INDIRECT("R[40]C["&amp;$A$58&amp;"]",FALSE)</f>
        <v>0</v>
      </c>
      <c r="K60" s="124" cm="1">
        <f t="array" aca="1" ref="K60" ca="1">INDIRECT("R[40]C["&amp;$A$58&amp;"]",FALSE)</f>
        <v>0</v>
      </c>
      <c r="L60" s="124" cm="1">
        <f t="array" aca="1" ref="L60" ca="1">INDIRECT("R[40]C["&amp;$A$58&amp;"]",FALSE)</f>
        <v>61.087673353013642</v>
      </c>
      <c r="M60" s="124" cm="1">
        <f t="array" aca="1" ref="M60" ca="1">INDIRECT("R[40]C["&amp;$A$58&amp;"]",FALSE)</f>
        <v>27.76302935055006</v>
      </c>
      <c r="N60" s="124" cm="1">
        <f t="array" aca="1" ref="N60" ca="1">INDIRECT("R[40]C["&amp;$A$58&amp;"]",FALSE)</f>
        <v>22.215775389712444</v>
      </c>
      <c r="O60" s="124" cm="1">
        <f t="array" aca="1" ref="O60" ca="1">INDIRECT("R[40]C["&amp;$A$58&amp;"]",FALSE)</f>
        <v>0</v>
      </c>
      <c r="P60" s="124" cm="1">
        <f t="array" aca="1" ref="P60" ca="1">INDIRECT("R[40]C["&amp;$A$58&amp;"]",FALSE)</f>
        <v>0</v>
      </c>
      <c r="Q60" s="125"/>
      <c r="R60" s="128">
        <f ca="1">SUM(D60:P60)</f>
        <v>111.06647809327615</v>
      </c>
    </row>
    <row r="61" spans="1:18" ht="15.5" x14ac:dyDescent="0.35">
      <c r="A61" s="116"/>
      <c r="B61" s="129" t="s">
        <v>116</v>
      </c>
      <c r="C61" s="133"/>
      <c r="D61" s="129"/>
      <c r="E61" s="129"/>
      <c r="F61" s="129"/>
      <c r="G61" s="129"/>
      <c r="H61" s="129"/>
      <c r="I61" s="129"/>
      <c r="J61" s="129"/>
      <c r="K61" s="129"/>
      <c r="L61" s="129"/>
      <c r="M61" s="129"/>
      <c r="N61" s="129"/>
      <c r="O61" s="129"/>
      <c r="P61" s="129"/>
      <c r="Q61" s="129"/>
      <c r="R61" s="130"/>
    </row>
    <row r="62" spans="1:18" ht="15.5" x14ac:dyDescent="0.35">
      <c r="A62" s="121">
        <f>A60</f>
        <v>1</v>
      </c>
      <c r="B62" s="125" t="s">
        <v>257</v>
      </c>
      <c r="C62" s="127" cm="1">
        <f t="array" aca="1" ref="C62" ca="1">INDIRECT("R[40]C["&amp;$A$62&amp;"]",FALSE)</f>
        <v>0</v>
      </c>
      <c r="D62" s="124" cm="1">
        <f t="array" aca="1" ref="D62" ca="1">INDIRECT("R[40]C["&amp;$A$62&amp;"]",FALSE)</f>
        <v>0</v>
      </c>
      <c r="E62" s="124" cm="1">
        <f t="array" aca="1" ref="E62" ca="1">INDIRECT("R[40]C["&amp;$A$62&amp;"]",FALSE)</f>
        <v>0</v>
      </c>
      <c r="F62" s="124" cm="1">
        <f t="array" aca="1" ref="F62" ca="1">INDIRECT("R[40]C["&amp;$A$62&amp;"]",FALSE)</f>
        <v>0</v>
      </c>
      <c r="G62" s="124" cm="1">
        <f t="array" aca="1" ref="G62" ca="1">INDIRECT("R[40]C["&amp;$A$62&amp;"]",FALSE)</f>
        <v>0</v>
      </c>
      <c r="H62" s="124" cm="1">
        <f t="array" aca="1" ref="H62" ca="1">INDIRECT("R[40]C["&amp;$A$62&amp;"]",FALSE)</f>
        <v>0</v>
      </c>
      <c r="I62" s="124" cm="1">
        <f t="array" aca="1" ref="I62" ca="1">INDIRECT("R[40]C["&amp;$A$62&amp;"]",FALSE)</f>
        <v>0</v>
      </c>
      <c r="J62" s="124" cm="1">
        <f t="array" aca="1" ref="J62" ca="1">INDIRECT("R[40]C["&amp;$A$62&amp;"]",FALSE)</f>
        <v>0</v>
      </c>
      <c r="K62" s="124" cm="1">
        <f t="array" aca="1" ref="K62" ca="1">INDIRECT("R[40]C["&amp;$A$62&amp;"]",FALSE)</f>
        <v>0</v>
      </c>
      <c r="L62" s="124" cm="1">
        <f t="array" aca="1" ref="L62" ca="1">INDIRECT("R[40]C["&amp;$A$62&amp;"]",FALSE)</f>
        <v>0</v>
      </c>
      <c r="M62" s="124" cm="1">
        <f t="array" aca="1" ref="M62" ca="1">INDIRECT("R[40]C["&amp;$A$62&amp;"]",FALSE)</f>
        <v>0</v>
      </c>
      <c r="N62" s="124" cm="1">
        <f t="array" aca="1" ref="N62" ca="1">INDIRECT("R[40]C["&amp;$A$62&amp;"]",FALSE)</f>
        <v>0</v>
      </c>
      <c r="O62" s="124" cm="1">
        <f t="array" aca="1" ref="O62" ca="1">INDIRECT("R[40]C["&amp;$A$62&amp;"]",FALSE)</f>
        <v>0</v>
      </c>
      <c r="P62" s="124" cm="1">
        <f t="array" aca="1" ref="P62" ca="1">INDIRECT("R[40]C["&amp;$A$62&amp;"]",FALSE)</f>
        <v>0</v>
      </c>
      <c r="Q62" s="124"/>
      <c r="R62" s="128">
        <f t="shared" ref="R62" ca="1" si="7">SUM(D62:Q62)</f>
        <v>0</v>
      </c>
    </row>
    <row r="63" spans="1:18" ht="15.5" x14ac:dyDescent="0.35">
      <c r="A63" s="121">
        <f>A60</f>
        <v>1</v>
      </c>
      <c r="B63" s="125" t="s">
        <v>258</v>
      </c>
      <c r="C63" s="127" cm="1">
        <f t="array" aca="1" ref="C63" ca="1">INDIRECT("R[40]C["&amp;$A$62&amp;"]",FALSE)</f>
        <v>0</v>
      </c>
      <c r="D63" s="124" cm="1">
        <f t="array" aca="1" ref="D63" ca="1">INDIRECT("R[40]C["&amp;$A$62&amp;"]",FALSE)</f>
        <v>0</v>
      </c>
      <c r="E63" s="124" cm="1">
        <f t="array" aca="1" ref="E63" ca="1">INDIRECT("R[40]C["&amp;$A$62&amp;"]",FALSE)</f>
        <v>0</v>
      </c>
      <c r="F63" s="124" cm="1">
        <f t="array" aca="1" ref="F63" ca="1">INDIRECT("R[40]C["&amp;$A$62&amp;"]",FALSE)</f>
        <v>0</v>
      </c>
      <c r="G63" s="124" cm="1">
        <f t="array" aca="1" ref="G63" ca="1">INDIRECT("R[40]C["&amp;$A$62&amp;"]",FALSE)</f>
        <v>0</v>
      </c>
      <c r="H63" s="124" cm="1">
        <f t="array" aca="1" ref="H63" ca="1">INDIRECT("R[40]C["&amp;$A$62&amp;"]",FALSE)</f>
        <v>0</v>
      </c>
      <c r="I63" s="124" cm="1">
        <f t="array" aca="1" ref="I63" ca="1">INDIRECT("R[40]C["&amp;$A$62&amp;"]",FALSE)</f>
        <v>0</v>
      </c>
      <c r="J63" s="124" cm="1">
        <f t="array" aca="1" ref="J63" ca="1">INDIRECT("R[40]C["&amp;$A$62&amp;"]",FALSE)</f>
        <v>0</v>
      </c>
      <c r="K63" s="124" cm="1">
        <f t="array" aca="1" ref="K63" ca="1">INDIRECT("R[40]C["&amp;$A$62&amp;"]",FALSE)</f>
        <v>0</v>
      </c>
      <c r="L63" s="124" cm="1">
        <f t="array" aca="1" ref="L63" ca="1">INDIRECT("R[40]C["&amp;$A$62&amp;"]",FALSE)</f>
        <v>0</v>
      </c>
      <c r="M63" s="124" cm="1">
        <f t="array" aca="1" ref="M63" ca="1">INDIRECT("R[40]C["&amp;$A$62&amp;"]",FALSE)</f>
        <v>0</v>
      </c>
      <c r="N63" s="124" cm="1">
        <f t="array" aca="1" ref="N63" ca="1">INDIRECT("R[40]C["&amp;$A$62&amp;"]",FALSE)</f>
        <v>0</v>
      </c>
      <c r="O63" s="124" cm="1">
        <f t="array" aca="1" ref="O63" ca="1">INDIRECT("R[40]C["&amp;$A$62&amp;"]",FALSE)</f>
        <v>0</v>
      </c>
      <c r="P63" s="124" cm="1">
        <f t="array" aca="1" ref="P63" ca="1">INDIRECT("R[40]C["&amp;$A$62&amp;"]",FALSE)</f>
        <v>0</v>
      </c>
      <c r="Q63" s="124"/>
      <c r="R63" s="128"/>
    </row>
    <row r="64" spans="1:18" ht="15.5" x14ac:dyDescent="0.35">
      <c r="A64" s="121">
        <f>A60</f>
        <v>1</v>
      </c>
      <c r="B64" s="125" t="s">
        <v>353</v>
      </c>
      <c r="C64" s="127" cm="1">
        <f t="array" aca="1" ref="C64" ca="1">INDIRECT("R[40]C["&amp;$A$62&amp;"]",FALSE)</f>
        <v>0</v>
      </c>
      <c r="D64" s="124" cm="1">
        <f t="array" aca="1" ref="D64" ca="1">INDIRECT("R[40]C["&amp;$A$62&amp;"]",FALSE)</f>
        <v>0</v>
      </c>
      <c r="E64" s="124" cm="1">
        <f t="array" aca="1" ref="E64" ca="1">INDIRECT("R[40]C["&amp;$A$62&amp;"]",FALSE)</f>
        <v>0</v>
      </c>
      <c r="F64" s="124" cm="1">
        <f t="array" aca="1" ref="F64" ca="1">INDIRECT("R[40]C["&amp;$A$62&amp;"]",FALSE)</f>
        <v>0</v>
      </c>
      <c r="G64" s="124" cm="1">
        <f t="array" aca="1" ref="G64" ca="1">INDIRECT("R[40]C["&amp;$A$62&amp;"]",FALSE)</f>
        <v>0</v>
      </c>
      <c r="H64" s="124" cm="1">
        <f t="array" aca="1" ref="H64" ca="1">INDIRECT("R[40]C["&amp;$A$62&amp;"]",FALSE)</f>
        <v>0</v>
      </c>
      <c r="I64" s="124" cm="1">
        <f t="array" aca="1" ref="I64" ca="1">INDIRECT("R[40]C["&amp;$A$62&amp;"]",FALSE)</f>
        <v>0</v>
      </c>
      <c r="J64" s="124" cm="1">
        <f t="array" aca="1" ref="J64" ca="1">INDIRECT("R[40]C["&amp;$A$62&amp;"]",FALSE)</f>
        <v>0</v>
      </c>
      <c r="K64" s="124" cm="1">
        <f t="array" aca="1" ref="K64" ca="1">INDIRECT("R[40]C["&amp;$A$62&amp;"]",FALSE)</f>
        <v>0</v>
      </c>
      <c r="L64" s="124" cm="1">
        <f t="array" aca="1" ref="L64" ca="1">INDIRECT("R[40]C["&amp;$A$62&amp;"]",FALSE)</f>
        <v>0</v>
      </c>
      <c r="M64" s="124" cm="1">
        <f t="array" aca="1" ref="M64" ca="1">INDIRECT("R[40]C["&amp;$A$62&amp;"]",FALSE)</f>
        <v>0</v>
      </c>
      <c r="N64" s="124" cm="1">
        <f t="array" aca="1" ref="N64" ca="1">INDIRECT("R[40]C["&amp;$A$62&amp;"]",FALSE)</f>
        <v>0</v>
      </c>
      <c r="O64" s="124" cm="1">
        <f t="array" aca="1" ref="O64" ca="1">INDIRECT("R[40]C["&amp;$A$62&amp;"]",FALSE)</f>
        <v>0</v>
      </c>
      <c r="P64" s="124" cm="1">
        <f t="array" aca="1" ref="P64" ca="1">INDIRECT("R[40]C["&amp;$A$62&amp;"]",FALSE)</f>
        <v>0</v>
      </c>
      <c r="Q64" s="124"/>
      <c r="R64" s="128">
        <f t="shared" ref="R64:R66" ca="1" si="8">SUM(D64:Q64)</f>
        <v>0</v>
      </c>
    </row>
    <row r="65" spans="1:18" ht="15.5" x14ac:dyDescent="0.35">
      <c r="A65" s="121">
        <f>A60</f>
        <v>1</v>
      </c>
      <c r="B65" s="125" t="s">
        <v>117</v>
      </c>
      <c r="C65" s="127" cm="1">
        <f t="array" aca="1" ref="C65" ca="1">INDIRECT("R[40]C["&amp;$A$62&amp;"]",FALSE)</f>
        <v>0</v>
      </c>
      <c r="D65" s="124" cm="1">
        <f t="array" aca="1" ref="D65" ca="1">INDIRECT("R[40]C["&amp;$A$62&amp;"]",FALSE)</f>
        <v>0</v>
      </c>
      <c r="E65" s="124" cm="1">
        <f t="array" aca="1" ref="E65" ca="1">INDIRECT("R[40]C["&amp;$A$62&amp;"]",FALSE)</f>
        <v>0</v>
      </c>
      <c r="F65" s="124" cm="1">
        <f t="array" aca="1" ref="F65" ca="1">INDIRECT("R[40]C["&amp;$A$62&amp;"]",FALSE)</f>
        <v>0</v>
      </c>
      <c r="G65" s="124" cm="1">
        <f t="array" aca="1" ref="G65" ca="1">INDIRECT("R[40]C["&amp;$A$62&amp;"]",FALSE)</f>
        <v>0</v>
      </c>
      <c r="H65" s="124" cm="1">
        <f t="array" aca="1" ref="H65" ca="1">INDIRECT("R[40]C["&amp;$A$62&amp;"]",FALSE)</f>
        <v>0</v>
      </c>
      <c r="I65" s="124" cm="1">
        <f t="array" aca="1" ref="I65" ca="1">INDIRECT("R[40]C["&amp;$A$62&amp;"]",FALSE)</f>
        <v>33.345014087697692</v>
      </c>
      <c r="J65" s="124" cm="1">
        <f t="array" aca="1" ref="J65" ca="1">INDIRECT("R[40]C["&amp;$A$62&amp;"]",FALSE)</f>
        <v>66.679419262979792</v>
      </c>
      <c r="K65" s="124" cm="1">
        <f t="array" aca="1" ref="K65" ca="1">INDIRECT("R[40]C["&amp;$A$62&amp;"]",FALSE)</f>
        <v>66.679419262979792</v>
      </c>
      <c r="L65" s="124" cm="1">
        <f t="array" aca="1" ref="L65" ca="1">INDIRECT("R[40]C["&amp;$A$62&amp;"]",FALSE)</f>
        <v>61.087673353013642</v>
      </c>
      <c r="M65" s="124" cm="1">
        <f t="array" aca="1" ref="M65" ca="1">INDIRECT("R[40]C["&amp;$A$62&amp;"]",FALSE)</f>
        <v>27.76302935055006</v>
      </c>
      <c r="N65" s="124" cm="1">
        <f t="array" aca="1" ref="N65" ca="1">INDIRECT("R[40]C["&amp;$A$62&amp;"]",FALSE)</f>
        <v>22.215775389712444</v>
      </c>
      <c r="O65" s="124" cm="1">
        <f t="array" aca="1" ref="O65" ca="1">INDIRECT("R[40]C["&amp;$A$62&amp;"]",FALSE)</f>
        <v>0</v>
      </c>
      <c r="P65" s="124" cm="1">
        <f t="array" aca="1" ref="P65" ca="1">INDIRECT("R[40]C["&amp;$A$62&amp;"]",FALSE)</f>
        <v>0</v>
      </c>
      <c r="Q65" s="124"/>
      <c r="R65" s="128">
        <f t="shared" ca="1" si="8"/>
        <v>277.77033070693341</v>
      </c>
    </row>
    <row r="66" spans="1:18" ht="15.5" x14ac:dyDescent="0.35">
      <c r="A66" s="121">
        <f>A60</f>
        <v>1</v>
      </c>
      <c r="B66" s="125" t="s">
        <v>354</v>
      </c>
      <c r="C66" s="127" cm="1">
        <f t="array" aca="1" ref="C66" ca="1">INDIRECT("R[40]C["&amp;$A$62&amp;"]",FALSE)</f>
        <v>0</v>
      </c>
      <c r="D66" s="124" cm="1">
        <f t="array" aca="1" ref="D66" ca="1">INDIRECT("R[40]C["&amp;$A$62&amp;"]",FALSE)</f>
        <v>0</v>
      </c>
      <c r="E66" s="124" cm="1">
        <f t="array" aca="1" ref="E66" ca="1">INDIRECT("R[40]C["&amp;$A$62&amp;"]",FALSE)</f>
        <v>0</v>
      </c>
      <c r="F66" s="124" cm="1">
        <f t="array" aca="1" ref="F66" ca="1">INDIRECT("R[40]C["&amp;$A$62&amp;"]",FALSE)</f>
        <v>0</v>
      </c>
      <c r="G66" s="124" cm="1">
        <f t="array" aca="1" ref="G66" ca="1">INDIRECT("R[40]C["&amp;$A$62&amp;"]",FALSE)</f>
        <v>0</v>
      </c>
      <c r="H66" s="124" cm="1">
        <f t="array" aca="1" ref="H66" ca="1">INDIRECT("R[40]C["&amp;$A$62&amp;"]",FALSE)</f>
        <v>0</v>
      </c>
      <c r="I66" s="124" cm="1">
        <f t="array" aca="1" ref="I66" ca="1">INDIRECT("R[40]C["&amp;$A$62&amp;"]",FALSE)</f>
        <v>1</v>
      </c>
      <c r="J66" s="124" cm="1">
        <f t="array" aca="1" ref="J66" ca="1">INDIRECT("R[40]C["&amp;$A$62&amp;"]",FALSE)</f>
        <v>2</v>
      </c>
      <c r="K66" s="124" cm="1">
        <f t="array" aca="1" ref="K66" ca="1">INDIRECT("R[40]C["&amp;$A$62&amp;"]",FALSE)</f>
        <v>2</v>
      </c>
      <c r="L66" s="124" cm="1">
        <f t="array" aca="1" ref="L66" ca="1">INDIRECT("R[40]C["&amp;$A$62&amp;"]",FALSE)</f>
        <v>2</v>
      </c>
      <c r="M66" s="124" cm="1">
        <f t="array" aca="1" ref="M66" ca="1">INDIRECT("R[40]C["&amp;$A$62&amp;"]",FALSE)</f>
        <v>1</v>
      </c>
      <c r="N66" s="124" cm="1">
        <f t="array" aca="1" ref="N66" ca="1">INDIRECT("R[40]C["&amp;$A$62&amp;"]",FALSE)</f>
        <v>1</v>
      </c>
      <c r="O66" s="124" cm="1">
        <f t="array" aca="1" ref="O66" ca="1">INDIRECT("R[40]C["&amp;$A$62&amp;"]",FALSE)</f>
        <v>0</v>
      </c>
      <c r="P66" s="124" cm="1">
        <f t="array" aca="1" ref="P66" ca="1">INDIRECT("R[40]C["&amp;$A$62&amp;"]",FALSE)</f>
        <v>0</v>
      </c>
      <c r="Q66" s="124"/>
      <c r="R66" s="128">
        <f t="shared" ca="1" si="8"/>
        <v>9</v>
      </c>
    </row>
    <row r="67" spans="1:18" ht="15.5" x14ac:dyDescent="0.35">
      <c r="A67" s="116"/>
      <c r="B67" s="129" t="s">
        <v>119</v>
      </c>
      <c r="C67" s="134"/>
      <c r="D67" s="132"/>
      <c r="E67" s="132"/>
      <c r="F67" s="132"/>
      <c r="G67" s="132"/>
      <c r="H67" s="132"/>
      <c r="I67" s="132"/>
      <c r="J67" s="132"/>
      <c r="K67" s="132"/>
      <c r="L67" s="132"/>
      <c r="M67" s="132"/>
      <c r="N67" s="132"/>
      <c r="O67" s="132"/>
      <c r="P67" s="132"/>
      <c r="Q67" s="132"/>
      <c r="R67" s="130"/>
    </row>
    <row r="68" spans="1:18" ht="15.5" x14ac:dyDescent="0.35">
      <c r="A68" s="121">
        <f>A59</f>
        <v>1</v>
      </c>
      <c r="B68" s="125" t="s">
        <v>355</v>
      </c>
      <c r="C68" s="127" cm="1">
        <f t="array" aca="1" ref="C68" ca="1">INDIRECT("R[40]C["&amp;$A$68&amp;"]",FALSE)</f>
        <v>0</v>
      </c>
      <c r="D68" s="124" cm="1">
        <f t="array" aca="1" ref="D68" ca="1">INDIRECT("R[40]C["&amp;$A$68&amp;"]",FALSE)</f>
        <v>0</v>
      </c>
      <c r="E68" s="124" cm="1">
        <f t="array" aca="1" ref="E68" ca="1">INDIRECT("R[40]C["&amp;$A$68&amp;"]",FALSE)</f>
        <v>0</v>
      </c>
      <c r="F68" s="124" cm="1">
        <f t="array" aca="1" ref="F68" ca="1">INDIRECT("R[40]C["&amp;$A$68&amp;"]",FALSE)</f>
        <v>0</v>
      </c>
      <c r="G68" s="124" cm="1">
        <f t="array" aca="1" ref="G68" ca="1">INDIRECT("R[40]C["&amp;$A$68&amp;"]",FALSE)</f>
        <v>0</v>
      </c>
      <c r="H68" s="124" cm="1">
        <f t="array" aca="1" ref="H68" ca="1">INDIRECT("R[40]C["&amp;$A$68&amp;"]",FALSE)</f>
        <v>0</v>
      </c>
      <c r="I68" s="124" cm="1">
        <f t="array" aca="1" ref="I68" ca="1">INDIRECT("R[40]C["&amp;$A$68&amp;"]",FALSE)</f>
        <v>1</v>
      </c>
      <c r="J68" s="124" cm="1">
        <f t="array" aca="1" ref="J68" ca="1">INDIRECT("R[40]C["&amp;$A$68&amp;"]",FALSE)</f>
        <v>2</v>
      </c>
      <c r="K68" s="124" cm="1">
        <f t="array" aca="1" ref="K68" ca="1">INDIRECT("R[40]C["&amp;$A$68&amp;"]",FALSE)</f>
        <v>2</v>
      </c>
      <c r="L68" s="124" cm="1">
        <f t="array" aca="1" ref="L68" ca="1">INDIRECT("R[40]C["&amp;$A$68&amp;"]",FALSE)</f>
        <v>2</v>
      </c>
      <c r="M68" s="124" cm="1">
        <f t="array" aca="1" ref="M68" ca="1">INDIRECT("R[40]C["&amp;$A$68&amp;"]",FALSE)</f>
        <v>1</v>
      </c>
      <c r="N68" s="124" cm="1">
        <f t="array" aca="1" ref="N68" ca="1">INDIRECT("R[40]C["&amp;$A$68&amp;"]",FALSE)</f>
        <v>1</v>
      </c>
      <c r="O68" s="124" cm="1">
        <f t="array" aca="1" ref="O68" ca="1">INDIRECT("R[40]C["&amp;$A$68&amp;"]",FALSE)</f>
        <v>0</v>
      </c>
      <c r="P68" s="124" cm="1">
        <f t="array" aca="1" ref="P68" ca="1">INDIRECT("R[40]C["&amp;$A$68&amp;"]",FALSE)</f>
        <v>0</v>
      </c>
      <c r="Q68" s="124"/>
      <c r="R68" s="128">
        <f t="shared" ref="R68" ca="1" si="9">SUM(D68:Q68)</f>
        <v>9</v>
      </c>
    </row>
    <row r="69" spans="1:18" ht="15.5" x14ac:dyDescent="0.35">
      <c r="A69" s="116"/>
      <c r="B69" s="129" t="s">
        <v>356</v>
      </c>
      <c r="C69" s="134"/>
      <c r="D69" s="131"/>
      <c r="E69" s="131"/>
      <c r="F69" s="131"/>
      <c r="G69" s="131"/>
      <c r="H69" s="131"/>
      <c r="I69" s="131"/>
      <c r="J69" s="131"/>
      <c r="K69" s="131"/>
      <c r="L69" s="131"/>
      <c r="M69" s="131"/>
      <c r="N69" s="131"/>
      <c r="O69" s="131"/>
      <c r="P69" s="131"/>
      <c r="Q69" s="131"/>
      <c r="R69" s="130"/>
    </row>
    <row r="70" spans="1:18" ht="15.5" x14ac:dyDescent="0.35">
      <c r="A70" s="121">
        <f>A59</f>
        <v>1</v>
      </c>
      <c r="B70" s="125" t="s">
        <v>357</v>
      </c>
      <c r="C70" s="127" cm="1">
        <f t="array" aca="1" ref="C70" ca="1">INDIRECT("R[40]C["&amp;$A$70&amp;"]",FALSE)</f>
        <v>0</v>
      </c>
      <c r="D70" s="124" cm="1">
        <f t="array" aca="1" ref="D70" ca="1">INDIRECT("R[40]C["&amp;$A$70&amp;"]",FALSE)</f>
        <v>0</v>
      </c>
      <c r="E70" s="124" cm="1">
        <f t="array" aca="1" ref="E70" ca="1">INDIRECT("R[40]C["&amp;$A$70&amp;"]",FALSE)</f>
        <v>0</v>
      </c>
      <c r="F70" s="124" cm="1">
        <f t="array" aca="1" ref="F70" ca="1">INDIRECT("R[40]C["&amp;$A$70&amp;"]",FALSE)</f>
        <v>0</v>
      </c>
      <c r="G70" s="124" cm="1">
        <f t="array" aca="1" ref="G70" ca="1">INDIRECT("R[40]C["&amp;$A$70&amp;"]",FALSE)</f>
        <v>0</v>
      </c>
      <c r="H70" s="124" cm="1">
        <f t="array" aca="1" ref="H70" ca="1">INDIRECT("R[40]C["&amp;$A$70&amp;"]",FALSE)</f>
        <v>0</v>
      </c>
      <c r="I70" s="124" cm="1">
        <f t="array" aca="1" ref="I70" ca="1">INDIRECT("R[40]C["&amp;$A$70&amp;"]",FALSE)</f>
        <v>122.04275156097356</v>
      </c>
      <c r="J70" s="124" cm="1">
        <f t="array" aca="1" ref="J70" ca="1">INDIRECT("R[40]C["&amp;$A$70&amp;"]",FALSE)</f>
        <v>244.04667450250608</v>
      </c>
      <c r="K70" s="124" cm="1">
        <f t="array" aca="1" ref="K70" ca="1">INDIRECT("R[40]C["&amp;$A$70&amp;"]",FALSE)</f>
        <v>244.04667450250608</v>
      </c>
      <c r="L70" s="124" cm="1">
        <f t="array" aca="1" ref="L70" ca="1">INDIRECT("R[40]C["&amp;$A$70&amp;"]",FALSE)</f>
        <v>223.58088447202994</v>
      </c>
      <c r="M70" s="124" cm="1">
        <f t="array" aca="1" ref="M70" ca="1">INDIRECT("R[40]C["&amp;$A$70&amp;"]",FALSE)</f>
        <v>101.61268742301323</v>
      </c>
      <c r="N70" s="124" cm="1">
        <f t="array" aca="1" ref="N70" ca="1">INDIRECT("R[40]C["&amp;$A$70&amp;"]",FALSE)</f>
        <v>81.309737926347552</v>
      </c>
      <c r="O70" s="124" cm="1">
        <f t="array" aca="1" ref="O70" ca="1">INDIRECT("R[40]C["&amp;$A$70&amp;"]",FALSE)</f>
        <v>0</v>
      </c>
      <c r="P70" s="124" cm="1">
        <f t="array" aca="1" ref="P70" ca="1">INDIRECT("R[40]C["&amp;$A$70&amp;"]",FALSE)</f>
        <v>0</v>
      </c>
      <c r="Q70" s="124"/>
      <c r="R70" s="128">
        <f t="shared" ref="R70:R71" ca="1" si="10">SUM(D70:Q70)</f>
        <v>1016.6394103873765</v>
      </c>
    </row>
    <row r="71" spans="1:18" ht="15.5" x14ac:dyDescent="0.35">
      <c r="A71" s="121">
        <f>A59</f>
        <v>1</v>
      </c>
      <c r="B71" s="125" t="s">
        <v>358</v>
      </c>
      <c r="C71" s="127" cm="1">
        <f t="array" aca="1" ref="C71" ca="1">INDIRECT("R[40]C["&amp;$A$70&amp;"]",FALSE)</f>
        <v>0</v>
      </c>
      <c r="D71" s="124" cm="1">
        <f t="array" aca="1" ref="D71" ca="1">INDIRECT("R[40]C["&amp;$A$70&amp;"]",FALSE)</f>
        <v>0</v>
      </c>
      <c r="E71" s="124" cm="1">
        <f t="array" aca="1" ref="E71" ca="1">INDIRECT("R[40]C["&amp;$A$70&amp;"]",FALSE)</f>
        <v>0</v>
      </c>
      <c r="F71" s="124" cm="1">
        <f t="array" aca="1" ref="F71" ca="1">INDIRECT("R[40]C["&amp;$A$70&amp;"]",FALSE)</f>
        <v>0</v>
      </c>
      <c r="G71" s="124" cm="1">
        <f t="array" aca="1" ref="G71" ca="1">INDIRECT("R[40]C["&amp;$A$70&amp;"]",FALSE)</f>
        <v>0</v>
      </c>
      <c r="H71" s="124" cm="1">
        <f t="array" aca="1" ref="H71" ca="1">INDIRECT("R[40]C["&amp;$A$70&amp;"]",FALSE)</f>
        <v>0</v>
      </c>
      <c r="I71" s="124" cm="1">
        <f t="array" aca="1" ref="I71" ca="1">INDIRECT("R[40]C["&amp;$A$70&amp;"]",FALSE)</f>
        <v>120</v>
      </c>
      <c r="J71" s="124" cm="1">
        <f t="array" aca="1" ref="J71" ca="1">INDIRECT("R[40]C["&amp;$A$70&amp;"]",FALSE)</f>
        <v>210</v>
      </c>
      <c r="K71" s="124" cm="1">
        <f t="array" aca="1" ref="K71" ca="1">INDIRECT("R[40]C["&amp;$A$70&amp;"]",FALSE)</f>
        <v>210</v>
      </c>
      <c r="L71" s="124" cm="1">
        <f t="array" aca="1" ref="L71" ca="1">INDIRECT("R[40]C["&amp;$A$70&amp;"]",FALSE)</f>
        <v>205</v>
      </c>
      <c r="M71" s="124" cm="1">
        <f t="array" aca="1" ref="M71" ca="1">INDIRECT("R[40]C["&amp;$A$70&amp;"]",FALSE)</f>
        <v>105</v>
      </c>
      <c r="N71" s="124" cm="1">
        <f t="array" aca="1" ref="N71" ca="1">INDIRECT("R[40]C["&amp;$A$70&amp;"]",FALSE)</f>
        <v>105</v>
      </c>
      <c r="O71" s="124" cm="1">
        <f t="array" aca="1" ref="O71" ca="1">INDIRECT("R[40]C["&amp;$A$70&amp;"]",FALSE)</f>
        <v>0</v>
      </c>
      <c r="P71" s="124" cm="1">
        <f t="array" aca="1" ref="P71" ca="1">INDIRECT("R[40]C["&amp;$A$70&amp;"]",FALSE)</f>
        <v>0</v>
      </c>
      <c r="Q71" s="124"/>
      <c r="R71" s="128">
        <f t="shared" ca="1" si="10"/>
        <v>955</v>
      </c>
    </row>
    <row r="72" spans="1:18" ht="15.5" x14ac:dyDescent="0.35">
      <c r="A72" s="116"/>
      <c r="B72" s="129"/>
      <c r="C72" s="133"/>
      <c r="D72" s="129"/>
      <c r="E72" s="129"/>
      <c r="F72" s="129"/>
      <c r="G72" s="129"/>
      <c r="H72" s="129"/>
      <c r="I72" s="129"/>
      <c r="J72" s="129"/>
      <c r="K72" s="129"/>
      <c r="L72" s="129"/>
      <c r="M72" s="129"/>
      <c r="N72" s="129"/>
      <c r="O72" s="129"/>
      <c r="P72" s="129"/>
      <c r="Q72" s="129"/>
      <c r="R72" s="130"/>
    </row>
    <row r="73" spans="1:18" ht="15.5" x14ac:dyDescent="0.35">
      <c r="A73" s="116"/>
      <c r="B73" s="116"/>
      <c r="C73" s="116"/>
      <c r="D73" s="116"/>
      <c r="E73" s="116"/>
      <c r="F73" s="116"/>
      <c r="G73" s="116"/>
      <c r="H73" s="116"/>
      <c r="I73" s="116"/>
      <c r="J73" s="116"/>
      <c r="K73" s="116"/>
      <c r="L73" s="116"/>
      <c r="M73" s="116"/>
      <c r="N73" s="116"/>
      <c r="O73" s="116"/>
      <c r="P73" s="116"/>
      <c r="Q73" s="116"/>
      <c r="R73" s="115"/>
    </row>
    <row r="74" spans="1:18" ht="15.5" x14ac:dyDescent="0.35">
      <c r="A74" s="116"/>
      <c r="B74" s="116"/>
      <c r="C74" s="116"/>
      <c r="D74" s="116"/>
      <c r="E74" s="116"/>
      <c r="F74" s="116"/>
      <c r="G74" s="116"/>
      <c r="H74" s="116"/>
      <c r="I74" s="116"/>
      <c r="J74" s="116"/>
      <c r="K74" s="116"/>
      <c r="L74" s="116"/>
      <c r="M74" s="116"/>
      <c r="N74" s="116"/>
      <c r="O74" s="116"/>
      <c r="P74" s="116"/>
      <c r="Q74" s="116"/>
      <c r="R74" s="115"/>
    </row>
    <row r="75" spans="1:18" ht="15.5" x14ac:dyDescent="0.35">
      <c r="A75" s="116"/>
      <c r="B75" s="116" t="s">
        <v>235</v>
      </c>
      <c r="C75" s="115">
        <f ca="1">SUM(C46:C48)</f>
        <v>0</v>
      </c>
      <c r="D75" s="115">
        <f ca="1">SUM(D46:D48)</f>
        <v>0</v>
      </c>
      <c r="E75" s="115">
        <f t="shared" ref="E75:Q75" ca="1" si="11">SUM(E46:E48)</f>
        <v>0</v>
      </c>
      <c r="F75" s="115">
        <f t="shared" ca="1" si="11"/>
        <v>0</v>
      </c>
      <c r="G75" s="115">
        <f t="shared" ca="1" si="11"/>
        <v>0</v>
      </c>
      <c r="H75" s="115">
        <f t="shared" ca="1" si="11"/>
        <v>0</v>
      </c>
      <c r="I75" s="115">
        <f t="shared" ca="1" si="11"/>
        <v>33.345014087697692</v>
      </c>
      <c r="J75" s="115">
        <f t="shared" ca="1" si="11"/>
        <v>66.679419262979792</v>
      </c>
      <c r="K75" s="115">
        <f t="shared" ca="1" si="11"/>
        <v>66.679419262979792</v>
      </c>
      <c r="L75" s="115">
        <f t="shared" ca="1" si="11"/>
        <v>61.087673353013642</v>
      </c>
      <c r="M75" s="115">
        <f t="shared" ca="1" si="11"/>
        <v>27.76302935055006</v>
      </c>
      <c r="N75" s="115">
        <f t="shared" ca="1" si="11"/>
        <v>22.215775389712444</v>
      </c>
      <c r="O75" s="115">
        <f t="shared" ca="1" si="11"/>
        <v>0</v>
      </c>
      <c r="P75" s="115">
        <f t="shared" ca="1" si="11"/>
        <v>0</v>
      </c>
      <c r="Q75" s="115">
        <f t="shared" si="11"/>
        <v>0</v>
      </c>
      <c r="R75" s="115">
        <f ca="1">SUM(R46:R48)</f>
        <v>277.77033070693341</v>
      </c>
    </row>
    <row r="77" spans="1:18" x14ac:dyDescent="0.35">
      <c r="R77" s="22"/>
    </row>
    <row r="78" spans="1:18" x14ac:dyDescent="0.35">
      <c r="R78" s="22"/>
    </row>
    <row r="79" spans="1:18" x14ac:dyDescent="0.35">
      <c r="R79" s="22"/>
    </row>
    <row r="80" spans="1:18" x14ac:dyDescent="0.35">
      <c r="B80" s="28" t="s">
        <v>276</v>
      </c>
      <c r="C80" s="28"/>
      <c r="D80" s="28"/>
      <c r="E80" s="28"/>
      <c r="F80" s="28"/>
      <c r="G80" s="28"/>
      <c r="H80" s="28"/>
      <c r="I80" s="28"/>
      <c r="J80" s="28"/>
      <c r="R80" s="22"/>
    </row>
    <row r="81" spans="1:26" x14ac:dyDescent="0.35">
      <c r="B81" s="7" t="s">
        <v>170</v>
      </c>
      <c r="C81" s="7"/>
      <c r="R81" s="22"/>
    </row>
    <row r="82" spans="1:26" ht="15.5" x14ac:dyDescent="0.35">
      <c r="B82" s="105" t="s">
        <v>110</v>
      </c>
      <c r="C82" s="105"/>
      <c r="D82" s="108">
        <f>D83</f>
        <v>0</v>
      </c>
      <c r="E82" s="108">
        <f>SUM($E83:E83)</f>
        <v>0</v>
      </c>
      <c r="F82" s="108">
        <f>SUM($E83:F83)</f>
        <v>0</v>
      </c>
      <c r="G82" s="108">
        <f>SUM($E83:G83)</f>
        <v>0</v>
      </c>
      <c r="H82" s="108">
        <f>SUM($E83:H83)</f>
        <v>0</v>
      </c>
      <c r="I82" s="108">
        <f>SUM($E83:I83)</f>
        <v>0</v>
      </c>
      <c r="J82" s="108">
        <f>SUM($E83:J83)</f>
        <v>500.17521131546539</v>
      </c>
      <c r="K82" s="108">
        <f>SUM($E83:K83)</f>
        <v>1500.3665002601624</v>
      </c>
      <c r="L82" s="109">
        <f>SUM($E83:L83)</f>
        <v>2500.5577892048595</v>
      </c>
      <c r="M82" s="108">
        <f>SUM($E83:M83)</f>
        <v>3600.1359095591051</v>
      </c>
      <c r="N82" s="108">
        <f>SUM($E83:N83)</f>
        <v>4099.8704378690063</v>
      </c>
      <c r="O82" s="108">
        <f>SUM($E83:O83)</f>
        <v>4499.7543948838302</v>
      </c>
      <c r="P82" s="108">
        <f>SUM($E83:P83)</f>
        <v>4499.7543948838302</v>
      </c>
      <c r="Q82" s="108">
        <f>SUM($E83:Q83)</f>
        <v>4499.7543948838302</v>
      </c>
      <c r="R82" s="113">
        <f>Q82</f>
        <v>4499.7543948838302</v>
      </c>
    </row>
    <row r="83" spans="1:26" ht="15.5" x14ac:dyDescent="0.35">
      <c r="B83" s="105" t="s">
        <v>362</v>
      </c>
      <c r="C83" s="105"/>
      <c r="D83" s="108">
        <f>SUMPRODUCT(D86:D88,$B$86:$B$88)</f>
        <v>0</v>
      </c>
      <c r="E83" s="108">
        <f>SUMPRODUCT(E86:E88,$B$86:$B$88)</f>
        <v>0</v>
      </c>
      <c r="F83" s="108">
        <f t="shared" ref="F83:Q83" si="12">SUMPRODUCT(F86:F88,$B$86:$B$88)</f>
        <v>0</v>
      </c>
      <c r="G83" s="108">
        <f t="shared" si="12"/>
        <v>0</v>
      </c>
      <c r="H83" s="108">
        <f t="shared" si="12"/>
        <v>0</v>
      </c>
      <c r="I83" s="108">
        <f>SUMPRODUCT(I86:I88,$B$86:$B$88)</f>
        <v>0</v>
      </c>
      <c r="J83" s="108">
        <f>SUMPRODUCT(J86:J88,$B$86:$B$88)</f>
        <v>500.17521131546539</v>
      </c>
      <c r="K83" s="108">
        <f t="shared" si="12"/>
        <v>1000.1912889446969</v>
      </c>
      <c r="L83" s="109">
        <f t="shared" si="12"/>
        <v>1000.1912889446969</v>
      </c>
      <c r="M83" s="108">
        <f t="shared" si="12"/>
        <v>1099.5781203542456</v>
      </c>
      <c r="N83" s="108">
        <f t="shared" si="12"/>
        <v>499.73452830990107</v>
      </c>
      <c r="O83" s="108">
        <f>SUMPRODUCT(O86:O88,$B$86:$B$88)</f>
        <v>399.88395701482398</v>
      </c>
      <c r="P83" s="108">
        <f t="shared" si="12"/>
        <v>0</v>
      </c>
      <c r="Q83" s="108">
        <f t="shared" si="12"/>
        <v>0</v>
      </c>
      <c r="R83" s="113">
        <f>SUM(D83:Q83)</f>
        <v>4499.7543948838302</v>
      </c>
    </row>
    <row r="84" spans="1:26" ht="15.5" x14ac:dyDescent="0.35">
      <c r="B84" s="105" t="s">
        <v>236</v>
      </c>
      <c r="C84" s="105"/>
      <c r="D84" s="108"/>
      <c r="E84" s="108">
        <f>Aggregated!BF7*$R$4</f>
        <v>0</v>
      </c>
      <c r="F84" s="108">
        <f>Aggregated!BG7*$R$4</f>
        <v>0</v>
      </c>
      <c r="G84" s="108">
        <f>Aggregated!BH7*$R$4</f>
        <v>0</v>
      </c>
      <c r="H84" s="108">
        <f>Aggregated!BI7*$R$4</f>
        <v>0</v>
      </c>
      <c r="I84" s="108">
        <f>Aggregated!BJ7*$R$4</f>
        <v>0</v>
      </c>
      <c r="J84" s="108">
        <f>Aggregated!BK7*$R$4</f>
        <v>1</v>
      </c>
      <c r="K84" s="108">
        <f>Aggregated!BL7*$R$4</f>
        <v>2</v>
      </c>
      <c r="L84" s="108">
        <f>Aggregated!BM7*$R$4</f>
        <v>2</v>
      </c>
      <c r="M84" s="108">
        <f>Aggregated!BN7*$R$4</f>
        <v>2</v>
      </c>
      <c r="N84" s="108">
        <f>Aggregated!BO7*$R$4</f>
        <v>1</v>
      </c>
      <c r="O84" s="108">
        <f>Aggregated!BP7*$R$4</f>
        <v>1</v>
      </c>
      <c r="P84" s="108">
        <f>Aggregated!BQ7*$R$4</f>
        <v>0</v>
      </c>
      <c r="Q84" s="108">
        <f>Aggregated!BR7*$R$4</f>
        <v>0</v>
      </c>
      <c r="R84" s="113">
        <f>SUM(D84:Q84)</f>
        <v>9</v>
      </c>
    </row>
    <row r="85" spans="1:26" ht="15.5" x14ac:dyDescent="0.35">
      <c r="B85" s="135" t="s">
        <v>275</v>
      </c>
      <c r="C85" s="152">
        <v>0</v>
      </c>
      <c r="D85" s="131">
        <v>0</v>
      </c>
      <c r="E85" s="154">
        <f>SUM(E86:E88)</f>
        <v>0</v>
      </c>
      <c r="F85" s="154">
        <f t="shared" ref="F85:Q85" si="13">SUM(F86:F88)</f>
        <v>0</v>
      </c>
      <c r="G85" s="154">
        <f t="shared" si="13"/>
        <v>0</v>
      </c>
      <c r="H85" s="154">
        <f t="shared" si="13"/>
        <v>0</v>
      </c>
      <c r="I85" s="154">
        <f t="shared" si="13"/>
        <v>0</v>
      </c>
      <c r="J85" s="154">
        <f t="shared" si="13"/>
        <v>33.345014087697692</v>
      </c>
      <c r="K85" s="154">
        <f t="shared" si="13"/>
        <v>66.679419262979792</v>
      </c>
      <c r="L85" s="154">
        <f t="shared" si="13"/>
        <v>66.679419262979792</v>
      </c>
      <c r="M85" s="154">
        <f t="shared" si="13"/>
        <v>61.087673353013642</v>
      </c>
      <c r="N85" s="154">
        <f t="shared" si="13"/>
        <v>27.76302935055006</v>
      </c>
      <c r="O85" s="154">
        <f t="shared" si="13"/>
        <v>22.215775389712444</v>
      </c>
      <c r="P85" s="154">
        <f t="shared" si="13"/>
        <v>0</v>
      </c>
      <c r="Q85" s="154">
        <f t="shared" si="13"/>
        <v>0</v>
      </c>
      <c r="R85" s="130">
        <f>SUM(E85:Q85)</f>
        <v>277.77033070693341</v>
      </c>
    </row>
    <row r="86" spans="1:26" ht="15.5" x14ac:dyDescent="0.35">
      <c r="A86" s="29"/>
      <c r="B86" s="111">
        <f>Assumptions!F16</f>
        <v>12</v>
      </c>
      <c r="C86" s="111"/>
      <c r="D86" s="108">
        <f>Aggregated!BE9*$R$4</f>
        <v>0</v>
      </c>
      <c r="E86" s="108">
        <f>Aggregated!BF9*$R$4</f>
        <v>0</v>
      </c>
      <c r="F86" s="108">
        <f>Aggregated!BG9*$R$4</f>
        <v>0</v>
      </c>
      <c r="G86" s="108">
        <f>Aggregated!BH9*$R$4</f>
        <v>0</v>
      </c>
      <c r="H86" s="108">
        <f>Aggregated!BI9*$R$4</f>
        <v>0</v>
      </c>
      <c r="I86" s="108">
        <f>Aggregated!BJ9*$R$4</f>
        <v>0</v>
      </c>
      <c r="J86" s="108">
        <f>Aggregated!BK9*$R$4</f>
        <v>0</v>
      </c>
      <c r="K86" s="108">
        <f>Aggregated!BL9*$R$4</f>
        <v>0</v>
      </c>
      <c r="L86" s="108">
        <f>Aggregated!BM9*$R$4</f>
        <v>0</v>
      </c>
      <c r="M86" s="108">
        <f>Aggregated!BN9*$R$4</f>
        <v>0</v>
      </c>
      <c r="N86" s="108">
        <f>Aggregated!BO9*$R$4</f>
        <v>0</v>
      </c>
      <c r="O86" s="108">
        <f>Aggregated!BP9*$R$4</f>
        <v>0</v>
      </c>
      <c r="P86" s="108">
        <f>Aggregated!BQ9*$R$4</f>
        <v>0</v>
      </c>
      <c r="Q86" s="108">
        <f>Aggregated!BR9*$R$4</f>
        <v>0</v>
      </c>
      <c r="R86" s="113">
        <f>SUM(D86:Q86)</f>
        <v>0</v>
      </c>
      <c r="S86" s="44"/>
      <c r="T86" s="30"/>
      <c r="U86" s="30"/>
      <c r="V86" s="30"/>
      <c r="W86" s="30"/>
      <c r="X86" s="30"/>
      <c r="Y86" s="30"/>
      <c r="Z86" s="30"/>
    </row>
    <row r="87" spans="1:26" ht="15.5" x14ac:dyDescent="0.35">
      <c r="B87" s="111">
        <f>Assumptions!F17</f>
        <v>15</v>
      </c>
      <c r="C87" s="111"/>
      <c r="D87" s="108">
        <f>Aggregated!BE10*$R$4</f>
        <v>0</v>
      </c>
      <c r="E87" s="108">
        <f>Aggregated!BF10*$R$4</f>
        <v>0</v>
      </c>
      <c r="F87" s="108">
        <f>Aggregated!BG10*$R$4</f>
        <v>0</v>
      </c>
      <c r="G87" s="108">
        <f>Aggregated!BH10*$R$4</f>
        <v>0</v>
      </c>
      <c r="H87" s="108">
        <f>Aggregated!BI10*$R$4</f>
        <v>0</v>
      </c>
      <c r="I87" s="108">
        <f>Aggregated!BJ10*$R$4</f>
        <v>0</v>
      </c>
      <c r="J87" s="108">
        <f>Aggregated!BK10*$R$4</f>
        <v>33.345014087697692</v>
      </c>
      <c r="K87" s="108">
        <f>Aggregated!BL10*$R$4</f>
        <v>66.679419262979792</v>
      </c>
      <c r="L87" s="108">
        <f>Aggregated!BM10*$R$4</f>
        <v>66.679419262979792</v>
      </c>
      <c r="M87" s="108">
        <f>Aggregated!BN10*$R$4</f>
        <v>0</v>
      </c>
      <c r="N87" s="108">
        <f>Aggregated!BO10*$R$4</f>
        <v>0</v>
      </c>
      <c r="O87" s="108">
        <f>Aggregated!BP10*$R$4</f>
        <v>0</v>
      </c>
      <c r="P87" s="108">
        <f>Aggregated!BQ10*$R$4</f>
        <v>0</v>
      </c>
      <c r="Q87" s="108">
        <f>Aggregated!BR10*$R$4</f>
        <v>0</v>
      </c>
      <c r="R87" s="113">
        <f t="shared" ref="R87:R88" si="14">SUM(D87:Q87)</f>
        <v>166.70385261365726</v>
      </c>
      <c r="S87" s="22"/>
    </row>
    <row r="88" spans="1:26" ht="15.5" x14ac:dyDescent="0.35">
      <c r="B88" s="111">
        <f>Assumptions!F18</f>
        <v>18</v>
      </c>
      <c r="C88" s="111"/>
      <c r="D88" s="108">
        <f>Aggregated!BE11*$R$4</f>
        <v>0</v>
      </c>
      <c r="E88" s="108">
        <f>Aggregated!BF11*$R$4</f>
        <v>0</v>
      </c>
      <c r="F88" s="108">
        <f>Aggregated!BG11*$R$4</f>
        <v>0</v>
      </c>
      <c r="G88" s="108">
        <f>Aggregated!BH11*$R$4</f>
        <v>0</v>
      </c>
      <c r="H88" s="108">
        <f>Aggregated!BI11*$R$4</f>
        <v>0</v>
      </c>
      <c r="I88" s="108">
        <f>Aggregated!BJ11*$R$4</f>
        <v>0</v>
      </c>
      <c r="J88" s="108">
        <f>Aggregated!BK11*$R$4</f>
        <v>0</v>
      </c>
      <c r="K88" s="108">
        <f>Aggregated!BL11*$R$4</f>
        <v>0</v>
      </c>
      <c r="L88" s="108">
        <f>Aggregated!BM11*$R$4</f>
        <v>0</v>
      </c>
      <c r="M88" s="108">
        <f>Aggregated!BN11*$R$4</f>
        <v>61.087673353013642</v>
      </c>
      <c r="N88" s="108">
        <f>Aggregated!BO11*$R$4</f>
        <v>27.76302935055006</v>
      </c>
      <c r="O88" s="108">
        <f>Aggregated!BP11*$R$4</f>
        <v>22.215775389712444</v>
      </c>
      <c r="P88" s="108">
        <f>Aggregated!BQ11*$R$4</f>
        <v>0</v>
      </c>
      <c r="Q88" s="108">
        <f>Aggregated!BR11*$R$4</f>
        <v>0</v>
      </c>
      <c r="R88" s="113">
        <f t="shared" si="14"/>
        <v>111.06647809327615</v>
      </c>
      <c r="S88" s="22"/>
    </row>
    <row r="89" spans="1:26" ht="15.5" x14ac:dyDescent="0.35">
      <c r="B89" s="135" t="s">
        <v>239</v>
      </c>
      <c r="C89" s="129"/>
      <c r="D89" s="132"/>
      <c r="E89" s="132"/>
      <c r="F89" s="132"/>
      <c r="G89" s="132"/>
      <c r="H89" s="132"/>
      <c r="I89" s="132"/>
      <c r="J89" s="132"/>
      <c r="K89" s="132"/>
      <c r="L89" s="137"/>
      <c r="M89" s="132"/>
      <c r="N89" s="132"/>
      <c r="O89" s="132"/>
      <c r="P89" s="132"/>
      <c r="Q89" s="132"/>
      <c r="R89" s="130"/>
      <c r="S89" s="22"/>
    </row>
    <row r="90" spans="1:26" ht="15.5" x14ac:dyDescent="0.35">
      <c r="B90" s="111">
        <f>B86</f>
        <v>12</v>
      </c>
      <c r="C90" s="111"/>
      <c r="D90" s="108">
        <f>3*D86</f>
        <v>0</v>
      </c>
      <c r="E90" s="108">
        <f t="shared" ref="E90:Q90" si="15">3*E86</f>
        <v>0</v>
      </c>
      <c r="F90" s="108">
        <f t="shared" si="15"/>
        <v>0</v>
      </c>
      <c r="G90" s="108">
        <f t="shared" si="15"/>
        <v>0</v>
      </c>
      <c r="H90" s="108">
        <f t="shared" si="15"/>
        <v>0</v>
      </c>
      <c r="I90" s="108">
        <f t="shared" si="15"/>
        <v>0</v>
      </c>
      <c r="J90" s="108">
        <f t="shared" si="15"/>
        <v>0</v>
      </c>
      <c r="K90" s="108">
        <f t="shared" si="15"/>
        <v>0</v>
      </c>
      <c r="L90" s="109">
        <f t="shared" si="15"/>
        <v>0</v>
      </c>
      <c r="M90" s="108">
        <f t="shared" si="15"/>
        <v>0</v>
      </c>
      <c r="N90" s="108">
        <f t="shared" si="15"/>
        <v>0</v>
      </c>
      <c r="O90" s="108">
        <f t="shared" si="15"/>
        <v>0</v>
      </c>
      <c r="P90" s="108">
        <f t="shared" si="15"/>
        <v>0</v>
      </c>
      <c r="Q90" s="108">
        <f t="shared" si="15"/>
        <v>0</v>
      </c>
      <c r="R90" s="113">
        <f>SUM(D90:Q90)</f>
        <v>0</v>
      </c>
    </row>
    <row r="91" spans="1:26" ht="15.5" x14ac:dyDescent="0.35">
      <c r="B91" s="111">
        <f t="shared" ref="B91:B92" si="16">B87</f>
        <v>15</v>
      </c>
      <c r="C91" s="111"/>
      <c r="D91" s="108">
        <f t="shared" ref="D91:Q92" si="17">3*D87</f>
        <v>0</v>
      </c>
      <c r="E91" s="108">
        <f t="shared" si="17"/>
        <v>0</v>
      </c>
      <c r="F91" s="108">
        <f t="shared" si="17"/>
        <v>0</v>
      </c>
      <c r="G91" s="108">
        <f t="shared" si="17"/>
        <v>0</v>
      </c>
      <c r="H91" s="108">
        <f t="shared" si="17"/>
        <v>0</v>
      </c>
      <c r="I91" s="108">
        <f t="shared" si="17"/>
        <v>0</v>
      </c>
      <c r="J91" s="108">
        <f t="shared" si="17"/>
        <v>100.03504226309308</v>
      </c>
      <c r="K91" s="108">
        <f t="shared" si="17"/>
        <v>200.03825778893938</v>
      </c>
      <c r="L91" s="109">
        <f t="shared" si="17"/>
        <v>200.03825778893938</v>
      </c>
      <c r="M91" s="108">
        <f t="shared" si="17"/>
        <v>0</v>
      </c>
      <c r="N91" s="108">
        <f t="shared" si="17"/>
        <v>0</v>
      </c>
      <c r="O91" s="108">
        <f t="shared" si="17"/>
        <v>0</v>
      </c>
      <c r="P91" s="108">
        <f t="shared" si="17"/>
        <v>0</v>
      </c>
      <c r="Q91" s="108">
        <f t="shared" si="17"/>
        <v>0</v>
      </c>
      <c r="R91" s="113">
        <f t="shared" ref="R91:R92" si="18">SUM(D91:Q91)</f>
        <v>500.11155784097184</v>
      </c>
    </row>
    <row r="92" spans="1:26" ht="15.5" x14ac:dyDescent="0.35">
      <c r="B92" s="111">
        <f t="shared" si="16"/>
        <v>18</v>
      </c>
      <c r="C92" s="111"/>
      <c r="D92" s="108">
        <f t="shared" si="17"/>
        <v>0</v>
      </c>
      <c r="E92" s="108">
        <f t="shared" si="17"/>
        <v>0</v>
      </c>
      <c r="F92" s="108">
        <f t="shared" si="17"/>
        <v>0</v>
      </c>
      <c r="G92" s="108">
        <f t="shared" si="17"/>
        <v>0</v>
      </c>
      <c r="H92" s="108">
        <f t="shared" si="17"/>
        <v>0</v>
      </c>
      <c r="I92" s="108">
        <f t="shared" si="17"/>
        <v>0</v>
      </c>
      <c r="J92" s="108">
        <f t="shared" si="17"/>
        <v>0</v>
      </c>
      <c r="K92" s="108">
        <f t="shared" si="17"/>
        <v>0</v>
      </c>
      <c r="L92" s="109">
        <f t="shared" si="17"/>
        <v>0</v>
      </c>
      <c r="M92" s="108">
        <f t="shared" si="17"/>
        <v>183.26302005904091</v>
      </c>
      <c r="N92" s="108">
        <f t="shared" si="17"/>
        <v>83.289088051650182</v>
      </c>
      <c r="O92" s="108">
        <f t="shared" si="17"/>
        <v>66.64732616913733</v>
      </c>
      <c r="P92" s="108">
        <f t="shared" si="17"/>
        <v>0</v>
      </c>
      <c r="Q92" s="108">
        <f t="shared" si="17"/>
        <v>0</v>
      </c>
      <c r="R92" s="113">
        <f t="shared" si="18"/>
        <v>333.19943427982844</v>
      </c>
    </row>
    <row r="93" spans="1:26" ht="15.5" x14ac:dyDescent="0.35">
      <c r="B93" s="135" t="s">
        <v>240</v>
      </c>
      <c r="C93" s="129"/>
      <c r="D93" s="132"/>
      <c r="E93" s="132"/>
      <c r="F93" s="132"/>
      <c r="G93" s="132"/>
      <c r="H93" s="132"/>
      <c r="I93" s="132"/>
      <c r="J93" s="132"/>
      <c r="K93" s="132"/>
      <c r="L93" s="137"/>
      <c r="M93" s="132"/>
      <c r="N93" s="132"/>
      <c r="O93" s="132"/>
      <c r="P93" s="132"/>
      <c r="Q93" s="132"/>
      <c r="R93" s="130"/>
    </row>
    <row r="94" spans="1:26" ht="15.5" x14ac:dyDescent="0.35">
      <c r="B94" s="111">
        <f>B86</f>
        <v>12</v>
      </c>
      <c r="C94" s="111"/>
      <c r="D94" s="108">
        <f>D86</f>
        <v>0</v>
      </c>
      <c r="E94" s="108">
        <f t="shared" ref="E94:Q94" si="19">E86</f>
        <v>0</v>
      </c>
      <c r="F94" s="108">
        <f t="shared" si="19"/>
        <v>0</v>
      </c>
      <c r="G94" s="108">
        <f t="shared" si="19"/>
        <v>0</v>
      </c>
      <c r="H94" s="108">
        <f t="shared" si="19"/>
        <v>0</v>
      </c>
      <c r="I94" s="108">
        <f t="shared" si="19"/>
        <v>0</v>
      </c>
      <c r="J94" s="108">
        <f t="shared" si="19"/>
        <v>0</v>
      </c>
      <c r="K94" s="108">
        <f t="shared" si="19"/>
        <v>0</v>
      </c>
      <c r="L94" s="109">
        <f t="shared" si="19"/>
        <v>0</v>
      </c>
      <c r="M94" s="108">
        <f t="shared" si="19"/>
        <v>0</v>
      </c>
      <c r="N94" s="108">
        <f t="shared" si="19"/>
        <v>0</v>
      </c>
      <c r="O94" s="108">
        <f t="shared" si="19"/>
        <v>0</v>
      </c>
      <c r="P94" s="108">
        <f t="shared" si="19"/>
        <v>0</v>
      </c>
      <c r="Q94" s="108">
        <f t="shared" si="19"/>
        <v>0</v>
      </c>
      <c r="R94" s="113">
        <f>SUM(D94:Q94)</f>
        <v>0</v>
      </c>
    </row>
    <row r="95" spans="1:26" ht="15.5" x14ac:dyDescent="0.35">
      <c r="B95" s="111">
        <f t="shared" ref="B95:B96" si="20">B87</f>
        <v>15</v>
      </c>
      <c r="C95" s="111"/>
      <c r="D95" s="108">
        <f t="shared" ref="D95:Q96" si="21">D87</f>
        <v>0</v>
      </c>
      <c r="E95" s="108">
        <f t="shared" si="21"/>
        <v>0</v>
      </c>
      <c r="F95" s="108">
        <f t="shared" si="21"/>
        <v>0</v>
      </c>
      <c r="G95" s="108">
        <f t="shared" si="21"/>
        <v>0</v>
      </c>
      <c r="H95" s="108">
        <f t="shared" si="21"/>
        <v>0</v>
      </c>
      <c r="I95" s="108">
        <f t="shared" si="21"/>
        <v>0</v>
      </c>
      <c r="J95" s="108">
        <f t="shared" si="21"/>
        <v>33.345014087697692</v>
      </c>
      <c r="K95" s="108">
        <f t="shared" si="21"/>
        <v>66.679419262979792</v>
      </c>
      <c r="L95" s="109">
        <f t="shared" si="21"/>
        <v>66.679419262979792</v>
      </c>
      <c r="M95" s="108">
        <f t="shared" si="21"/>
        <v>0</v>
      </c>
      <c r="N95" s="108">
        <f t="shared" si="21"/>
        <v>0</v>
      </c>
      <c r="O95" s="108">
        <f t="shared" si="21"/>
        <v>0</v>
      </c>
      <c r="P95" s="108">
        <f t="shared" si="21"/>
        <v>0</v>
      </c>
      <c r="Q95" s="108">
        <f t="shared" si="21"/>
        <v>0</v>
      </c>
      <c r="R95" s="113">
        <f t="shared" ref="R95:R96" si="22">SUM(D95:Q95)</f>
        <v>166.70385261365726</v>
      </c>
    </row>
    <row r="96" spans="1:26" ht="15.5" x14ac:dyDescent="0.35">
      <c r="B96" s="111">
        <f t="shared" si="20"/>
        <v>18</v>
      </c>
      <c r="C96" s="111"/>
      <c r="D96" s="108">
        <f t="shared" si="21"/>
        <v>0</v>
      </c>
      <c r="E96" s="108">
        <f t="shared" si="21"/>
        <v>0</v>
      </c>
      <c r="F96" s="108">
        <f t="shared" si="21"/>
        <v>0</v>
      </c>
      <c r="G96" s="108">
        <f t="shared" si="21"/>
        <v>0</v>
      </c>
      <c r="H96" s="108">
        <f t="shared" si="21"/>
        <v>0</v>
      </c>
      <c r="I96" s="108">
        <f t="shared" si="21"/>
        <v>0</v>
      </c>
      <c r="J96" s="108">
        <f t="shared" si="21"/>
        <v>0</v>
      </c>
      <c r="K96" s="108">
        <f t="shared" si="21"/>
        <v>0</v>
      </c>
      <c r="L96" s="109">
        <f t="shared" si="21"/>
        <v>0</v>
      </c>
      <c r="M96" s="108">
        <f t="shared" si="21"/>
        <v>61.087673353013642</v>
      </c>
      <c r="N96" s="108">
        <f t="shared" si="21"/>
        <v>27.76302935055006</v>
      </c>
      <c r="O96" s="108">
        <f t="shared" si="21"/>
        <v>22.215775389712444</v>
      </c>
      <c r="P96" s="108">
        <f t="shared" si="21"/>
        <v>0</v>
      </c>
      <c r="Q96" s="108">
        <f t="shared" si="21"/>
        <v>0</v>
      </c>
      <c r="R96" s="113">
        <f t="shared" si="22"/>
        <v>111.06647809327615</v>
      </c>
    </row>
    <row r="97" spans="2:19" ht="15.5" x14ac:dyDescent="0.35">
      <c r="B97" s="135" t="s">
        <v>241</v>
      </c>
      <c r="C97" s="129"/>
      <c r="D97" s="132"/>
      <c r="E97" s="132"/>
      <c r="F97" s="132"/>
      <c r="G97" s="132"/>
      <c r="H97" s="132"/>
      <c r="I97" s="132"/>
      <c r="J97" s="132"/>
      <c r="K97" s="132"/>
      <c r="L97" s="137"/>
      <c r="M97" s="132"/>
      <c r="N97" s="132"/>
      <c r="O97" s="132"/>
      <c r="P97" s="132"/>
      <c r="Q97" s="132"/>
      <c r="R97" s="130"/>
    </row>
    <row r="98" spans="2:19" ht="15.5" x14ac:dyDescent="0.35">
      <c r="B98" s="111">
        <f>B86</f>
        <v>12</v>
      </c>
      <c r="C98" s="111"/>
      <c r="D98" s="108">
        <f>D86</f>
        <v>0</v>
      </c>
      <c r="E98" s="108">
        <f t="shared" ref="E98:Q98" si="23">E86</f>
        <v>0</v>
      </c>
      <c r="F98" s="108">
        <f t="shared" si="23"/>
        <v>0</v>
      </c>
      <c r="G98" s="108">
        <f t="shared" si="23"/>
        <v>0</v>
      </c>
      <c r="H98" s="108">
        <f t="shared" si="23"/>
        <v>0</v>
      </c>
      <c r="I98" s="108">
        <f t="shared" si="23"/>
        <v>0</v>
      </c>
      <c r="J98" s="108">
        <f t="shared" si="23"/>
        <v>0</v>
      </c>
      <c r="K98" s="108">
        <f t="shared" si="23"/>
        <v>0</v>
      </c>
      <c r="L98" s="109">
        <f t="shared" si="23"/>
        <v>0</v>
      </c>
      <c r="M98" s="108">
        <f t="shared" si="23"/>
        <v>0</v>
      </c>
      <c r="N98" s="108">
        <f t="shared" si="23"/>
        <v>0</v>
      </c>
      <c r="O98" s="108">
        <f t="shared" si="23"/>
        <v>0</v>
      </c>
      <c r="P98" s="108">
        <f t="shared" si="23"/>
        <v>0</v>
      </c>
      <c r="Q98" s="108">
        <f t="shared" si="23"/>
        <v>0</v>
      </c>
      <c r="R98" s="113">
        <f t="shared" ref="R98:R100" si="24">SUM(D98:Q98)</f>
        <v>0</v>
      </c>
    </row>
    <row r="99" spans="2:19" ht="15.5" x14ac:dyDescent="0.35">
      <c r="B99" s="111">
        <f t="shared" ref="B99:B100" si="25">B87</f>
        <v>15</v>
      </c>
      <c r="C99" s="111"/>
      <c r="D99" s="108">
        <f t="shared" ref="D99:Q100" si="26">D87</f>
        <v>0</v>
      </c>
      <c r="E99" s="108">
        <f t="shared" si="26"/>
        <v>0</v>
      </c>
      <c r="F99" s="108">
        <f t="shared" si="26"/>
        <v>0</v>
      </c>
      <c r="G99" s="108">
        <f t="shared" si="26"/>
        <v>0</v>
      </c>
      <c r="H99" s="108">
        <f t="shared" si="26"/>
        <v>0</v>
      </c>
      <c r="I99" s="108">
        <f t="shared" si="26"/>
        <v>0</v>
      </c>
      <c r="J99" s="108">
        <f t="shared" si="26"/>
        <v>33.345014087697692</v>
      </c>
      <c r="K99" s="108">
        <f t="shared" si="26"/>
        <v>66.679419262979792</v>
      </c>
      <c r="L99" s="109">
        <f t="shared" si="26"/>
        <v>66.679419262979792</v>
      </c>
      <c r="M99" s="108">
        <f t="shared" si="26"/>
        <v>0</v>
      </c>
      <c r="N99" s="108">
        <f t="shared" si="26"/>
        <v>0</v>
      </c>
      <c r="O99" s="108">
        <f t="shared" si="26"/>
        <v>0</v>
      </c>
      <c r="P99" s="108">
        <f t="shared" si="26"/>
        <v>0</v>
      </c>
      <c r="Q99" s="108">
        <f t="shared" si="26"/>
        <v>0</v>
      </c>
      <c r="R99" s="113">
        <f t="shared" si="24"/>
        <v>166.70385261365726</v>
      </c>
    </row>
    <row r="100" spans="2:19" ht="15.5" x14ac:dyDescent="0.35">
      <c r="B100" s="111">
        <f t="shared" si="25"/>
        <v>18</v>
      </c>
      <c r="C100" s="111"/>
      <c r="D100" s="108">
        <f t="shared" si="26"/>
        <v>0</v>
      </c>
      <c r="E100" s="108">
        <f t="shared" si="26"/>
        <v>0</v>
      </c>
      <c r="F100" s="108">
        <f t="shared" si="26"/>
        <v>0</v>
      </c>
      <c r="G100" s="108">
        <f t="shared" si="26"/>
        <v>0</v>
      </c>
      <c r="H100" s="108">
        <f t="shared" si="26"/>
        <v>0</v>
      </c>
      <c r="I100" s="108">
        <f t="shared" si="26"/>
        <v>0</v>
      </c>
      <c r="J100" s="108">
        <f t="shared" si="26"/>
        <v>0</v>
      </c>
      <c r="K100" s="108">
        <f t="shared" si="26"/>
        <v>0</v>
      </c>
      <c r="L100" s="109">
        <f t="shared" si="26"/>
        <v>0</v>
      </c>
      <c r="M100" s="108">
        <f t="shared" si="26"/>
        <v>61.087673353013642</v>
      </c>
      <c r="N100" s="108">
        <f t="shared" si="26"/>
        <v>27.76302935055006</v>
      </c>
      <c r="O100" s="108">
        <f t="shared" si="26"/>
        <v>22.215775389712444</v>
      </c>
      <c r="P100" s="108">
        <f t="shared" si="26"/>
        <v>0</v>
      </c>
      <c r="Q100" s="108">
        <f t="shared" si="26"/>
        <v>0</v>
      </c>
      <c r="R100" s="113">
        <f t="shared" si="24"/>
        <v>111.06647809327615</v>
      </c>
    </row>
    <row r="101" spans="2:19" ht="15.5" x14ac:dyDescent="0.35">
      <c r="B101" s="135" t="s">
        <v>116</v>
      </c>
      <c r="C101" s="139"/>
      <c r="D101" s="151">
        <f t="shared" ref="D101:Q101" si="27">SUM(D103:D103)</f>
        <v>0</v>
      </c>
      <c r="E101" s="151">
        <f t="shared" si="27"/>
        <v>0</v>
      </c>
      <c r="F101" s="151">
        <f t="shared" si="27"/>
        <v>0</v>
      </c>
      <c r="G101" s="151">
        <f t="shared" si="27"/>
        <v>0</v>
      </c>
      <c r="H101" s="151">
        <f t="shared" si="27"/>
        <v>0</v>
      </c>
      <c r="I101" s="151">
        <f t="shared" si="27"/>
        <v>0</v>
      </c>
      <c r="J101" s="151">
        <f t="shared" si="27"/>
        <v>0</v>
      </c>
      <c r="K101" s="151">
        <f t="shared" si="27"/>
        <v>0</v>
      </c>
      <c r="L101" s="151">
        <f t="shared" si="27"/>
        <v>0</v>
      </c>
      <c r="M101" s="151">
        <f t="shared" si="27"/>
        <v>0</v>
      </c>
      <c r="N101" s="151">
        <f t="shared" si="27"/>
        <v>0</v>
      </c>
      <c r="O101" s="151">
        <f t="shared" si="27"/>
        <v>0</v>
      </c>
      <c r="P101" s="151">
        <f t="shared" si="27"/>
        <v>0</v>
      </c>
      <c r="Q101" s="151">
        <f t="shared" si="27"/>
        <v>0</v>
      </c>
      <c r="R101" s="130">
        <f>SUM(C101:Q101)</f>
        <v>0</v>
      </c>
    </row>
    <row r="102" spans="2:19" ht="15.5" hidden="1" x14ac:dyDescent="0.35">
      <c r="B102" s="106"/>
      <c r="C102" s="106"/>
      <c r="D102" s="108"/>
      <c r="E102" s="108"/>
      <c r="F102" s="108"/>
      <c r="G102" s="108"/>
      <c r="H102" s="108"/>
      <c r="I102" s="108"/>
      <c r="J102" s="108"/>
      <c r="K102" s="108"/>
      <c r="L102" s="108"/>
      <c r="M102" s="108"/>
      <c r="N102" s="108"/>
      <c r="O102" s="108"/>
      <c r="P102" s="108"/>
      <c r="Q102" s="108"/>
      <c r="R102" s="113"/>
    </row>
    <row r="103" spans="2:19" ht="15.5" hidden="1" x14ac:dyDescent="0.35">
      <c r="B103" s="106"/>
      <c r="C103" s="106"/>
      <c r="D103" s="108"/>
      <c r="E103" s="108"/>
      <c r="F103" s="108"/>
      <c r="G103" s="108"/>
      <c r="H103" s="108"/>
      <c r="I103" s="108"/>
      <c r="J103" s="108"/>
      <c r="K103" s="108"/>
      <c r="L103" s="108"/>
      <c r="M103" s="108"/>
      <c r="N103" s="108"/>
      <c r="O103" s="108"/>
      <c r="P103" s="108"/>
      <c r="Q103" s="108"/>
      <c r="R103" s="113"/>
      <c r="S103" s="140"/>
    </row>
    <row r="104" spans="2:19" ht="15.5" hidden="1" x14ac:dyDescent="0.35">
      <c r="B104" s="106"/>
      <c r="C104" s="106"/>
      <c r="D104" s="108"/>
      <c r="E104" s="108"/>
      <c r="F104" s="108"/>
      <c r="G104" s="108"/>
      <c r="H104" s="108"/>
      <c r="I104" s="108"/>
      <c r="J104" s="108"/>
      <c r="K104" s="108"/>
      <c r="L104" s="108"/>
      <c r="M104" s="108"/>
      <c r="N104" s="108"/>
      <c r="O104" s="108"/>
      <c r="P104" s="108"/>
      <c r="Q104" s="108"/>
      <c r="R104" s="113"/>
    </row>
    <row r="105" spans="2:19" ht="15.5" x14ac:dyDescent="0.35">
      <c r="B105" s="106" t="s">
        <v>267</v>
      </c>
      <c r="C105" s="106"/>
      <c r="D105" s="108">
        <f>Aggregated!BE16*$R$4</f>
        <v>0</v>
      </c>
      <c r="E105" s="108">
        <f>Aggregated!BF16*$R$4</f>
        <v>0</v>
      </c>
      <c r="F105" s="108">
        <f>Aggregated!BG16*$R$4</f>
        <v>0</v>
      </c>
      <c r="G105" s="108">
        <f>Aggregated!BH16*$R$4</f>
        <v>0</v>
      </c>
      <c r="H105" s="108">
        <f>Aggregated!BI16*$R$4</f>
        <v>0</v>
      </c>
      <c r="I105" s="108">
        <f>Aggregated!BJ16*$R$4</f>
        <v>0</v>
      </c>
      <c r="J105" s="108">
        <f>Aggregated!BK16*$R$4</f>
        <v>33.345014087697692</v>
      </c>
      <c r="K105" s="108">
        <f>Aggregated!BL16*$R$4</f>
        <v>66.679419262979792</v>
      </c>
      <c r="L105" s="108">
        <f>Aggregated!BM16*$R$4</f>
        <v>66.679419262979792</v>
      </c>
      <c r="M105" s="108">
        <f>Aggregated!BN16*$R$4</f>
        <v>61.087673353013642</v>
      </c>
      <c r="N105" s="108">
        <f>Aggregated!BO16*$R$4</f>
        <v>27.76302935055006</v>
      </c>
      <c r="O105" s="108">
        <f>Aggregated!BP16*$R$4</f>
        <v>22.215775389712444</v>
      </c>
      <c r="P105" s="108">
        <f>Aggregated!BQ16*$R$4</f>
        <v>0</v>
      </c>
      <c r="Q105" s="108">
        <f>Aggregated!BR16*$R$4</f>
        <v>0</v>
      </c>
      <c r="R105" s="113">
        <f t="shared" ref="R105:R111" si="28">SUM(D105:Q105)</f>
        <v>277.77033070693341</v>
      </c>
    </row>
    <row r="106" spans="2:19" ht="15.5" x14ac:dyDescent="0.35">
      <c r="B106" s="106" t="s">
        <v>268</v>
      </c>
      <c r="C106" s="106"/>
      <c r="D106" s="108">
        <f>Aggregated!BE18*$R$4</f>
        <v>0</v>
      </c>
      <c r="E106" s="108">
        <f>Aggregated!BF18*$R$4</f>
        <v>0</v>
      </c>
      <c r="F106" s="108">
        <f>Aggregated!BG18*$R$4</f>
        <v>0</v>
      </c>
      <c r="G106" s="108">
        <f>Aggregated!BH18*$R$4</f>
        <v>0</v>
      </c>
      <c r="H106" s="108">
        <f>Aggregated!BI18*$R$4</f>
        <v>0</v>
      </c>
      <c r="I106" s="108">
        <f>Aggregated!BJ18*$R$4</f>
        <v>0</v>
      </c>
      <c r="J106" s="108">
        <f>Aggregated!BK18*$R$4</f>
        <v>1</v>
      </c>
      <c r="K106" s="108">
        <f>Aggregated!BL18*$R$4</f>
        <v>2</v>
      </c>
      <c r="L106" s="108">
        <f>Aggregated!BM18*$R$4</f>
        <v>2</v>
      </c>
      <c r="M106" s="108">
        <f>Aggregated!BN18*$R$4</f>
        <v>2</v>
      </c>
      <c r="N106" s="108">
        <f>Aggregated!BO18*$R$4</f>
        <v>1</v>
      </c>
      <c r="O106" s="108">
        <f>Aggregated!BP18*$R$4</f>
        <v>1</v>
      </c>
      <c r="P106" s="108">
        <f>Aggregated!BQ18*$R$4</f>
        <v>0</v>
      </c>
      <c r="Q106" s="108">
        <f>Aggregated!BR18*$R$4</f>
        <v>0</v>
      </c>
      <c r="R106" s="113">
        <f t="shared" si="28"/>
        <v>9</v>
      </c>
    </row>
    <row r="107" spans="2:19" ht="15.5" x14ac:dyDescent="0.35">
      <c r="B107" s="135" t="s">
        <v>119</v>
      </c>
      <c r="C107" s="129"/>
      <c r="D107" s="132"/>
      <c r="E107" s="132"/>
      <c r="F107" s="132"/>
      <c r="G107" s="132"/>
      <c r="H107" s="132"/>
      <c r="I107" s="132"/>
      <c r="J107" s="132"/>
      <c r="K107" s="132"/>
      <c r="L107" s="132"/>
      <c r="M107" s="132"/>
      <c r="N107" s="132"/>
      <c r="O107" s="132"/>
      <c r="P107" s="132"/>
      <c r="Q107" s="132"/>
      <c r="R107" s="130"/>
    </row>
    <row r="108" spans="2:19" ht="15.5" x14ac:dyDescent="0.35">
      <c r="B108" s="106" t="s">
        <v>304</v>
      </c>
      <c r="C108" s="106"/>
      <c r="D108" s="108">
        <f>Aggregated!AA19*$R$2+Aggregated!AP19*$R$3+Aggregated!BE19*$R$4</f>
        <v>0</v>
      </c>
      <c r="E108" s="108">
        <f>Aggregated!AB19*$R$2+Aggregated!AQ19*$R$3+Aggregated!BF19*$R$4</f>
        <v>0</v>
      </c>
      <c r="F108" s="108">
        <f>Aggregated!AC19*$R$2+Aggregated!AR19*$R$3+Aggregated!BG19*$R$4</f>
        <v>0</v>
      </c>
      <c r="G108" s="108">
        <f>Aggregated!AD19*$R$2+Aggregated!AS19*$R$3+Aggregated!BH19*$R$4</f>
        <v>0</v>
      </c>
      <c r="H108" s="108">
        <f>Aggregated!AE19*$R$2+Aggregated!AT19*$R$3+Aggregated!BI19*$R$4</f>
        <v>0</v>
      </c>
      <c r="I108" s="108">
        <f>Aggregated!AF19*$R$2+Aggregated!AU19*$R$3+Aggregated!BJ19*$R$4</f>
        <v>0</v>
      </c>
      <c r="J108" s="108">
        <f>Aggregated!AG19*$R$2+Aggregated!AV19*$R$3+Aggregated!BK19*$R$4</f>
        <v>1</v>
      </c>
      <c r="K108" s="108">
        <f>Aggregated!AH19*$R$2+Aggregated!AW19*$R$3+Aggregated!BL19*$R$4</f>
        <v>2</v>
      </c>
      <c r="L108" s="108">
        <f>Aggregated!AI19*$R$2+Aggregated!AX19*$R$3+Aggregated!BM19*$R$4</f>
        <v>2</v>
      </c>
      <c r="M108" s="108">
        <f>Aggregated!AJ19*$R$2+Aggregated!AY19*$R$3+Aggregated!BN19*$R$4</f>
        <v>2</v>
      </c>
      <c r="N108" s="108">
        <f>Aggregated!AK19*$R$2+Aggregated!AZ19*$R$3+Aggregated!BO19*$R$4</f>
        <v>1</v>
      </c>
      <c r="O108" s="108">
        <f>Aggregated!AL19*$R$2+Aggregated!BA19*$R$3+Aggregated!BP19*$R$4</f>
        <v>1</v>
      </c>
      <c r="P108" s="108">
        <f>Aggregated!AM19*$R$2+Aggregated!BB19*$R$3+Aggregated!BQ19*$R$4</f>
        <v>0</v>
      </c>
      <c r="Q108" s="108">
        <f>Aggregated!AN19*$R$2+Aggregated!BC19*$R$3+Aggregated!BR19*$R$4</f>
        <v>0</v>
      </c>
      <c r="R108" s="113">
        <f t="shared" si="28"/>
        <v>9</v>
      </c>
    </row>
    <row r="109" spans="2:19" ht="15.5" x14ac:dyDescent="0.35">
      <c r="B109" s="135" t="s">
        <v>120</v>
      </c>
      <c r="C109" s="129"/>
      <c r="D109" s="132"/>
      <c r="E109" s="132"/>
      <c r="F109" s="132"/>
      <c r="G109" s="132"/>
      <c r="H109" s="132"/>
      <c r="I109" s="132"/>
      <c r="J109" s="132"/>
      <c r="K109" s="132"/>
      <c r="L109" s="132"/>
      <c r="M109" s="132"/>
      <c r="N109" s="132"/>
      <c r="O109" s="132"/>
      <c r="P109" s="132"/>
      <c r="Q109" s="132"/>
      <c r="R109" s="130"/>
    </row>
    <row r="110" spans="2:19" ht="15.5" x14ac:dyDescent="0.35">
      <c r="B110" s="106" t="s">
        <v>274</v>
      </c>
      <c r="C110" s="106"/>
      <c r="D110" s="108">
        <f>Aggregated!BE21*$R$4</f>
        <v>0</v>
      </c>
      <c r="E110" s="108">
        <f>Aggregated!BF21*$R$4</f>
        <v>0</v>
      </c>
      <c r="F110" s="108">
        <f>Aggregated!BG21*$R$4</f>
        <v>0</v>
      </c>
      <c r="G110" s="108">
        <f>Aggregated!BH21*$R$4</f>
        <v>0</v>
      </c>
      <c r="H110" s="108">
        <f>Aggregated!BI21*$R$4</f>
        <v>0</v>
      </c>
      <c r="I110" s="108">
        <f>Aggregated!BJ21*$R$4</f>
        <v>0</v>
      </c>
      <c r="J110" s="108">
        <f>Aggregated!BK21*$R$4</f>
        <v>122.04275156097356</v>
      </c>
      <c r="K110" s="108">
        <f>Aggregated!BL21*$R$4</f>
        <v>244.04667450250608</v>
      </c>
      <c r="L110" s="108">
        <f>Aggregated!BM21*$R$4</f>
        <v>244.04667450250608</v>
      </c>
      <c r="M110" s="108">
        <f>Aggregated!BN21*$R$4</f>
        <v>223.58088447202994</v>
      </c>
      <c r="N110" s="108">
        <f>Aggregated!BO21*$R$4</f>
        <v>101.61268742301323</v>
      </c>
      <c r="O110" s="108">
        <f>Aggregated!BP21*$R$4</f>
        <v>81.309737926347552</v>
      </c>
      <c r="P110" s="108">
        <f>Aggregated!BQ21*$R$4</f>
        <v>0</v>
      </c>
      <c r="Q110" s="108">
        <f>Aggregated!BR21*$R$4</f>
        <v>0</v>
      </c>
      <c r="R110" s="113">
        <f t="shared" si="28"/>
        <v>1016.6394103873765</v>
      </c>
    </row>
    <row r="111" spans="2:19" ht="15.5" x14ac:dyDescent="0.35">
      <c r="B111" s="106" t="s">
        <v>274</v>
      </c>
      <c r="C111" s="106"/>
      <c r="D111" s="108">
        <f>Aggregated!BE24*$R$4</f>
        <v>0</v>
      </c>
      <c r="E111" s="108">
        <f>Aggregated!BF24*$R$4</f>
        <v>0</v>
      </c>
      <c r="F111" s="108">
        <f>Aggregated!BG24*$R$4</f>
        <v>0</v>
      </c>
      <c r="G111" s="108">
        <f>Aggregated!BH24*$R$4</f>
        <v>0</v>
      </c>
      <c r="H111" s="108">
        <f>Aggregated!BI24*$R$4</f>
        <v>0</v>
      </c>
      <c r="I111" s="108">
        <f>Aggregated!BJ24*$R$4</f>
        <v>0</v>
      </c>
      <c r="J111" s="108">
        <f>Aggregated!BK24*$R$4</f>
        <v>120</v>
      </c>
      <c r="K111" s="108">
        <f>Aggregated!BL24*$R$4</f>
        <v>210</v>
      </c>
      <c r="L111" s="108">
        <f>Aggregated!BM24*$R$4</f>
        <v>210</v>
      </c>
      <c r="M111" s="108">
        <f>Aggregated!BN24*$R$4</f>
        <v>205</v>
      </c>
      <c r="N111" s="108">
        <f>Aggregated!BO24*$R$4</f>
        <v>105</v>
      </c>
      <c r="O111" s="108">
        <f>Aggregated!BP24*$R$4</f>
        <v>105</v>
      </c>
      <c r="P111" s="108">
        <f>Aggregated!BQ24*$R$4</f>
        <v>0</v>
      </c>
      <c r="Q111" s="108">
        <f>Aggregated!BR24*$R$4</f>
        <v>0</v>
      </c>
      <c r="R111" s="113">
        <f t="shared" si="28"/>
        <v>955</v>
      </c>
    </row>
    <row r="112" spans="2:19" ht="15.5" x14ac:dyDescent="0.35">
      <c r="B112" s="135" t="s">
        <v>319</v>
      </c>
      <c r="C112" s="129"/>
      <c r="D112" s="136"/>
      <c r="E112" s="132"/>
      <c r="F112" s="132"/>
      <c r="G112" s="132"/>
      <c r="H112" s="132"/>
      <c r="I112" s="132"/>
      <c r="J112" s="132"/>
      <c r="K112" s="132"/>
      <c r="L112" s="137"/>
      <c r="M112" s="132"/>
      <c r="N112" s="132"/>
      <c r="O112" s="132"/>
      <c r="P112" s="132"/>
      <c r="Q112" s="132"/>
      <c r="R112" s="130"/>
    </row>
    <row r="113" spans="2:18" ht="15.5" x14ac:dyDescent="0.35">
      <c r="B113" s="106" t="s">
        <v>317</v>
      </c>
      <c r="C113" s="106"/>
      <c r="D113" s="108">
        <f>D105*Assumptions!$K$61/24*2</f>
        <v>0</v>
      </c>
      <c r="E113" s="108">
        <f>E105*Assumptions!$K$61/24*2</f>
        <v>0</v>
      </c>
      <c r="F113" s="108">
        <f>F105*Assumptions!$K$61/24*2</f>
        <v>0</v>
      </c>
      <c r="G113" s="108">
        <f>G105*Assumptions!$K$61/24*2</f>
        <v>0</v>
      </c>
      <c r="H113" s="108">
        <f>H105*Assumptions!$K$61/24*2</f>
        <v>0</v>
      </c>
      <c r="I113" s="108">
        <f>I105*Assumptions!$K$61/24*2</f>
        <v>0</v>
      </c>
      <c r="J113" s="108">
        <f>J105*Assumptions!$K$61/24*2</f>
        <v>362.45514668779646</v>
      </c>
      <c r="K113" s="108">
        <f>K105*Assumptions!$K$61/24*2</f>
        <v>724.79497613818887</v>
      </c>
      <c r="L113" s="108">
        <f>L105*Assumptions!$K$61/24*2</f>
        <v>724.79497613818887</v>
      </c>
      <c r="M113" s="108">
        <f>M105*Assumptions!$K$61/24*2</f>
        <v>664.01356279983258</v>
      </c>
      <c r="N113" s="108">
        <f>N105*Assumptions!$K$61/24*2</f>
        <v>301.77983578851774</v>
      </c>
      <c r="O113" s="108">
        <f>O105*Assumptions!$K$61/24*2</f>
        <v>241.48204305699031</v>
      </c>
      <c r="P113" s="108">
        <f>P105*Assumptions!$K$61/24*2</f>
        <v>0</v>
      </c>
      <c r="Q113" s="108">
        <f>Q105*Assumptions!$K$61/24*2</f>
        <v>0</v>
      </c>
      <c r="R113" s="113"/>
    </row>
    <row r="114" spans="2:18" ht="15.5" x14ac:dyDescent="0.35">
      <c r="B114" s="106" t="s">
        <v>318</v>
      </c>
      <c r="C114" s="106"/>
      <c r="D114" s="108">
        <f>D105*Assumptions!$K$64/24*2</f>
        <v>0</v>
      </c>
      <c r="E114" s="108">
        <f>E105*Assumptions!$K$64/24</f>
        <v>0</v>
      </c>
      <c r="F114" s="108">
        <f>F105*Assumptions!$K$64/24</f>
        <v>0</v>
      </c>
      <c r="G114" s="108">
        <f>G105*Assumptions!$K$64/24</f>
        <v>0</v>
      </c>
      <c r="H114" s="108">
        <f>H105*Assumptions!$K$64/24</f>
        <v>0</v>
      </c>
      <c r="I114" s="108">
        <f>I105*Assumptions!$K$64/24</f>
        <v>0</v>
      </c>
      <c r="J114" s="108">
        <f>J105*Assumptions!$K$64/24</f>
        <v>160.6853449486635</v>
      </c>
      <c r="K114" s="108">
        <f>K105*Assumptions!$K$64/24</f>
        <v>321.31956690944804</v>
      </c>
      <c r="L114" s="108">
        <f>L105*Assumptions!$K$64/24</f>
        <v>321.31956690944804</v>
      </c>
      <c r="M114" s="108">
        <f>M105*Assumptions!$K$64/24</f>
        <v>294.37366075253067</v>
      </c>
      <c r="N114" s="108">
        <f>N105*Assumptions!$K$64/24</f>
        <v>133.78647663126608</v>
      </c>
      <c r="O114" s="108">
        <f>O105*Assumptions!$K$64/24</f>
        <v>107.05497146918276</v>
      </c>
      <c r="P114" s="108">
        <f>P105*Assumptions!$K$64/24</f>
        <v>0</v>
      </c>
      <c r="Q114" s="108">
        <f>Q105*Assumptions!$K$64/24</f>
        <v>0</v>
      </c>
      <c r="R114" s="113"/>
    </row>
    <row r="115" spans="2:18" ht="15.5" x14ac:dyDescent="0.35">
      <c r="B115" s="106"/>
      <c r="C115" s="106"/>
      <c r="D115" s="108"/>
      <c r="E115" s="108"/>
      <c r="F115" s="108"/>
      <c r="G115" s="108"/>
      <c r="H115" s="108"/>
      <c r="I115" s="108"/>
      <c r="J115" s="108"/>
      <c r="K115" s="108"/>
      <c r="L115" s="108"/>
      <c r="M115" s="108"/>
      <c r="N115" s="108"/>
      <c r="O115" s="108"/>
      <c r="P115" s="108"/>
      <c r="Q115" s="108"/>
      <c r="R115" s="113"/>
    </row>
    <row r="116" spans="2:18" ht="15.5" x14ac:dyDescent="0.35">
      <c r="B116" s="106" t="s">
        <v>138</v>
      </c>
      <c r="C116" s="106"/>
      <c r="D116" s="108">
        <f>D108*Assumptions!$K$27/24</f>
        <v>0</v>
      </c>
      <c r="E116" s="108">
        <f>E108*Assumptions!$K$27/24</f>
        <v>0</v>
      </c>
      <c r="F116" s="108">
        <f>F108*Assumptions!$K$27/24</f>
        <v>0</v>
      </c>
      <c r="G116" s="108">
        <f>G108*Assumptions!$K$27/24</f>
        <v>0</v>
      </c>
      <c r="H116" s="108">
        <f>H108*Assumptions!$K$27/24</f>
        <v>0</v>
      </c>
      <c r="I116" s="108">
        <f>I108*Assumptions!$K$27/24</f>
        <v>0</v>
      </c>
      <c r="J116" s="108">
        <f>J108*Assumptions!$K$27/24</f>
        <v>10</v>
      </c>
      <c r="K116" s="108">
        <f>K108*Assumptions!$K$27/24</f>
        <v>20</v>
      </c>
      <c r="L116" s="109">
        <f>L108*Assumptions!$K$27/24</f>
        <v>20</v>
      </c>
      <c r="M116" s="108">
        <f>M108*Assumptions!$K$27/24</f>
        <v>20</v>
      </c>
      <c r="N116" s="108">
        <f>N108*Assumptions!$K$27/24</f>
        <v>10</v>
      </c>
      <c r="O116" s="108">
        <f>O108*Assumptions!$K$27/24</f>
        <v>10</v>
      </c>
      <c r="P116" s="108">
        <f>P108*Assumptions!$K$27/24</f>
        <v>0</v>
      </c>
      <c r="Q116" s="108">
        <f>Q108*Assumptions!$K$27/24</f>
        <v>0</v>
      </c>
      <c r="R116" s="113"/>
    </row>
    <row r="117" spans="2:18" ht="15.5" x14ac:dyDescent="0.35">
      <c r="B117" s="106" t="s">
        <v>195</v>
      </c>
      <c r="C117" s="106"/>
      <c r="D117" s="108">
        <f>(ROUNDUP(D83/400,1)+D84)*Assumptions!$K$45+SUM(D110:D111)/Assumptions!$K$44</f>
        <v>0</v>
      </c>
      <c r="E117" s="108">
        <f>(ROUNDUP(E83/400,1)+E84)*Assumptions!$K$45+SUM(E110:E111)/Assumptions!$K$44</f>
        <v>0</v>
      </c>
      <c r="F117" s="108">
        <f>(ROUNDUP(F83/400,1)+F84)*Assumptions!$K$45+SUM(F110:F111)/Assumptions!$K$44</f>
        <v>0</v>
      </c>
      <c r="G117" s="108">
        <f>(ROUNDUP(G83/400,1)+G84)*Assumptions!$K$45+SUM(G110:G111)/Assumptions!$K$44</f>
        <v>0</v>
      </c>
      <c r="H117" s="108">
        <f>(ROUNDUP(H83/400,1)+H84)*Assumptions!$K$45+SUM(H110:H111)/Assumptions!$K$44</f>
        <v>0</v>
      </c>
      <c r="I117" s="108">
        <f>(ROUNDUP(I83/400,1)+I84)*Assumptions!$K$45+SUM(I110:I111)/Assumptions!$K$44</f>
        <v>0</v>
      </c>
      <c r="J117" s="108">
        <f>(ROUNDUP(J83/400,1)+J84)*Assumptions!$K$45+SUM(J110:J111)/Assumptions!$K$44</f>
        <v>106.51068789024339</v>
      </c>
      <c r="K117" s="108">
        <f>(ROUNDUP(K83/400,1)+K84)*Assumptions!$K$45+SUM(K110:K111)/Assumptions!$K$44</f>
        <v>205.51166862562653</v>
      </c>
      <c r="L117" s="108">
        <f>(ROUNDUP(L83/400,1)+L84)*Assumptions!$K$45+SUM(L110:L111)/Assumptions!$K$44</f>
        <v>205.51166862562653</v>
      </c>
      <c r="M117" s="108">
        <f>(ROUNDUP(M83/400,1)+M84)*Assumptions!$K$45+SUM(M110:M111)/Assumptions!$K$44</f>
        <v>203.1452211180075</v>
      </c>
      <c r="N117" s="108">
        <f>(ROUNDUP(N83/400,1)+N84)*Assumptions!$K$45+SUM(N110:N111)/Assumptions!$K$44</f>
        <v>97.6531718557533</v>
      </c>
      <c r="O117" s="108">
        <f>(ROUNDUP(O83/400,1)+O84)*Assumptions!$K$45+SUM(O110:O111)/Assumptions!$K$44</f>
        <v>86.577434481586891</v>
      </c>
      <c r="P117" s="108">
        <f>(ROUNDUP(P83/400,1)+P84)*Assumptions!$K$45+SUM(P110:P111)/Assumptions!$K$44</f>
        <v>0</v>
      </c>
      <c r="Q117" s="108">
        <f>(ROUNDUP(Q83/400,1)+Q84)*Assumptions!$K$45+SUM(Q110:Q111)/Assumptions!$K$44</f>
        <v>0</v>
      </c>
      <c r="R117" s="113"/>
    </row>
    <row r="118" spans="2:18" ht="15.5" hidden="1" x14ac:dyDescent="0.35">
      <c r="B118" s="106"/>
      <c r="C118" s="106"/>
      <c r="D118" s="108"/>
      <c r="E118" s="108"/>
      <c r="F118" s="108"/>
      <c r="G118" s="108"/>
      <c r="H118" s="108"/>
      <c r="I118" s="108"/>
      <c r="J118" s="108"/>
      <c r="K118" s="108"/>
      <c r="L118" s="108"/>
      <c r="M118" s="108"/>
      <c r="N118" s="108"/>
      <c r="O118" s="108"/>
      <c r="P118" s="108"/>
      <c r="Q118" s="108"/>
      <c r="R118" s="113"/>
    </row>
    <row r="119" spans="2:18" ht="15.5" x14ac:dyDescent="0.35">
      <c r="B119" s="135" t="s">
        <v>243</v>
      </c>
      <c r="C119" s="129"/>
      <c r="D119" s="136"/>
      <c r="E119" s="132"/>
      <c r="F119" s="132"/>
      <c r="G119" s="132"/>
      <c r="H119" s="132"/>
      <c r="I119" s="132"/>
      <c r="J119" s="132"/>
      <c r="K119" s="132"/>
      <c r="L119" s="137"/>
      <c r="M119" s="132"/>
      <c r="N119" s="132"/>
      <c r="O119" s="132"/>
      <c r="P119" s="132"/>
      <c r="Q119" s="132"/>
      <c r="R119" s="130"/>
    </row>
    <row r="120" spans="2:18" ht="15.5" x14ac:dyDescent="0.35">
      <c r="B120" s="106" t="s">
        <v>322</v>
      </c>
      <c r="C120" s="106"/>
      <c r="D120" s="108">
        <f>ROUNDUP(D113/(Assumptions!$K$65*365),0)</f>
        <v>0</v>
      </c>
      <c r="E120" s="108">
        <f>ROUNDUP(E113/(Assumptions!$K$65*365),0)</f>
        <v>0</v>
      </c>
      <c r="F120" s="108">
        <f>ROUNDUP(F113/(Assumptions!$K$65*365),0)</f>
        <v>0</v>
      </c>
      <c r="G120" s="108">
        <f>ROUNDUP(G113/(Assumptions!$K$65*365),0)</f>
        <v>0</v>
      </c>
      <c r="H120" s="108">
        <f>ROUNDUP(H113/(Assumptions!$K$65*365),0)</f>
        <v>0</v>
      </c>
      <c r="I120" s="108">
        <f>ROUNDUP(I113/(Assumptions!$K$65*365),0)</f>
        <v>0</v>
      </c>
      <c r="J120" s="108">
        <f>ROUNDUP(J113/(Assumptions!$K$65*365),0)</f>
        <v>2</v>
      </c>
      <c r="K120" s="108">
        <f>ROUNDUP(K113/(Assumptions!$K$65*365),0)</f>
        <v>3</v>
      </c>
      <c r="L120" s="108">
        <f>ROUNDUP(L113/(Assumptions!$K$65*365),0)</f>
        <v>3</v>
      </c>
      <c r="M120" s="108">
        <f>ROUNDUP(M113/(Assumptions!$K$65*365),0)</f>
        <v>3</v>
      </c>
      <c r="N120" s="108">
        <f>ROUNDUP(N113/(Assumptions!$K$65*365),0)</f>
        <v>2</v>
      </c>
      <c r="O120" s="108">
        <f>ROUNDUP(O113/(Assumptions!$K$65*365),0)</f>
        <v>1</v>
      </c>
      <c r="P120" s="108">
        <f>ROUNDUP(P113/(Assumptions!$K$65*365),0)</f>
        <v>0</v>
      </c>
      <c r="Q120" s="108">
        <f>ROUNDUP(Q113/(Assumptions!$K$65*365),0)</f>
        <v>0</v>
      </c>
      <c r="R120" s="113"/>
    </row>
    <row r="121" spans="2:18" ht="15.5" x14ac:dyDescent="0.35">
      <c r="B121" s="106" t="s">
        <v>318</v>
      </c>
      <c r="C121" s="106"/>
      <c r="D121" s="108">
        <f>ROUNDUP(D114/(Assumptions!$K$65*365),0)</f>
        <v>0</v>
      </c>
      <c r="E121" s="108">
        <f>ROUNDUP(E114/(Assumptions!$K$65*365),0)</f>
        <v>0</v>
      </c>
      <c r="F121" s="108">
        <f>ROUNDUP(F114/(Assumptions!$K$65*365),0)</f>
        <v>0</v>
      </c>
      <c r="G121" s="108">
        <f>ROUNDUP(G114/(Assumptions!$K$65*365),0)</f>
        <v>0</v>
      </c>
      <c r="H121" s="108">
        <f>ROUNDUP(H114/(Assumptions!$K$65*365),0)</f>
        <v>0</v>
      </c>
      <c r="I121" s="108">
        <f>ROUNDUP(I114/(Assumptions!$K$65*365),0)</f>
        <v>0</v>
      </c>
      <c r="J121" s="108">
        <f>ROUNDUP(J114/(Assumptions!$K$65*365),0)</f>
        <v>1</v>
      </c>
      <c r="K121" s="108">
        <f>ROUNDUP(K114/(Assumptions!$K$65*365),0)</f>
        <v>2</v>
      </c>
      <c r="L121" s="108">
        <f>ROUNDUP(L114/(Assumptions!$K$65*365),0)</f>
        <v>2</v>
      </c>
      <c r="M121" s="108">
        <f>ROUNDUP(M114/(Assumptions!$K$65*365),0)</f>
        <v>2</v>
      </c>
      <c r="N121" s="108">
        <f>ROUNDUP(N114/(Assumptions!$K$65*365),0)</f>
        <v>1</v>
      </c>
      <c r="O121" s="108">
        <f>ROUNDUP(O114/(Assumptions!$K$65*365),0)</f>
        <v>1</v>
      </c>
      <c r="P121" s="108">
        <f>ROUNDUP(P114/(Assumptions!$K$65*365),0)</f>
        <v>0</v>
      </c>
      <c r="Q121" s="108"/>
      <c r="R121" s="113"/>
    </row>
    <row r="122" spans="2:18" ht="15.5" hidden="1" x14ac:dyDescent="0.35">
      <c r="B122" s="106"/>
      <c r="C122" s="106"/>
      <c r="D122" s="108"/>
      <c r="E122" s="108"/>
      <c r="F122" s="108"/>
      <c r="G122" s="108"/>
      <c r="H122" s="108"/>
      <c r="I122" s="108"/>
      <c r="J122" s="108"/>
      <c r="K122" s="108"/>
      <c r="L122" s="109"/>
      <c r="M122" s="108"/>
      <c r="N122" s="108"/>
      <c r="O122" s="108"/>
      <c r="P122" s="108"/>
      <c r="Q122" s="108"/>
      <c r="R122" s="113"/>
    </row>
    <row r="123" spans="2:18" ht="15.5" x14ac:dyDescent="0.35">
      <c r="B123" s="106" t="s">
        <v>179</v>
      </c>
      <c r="C123" s="106"/>
      <c r="D123" s="108">
        <v>0</v>
      </c>
      <c r="E123" s="108">
        <v>0</v>
      </c>
      <c r="F123" s="108">
        <f>IF(F82=0,0,F84*Assumptions!$K$35+E84*Assumptions!$K$36+SUM($C84:D84)*Assumptions!$K$37+Assumptions!$K$38)</f>
        <v>0</v>
      </c>
      <c r="G123" s="108">
        <f>IF(G82=0,0,G84*Assumptions!$K$35+F84*Assumptions!$K$36+SUM($C84:E84)*Assumptions!$K$37+Assumptions!$K$38)</f>
        <v>0</v>
      </c>
      <c r="H123" s="108">
        <f>IF(H82=0,0,H84*Assumptions!$K$35+G84*Assumptions!$K$36+SUM($C84:F84)*Assumptions!$K$37+Assumptions!$K$38)</f>
        <v>0</v>
      </c>
      <c r="I123" s="108">
        <f>IF(I82=0,0,I84*Assumptions!$K$35+H84*Assumptions!$K$36+SUM($C84:G84)*Assumptions!$K$37+Assumptions!$K$38)</f>
        <v>0</v>
      </c>
      <c r="J123" s="108">
        <f>IF(J82=0,0,J84*Assumptions!$K$35+I84*Assumptions!$K$36+SUM($C84:H84)*Assumptions!$K$37+Assumptions!$K$38)</f>
        <v>4</v>
      </c>
      <c r="K123" s="108">
        <f>IF(K82=0,0,K84*Assumptions!$K$35+J84*Assumptions!$K$36+SUM($C84:I84)*Assumptions!$K$37+Assumptions!$K$38)</f>
        <v>8</v>
      </c>
      <c r="L123" s="108">
        <f>IF(L82=0,0,L84*Assumptions!$K$35+K84*Assumptions!$K$36+SUM($C84:J84)*Assumptions!$K$37+Assumptions!$K$38)</f>
        <v>11</v>
      </c>
      <c r="M123" s="108">
        <f>IF(M82=0,0,M84*Assumptions!$K$35+L84*Assumptions!$K$36+SUM($C84:K84)*Assumptions!$K$37+Assumptions!$K$38)</f>
        <v>13</v>
      </c>
      <c r="N123" s="108">
        <f>IF(N82=0,0,N84*Assumptions!$K$35+M84*Assumptions!$K$36+SUM($C84:L84)*Assumptions!$K$37+Assumptions!$K$38)</f>
        <v>13</v>
      </c>
      <c r="O123" s="108">
        <f>IF(O82=0,0,O84*Assumptions!$K$35+N84*Assumptions!$K$36+SUM($C84:M84)*Assumptions!$K$37+Assumptions!$K$38)</f>
        <v>13</v>
      </c>
      <c r="P123" s="108">
        <f>IF(P82=0,0,P84*Assumptions!$K$35+O84*Assumptions!$K$36+SUM($C84:N84)*Assumptions!$K$37+Assumptions!$K$38)</f>
        <v>12</v>
      </c>
      <c r="Q123" s="108">
        <f>IF(Q82=0,0,Q84*Assumptions!$K$35+P84*Assumptions!$K$36+SUM($C84:O84)*Assumptions!$K$37+Assumptions!$K$38)</f>
        <v>11</v>
      </c>
      <c r="R123" s="113">
        <f>Q123</f>
        <v>11</v>
      </c>
    </row>
    <row r="124" spans="2:18" ht="15.5" x14ac:dyDescent="0.35">
      <c r="B124" s="106" t="s">
        <v>343</v>
      </c>
      <c r="C124" s="106"/>
      <c r="D124" s="108">
        <v>0</v>
      </c>
      <c r="E124" s="108">
        <f>ROUNDUP((SUM($E86:E88)+D124)/Assumptions!$K$41,0)</f>
        <v>0</v>
      </c>
      <c r="F124" s="108">
        <f>ROUNDUP((SUM($E86:F88)+E124)/Assumptions!$K$41,0)</f>
        <v>0</v>
      </c>
      <c r="G124" s="108">
        <f>ROUNDUP((SUM($E86:G88)+F124)/Assumptions!$K$41,0)</f>
        <v>0</v>
      </c>
      <c r="H124" s="108">
        <f>ROUNDUP((SUM($E86:H88)+G124)/Assumptions!$K$41,0)</f>
        <v>0</v>
      </c>
      <c r="I124" s="108">
        <f>ROUNDUP((SUM($E86:I88)+H124)/Assumptions!$K$41,0)</f>
        <v>0</v>
      </c>
      <c r="J124" s="108">
        <f>ROUNDUP((SUM($E86:J88)+I124)/Assumptions!$K$41,0)</f>
        <v>1</v>
      </c>
      <c r="K124" s="108">
        <f>ROUNDUP((SUM($E86:K88)+J124)/Assumptions!$K$41,0)</f>
        <v>1</v>
      </c>
      <c r="L124" s="108">
        <f>ROUNDUP((SUM($E86:L88)+K124)/Assumptions!$K$41,0)</f>
        <v>1</v>
      </c>
      <c r="M124" s="108">
        <f>ROUNDUP((SUM($E86:M88)+L124)/Assumptions!$K$41,0)</f>
        <v>2</v>
      </c>
      <c r="N124" s="108">
        <f>ROUNDUP((SUM($E86:N88)+M124)/Assumptions!$K$41,0)</f>
        <v>2</v>
      </c>
      <c r="O124" s="108">
        <f>ROUNDUP((SUM($E86:O88)+N124)/Assumptions!$K$41,0)</f>
        <v>2</v>
      </c>
      <c r="P124" s="108">
        <f>ROUNDUP((SUM($E86:P88)+O124)/Assumptions!$K$41,0)</f>
        <v>2</v>
      </c>
      <c r="Q124" s="108">
        <f>ROUNDUP((SUM($E86:Q88)+P124)/Assumptions!$K$41,0)</f>
        <v>2</v>
      </c>
      <c r="R124" s="113">
        <f>Q124</f>
        <v>2</v>
      </c>
    </row>
    <row r="125" spans="2:18" ht="15.5" x14ac:dyDescent="0.35">
      <c r="B125" s="106" t="s">
        <v>195</v>
      </c>
      <c r="C125" s="106"/>
      <c r="D125" s="108">
        <f>ROUNDUP(D117/(Assumptions!$C$36*365),0)</f>
        <v>0</v>
      </c>
      <c r="E125" s="108">
        <f>ROUNDUP(E117/(Assumptions!$C$36*365),0)</f>
        <v>0</v>
      </c>
      <c r="F125" s="108">
        <f>ROUNDUP(F117/(Assumptions!$C$36*365),0)</f>
        <v>0</v>
      </c>
      <c r="G125" s="108">
        <f>ROUNDUP(G117/(Assumptions!$C$36*365),0)</f>
        <v>0</v>
      </c>
      <c r="H125" s="108">
        <f>ROUNDUP(H117/(Assumptions!$C$36*365),0)</f>
        <v>0</v>
      </c>
      <c r="I125" s="108">
        <f>ROUNDUP(I117/(Assumptions!$C$36*365),0)</f>
        <v>0</v>
      </c>
      <c r="J125" s="108">
        <f>ROUNDUP(J117/(Assumptions!$C$36*365),0)</f>
        <v>1</v>
      </c>
      <c r="K125" s="108">
        <f>ROUNDUP(K117/(Assumptions!$C$36*365),0)</f>
        <v>1</v>
      </c>
      <c r="L125" s="109">
        <f>ROUNDUP(L117/(Assumptions!$C$36*365),0)</f>
        <v>1</v>
      </c>
      <c r="M125" s="108">
        <f>ROUNDUP(M117/(Assumptions!$C$36*365),0)</f>
        <v>1</v>
      </c>
      <c r="N125" s="108">
        <f>ROUNDUP(N117/(Assumptions!$C$36*365),0)</f>
        <v>1</v>
      </c>
      <c r="O125" s="108">
        <f>ROUNDUP(O117/(Assumptions!$C$36*365),0)</f>
        <v>1</v>
      </c>
      <c r="P125" s="108">
        <f>ROUNDUP(P117/(Assumptions!$C$36*365),0)</f>
        <v>0</v>
      </c>
      <c r="Q125" s="108">
        <f>ROUNDUP(Q117/(Assumptions!$C$36*365),0)</f>
        <v>0</v>
      </c>
      <c r="R125" s="114"/>
    </row>
    <row r="126" spans="2:18" ht="15.5" x14ac:dyDescent="0.35">
      <c r="B126" s="106"/>
      <c r="C126" s="106"/>
      <c r="D126" s="107"/>
      <c r="E126" s="108"/>
      <c r="F126" s="108"/>
      <c r="G126" s="108"/>
      <c r="H126" s="108"/>
      <c r="I126" s="108"/>
      <c r="J126" s="108"/>
      <c r="K126" s="108"/>
      <c r="L126" s="109"/>
      <c r="M126" s="108"/>
      <c r="N126" s="108"/>
      <c r="O126" s="108"/>
      <c r="P126" s="108"/>
      <c r="Q126" s="108"/>
      <c r="R126" s="114"/>
    </row>
    <row r="127" spans="2:18" ht="15.5" x14ac:dyDescent="0.35">
      <c r="B127" s="135" t="s">
        <v>253</v>
      </c>
      <c r="C127" s="143"/>
      <c r="D127" s="143"/>
      <c r="E127" s="143"/>
      <c r="F127" s="143"/>
      <c r="G127" s="143"/>
      <c r="H127" s="143"/>
      <c r="I127" s="143"/>
      <c r="J127" s="143"/>
      <c r="K127" s="143"/>
      <c r="L127" s="143"/>
      <c r="M127" s="143"/>
      <c r="N127" s="143"/>
      <c r="O127" s="143"/>
      <c r="P127" s="143"/>
      <c r="Q127" s="143"/>
      <c r="R127" s="143"/>
    </row>
    <row r="128" spans="2:18" ht="15.5" x14ac:dyDescent="0.35">
      <c r="B128" s="135"/>
      <c r="C128" s="143">
        <f t="shared" ref="C128:Q128" si="29">C6</f>
        <v>2021</v>
      </c>
      <c r="D128" s="143">
        <f t="shared" si="29"/>
        <v>2022</v>
      </c>
      <c r="E128" s="143">
        <f t="shared" si="29"/>
        <v>2023</v>
      </c>
      <c r="F128" s="143">
        <f t="shared" si="29"/>
        <v>2024</v>
      </c>
      <c r="G128" s="143">
        <f t="shared" si="29"/>
        <v>2025</v>
      </c>
      <c r="H128" s="143">
        <f t="shared" si="29"/>
        <v>2026</v>
      </c>
      <c r="I128" s="143">
        <f t="shared" si="29"/>
        <v>2027</v>
      </c>
      <c r="J128" s="143">
        <f t="shared" si="29"/>
        <v>2028</v>
      </c>
      <c r="K128" s="143">
        <f t="shared" si="29"/>
        <v>2029</v>
      </c>
      <c r="L128" s="143">
        <f t="shared" si="29"/>
        <v>2030</v>
      </c>
      <c r="M128" s="143">
        <f t="shared" si="29"/>
        <v>2031</v>
      </c>
      <c r="N128" s="143">
        <f t="shared" si="29"/>
        <v>2032</v>
      </c>
      <c r="O128" s="143">
        <f t="shared" si="29"/>
        <v>2033</v>
      </c>
      <c r="P128" s="143">
        <f t="shared" si="29"/>
        <v>2034</v>
      </c>
      <c r="Q128" s="143">
        <f t="shared" si="29"/>
        <v>2035</v>
      </c>
      <c r="R128" s="143"/>
    </row>
    <row r="129" spans="2:18" x14ac:dyDescent="0.35">
      <c r="B129" s="144" t="s">
        <v>332</v>
      </c>
      <c r="C129" s="144"/>
      <c r="D129" s="22">
        <f>D105*Assumptions!$L$77</f>
        <v>0</v>
      </c>
      <c r="E129" s="22">
        <f>E105*Assumptions!$L$77</f>
        <v>0</v>
      </c>
      <c r="F129" s="22">
        <f>F105*Assumptions!$L$77</f>
        <v>0</v>
      </c>
      <c r="G129" s="22">
        <f>G105*Assumptions!$L$77</f>
        <v>0</v>
      </c>
      <c r="H129" s="22">
        <f>H105*Assumptions!$L$77</f>
        <v>0</v>
      </c>
      <c r="I129" s="22">
        <f>I105*Assumptions!$L$77</f>
        <v>0</v>
      </c>
      <c r="J129" s="22">
        <f>J105*Assumptions!$L$77</f>
        <v>6.6160742237495427</v>
      </c>
      <c r="K129" s="22">
        <f>K105*Assumptions!$L$77</f>
        <v>13.230043504559484</v>
      </c>
      <c r="L129" s="22">
        <f>L105*Assumptions!$L$77</f>
        <v>13.230043504559484</v>
      </c>
      <c r="M129" s="22">
        <f>M105*Assumptions!$L$77</f>
        <v>12.12057010972493</v>
      </c>
      <c r="N129" s="22">
        <f>N105*Assumptions!$L$77</f>
        <v>5.5085375695535834</v>
      </c>
      <c r="O129" s="22">
        <f>O105*Assumptions!$L$77</f>
        <v>4.4078919424032632</v>
      </c>
      <c r="P129" s="22">
        <f>P105*Assumptions!$L$77</f>
        <v>0</v>
      </c>
      <c r="Q129" s="22">
        <f>Q105*Assumptions!$L$77</f>
        <v>0</v>
      </c>
      <c r="R129" s="144"/>
    </row>
    <row r="130" spans="2:18" x14ac:dyDescent="0.35">
      <c r="B130" s="59" t="s">
        <v>270</v>
      </c>
      <c r="C130" s="144"/>
      <c r="D130" s="145">
        <f>D105*Assumptions!$K$77</f>
        <v>0</v>
      </c>
      <c r="E130" s="145">
        <f>E105*Assumptions!$K$77</f>
        <v>0</v>
      </c>
      <c r="F130" s="145">
        <f>F105*Assumptions!$K$77</f>
        <v>0</v>
      </c>
      <c r="G130" s="145">
        <f>G105*Assumptions!$K$77</f>
        <v>0</v>
      </c>
      <c r="H130" s="145">
        <f>H105*Assumptions!$K$77</f>
        <v>0</v>
      </c>
      <c r="I130" s="145">
        <f>I105*Assumptions!$K$77</f>
        <v>0</v>
      </c>
      <c r="J130" s="145">
        <f>J105*Assumptions!$K$77</f>
        <v>66.690028175395383</v>
      </c>
      <c r="K130" s="145">
        <f>K105*Assumptions!$K$77</f>
        <v>133.35883852595958</v>
      </c>
      <c r="L130" s="145">
        <f>L105*Assumptions!$K$77</f>
        <v>133.35883852595958</v>
      </c>
      <c r="M130" s="145">
        <f>M105*Assumptions!$K$77</f>
        <v>122.17534670602728</v>
      </c>
      <c r="N130" s="145">
        <f>N105*Assumptions!$K$77</f>
        <v>55.526058701100119</v>
      </c>
      <c r="O130" s="145">
        <f>O105*Assumptions!$K$77</f>
        <v>44.431550779424889</v>
      </c>
      <c r="P130" s="145">
        <f>P105*Assumptions!$K$77</f>
        <v>0</v>
      </c>
      <c r="Q130" s="145">
        <f>Q105*Assumptions!$K$77</f>
        <v>0</v>
      </c>
    </row>
    <row r="132" spans="2:18" ht="15.5" x14ac:dyDescent="0.35">
      <c r="B132" t="s">
        <v>235</v>
      </c>
      <c r="D132" s="115">
        <f t="shared" ref="D132:R132" si="30">SUM(D86:D88)</f>
        <v>0</v>
      </c>
      <c r="E132" s="115">
        <f t="shared" si="30"/>
        <v>0</v>
      </c>
      <c r="F132" s="115">
        <f t="shared" si="30"/>
        <v>0</v>
      </c>
      <c r="G132" s="115">
        <f t="shared" si="30"/>
        <v>0</v>
      </c>
      <c r="H132" s="115">
        <f t="shared" si="30"/>
        <v>0</v>
      </c>
      <c r="I132" s="115">
        <f t="shared" si="30"/>
        <v>0</v>
      </c>
      <c r="J132" s="115">
        <f t="shared" si="30"/>
        <v>33.345014087697692</v>
      </c>
      <c r="K132" s="115">
        <f t="shared" si="30"/>
        <v>66.679419262979792</v>
      </c>
      <c r="L132" s="115">
        <f t="shared" si="30"/>
        <v>66.679419262979792</v>
      </c>
      <c r="M132" s="115">
        <f t="shared" si="30"/>
        <v>61.087673353013642</v>
      </c>
      <c r="N132" s="115">
        <f t="shared" si="30"/>
        <v>27.76302935055006</v>
      </c>
      <c r="O132" s="115">
        <f t="shared" si="30"/>
        <v>22.215775389712444</v>
      </c>
      <c r="P132" s="115">
        <f t="shared" si="30"/>
        <v>0</v>
      </c>
      <c r="Q132" s="115">
        <f t="shared" si="30"/>
        <v>0</v>
      </c>
      <c r="R132" s="115">
        <f t="shared" si="30"/>
        <v>277.77033070693341</v>
      </c>
    </row>
    <row r="136" spans="2:18" x14ac:dyDescent="0.35">
      <c r="F136" s="22"/>
      <c r="G136" s="22"/>
      <c r="H136" s="22"/>
      <c r="I136" s="22"/>
      <c r="J136" s="22"/>
      <c r="K136" s="22"/>
      <c r="L136" s="22"/>
      <c r="M136" s="22"/>
      <c r="N136" s="22"/>
      <c r="O136" s="22"/>
      <c r="P136" s="22"/>
      <c r="Q136" s="22"/>
    </row>
    <row r="137" spans="2:18" x14ac:dyDescent="0.35">
      <c r="F137" s="22"/>
      <c r="G137" s="22"/>
      <c r="H137" s="22"/>
      <c r="I137" s="22"/>
      <c r="J137" s="22"/>
      <c r="K137" s="22"/>
      <c r="L137" s="22"/>
      <c r="M137" s="22"/>
      <c r="N137" s="22"/>
      <c r="O137" s="22"/>
      <c r="P137" s="22"/>
      <c r="Q137" s="22"/>
    </row>
    <row r="138" spans="2:18" x14ac:dyDescent="0.35">
      <c r="F138" s="22"/>
      <c r="G138" s="22"/>
      <c r="H138" s="22"/>
      <c r="I138" s="22"/>
      <c r="J138" s="22"/>
      <c r="K138" s="22"/>
      <c r="L138" s="22"/>
      <c r="M138" s="22"/>
      <c r="N138" s="22"/>
      <c r="O138" s="22"/>
      <c r="P138" s="22"/>
      <c r="Q138" s="22"/>
    </row>
    <row r="140" spans="2:18" x14ac:dyDescent="0.35">
      <c r="F140" s="58"/>
      <c r="G140" s="58"/>
      <c r="H140" s="58"/>
      <c r="I140" s="58"/>
      <c r="J140" s="58"/>
      <c r="K140" s="58"/>
      <c r="L140" s="58"/>
      <c r="M140" s="58"/>
      <c r="N140" s="58"/>
      <c r="O140" s="58"/>
      <c r="P140" s="58"/>
      <c r="Q140" s="58"/>
    </row>
    <row r="141" spans="2:18" x14ac:dyDescent="0.35">
      <c r="F141" s="58"/>
      <c r="G141" s="58"/>
      <c r="H141" s="58"/>
      <c r="I141" s="58"/>
      <c r="J141" s="58"/>
      <c r="K141" s="58"/>
      <c r="L141" s="58"/>
      <c r="M141" s="58"/>
      <c r="N141" s="58"/>
      <c r="O141" s="58"/>
      <c r="P141" s="58"/>
      <c r="Q141" s="58"/>
    </row>
    <row r="142" spans="2:18" x14ac:dyDescent="0.35">
      <c r="F142" s="58"/>
      <c r="G142" s="58"/>
      <c r="H142" s="58"/>
      <c r="I142" s="58"/>
      <c r="J142" s="58"/>
      <c r="K142" s="58"/>
      <c r="L142" s="58"/>
      <c r="M142" s="58"/>
      <c r="N142" s="58"/>
      <c r="O142" s="58"/>
      <c r="P142" s="58"/>
      <c r="Q142" s="58"/>
    </row>
    <row r="143" spans="2:18" x14ac:dyDescent="0.35">
      <c r="F143" s="58"/>
      <c r="G143" s="58"/>
      <c r="H143" s="58"/>
      <c r="I143" s="58"/>
      <c r="J143" s="58"/>
      <c r="K143" s="58"/>
      <c r="L143" s="58"/>
      <c r="M143" s="58"/>
      <c r="N143" s="58"/>
      <c r="O143" s="58"/>
      <c r="P143" s="58"/>
      <c r="Q143" s="58"/>
    </row>
  </sheetData>
  <conditionalFormatting sqref="C10:Q12">
    <cfRule type="colorScale" priority="32">
      <colorScale>
        <cfvo type="min"/>
        <cfvo type="max"/>
        <color theme="0"/>
        <color rgb="FF5D9732"/>
      </colorScale>
    </cfRule>
  </conditionalFormatting>
  <conditionalFormatting sqref="C18:Q20">
    <cfRule type="colorScale" priority="31">
      <colorScale>
        <cfvo type="min"/>
        <cfvo type="max"/>
        <color theme="0"/>
        <color rgb="FF5D9732"/>
      </colorScale>
    </cfRule>
  </conditionalFormatting>
  <conditionalFormatting sqref="C30:Q32">
    <cfRule type="colorScale" priority="30">
      <colorScale>
        <cfvo type="min"/>
        <cfvo type="max"/>
        <color theme="0"/>
        <color rgb="FF5D9732"/>
      </colorScale>
    </cfRule>
  </conditionalFormatting>
  <conditionalFormatting sqref="C34:Q35">
    <cfRule type="colorScale" priority="29">
      <colorScale>
        <cfvo type="min"/>
        <cfvo type="max"/>
        <color theme="0"/>
        <color rgb="FF5D9732"/>
      </colorScale>
    </cfRule>
  </conditionalFormatting>
  <conditionalFormatting sqref="D67:Q67">
    <cfRule type="colorScale" priority="28">
      <colorScale>
        <cfvo type="min"/>
        <cfvo type="max"/>
        <color rgb="FFFCFCFF"/>
        <color rgb="FF00B050"/>
      </colorScale>
    </cfRule>
  </conditionalFormatting>
  <conditionalFormatting sqref="C50:Q52">
    <cfRule type="colorScale" priority="27">
      <colorScale>
        <cfvo type="min"/>
        <cfvo type="max"/>
        <color theme="0"/>
        <color rgb="FF5D9732"/>
      </colorScale>
    </cfRule>
  </conditionalFormatting>
  <conditionalFormatting sqref="Q58:Q60">
    <cfRule type="colorScale" priority="26">
      <colorScale>
        <cfvo type="min"/>
        <cfvo type="max"/>
        <color theme="0"/>
        <color rgb="FF00B050"/>
      </colorScale>
    </cfRule>
  </conditionalFormatting>
  <conditionalFormatting sqref="C68:Q68">
    <cfRule type="colorScale" priority="25">
      <colorScale>
        <cfvo type="min"/>
        <cfvo type="max"/>
        <color theme="0"/>
        <color rgb="FF5D9732"/>
      </colorScale>
    </cfRule>
  </conditionalFormatting>
  <conditionalFormatting sqref="C70:Q71">
    <cfRule type="colorScale" priority="24">
      <colorScale>
        <cfvo type="min"/>
        <cfvo type="max"/>
        <color theme="0"/>
        <color rgb="FF5D9732"/>
      </colorScale>
    </cfRule>
  </conditionalFormatting>
  <conditionalFormatting sqref="D86:Q88">
    <cfRule type="colorScale" priority="23">
      <colorScale>
        <cfvo type="min"/>
        <cfvo type="max"/>
        <color theme="0"/>
        <color rgb="FF5D9732"/>
      </colorScale>
    </cfRule>
  </conditionalFormatting>
  <conditionalFormatting sqref="D90:Q92">
    <cfRule type="colorScale" priority="22">
      <colorScale>
        <cfvo type="min"/>
        <cfvo type="max"/>
        <color theme="0"/>
        <color rgb="FF5D9732"/>
      </colorScale>
    </cfRule>
  </conditionalFormatting>
  <conditionalFormatting sqref="D94:Q96">
    <cfRule type="colorScale" priority="21">
      <colorScale>
        <cfvo type="min"/>
        <cfvo type="max"/>
        <color theme="0"/>
        <color rgb="FF5D9732"/>
      </colorScale>
    </cfRule>
  </conditionalFormatting>
  <conditionalFormatting sqref="D98:Q100">
    <cfRule type="colorScale" priority="20">
      <colorScale>
        <cfvo type="min"/>
        <cfvo type="max"/>
        <color theme="0"/>
        <color rgb="FF5D9732"/>
      </colorScale>
    </cfRule>
  </conditionalFormatting>
  <conditionalFormatting sqref="C14:Q16">
    <cfRule type="colorScale" priority="18">
      <colorScale>
        <cfvo type="min"/>
        <cfvo type="max"/>
        <color theme="0"/>
        <color rgb="FF5D9732"/>
      </colorScale>
    </cfRule>
  </conditionalFormatting>
  <conditionalFormatting sqref="C46:Q48">
    <cfRule type="colorScale" priority="17">
      <colorScale>
        <cfvo type="min"/>
        <cfvo type="max"/>
        <color theme="0"/>
        <color rgb="FF5D9732"/>
      </colorScale>
    </cfRule>
  </conditionalFormatting>
  <conditionalFormatting sqref="C54:Q60">
    <cfRule type="colorScale" priority="16">
      <colorScale>
        <cfvo type="min"/>
        <cfvo type="max"/>
        <color theme="0"/>
        <color rgb="FF5D9732"/>
      </colorScale>
    </cfRule>
  </conditionalFormatting>
  <conditionalFormatting sqref="D116:Q118 D113:Q114">
    <cfRule type="colorScale" priority="15">
      <colorScale>
        <cfvo type="min"/>
        <cfvo type="max"/>
        <color rgb="FFFCFCFF"/>
        <color rgb="FF5D9732"/>
      </colorScale>
    </cfRule>
  </conditionalFormatting>
  <conditionalFormatting sqref="D77:Q80">
    <cfRule type="colorScale" priority="34">
      <colorScale>
        <cfvo type="min"/>
        <cfvo type="max"/>
        <color rgb="FFFCFCFF"/>
        <color rgb="FF00B050"/>
      </colorScale>
    </cfRule>
  </conditionalFormatting>
  <conditionalFormatting sqref="D84:Q84">
    <cfRule type="colorScale" priority="10">
      <colorScale>
        <cfvo type="min"/>
        <cfvo type="max"/>
        <color rgb="FFFCFCFF"/>
        <color rgb="FF5D9732"/>
      </colorScale>
    </cfRule>
  </conditionalFormatting>
  <conditionalFormatting sqref="C62:Q65">
    <cfRule type="colorScale" priority="13">
      <colorScale>
        <cfvo type="min"/>
        <cfvo type="max"/>
        <color theme="0"/>
        <color rgb="FF5D9732"/>
      </colorScale>
    </cfRule>
  </conditionalFormatting>
  <conditionalFormatting sqref="C22:Q24">
    <cfRule type="colorScale" priority="12">
      <colorScale>
        <cfvo type="min"/>
        <cfvo type="max"/>
        <color theme="0"/>
        <color rgb="FF5D9732"/>
      </colorScale>
    </cfRule>
  </conditionalFormatting>
  <conditionalFormatting sqref="C26:Q29">
    <cfRule type="colorScale" priority="11">
      <colorScale>
        <cfvo type="min"/>
        <cfvo type="max"/>
        <color theme="0"/>
        <color rgb="FF5D9732"/>
      </colorScale>
    </cfRule>
  </conditionalFormatting>
  <conditionalFormatting sqref="C66:P66">
    <cfRule type="colorScale" priority="9">
      <colorScale>
        <cfvo type="min"/>
        <cfvo type="max"/>
        <color rgb="FFFCFCFF"/>
        <color rgb="FF5D9732"/>
      </colorScale>
    </cfRule>
  </conditionalFormatting>
  <conditionalFormatting sqref="D115:Q115">
    <cfRule type="colorScale" priority="8">
      <colorScale>
        <cfvo type="min"/>
        <cfvo type="max"/>
        <color rgb="FFFCFCFF"/>
        <color rgb="FF5D9732"/>
      </colorScale>
    </cfRule>
  </conditionalFormatting>
  <conditionalFormatting sqref="D106:Q108">
    <cfRule type="colorScale" priority="35">
      <colorScale>
        <cfvo type="min"/>
        <cfvo type="max"/>
        <color rgb="FFFCFCFF"/>
        <color rgb="FF5D9732"/>
      </colorScale>
    </cfRule>
  </conditionalFormatting>
  <conditionalFormatting sqref="D110:Q111">
    <cfRule type="colorScale" priority="97">
      <colorScale>
        <cfvo type="min"/>
        <cfvo type="max"/>
        <color theme="0"/>
        <color rgb="FF5D9732"/>
      </colorScale>
    </cfRule>
  </conditionalFormatting>
  <conditionalFormatting sqref="D102:Q105">
    <cfRule type="colorScale" priority="100">
      <colorScale>
        <cfvo type="min"/>
        <cfvo type="max"/>
        <color theme="0"/>
        <color rgb="FF5D9732"/>
      </colorScale>
    </cfRule>
  </conditionalFormatting>
  <conditionalFormatting sqref="E125:Q125">
    <cfRule type="colorScale" priority="103">
      <colorScale>
        <cfvo type="min"/>
        <cfvo type="max"/>
        <color theme="0"/>
        <color rgb="FF5D9732"/>
      </colorScale>
    </cfRule>
  </conditionalFormatting>
  <conditionalFormatting sqref="D122:Q122 Q121">
    <cfRule type="colorScale" priority="104">
      <colorScale>
        <cfvo type="min"/>
        <cfvo type="max"/>
        <color rgb="FFFCFCFF"/>
        <color rgb="FF5D9732"/>
      </colorScale>
    </cfRule>
  </conditionalFormatting>
  <conditionalFormatting sqref="E125:Q126 F123:Q123">
    <cfRule type="colorScale" priority="105">
      <colorScale>
        <cfvo type="min"/>
        <cfvo type="max"/>
        <color rgb="FFFCFCFF"/>
        <color rgb="FF5D9732"/>
      </colorScale>
    </cfRule>
  </conditionalFormatting>
  <conditionalFormatting sqref="D120:Q120 D121:P121">
    <cfRule type="colorScale" priority="3">
      <colorScale>
        <cfvo type="min"/>
        <cfvo type="max"/>
        <color theme="0"/>
        <color rgb="FF5D9732"/>
      </colorScale>
    </cfRule>
  </conditionalFormatting>
  <conditionalFormatting sqref="D120:Q120 D121:P121">
    <cfRule type="colorScale" priority="4">
      <colorScale>
        <cfvo type="min"/>
        <cfvo type="max"/>
        <color rgb="FFFCFCFF"/>
        <color rgb="FF5D9732"/>
      </colorScale>
    </cfRule>
  </conditionalFormatting>
  <conditionalFormatting sqref="D124:Q124">
    <cfRule type="colorScale" priority="1">
      <colorScale>
        <cfvo type="min"/>
        <cfvo type="max"/>
        <color theme="0"/>
        <color rgb="FF5D9732"/>
      </colorScale>
    </cfRule>
  </conditionalFormatting>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B8FF37-AFD4-4225-B818-C600643D9E54}">
  <sheetPr>
    <tabColor rgb="FF8CC63F"/>
  </sheetPr>
  <dimension ref="A1:Z153"/>
  <sheetViews>
    <sheetView zoomScale="70" zoomScaleNormal="70" workbookViewId="0">
      <pane ySplit="6" topLeftCell="A106" activePane="bottomLeft" state="frozen"/>
      <selection pane="bottomLeft" activeCell="D89" sqref="D89"/>
    </sheetView>
  </sheetViews>
  <sheetFormatPr defaultRowHeight="14.5" x14ac:dyDescent="0.35"/>
  <cols>
    <col min="1" max="1" width="5.08984375" customWidth="1"/>
    <col min="2" max="2" width="25.1796875" customWidth="1"/>
    <col min="3" max="3" width="7.1796875" bestFit="1" customWidth="1"/>
    <col min="6" max="16" width="9.36328125" bestFit="1" customWidth="1"/>
    <col min="17" max="17" width="10.08984375" customWidth="1"/>
  </cols>
  <sheetData>
    <row r="1" spans="1:20" x14ac:dyDescent="0.35">
      <c r="R1" t="s">
        <v>104</v>
      </c>
    </row>
    <row r="2" spans="1:20" x14ac:dyDescent="0.35">
      <c r="A2" s="30"/>
      <c r="B2" s="7" t="s">
        <v>371</v>
      </c>
      <c r="C2" s="30"/>
      <c r="D2" s="30"/>
      <c r="E2" s="30"/>
      <c r="F2" s="30"/>
      <c r="G2" s="30"/>
      <c r="Q2" s="4" t="s">
        <v>347</v>
      </c>
      <c r="R2" s="23">
        <v>1</v>
      </c>
    </row>
    <row r="3" spans="1:20" x14ac:dyDescent="0.35">
      <c r="Q3" s="4"/>
      <c r="R3" s="23">
        <v>1</v>
      </c>
      <c r="T3" s="138" t="s">
        <v>133</v>
      </c>
    </row>
    <row r="4" spans="1:20" x14ac:dyDescent="0.35">
      <c r="Q4" s="20"/>
      <c r="R4" s="20"/>
      <c r="T4" s="138" t="s">
        <v>134</v>
      </c>
    </row>
    <row r="5" spans="1:20" x14ac:dyDescent="0.35">
      <c r="C5" t="s">
        <v>105</v>
      </c>
      <c r="T5" s="138" t="s">
        <v>135</v>
      </c>
    </row>
    <row r="6" spans="1:20" ht="21" x14ac:dyDescent="0.5">
      <c r="B6" s="102"/>
      <c r="C6" s="103">
        <v>2021</v>
      </c>
      <c r="D6" s="103">
        <v>2022</v>
      </c>
      <c r="E6" s="103">
        <f t="shared" ref="E6:Q6" si="0">D6+1</f>
        <v>2023</v>
      </c>
      <c r="F6" s="103">
        <f t="shared" si="0"/>
        <v>2024</v>
      </c>
      <c r="G6" s="103">
        <f t="shared" si="0"/>
        <v>2025</v>
      </c>
      <c r="H6" s="103">
        <f t="shared" si="0"/>
        <v>2026</v>
      </c>
      <c r="I6" s="103">
        <f t="shared" si="0"/>
        <v>2027</v>
      </c>
      <c r="J6" s="103">
        <f t="shared" si="0"/>
        <v>2028</v>
      </c>
      <c r="K6" s="103">
        <f t="shared" si="0"/>
        <v>2029</v>
      </c>
      <c r="L6" s="104">
        <f t="shared" si="0"/>
        <v>2030</v>
      </c>
      <c r="M6" s="103">
        <f t="shared" si="0"/>
        <v>2031</v>
      </c>
      <c r="N6" s="103">
        <f t="shared" si="0"/>
        <v>2032</v>
      </c>
      <c r="O6" s="103">
        <f t="shared" si="0"/>
        <v>2033</v>
      </c>
      <c r="P6" s="103">
        <f t="shared" si="0"/>
        <v>2034</v>
      </c>
      <c r="Q6" s="103">
        <f t="shared" si="0"/>
        <v>2035</v>
      </c>
      <c r="R6" s="112" t="s">
        <v>96</v>
      </c>
      <c r="T6" s="138" t="s">
        <v>136</v>
      </c>
    </row>
    <row r="7" spans="1:20" ht="15.5" x14ac:dyDescent="0.35">
      <c r="A7" s="116" t="s">
        <v>132</v>
      </c>
      <c r="B7" s="117" t="s">
        <v>107</v>
      </c>
      <c r="C7" s="117"/>
      <c r="D7" s="118"/>
      <c r="E7" s="118"/>
      <c r="F7" s="118"/>
      <c r="G7" s="118"/>
      <c r="H7" s="118"/>
      <c r="I7" s="118"/>
      <c r="J7" s="118"/>
      <c r="K7" s="118"/>
      <c r="L7" s="118"/>
      <c r="M7" s="118"/>
      <c r="N7" s="118"/>
      <c r="O7" s="118"/>
      <c r="P7" s="118"/>
      <c r="Q7" s="118"/>
      <c r="R7" s="119"/>
    </row>
    <row r="8" spans="1:20" ht="15.5" x14ac:dyDescent="0.35">
      <c r="A8" s="116"/>
      <c r="B8" s="120" t="s">
        <v>108</v>
      </c>
      <c r="C8" s="120"/>
      <c r="D8" s="116"/>
      <c r="E8" s="116"/>
      <c r="F8" s="116"/>
      <c r="G8" s="116"/>
      <c r="H8" s="116"/>
      <c r="I8" s="116"/>
      <c r="J8" s="116"/>
      <c r="K8" s="116"/>
      <c r="L8" s="116"/>
      <c r="M8" s="116"/>
      <c r="N8" s="116"/>
      <c r="O8" s="116"/>
      <c r="P8" s="116"/>
      <c r="Q8" s="116"/>
      <c r="R8" s="115"/>
    </row>
    <row r="9" spans="1:20" ht="15.5" x14ac:dyDescent="0.35">
      <c r="A9" s="116"/>
      <c r="B9" s="129" t="s">
        <v>350</v>
      </c>
      <c r="C9" s="129"/>
      <c r="D9" s="129"/>
      <c r="E9" s="129"/>
      <c r="F9" s="129"/>
      <c r="G9" s="129"/>
      <c r="H9" s="129"/>
      <c r="I9" s="129"/>
      <c r="J9" s="129"/>
      <c r="K9" s="129"/>
      <c r="L9" s="129"/>
      <c r="M9" s="129"/>
      <c r="N9" s="129"/>
      <c r="O9" s="129"/>
      <c r="P9" s="129"/>
      <c r="Q9" s="129"/>
      <c r="R9" s="130"/>
    </row>
    <row r="10" spans="1:20" ht="15.5" x14ac:dyDescent="0.35">
      <c r="A10" s="121">
        <f>MAX(Assumptions!C$45:C$47)</f>
        <v>1</v>
      </c>
      <c r="B10" s="111">
        <v>12</v>
      </c>
      <c r="C10" s="108" cm="1">
        <f t="array" aca="1" ref="C10" ca="1">INDIRECT("R[36]C["&amp;$A$10&amp;"]",FALSE)</f>
        <v>0</v>
      </c>
      <c r="D10" s="108" cm="1">
        <f t="array" aca="1" ref="D10" ca="1">INDIRECT("R[36]C["&amp;$A$10&amp;"]",FALSE)</f>
        <v>0</v>
      </c>
      <c r="E10" s="108" cm="1">
        <f t="array" aca="1" ref="E10" ca="1">INDIRECT("R[36]C["&amp;$A$10&amp;"]",FALSE)</f>
        <v>0</v>
      </c>
      <c r="F10" s="108" cm="1">
        <f t="array" aca="1" ref="F10" ca="1">INDIRECT("R[36]C["&amp;$A$10&amp;"]",FALSE)</f>
        <v>0</v>
      </c>
      <c r="G10" s="108" cm="1">
        <f t="array" aca="1" ref="G10" ca="1">INDIRECT("R[36]C["&amp;$A$10&amp;"]",FALSE)</f>
        <v>0</v>
      </c>
      <c r="H10" s="108" cm="1">
        <f t="array" aca="1" ref="H10" ca="1">INDIRECT("R[36]C["&amp;$A$10&amp;"]",FALSE)</f>
        <v>0</v>
      </c>
      <c r="I10" s="108" cm="1">
        <f t="array" aca="1" ref="I10" ca="1">INDIRECT("R[36]C["&amp;$A$10&amp;"]",FALSE)</f>
        <v>0</v>
      </c>
      <c r="J10" s="108" cm="1">
        <f t="array" aca="1" ref="J10" ca="1">INDIRECT("R[36]C["&amp;$A$10&amp;"]",FALSE)</f>
        <v>0</v>
      </c>
      <c r="K10" s="108" cm="1">
        <f t="array" aca="1" ref="K10" ca="1">INDIRECT("R[36]C["&amp;$A$10&amp;"]",FALSE)</f>
        <v>0</v>
      </c>
      <c r="L10" s="108" cm="1">
        <f t="array" aca="1" ref="L10" ca="1">INDIRECT("R[36]C["&amp;$A$10&amp;"]",FALSE)</f>
        <v>0</v>
      </c>
      <c r="M10" s="108" cm="1">
        <f t="array" aca="1" ref="M10" ca="1">INDIRECT("R[36]C["&amp;$A$10&amp;"]",FALSE)</f>
        <v>0</v>
      </c>
      <c r="N10" s="108" cm="1">
        <f t="array" aca="1" ref="N10" ca="1">INDIRECT("R[36]C["&amp;$A$10&amp;"]",FALSE)</f>
        <v>0</v>
      </c>
      <c r="O10" s="108" cm="1">
        <f t="array" aca="1" ref="O10" ca="1">INDIRECT("R[36]C["&amp;$A$10&amp;"]",FALSE)</f>
        <v>0</v>
      </c>
      <c r="P10" s="110"/>
      <c r="Q10" s="110"/>
      <c r="R10" s="113">
        <f ca="1">SUM(C10:P10)</f>
        <v>0</v>
      </c>
    </row>
    <row r="11" spans="1:20" ht="15.5" x14ac:dyDescent="0.35">
      <c r="A11" s="121">
        <f>MAX(Assumptions!C$45:C$47)</f>
        <v>1</v>
      </c>
      <c r="B11" s="111">
        <v>15</v>
      </c>
      <c r="C11" s="108" cm="1">
        <f t="array" aca="1" ref="C11" ca="1">INDIRECT("R[36]C["&amp;$A$11&amp;"]",FALSE)</f>
        <v>0</v>
      </c>
      <c r="D11" s="108" cm="1">
        <f t="array" aca="1" ref="D11" ca="1">INDIRECT("R[36]C["&amp;$A$11&amp;"]",FALSE)</f>
        <v>0</v>
      </c>
      <c r="E11" s="108" cm="1">
        <f t="array" aca="1" ref="E11" ca="1">INDIRECT("R[36]C["&amp;$A$11&amp;"]",FALSE)</f>
        <v>0</v>
      </c>
      <c r="F11" s="108" cm="1">
        <f t="array" aca="1" ref="F11" ca="1">INDIRECT("R[36]C["&amp;$A$11&amp;"]",FALSE)</f>
        <v>0</v>
      </c>
      <c r="G11" s="108" cm="1">
        <f t="array" aca="1" ref="G11" ca="1">INDIRECT("R[36]C["&amp;$A$11&amp;"]",FALSE)</f>
        <v>0</v>
      </c>
      <c r="H11" s="108" cm="1">
        <f t="array" aca="1" ref="H11" ca="1">INDIRECT("R[36]C["&amp;$A$11&amp;"]",FALSE)</f>
        <v>0</v>
      </c>
      <c r="I11" s="108" cm="1">
        <f t="array" aca="1" ref="I11" ca="1">INDIRECT("R[36]C["&amp;$A$11&amp;"]",FALSE)</f>
        <v>0</v>
      </c>
      <c r="J11" s="108" cm="1">
        <f t="array" aca="1" ref="J11" ca="1">INDIRECT("R[36]C["&amp;$A$11&amp;"]",FALSE)</f>
        <v>0</v>
      </c>
      <c r="K11" s="108" cm="1">
        <f t="array" aca="1" ref="K11" ca="1">INDIRECT("R[36]C["&amp;$A$11&amp;"]",FALSE)</f>
        <v>0</v>
      </c>
      <c r="L11" s="108" cm="1">
        <f t="array" aca="1" ref="L11" ca="1">INDIRECT("R[36]C["&amp;$A$11&amp;"]",FALSE)</f>
        <v>0</v>
      </c>
      <c r="M11" s="108" cm="1">
        <f t="array" aca="1" ref="M11" ca="1">INDIRECT("R[36]C["&amp;$A$11&amp;"]",FALSE)</f>
        <v>0</v>
      </c>
      <c r="N11" s="108" cm="1">
        <f t="array" aca="1" ref="N11" ca="1">INDIRECT("R[36]C["&amp;$A$11&amp;"]",FALSE)</f>
        <v>0</v>
      </c>
      <c r="O11" s="108" cm="1">
        <f t="array" aca="1" ref="O11" ca="1">INDIRECT("R[36]C["&amp;$A$11&amp;"]",FALSE)</f>
        <v>0</v>
      </c>
      <c r="P11" s="110"/>
      <c r="Q11" s="110"/>
      <c r="R11" s="113">
        <f t="shared" ref="R11:R12" ca="1" si="1">SUM(C11:P11)</f>
        <v>0</v>
      </c>
    </row>
    <row r="12" spans="1:20" ht="15.5" x14ac:dyDescent="0.35">
      <c r="A12" s="121">
        <f>MAX(Assumptions!C$45:C$47)</f>
        <v>1</v>
      </c>
      <c r="B12" s="111">
        <v>18</v>
      </c>
      <c r="C12" s="108" cm="1">
        <f t="array" aca="1" ref="C12" ca="1">INDIRECT("R[36]C["&amp;$A$12&amp;"]",FALSE)</f>
        <v>0</v>
      </c>
      <c r="D12" s="108" cm="1">
        <f t="array" aca="1" ref="D12" ca="1">INDIRECT("R[36]C["&amp;$A$12&amp;"]",FALSE)</f>
        <v>0</v>
      </c>
      <c r="E12" s="108" cm="1">
        <f t="array" aca="1" ref="E12" ca="1">INDIRECT("R[36]C["&amp;$A$12&amp;"]",FALSE)</f>
        <v>0</v>
      </c>
      <c r="F12" s="108" cm="1">
        <f t="array" aca="1" ref="F12" ca="1">INDIRECT("R[36]C["&amp;$A$12&amp;"]",FALSE)</f>
        <v>0</v>
      </c>
      <c r="G12" s="108" cm="1">
        <f t="array" aca="1" ref="G12" ca="1">INDIRECT("R[36]C["&amp;$A$12&amp;"]",FALSE)</f>
        <v>0</v>
      </c>
      <c r="H12" s="108" cm="1">
        <f t="array" aca="1" ref="H12" ca="1">INDIRECT("R[36]C["&amp;$A$12&amp;"]",FALSE)</f>
        <v>0</v>
      </c>
      <c r="I12" s="108" cm="1">
        <f t="array" aca="1" ref="I12" ca="1">INDIRECT("R[36]C["&amp;$A$12&amp;"]",FALSE)</f>
        <v>0</v>
      </c>
      <c r="J12" s="108" cm="1">
        <f t="array" aca="1" ref="J12" ca="1">INDIRECT("R[36]C["&amp;$A$12&amp;"]",FALSE)</f>
        <v>0</v>
      </c>
      <c r="K12" s="108" cm="1">
        <f t="array" aca="1" ref="K12" ca="1">INDIRECT("R[36]C["&amp;$A$12&amp;"]",FALSE)</f>
        <v>83.333333333333329</v>
      </c>
      <c r="L12" s="108" cm="1">
        <f t="array" aca="1" ref="L12" ca="1">INDIRECT("R[36]C["&amp;$A$12&amp;"]",FALSE)</f>
        <v>111.11111111111111</v>
      </c>
      <c r="M12" s="108" cm="1">
        <f t="array" aca="1" ref="M12" ca="1">INDIRECT("R[36]C["&amp;$A$12&amp;"]",FALSE)</f>
        <v>138.88888888888889</v>
      </c>
      <c r="N12" s="108" cm="1">
        <f t="array" aca="1" ref="N12" ca="1">INDIRECT("R[36]C["&amp;$A$12&amp;"]",FALSE)</f>
        <v>55.555555555555557</v>
      </c>
      <c r="O12" s="108" cm="1">
        <f t="array" aca="1" ref="O12" ca="1">INDIRECT("R[36]C["&amp;$A$12&amp;"]",FALSE)</f>
        <v>0</v>
      </c>
      <c r="P12" s="110"/>
      <c r="Q12" s="110"/>
      <c r="R12" s="113">
        <f t="shared" ca="1" si="1"/>
        <v>388.88888888888891</v>
      </c>
      <c r="S12" t="s">
        <v>91</v>
      </c>
    </row>
    <row r="13" spans="1:20" ht="15.5" x14ac:dyDescent="0.35">
      <c r="A13" s="116"/>
      <c r="B13" s="129" t="s">
        <v>351</v>
      </c>
      <c r="C13" s="129"/>
      <c r="D13" s="129"/>
      <c r="E13" s="129"/>
      <c r="F13" s="129"/>
      <c r="G13" s="129"/>
      <c r="H13" s="129"/>
      <c r="I13" s="129"/>
      <c r="J13" s="129"/>
      <c r="K13" s="129"/>
      <c r="L13" s="129"/>
      <c r="M13" s="129"/>
      <c r="N13" s="129"/>
      <c r="O13" s="129"/>
      <c r="P13" s="129"/>
      <c r="Q13" s="129"/>
      <c r="R13" s="130"/>
    </row>
    <row r="14" spans="1:20" ht="15.5" x14ac:dyDescent="0.35">
      <c r="A14" s="121">
        <f>Assumptions!C$45</f>
        <v>1</v>
      </c>
      <c r="B14" s="111">
        <v>12</v>
      </c>
      <c r="C14" s="108" cm="1">
        <f t="array" aca="1" ref="C14" ca="1">INDIRECT("R[36]C["&amp;$A$14&amp;"]",FALSE)</f>
        <v>0</v>
      </c>
      <c r="D14" s="108" cm="1">
        <f t="array" aca="1" ref="D14" ca="1">INDIRECT("R[36]C["&amp;$A$14&amp;"]",FALSE)</f>
        <v>0</v>
      </c>
      <c r="E14" s="108" cm="1">
        <f t="array" aca="1" ref="E14" ca="1">INDIRECT("R[36]C["&amp;$A$14&amp;"]",FALSE)</f>
        <v>0</v>
      </c>
      <c r="F14" s="108" cm="1">
        <f t="array" aca="1" ref="F14" ca="1">INDIRECT("R[36]C["&amp;$A$14&amp;"]",FALSE)</f>
        <v>0</v>
      </c>
      <c r="G14" s="108" cm="1">
        <f t="array" aca="1" ref="G14" ca="1">INDIRECT("R[36]C["&amp;$A$14&amp;"]",FALSE)</f>
        <v>0</v>
      </c>
      <c r="H14" s="108" cm="1">
        <f t="array" aca="1" ref="H14" ca="1">INDIRECT("R[36]C["&amp;$A$14&amp;"]",FALSE)</f>
        <v>0</v>
      </c>
      <c r="I14" s="108" cm="1">
        <f t="array" aca="1" ref="I14" ca="1">INDIRECT("R[36]C["&amp;$A$14&amp;"]",FALSE)</f>
        <v>0</v>
      </c>
      <c r="J14" s="108" cm="1">
        <f t="array" aca="1" ref="J14" ca="1">INDIRECT("R[36]C["&amp;$A$14&amp;"]",FALSE)</f>
        <v>0</v>
      </c>
      <c r="K14" s="108" cm="1">
        <f t="array" aca="1" ref="K14" ca="1">INDIRECT("R[36]C["&amp;$A$14&amp;"]",FALSE)</f>
        <v>0</v>
      </c>
      <c r="L14" s="108" cm="1">
        <f t="array" aca="1" ref="L14" ca="1">INDIRECT("R[36]C["&amp;$A$14&amp;"]",FALSE)</f>
        <v>0</v>
      </c>
      <c r="M14" s="108" cm="1">
        <f t="array" aca="1" ref="M14" ca="1">INDIRECT("R[36]C["&amp;$A$14&amp;"]",FALSE)</f>
        <v>0</v>
      </c>
      <c r="N14" s="108" cm="1">
        <f t="array" aca="1" ref="N14" ca="1">INDIRECT("R[36]C["&amp;$A$14&amp;"]",FALSE)</f>
        <v>0</v>
      </c>
      <c r="O14" s="108" cm="1">
        <f t="array" aca="1" ref="O14" ca="1">INDIRECT("R[36]C["&amp;$A$14&amp;"]",FALSE)</f>
        <v>0</v>
      </c>
      <c r="P14" s="106"/>
      <c r="Q14" s="106"/>
      <c r="R14" s="113">
        <f ca="1">SUM(C14:P14)</f>
        <v>0</v>
      </c>
    </row>
    <row r="15" spans="1:20" ht="15.5" x14ac:dyDescent="0.35">
      <c r="A15" s="121">
        <f>Assumptions!C$45</f>
        <v>1</v>
      </c>
      <c r="B15" s="111">
        <v>15</v>
      </c>
      <c r="C15" s="108" cm="1">
        <f t="array" aca="1" ref="C15" ca="1">INDIRECT("R[36]C["&amp;$A$15&amp;"]",FALSE)</f>
        <v>0</v>
      </c>
      <c r="D15" s="108" cm="1">
        <f t="array" aca="1" ref="D15" ca="1">INDIRECT("R[36]C["&amp;$A$15&amp;"]",FALSE)</f>
        <v>0</v>
      </c>
      <c r="E15" s="108" cm="1">
        <f t="array" aca="1" ref="E15" ca="1">INDIRECT("R[36]C["&amp;$A$15&amp;"]",FALSE)</f>
        <v>0</v>
      </c>
      <c r="F15" s="108" cm="1">
        <f t="array" aca="1" ref="F15" ca="1">INDIRECT("R[36]C["&amp;$A$15&amp;"]",FALSE)</f>
        <v>0</v>
      </c>
      <c r="G15" s="108" cm="1">
        <f t="array" aca="1" ref="G15" ca="1">INDIRECT("R[36]C["&amp;$A$15&amp;"]",FALSE)</f>
        <v>0</v>
      </c>
      <c r="H15" s="108" cm="1">
        <f t="array" aca="1" ref="H15" ca="1">INDIRECT("R[36]C["&amp;$A$15&amp;"]",FALSE)</f>
        <v>0</v>
      </c>
      <c r="I15" s="108" cm="1">
        <f t="array" aca="1" ref="I15" ca="1">INDIRECT("R[36]C["&amp;$A$15&amp;"]",FALSE)</f>
        <v>0</v>
      </c>
      <c r="J15" s="108" cm="1">
        <f t="array" aca="1" ref="J15" ca="1">INDIRECT("R[36]C["&amp;$A$15&amp;"]",FALSE)</f>
        <v>0</v>
      </c>
      <c r="K15" s="108" cm="1">
        <f t="array" aca="1" ref="K15" ca="1">INDIRECT("R[36]C["&amp;$A$15&amp;"]",FALSE)</f>
        <v>0</v>
      </c>
      <c r="L15" s="108" cm="1">
        <f t="array" aca="1" ref="L15" ca="1">INDIRECT("R[36]C["&amp;$A$15&amp;"]",FALSE)</f>
        <v>0</v>
      </c>
      <c r="M15" s="108" cm="1">
        <f t="array" aca="1" ref="M15" ca="1">INDIRECT("R[36]C["&amp;$A$15&amp;"]",FALSE)</f>
        <v>0</v>
      </c>
      <c r="N15" s="108" cm="1">
        <f t="array" aca="1" ref="N15" ca="1">INDIRECT("R[36]C["&amp;$A$15&amp;"]",FALSE)</f>
        <v>0</v>
      </c>
      <c r="O15" s="108" cm="1">
        <f t="array" aca="1" ref="O15" ca="1">INDIRECT("R[36]C["&amp;$A$15&amp;"]",FALSE)</f>
        <v>0</v>
      </c>
      <c r="P15" s="106"/>
      <c r="Q15" s="106"/>
      <c r="R15" s="113">
        <f t="shared" ref="R15:R16" ca="1" si="2">SUM(C15:P15)</f>
        <v>0</v>
      </c>
    </row>
    <row r="16" spans="1:20" ht="15.5" x14ac:dyDescent="0.35">
      <c r="A16" s="121">
        <f>Assumptions!C$45</f>
        <v>1</v>
      </c>
      <c r="B16" s="111">
        <v>18</v>
      </c>
      <c r="C16" s="108" cm="1">
        <f t="array" aca="1" ref="C16" ca="1">INDIRECT("R[36]C["&amp;$A$16&amp;"]",FALSE)</f>
        <v>0</v>
      </c>
      <c r="D16" s="108" cm="1">
        <f t="array" aca="1" ref="D16" ca="1">INDIRECT("R[36]C["&amp;$A$16&amp;"]",FALSE)</f>
        <v>0</v>
      </c>
      <c r="E16" s="108" cm="1">
        <f t="array" aca="1" ref="E16" ca="1">INDIRECT("R[36]C["&amp;$A$16&amp;"]",FALSE)</f>
        <v>0</v>
      </c>
      <c r="F16" s="108" cm="1">
        <f t="array" aca="1" ref="F16" ca="1">INDIRECT("R[36]C["&amp;$A$16&amp;"]",FALSE)</f>
        <v>0</v>
      </c>
      <c r="G16" s="108" cm="1">
        <f t="array" aca="1" ref="G16" ca="1">INDIRECT("R[36]C["&amp;$A$16&amp;"]",FALSE)</f>
        <v>0</v>
      </c>
      <c r="H16" s="108" cm="1">
        <f t="array" aca="1" ref="H16" ca="1">INDIRECT("R[36]C["&amp;$A$16&amp;"]",FALSE)</f>
        <v>0</v>
      </c>
      <c r="I16" s="108" cm="1">
        <f t="array" aca="1" ref="I16" ca="1">INDIRECT("R[36]C["&amp;$A$16&amp;"]",FALSE)</f>
        <v>0</v>
      </c>
      <c r="J16" s="108" cm="1">
        <f t="array" aca="1" ref="J16" ca="1">INDIRECT("R[36]C["&amp;$A$16&amp;"]",FALSE)</f>
        <v>0</v>
      </c>
      <c r="K16" s="108" cm="1">
        <f t="array" aca="1" ref="K16" ca="1">INDIRECT("R[36]C["&amp;$A$16&amp;"]",FALSE)</f>
        <v>250</v>
      </c>
      <c r="L16" s="108" cm="1">
        <f t="array" aca="1" ref="L16" ca="1">INDIRECT("R[36]C["&amp;$A$16&amp;"]",FALSE)</f>
        <v>333.33333333333337</v>
      </c>
      <c r="M16" s="108" cm="1">
        <f t="array" aca="1" ref="M16" ca="1">INDIRECT("R[36]C["&amp;$A$16&amp;"]",FALSE)</f>
        <v>416.66666666666663</v>
      </c>
      <c r="N16" s="108" cm="1">
        <f t="array" aca="1" ref="N16" ca="1">INDIRECT("R[36]C["&amp;$A$16&amp;"]",FALSE)</f>
        <v>166.66666666666669</v>
      </c>
      <c r="O16" s="108" cm="1">
        <f t="array" aca="1" ref="O16" ca="1">INDIRECT("R[36]C["&amp;$A$16&amp;"]",FALSE)</f>
        <v>0</v>
      </c>
      <c r="P16" s="106"/>
      <c r="Q16" s="106"/>
      <c r="R16" s="113">
        <f t="shared" ca="1" si="2"/>
        <v>1166.6666666666667</v>
      </c>
    </row>
    <row r="17" spans="1:18" ht="15.5" x14ac:dyDescent="0.35">
      <c r="A17" s="116"/>
      <c r="B17" s="129" t="s">
        <v>114</v>
      </c>
      <c r="C17" s="129"/>
      <c r="D17" s="129"/>
      <c r="E17" s="129"/>
      <c r="F17" s="129"/>
      <c r="G17" s="129"/>
      <c r="H17" s="129"/>
      <c r="I17" s="129"/>
      <c r="J17" s="129"/>
      <c r="K17" s="129"/>
      <c r="L17" s="129"/>
      <c r="M17" s="129"/>
      <c r="N17" s="129"/>
      <c r="O17" s="129"/>
      <c r="P17" s="129"/>
      <c r="Q17" s="129"/>
      <c r="R17" s="130"/>
    </row>
    <row r="18" spans="1:18" ht="15.5" x14ac:dyDescent="0.35">
      <c r="A18" s="121">
        <f>Assumptions!C46</f>
        <v>1</v>
      </c>
      <c r="B18" s="111">
        <v>12</v>
      </c>
      <c r="C18" s="108" cm="1">
        <f t="array" aca="1" ref="C18" ca="1">INDIRECT("R[36]C["&amp;$A$18&amp;"]",FALSE)</f>
        <v>0</v>
      </c>
      <c r="D18" s="108" cm="1">
        <f t="array" aca="1" ref="D18" ca="1">INDIRECT("R[36]C["&amp;$A$18&amp;"]",FALSE)</f>
        <v>0</v>
      </c>
      <c r="E18" s="108" cm="1">
        <f t="array" aca="1" ref="E18" ca="1">INDIRECT("R[36]C["&amp;$A$18&amp;"]",FALSE)</f>
        <v>0</v>
      </c>
      <c r="F18" s="108" cm="1">
        <f t="array" aca="1" ref="F18" ca="1">INDIRECT("R[36]C["&amp;$A$18&amp;"]",FALSE)</f>
        <v>0</v>
      </c>
      <c r="G18" s="108" cm="1">
        <f t="array" aca="1" ref="G18" ca="1">INDIRECT("R[36]C["&amp;$A$18&amp;"]",FALSE)</f>
        <v>0</v>
      </c>
      <c r="H18" s="108" cm="1">
        <f t="array" aca="1" ref="H18" ca="1">INDIRECT("R[36]C["&amp;$A$18&amp;"]",FALSE)</f>
        <v>0</v>
      </c>
      <c r="I18" s="108" cm="1">
        <f t="array" aca="1" ref="I18" ca="1">INDIRECT("R[36]C["&amp;$A$18&amp;"]",FALSE)</f>
        <v>0</v>
      </c>
      <c r="J18" s="108" cm="1">
        <f t="array" aca="1" ref="J18" ca="1">INDIRECT("R[36]C["&amp;$A$18&amp;"]",FALSE)</f>
        <v>0</v>
      </c>
      <c r="K18" s="108" cm="1">
        <f t="array" aca="1" ref="K18" ca="1">INDIRECT("R[36]C["&amp;$A$18&amp;"]",FALSE)</f>
        <v>0</v>
      </c>
      <c r="L18" s="108" cm="1">
        <f t="array" aca="1" ref="L18" ca="1">INDIRECT("R[36]C["&amp;$A$18&amp;"]",FALSE)</f>
        <v>0</v>
      </c>
      <c r="M18" s="108" cm="1">
        <f t="array" aca="1" ref="M18" ca="1">INDIRECT("R[36]C["&amp;$A$18&amp;"]",FALSE)</f>
        <v>0</v>
      </c>
      <c r="N18" s="108" cm="1">
        <f t="array" aca="1" ref="N18" ca="1">INDIRECT("R[36]C["&amp;$A$18&amp;"]",FALSE)</f>
        <v>0</v>
      </c>
      <c r="O18" s="108" cm="1">
        <f t="array" aca="1" ref="O18" ca="1">INDIRECT("R[36]C["&amp;$A$18&amp;"]",FALSE)</f>
        <v>0</v>
      </c>
      <c r="P18" s="106"/>
      <c r="Q18" s="106"/>
      <c r="R18" s="113">
        <f ca="1">SUM(C18:P18)</f>
        <v>0</v>
      </c>
    </row>
    <row r="19" spans="1:18" ht="15.5" x14ac:dyDescent="0.35">
      <c r="A19" s="121">
        <f>A18</f>
        <v>1</v>
      </c>
      <c r="B19" s="111">
        <v>15</v>
      </c>
      <c r="C19" s="108" cm="1">
        <f t="array" aca="1" ref="C19" ca="1">INDIRECT("R[36]C["&amp;$A$19&amp;"]",FALSE)</f>
        <v>0</v>
      </c>
      <c r="D19" s="108" cm="1">
        <f t="array" aca="1" ref="D19" ca="1">INDIRECT("R[36]C["&amp;$A$19&amp;"]",FALSE)</f>
        <v>0</v>
      </c>
      <c r="E19" s="108" cm="1">
        <f t="array" aca="1" ref="E19" ca="1">INDIRECT("R[36]C["&amp;$A$19&amp;"]",FALSE)</f>
        <v>0</v>
      </c>
      <c r="F19" s="108" cm="1">
        <f t="array" aca="1" ref="F19" ca="1">INDIRECT("R[36]C["&amp;$A$19&amp;"]",FALSE)</f>
        <v>0</v>
      </c>
      <c r="G19" s="108" cm="1">
        <f t="array" aca="1" ref="G19" ca="1">INDIRECT("R[36]C["&amp;$A$19&amp;"]",FALSE)</f>
        <v>0</v>
      </c>
      <c r="H19" s="108" cm="1">
        <f t="array" aca="1" ref="H19" ca="1">INDIRECT("R[36]C["&amp;$A$19&amp;"]",FALSE)</f>
        <v>0</v>
      </c>
      <c r="I19" s="108" cm="1">
        <f t="array" aca="1" ref="I19" ca="1">INDIRECT("R[36]C["&amp;$A$19&amp;"]",FALSE)</f>
        <v>0</v>
      </c>
      <c r="J19" s="108" cm="1">
        <f t="array" aca="1" ref="J19" ca="1">INDIRECT("R[36]C["&amp;$A$19&amp;"]",FALSE)</f>
        <v>0</v>
      </c>
      <c r="K19" s="108" cm="1">
        <f t="array" aca="1" ref="K19" ca="1">INDIRECT("R[36]C["&amp;$A$19&amp;"]",FALSE)</f>
        <v>0</v>
      </c>
      <c r="L19" s="108" cm="1">
        <f t="array" aca="1" ref="L19" ca="1">INDIRECT("R[36]C["&amp;$A$19&amp;"]",FALSE)</f>
        <v>0</v>
      </c>
      <c r="M19" s="108" cm="1">
        <f t="array" aca="1" ref="M19" ca="1">INDIRECT("R[36]C["&amp;$A$19&amp;"]",FALSE)</f>
        <v>0</v>
      </c>
      <c r="N19" s="108" cm="1">
        <f t="array" aca="1" ref="N19" ca="1">INDIRECT("R[36]C["&amp;$A$19&amp;"]",FALSE)</f>
        <v>0</v>
      </c>
      <c r="O19" s="108" cm="1">
        <f t="array" aca="1" ref="O19" ca="1">INDIRECT("R[36]C["&amp;$A$19&amp;"]",FALSE)</f>
        <v>0</v>
      </c>
      <c r="P19" s="106"/>
      <c r="Q19" s="106"/>
      <c r="R19" s="113">
        <f t="shared" ref="R19:R20" ca="1" si="3">SUM(C19:P19)</f>
        <v>0</v>
      </c>
    </row>
    <row r="20" spans="1:18" ht="15.5" x14ac:dyDescent="0.35">
      <c r="A20" s="121">
        <f>A18</f>
        <v>1</v>
      </c>
      <c r="B20" s="111">
        <v>18</v>
      </c>
      <c r="C20" s="108" cm="1">
        <f t="array" aca="1" ref="C20" ca="1">INDIRECT("R[36]C["&amp;$A$20&amp;"]",FALSE)</f>
        <v>0</v>
      </c>
      <c r="D20" s="108" cm="1">
        <f t="array" aca="1" ref="D20" ca="1">INDIRECT("R[36]C["&amp;$A$20&amp;"]",FALSE)</f>
        <v>0</v>
      </c>
      <c r="E20" s="108" cm="1">
        <f t="array" aca="1" ref="E20" ca="1">INDIRECT("R[36]C["&amp;$A$20&amp;"]",FALSE)</f>
        <v>0</v>
      </c>
      <c r="F20" s="108" cm="1">
        <f t="array" aca="1" ref="F20" ca="1">INDIRECT("R[36]C["&amp;$A$20&amp;"]",FALSE)</f>
        <v>0</v>
      </c>
      <c r="G20" s="108" cm="1">
        <f t="array" aca="1" ref="G20" ca="1">INDIRECT("R[36]C["&amp;$A$20&amp;"]",FALSE)</f>
        <v>0</v>
      </c>
      <c r="H20" s="108" cm="1">
        <f t="array" aca="1" ref="H20" ca="1">INDIRECT("R[36]C["&amp;$A$20&amp;"]",FALSE)</f>
        <v>0</v>
      </c>
      <c r="I20" s="108" cm="1">
        <f t="array" aca="1" ref="I20" ca="1">INDIRECT("R[36]C["&amp;$A$20&amp;"]",FALSE)</f>
        <v>0</v>
      </c>
      <c r="J20" s="108" cm="1">
        <f t="array" aca="1" ref="J20" ca="1">INDIRECT("R[36]C["&amp;$A$20&amp;"]",FALSE)</f>
        <v>0</v>
      </c>
      <c r="K20" s="108" cm="1">
        <f t="array" aca="1" ref="K20" ca="1">INDIRECT("R[36]C["&amp;$A$20&amp;"]",FALSE)</f>
        <v>83.333333333333329</v>
      </c>
      <c r="L20" s="108" cm="1">
        <f t="array" aca="1" ref="L20" ca="1">INDIRECT("R[36]C["&amp;$A$20&amp;"]",FALSE)</f>
        <v>111.11111111111111</v>
      </c>
      <c r="M20" s="108" cm="1">
        <f t="array" aca="1" ref="M20" ca="1">INDIRECT("R[36]C["&amp;$A$20&amp;"]",FALSE)</f>
        <v>138.88888888888889</v>
      </c>
      <c r="N20" s="108" cm="1">
        <f t="array" aca="1" ref="N20" ca="1">INDIRECT("R[36]C["&amp;$A$20&amp;"]",FALSE)</f>
        <v>55.555555555555557</v>
      </c>
      <c r="O20" s="108" cm="1">
        <f t="array" aca="1" ref="O20" ca="1">INDIRECT("R[36]C["&amp;$A$20&amp;"]",FALSE)</f>
        <v>0</v>
      </c>
      <c r="P20" s="106"/>
      <c r="Q20" s="106"/>
      <c r="R20" s="113">
        <f t="shared" ca="1" si="3"/>
        <v>388.88888888888891</v>
      </c>
    </row>
    <row r="21" spans="1:18" ht="15.5" x14ac:dyDescent="0.35">
      <c r="A21" s="116"/>
      <c r="B21" s="129" t="s">
        <v>352</v>
      </c>
      <c r="C21" s="129"/>
      <c r="D21" s="129"/>
      <c r="E21" s="129"/>
      <c r="F21" s="129"/>
      <c r="G21" s="129"/>
      <c r="H21" s="129"/>
      <c r="I21" s="129"/>
      <c r="J21" s="129"/>
      <c r="K21" s="129"/>
      <c r="L21" s="129"/>
      <c r="M21" s="129"/>
      <c r="N21" s="129"/>
      <c r="O21" s="129"/>
      <c r="P21" s="129"/>
      <c r="Q21" s="129"/>
      <c r="R21" s="130"/>
    </row>
    <row r="22" spans="1:18" ht="15.5" x14ac:dyDescent="0.35">
      <c r="A22" s="121">
        <f>Assumptions!C47</f>
        <v>1</v>
      </c>
      <c r="B22" s="111">
        <v>12</v>
      </c>
      <c r="C22" s="108" cm="1">
        <f t="array" aca="1" ref="C22" ca="1">INDIRECT("R[36]C["&amp;$A$22&amp;"]",FALSE)</f>
        <v>0</v>
      </c>
      <c r="D22" s="108" cm="1">
        <f t="array" aca="1" ref="D22" ca="1">INDIRECT("R[36]C["&amp;$A$18&amp;"]",FALSE)</f>
        <v>0</v>
      </c>
      <c r="E22" s="108" cm="1">
        <f t="array" aca="1" ref="E22" ca="1">INDIRECT("R[36]C["&amp;$A$18&amp;"]",FALSE)</f>
        <v>0</v>
      </c>
      <c r="F22" s="108" cm="1">
        <f t="array" aca="1" ref="F22" ca="1">INDIRECT("R[36]C["&amp;$A$18&amp;"]",FALSE)</f>
        <v>0</v>
      </c>
      <c r="G22" s="108" cm="1">
        <f t="array" aca="1" ref="G22" ca="1">INDIRECT("R[36]C["&amp;$A$18&amp;"]",FALSE)</f>
        <v>0</v>
      </c>
      <c r="H22" s="108" cm="1">
        <f t="array" aca="1" ref="H22" ca="1">INDIRECT("R[36]C["&amp;$A$18&amp;"]",FALSE)</f>
        <v>0</v>
      </c>
      <c r="I22" s="108" cm="1">
        <f t="array" aca="1" ref="I22" ca="1">INDIRECT("R[36]C["&amp;$A$18&amp;"]",FALSE)</f>
        <v>0</v>
      </c>
      <c r="J22" s="108" cm="1">
        <f t="array" aca="1" ref="J22" ca="1">INDIRECT("R[36]C["&amp;$A$18&amp;"]",FALSE)</f>
        <v>0</v>
      </c>
      <c r="K22" s="108" cm="1">
        <f t="array" aca="1" ref="K22" ca="1">INDIRECT("R[36]C["&amp;$A$18&amp;"]",FALSE)</f>
        <v>0</v>
      </c>
      <c r="L22" s="108" cm="1">
        <f t="array" aca="1" ref="L22" ca="1">INDIRECT("R[36]C["&amp;$A$18&amp;"]",FALSE)</f>
        <v>0</v>
      </c>
      <c r="M22" s="108" cm="1">
        <f t="array" aca="1" ref="M22" ca="1">INDIRECT("R[36]C["&amp;$A$18&amp;"]",FALSE)</f>
        <v>0</v>
      </c>
      <c r="N22" s="108" cm="1">
        <f t="array" aca="1" ref="N22" ca="1">INDIRECT("R[36]C["&amp;$A$18&amp;"]",FALSE)</f>
        <v>0</v>
      </c>
      <c r="O22" s="108" cm="1">
        <f t="array" aca="1" ref="O22" ca="1">INDIRECT("R[36]C["&amp;$A$18&amp;"]",FALSE)</f>
        <v>0</v>
      </c>
      <c r="P22" s="111"/>
      <c r="Q22" s="111"/>
      <c r="R22" s="113">
        <f ca="1">SUM(C22:P22)</f>
        <v>0</v>
      </c>
    </row>
    <row r="23" spans="1:18" ht="15.5" x14ac:dyDescent="0.35">
      <c r="A23" s="121">
        <f>A22</f>
        <v>1</v>
      </c>
      <c r="B23" s="111">
        <v>15</v>
      </c>
      <c r="C23" s="108" cm="1">
        <f t="array" aca="1" ref="C23" ca="1">INDIRECT("R[36]C["&amp;$A$23&amp;"]",FALSE)</f>
        <v>0</v>
      </c>
      <c r="D23" s="108" cm="1">
        <f t="array" aca="1" ref="D23" ca="1">INDIRECT("R[36]C["&amp;$A$19&amp;"]",FALSE)</f>
        <v>0</v>
      </c>
      <c r="E23" s="108" cm="1">
        <f t="array" aca="1" ref="E23" ca="1">INDIRECT("R[36]C["&amp;$A$19&amp;"]",FALSE)</f>
        <v>0</v>
      </c>
      <c r="F23" s="108" cm="1">
        <f t="array" aca="1" ref="F23" ca="1">INDIRECT("R[36]C["&amp;$A$19&amp;"]",FALSE)</f>
        <v>0</v>
      </c>
      <c r="G23" s="108" cm="1">
        <f t="array" aca="1" ref="G23" ca="1">INDIRECT("R[36]C["&amp;$A$19&amp;"]",FALSE)</f>
        <v>0</v>
      </c>
      <c r="H23" s="108" cm="1">
        <f t="array" aca="1" ref="H23" ca="1">INDIRECT("R[36]C["&amp;$A$19&amp;"]",FALSE)</f>
        <v>0</v>
      </c>
      <c r="I23" s="108" cm="1">
        <f t="array" aca="1" ref="I23" ca="1">INDIRECT("R[36]C["&amp;$A$19&amp;"]",FALSE)</f>
        <v>0</v>
      </c>
      <c r="J23" s="108" cm="1">
        <f t="array" aca="1" ref="J23" ca="1">INDIRECT("R[36]C["&amp;$A$19&amp;"]",FALSE)</f>
        <v>0</v>
      </c>
      <c r="K23" s="108" cm="1">
        <f t="array" aca="1" ref="K23" ca="1">INDIRECT("R[36]C["&amp;$A$19&amp;"]",FALSE)</f>
        <v>0</v>
      </c>
      <c r="L23" s="108" cm="1">
        <f t="array" aca="1" ref="L23" ca="1">INDIRECT("R[36]C["&amp;$A$19&amp;"]",FALSE)</f>
        <v>0</v>
      </c>
      <c r="M23" s="108" cm="1">
        <f t="array" aca="1" ref="M23" ca="1">INDIRECT("R[36]C["&amp;$A$19&amp;"]",FALSE)</f>
        <v>0</v>
      </c>
      <c r="N23" s="108" cm="1">
        <f t="array" aca="1" ref="N23" ca="1">INDIRECT("R[36]C["&amp;$A$19&amp;"]",FALSE)</f>
        <v>0</v>
      </c>
      <c r="O23" s="108" cm="1">
        <f t="array" aca="1" ref="O23" ca="1">INDIRECT("R[36]C["&amp;$A$19&amp;"]",FALSE)</f>
        <v>0</v>
      </c>
      <c r="P23" s="111"/>
      <c r="Q23" s="111"/>
      <c r="R23" s="113">
        <f t="shared" ref="R23:R24" ca="1" si="4">SUM(C23:P23)</f>
        <v>0</v>
      </c>
    </row>
    <row r="24" spans="1:18" ht="15.5" x14ac:dyDescent="0.35">
      <c r="A24" s="121">
        <f>A22</f>
        <v>1</v>
      </c>
      <c r="B24" s="111">
        <v>18</v>
      </c>
      <c r="C24" s="108" cm="1">
        <f t="array" aca="1" ref="C24" ca="1">INDIRECT("R[36]C["&amp;$A$24&amp;"]",FALSE)</f>
        <v>0</v>
      </c>
      <c r="D24" s="108" cm="1">
        <f t="array" aca="1" ref="D24" ca="1">INDIRECT("R[36]C["&amp;$A$20&amp;"]",FALSE)</f>
        <v>0</v>
      </c>
      <c r="E24" s="108" cm="1">
        <f t="array" aca="1" ref="E24" ca="1">INDIRECT("R[36]C["&amp;$A$20&amp;"]",FALSE)</f>
        <v>0</v>
      </c>
      <c r="F24" s="108" cm="1">
        <f t="array" aca="1" ref="F24" ca="1">INDIRECT("R[36]C["&amp;$A$20&amp;"]",FALSE)</f>
        <v>0</v>
      </c>
      <c r="G24" s="108" cm="1">
        <f t="array" aca="1" ref="G24" ca="1">INDIRECT("R[36]C["&amp;$A$20&amp;"]",FALSE)</f>
        <v>0</v>
      </c>
      <c r="H24" s="108" cm="1">
        <f t="array" aca="1" ref="H24" ca="1">INDIRECT("R[36]C["&amp;$A$20&amp;"]",FALSE)</f>
        <v>0</v>
      </c>
      <c r="I24" s="108" cm="1">
        <f t="array" aca="1" ref="I24" ca="1">INDIRECT("R[36]C["&amp;$A$20&amp;"]",FALSE)</f>
        <v>0</v>
      </c>
      <c r="J24" s="108" cm="1">
        <f t="array" aca="1" ref="J24" ca="1">INDIRECT("R[36]C["&amp;$A$20&amp;"]",FALSE)</f>
        <v>0</v>
      </c>
      <c r="K24" s="108" cm="1">
        <f t="array" aca="1" ref="K24" ca="1">INDIRECT("R[36]C["&amp;$A$20&amp;"]",FALSE)</f>
        <v>83.333333333333329</v>
      </c>
      <c r="L24" s="108" cm="1">
        <f t="array" aca="1" ref="L24" ca="1">INDIRECT("R[36]C["&amp;$A$20&amp;"]",FALSE)</f>
        <v>111.11111111111111</v>
      </c>
      <c r="M24" s="108" cm="1">
        <f t="array" aca="1" ref="M24" ca="1">INDIRECT("R[36]C["&amp;$A$20&amp;"]",FALSE)</f>
        <v>138.88888888888889</v>
      </c>
      <c r="N24" s="108" cm="1">
        <f t="array" aca="1" ref="N24" ca="1">INDIRECT("R[36]C["&amp;$A$20&amp;"]",FALSE)</f>
        <v>55.555555555555557</v>
      </c>
      <c r="O24" s="108" cm="1">
        <f t="array" aca="1" ref="O24" ca="1">INDIRECT("R[36]C["&amp;$A$20&amp;"]",FALSE)</f>
        <v>0</v>
      </c>
      <c r="P24" s="111"/>
      <c r="Q24" s="111"/>
      <c r="R24" s="113">
        <f t="shared" ca="1" si="4"/>
        <v>388.88888888888891</v>
      </c>
    </row>
    <row r="25" spans="1:18" ht="15.5" x14ac:dyDescent="0.35">
      <c r="A25" s="116"/>
      <c r="B25" s="129" t="s">
        <v>116</v>
      </c>
      <c r="C25" s="131"/>
      <c r="D25" s="131"/>
      <c r="E25" s="131"/>
      <c r="F25" s="131"/>
      <c r="G25" s="131"/>
      <c r="H25" s="131"/>
      <c r="I25" s="131"/>
      <c r="J25" s="131"/>
      <c r="K25" s="131"/>
      <c r="L25" s="131"/>
      <c r="M25" s="131"/>
      <c r="N25" s="131"/>
      <c r="O25" s="131"/>
      <c r="P25" s="131"/>
      <c r="Q25" s="131"/>
      <c r="R25" s="130"/>
    </row>
    <row r="26" spans="1:18" ht="15.5" x14ac:dyDescent="0.35">
      <c r="A26" s="121">
        <f>Assumptions!C51</f>
        <v>1</v>
      </c>
      <c r="B26" s="106" t="s">
        <v>257</v>
      </c>
      <c r="C26" s="108" cm="1">
        <f t="array" aca="1" ref="C26" ca="1">INDIRECT("R[36]C["&amp;$A$26&amp;"]",FALSE)</f>
        <v>0</v>
      </c>
      <c r="D26" s="108" cm="1">
        <f t="array" aca="1" ref="D26" ca="1">INDIRECT("R[36]C["&amp;$A$18&amp;"]",FALSE)</f>
        <v>0</v>
      </c>
      <c r="E26" s="108" cm="1">
        <f t="array" aca="1" ref="E26" ca="1">INDIRECT("R[36]C["&amp;$A$18&amp;"]",FALSE)</f>
        <v>0</v>
      </c>
      <c r="F26" s="108" cm="1">
        <f t="array" aca="1" ref="F26" ca="1">INDIRECT("R[36]C["&amp;$A$18&amp;"]",FALSE)</f>
        <v>0</v>
      </c>
      <c r="G26" s="108" cm="1">
        <f t="array" aca="1" ref="G26" ca="1">INDIRECT("R[36]C["&amp;$A$18&amp;"]",FALSE)</f>
        <v>0</v>
      </c>
      <c r="H26" s="108" cm="1">
        <f t="array" aca="1" ref="H26" ca="1">INDIRECT("R[36]C["&amp;$A$18&amp;"]",FALSE)</f>
        <v>0</v>
      </c>
      <c r="I26" s="108" cm="1">
        <f t="array" aca="1" ref="I26" ca="1">INDIRECT("R[36]C["&amp;$A$18&amp;"]",FALSE)</f>
        <v>0</v>
      </c>
      <c r="J26" s="108" cm="1">
        <f t="array" aca="1" ref="J26" ca="1">INDIRECT("R[36]C["&amp;$A$18&amp;"]",FALSE)</f>
        <v>0</v>
      </c>
      <c r="K26" s="108" cm="1">
        <f t="array" aca="1" ref="K26" ca="1">INDIRECT("R[36]C["&amp;$A$18&amp;"]",FALSE)</f>
        <v>58.333333333333329</v>
      </c>
      <c r="L26" s="108" cm="1">
        <f t="array" aca="1" ref="L26" ca="1">INDIRECT("R[36]C["&amp;$A$18&amp;"]",FALSE)</f>
        <v>77.777777777777771</v>
      </c>
      <c r="M26" s="108" cm="1">
        <f t="array" aca="1" ref="M26" ca="1">INDIRECT("R[36]C["&amp;$A$18&amp;"]",FALSE)</f>
        <v>97.222222222222214</v>
      </c>
      <c r="N26" s="108" cm="1">
        <f t="array" aca="1" ref="N26" ca="1">INDIRECT("R[36]C["&amp;$A$18&amp;"]",FALSE)</f>
        <v>38.888888888888886</v>
      </c>
      <c r="O26" s="108" cm="1">
        <f t="array" aca="1" ref="O26" ca="1">INDIRECT("R[36]C["&amp;$A$18&amp;"]",FALSE)</f>
        <v>0</v>
      </c>
      <c r="P26" s="108"/>
      <c r="Q26" s="108"/>
      <c r="R26" s="113">
        <f ca="1">SUM(C26:Q26)</f>
        <v>272.22222222222217</v>
      </c>
    </row>
    <row r="27" spans="1:18" ht="15.5" x14ac:dyDescent="0.35">
      <c r="A27" s="121">
        <f>A26</f>
        <v>1</v>
      </c>
      <c r="B27" s="106" t="s">
        <v>258</v>
      </c>
      <c r="C27" s="108" cm="1">
        <f t="array" aca="1" ref="C27" ca="1">INDIRECT("R[36]C["&amp;$A$27&amp;"]",FALSE)</f>
        <v>0</v>
      </c>
      <c r="D27" s="108" cm="1">
        <f t="array" aca="1" ref="D27" ca="1">INDIRECT("R[36]C["&amp;$A$19&amp;"]",FALSE)</f>
        <v>0</v>
      </c>
      <c r="E27" s="108" cm="1">
        <f t="array" aca="1" ref="E27" ca="1">INDIRECT("R[36]C["&amp;$A$19&amp;"]",FALSE)</f>
        <v>0</v>
      </c>
      <c r="F27" s="108" cm="1">
        <f t="array" aca="1" ref="F27" ca="1">INDIRECT("R[36]C["&amp;$A$19&amp;"]",FALSE)</f>
        <v>0</v>
      </c>
      <c r="G27" s="108" cm="1">
        <f t="array" aca="1" ref="G27" ca="1">INDIRECT("R[36]C["&amp;$A$19&amp;"]",FALSE)</f>
        <v>0</v>
      </c>
      <c r="H27" s="108" cm="1">
        <f t="array" aca="1" ref="H27" ca="1">INDIRECT("R[36]C["&amp;$A$19&amp;"]",FALSE)</f>
        <v>0</v>
      </c>
      <c r="I27" s="108" cm="1">
        <f t="array" aca="1" ref="I27" ca="1">INDIRECT("R[36]C["&amp;$A$19&amp;"]",FALSE)</f>
        <v>0</v>
      </c>
      <c r="J27" s="108" cm="1">
        <f t="array" aca="1" ref="J27" ca="1">INDIRECT("R[36]C["&amp;$A$19&amp;"]",FALSE)</f>
        <v>0</v>
      </c>
      <c r="K27" s="108" cm="1">
        <f t="array" aca="1" ref="K27" ca="1">INDIRECT("R[36]C["&amp;$A$19&amp;"]",FALSE)</f>
        <v>58.333333333333329</v>
      </c>
      <c r="L27" s="108" cm="1">
        <f t="array" aca="1" ref="L27" ca="1">INDIRECT("R[36]C["&amp;$A$19&amp;"]",FALSE)</f>
        <v>77.777777777777771</v>
      </c>
      <c r="M27" s="108" cm="1">
        <f t="array" aca="1" ref="M27" ca="1">INDIRECT("R[36]C["&amp;$A$19&amp;"]",FALSE)</f>
        <v>97.222222222222214</v>
      </c>
      <c r="N27" s="108" cm="1">
        <f t="array" aca="1" ref="N27" ca="1">INDIRECT("R[36]C["&amp;$A$19&amp;"]",FALSE)</f>
        <v>38.888888888888886</v>
      </c>
      <c r="O27" s="108" cm="1">
        <f t="array" aca="1" ref="O27" ca="1">INDIRECT("R[36]C["&amp;$A$19&amp;"]",FALSE)</f>
        <v>0</v>
      </c>
      <c r="P27" s="108"/>
      <c r="Q27" s="108"/>
      <c r="R27" s="113">
        <f t="shared" ref="R27:R30" ca="1" si="5">SUM(C27:Q27)</f>
        <v>272.22222222222217</v>
      </c>
    </row>
    <row r="28" spans="1:18" ht="15.5" x14ac:dyDescent="0.35">
      <c r="A28" s="121">
        <f>Assumptions!C53</f>
        <v>1</v>
      </c>
      <c r="B28" s="106" t="s">
        <v>353</v>
      </c>
      <c r="C28" s="108" cm="1">
        <f t="array" aca="1" ref="C28" ca="1">INDIRECT("R[36]C["&amp;$A$28&amp;"]",FALSE)</f>
        <v>0</v>
      </c>
      <c r="D28" s="108" cm="1">
        <f t="array" aca="1" ref="D28" ca="1">INDIRECT("R[36]C["&amp;$A$28&amp;"]",FALSE)</f>
        <v>0</v>
      </c>
      <c r="E28" s="108" cm="1">
        <f t="array" aca="1" ref="E28" ca="1">INDIRECT("R[36]C["&amp;$A$28&amp;"]",FALSE)</f>
        <v>0</v>
      </c>
      <c r="F28" s="108" cm="1">
        <f t="array" aca="1" ref="F28" ca="1">INDIRECT("R[36]C["&amp;$A$28&amp;"]",FALSE)</f>
        <v>0</v>
      </c>
      <c r="G28" s="108" cm="1">
        <f t="array" aca="1" ref="G28" ca="1">INDIRECT("R[36]C["&amp;$A$28&amp;"]",FALSE)</f>
        <v>0</v>
      </c>
      <c r="H28" s="108" cm="1">
        <f t="array" aca="1" ref="H28" ca="1">INDIRECT("R[36]C["&amp;$A$28&amp;"]",FALSE)</f>
        <v>0</v>
      </c>
      <c r="I28" s="108" cm="1">
        <f t="array" aca="1" ref="I28" ca="1">INDIRECT("R[36]C["&amp;$A$28&amp;"]",FALSE)</f>
        <v>0</v>
      </c>
      <c r="J28" s="108" cm="1">
        <f t="array" aca="1" ref="J28" ca="1">INDIRECT("R[36]C["&amp;$A$28&amp;"]",FALSE)</f>
        <v>0</v>
      </c>
      <c r="K28" s="108" cm="1">
        <f t="array" aca="1" ref="K28" ca="1">INDIRECT("R[36]C["&amp;$A$28&amp;"]",FALSE)</f>
        <v>12.499999999999998</v>
      </c>
      <c r="L28" s="108" cm="1">
        <f t="array" aca="1" ref="L28" ca="1">INDIRECT("R[36]C["&amp;$A$28&amp;"]",FALSE)</f>
        <v>16.666666666666668</v>
      </c>
      <c r="M28" s="108" cm="1">
        <f t="array" aca="1" ref="M28" ca="1">INDIRECT("R[36]C["&amp;$A$28&amp;"]",FALSE)</f>
        <v>20.833333333333332</v>
      </c>
      <c r="N28" s="108" cm="1">
        <f t="array" aca="1" ref="N28" ca="1">INDIRECT("R[36]C["&amp;$A$28&amp;"]",FALSE)</f>
        <v>8.3333333333333339</v>
      </c>
      <c r="O28" s="108" cm="1">
        <f t="array" aca="1" ref="O28" ca="1">INDIRECT("R[36]C["&amp;$A$28&amp;"]",FALSE)</f>
        <v>0</v>
      </c>
      <c r="P28" s="108"/>
      <c r="Q28" s="108"/>
      <c r="R28" s="113">
        <f t="shared" ca="1" si="5"/>
        <v>58.333333333333336</v>
      </c>
    </row>
    <row r="29" spans="1:18" ht="15.5" x14ac:dyDescent="0.35">
      <c r="A29" s="121">
        <f>Assumptions!C52</f>
        <v>1</v>
      </c>
      <c r="B29" s="106" t="s">
        <v>117</v>
      </c>
      <c r="C29" s="108" cm="1">
        <f t="array" aca="1" ref="C29" ca="1">INDIRECT("R[36]C["&amp;$A$29&amp;"]",FALSE)</f>
        <v>0</v>
      </c>
      <c r="D29" s="108" cm="1">
        <f t="array" aca="1" ref="D29" ca="1">INDIRECT("R[36]C["&amp;$A$29&amp;"]",FALSE)</f>
        <v>0</v>
      </c>
      <c r="E29" s="108" cm="1">
        <f t="array" aca="1" ref="E29" ca="1">INDIRECT("R[36]C["&amp;$A$29&amp;"]",FALSE)</f>
        <v>0</v>
      </c>
      <c r="F29" s="108" cm="1">
        <f t="array" aca="1" ref="F29" ca="1">INDIRECT("R[36]C["&amp;$A$29&amp;"]",FALSE)</f>
        <v>0</v>
      </c>
      <c r="G29" s="108" cm="1">
        <f t="array" aca="1" ref="G29" ca="1">INDIRECT("R[36]C["&amp;$A$29&amp;"]",FALSE)</f>
        <v>0</v>
      </c>
      <c r="H29" s="108" cm="1">
        <f t="array" aca="1" ref="H29" ca="1">INDIRECT("R[36]C["&amp;$A$29&amp;"]",FALSE)</f>
        <v>0</v>
      </c>
      <c r="I29" s="108" cm="1">
        <f t="array" aca="1" ref="I29" ca="1">INDIRECT("R[36]C["&amp;$A$29&amp;"]",FALSE)</f>
        <v>0</v>
      </c>
      <c r="J29" s="108" cm="1">
        <f t="array" aca="1" ref="J29" ca="1">INDIRECT("R[36]C["&amp;$A$29&amp;"]",FALSE)</f>
        <v>0</v>
      </c>
      <c r="K29" s="108" cm="1">
        <f t="array" aca="1" ref="K29" ca="1">INDIRECT("R[36]C["&amp;$A$29&amp;"]",FALSE)</f>
        <v>12.499999999999998</v>
      </c>
      <c r="L29" s="108" cm="1">
        <f t="array" aca="1" ref="L29" ca="1">INDIRECT("R[36]C["&amp;$A$29&amp;"]",FALSE)</f>
        <v>16.666666666666668</v>
      </c>
      <c r="M29" s="108" cm="1">
        <f t="array" aca="1" ref="M29" ca="1">INDIRECT("R[36]C["&amp;$A$29&amp;"]",FALSE)</f>
        <v>20.833333333333332</v>
      </c>
      <c r="N29" s="108" cm="1">
        <f t="array" aca="1" ref="N29" ca="1">INDIRECT("R[36]C["&amp;$A$29&amp;"]",FALSE)</f>
        <v>8.3333333333333339</v>
      </c>
      <c r="O29" s="108" cm="1">
        <f t="array" aca="1" ref="O29" ca="1">INDIRECT("R[36]C["&amp;$A$29&amp;"]",FALSE)</f>
        <v>0</v>
      </c>
      <c r="P29" s="108"/>
      <c r="Q29" s="108"/>
      <c r="R29" s="113">
        <f t="shared" ca="1" si="5"/>
        <v>58.333333333333336</v>
      </c>
    </row>
    <row r="30" spans="1:18" ht="15.5" x14ac:dyDescent="0.35">
      <c r="A30" s="121">
        <f>Assumptions!C54</f>
        <v>1</v>
      </c>
      <c r="B30" s="106" t="s">
        <v>354</v>
      </c>
      <c r="C30" s="108" cm="1">
        <f t="array" aca="1" ref="C30" ca="1">INDIRECT("R[36]C["&amp;$A$30&amp;"]",FALSE)</f>
        <v>0</v>
      </c>
      <c r="D30" s="108" cm="1">
        <f t="array" aca="1" ref="D30" ca="1">INDIRECT("R[36]C["&amp;$A$30&amp;"]",FALSE)</f>
        <v>0</v>
      </c>
      <c r="E30" s="108" cm="1">
        <f t="array" aca="1" ref="E30" ca="1">INDIRECT("R[36]C["&amp;$A$30&amp;"]",FALSE)</f>
        <v>0</v>
      </c>
      <c r="F30" s="108" cm="1">
        <f t="array" aca="1" ref="F30" ca="1">INDIRECT("R[36]C["&amp;$A$30&amp;"]",FALSE)</f>
        <v>0</v>
      </c>
      <c r="G30" s="108" cm="1">
        <f t="array" aca="1" ref="G30" ca="1">INDIRECT("R[36]C["&amp;$A$30&amp;"]",FALSE)</f>
        <v>0</v>
      </c>
      <c r="H30" s="108" cm="1">
        <f t="array" aca="1" ref="H30" ca="1">INDIRECT("R[36]C["&amp;$A$30&amp;"]",FALSE)</f>
        <v>0</v>
      </c>
      <c r="I30" s="108" cm="1">
        <f t="array" aca="1" ref="I30" ca="1">INDIRECT("R[36]C["&amp;$A$30&amp;"]",FALSE)</f>
        <v>0</v>
      </c>
      <c r="J30" s="108" cm="1">
        <f t="array" aca="1" ref="J30" ca="1">INDIRECT("R[36]C["&amp;$A$30&amp;"]",FALSE)</f>
        <v>0</v>
      </c>
      <c r="K30" s="108" cm="1">
        <f t="array" aca="1" ref="K30" ca="1">INDIRECT("R[36]C["&amp;$A$30&amp;"]",FALSE)</f>
        <v>2</v>
      </c>
      <c r="L30" s="108" cm="1">
        <f t="array" aca="1" ref="L30" ca="1">INDIRECT("R[36]C["&amp;$A$30&amp;"]",FALSE)</f>
        <v>4</v>
      </c>
      <c r="M30" s="108" cm="1">
        <f t="array" aca="1" ref="M30" ca="1">INDIRECT("R[36]C["&amp;$A$30&amp;"]",FALSE)</f>
        <v>4</v>
      </c>
      <c r="N30" s="108" cm="1">
        <f t="array" aca="1" ref="N30" ca="1">INDIRECT("R[36]C["&amp;$A$30&amp;"]",FALSE)</f>
        <v>2</v>
      </c>
      <c r="O30" s="108" cm="1">
        <f t="array" aca="1" ref="O30" ca="1">INDIRECT("R[36]C["&amp;$A$30&amp;"]",FALSE)</f>
        <v>0</v>
      </c>
      <c r="P30" s="108"/>
      <c r="Q30" s="108"/>
      <c r="R30" s="113">
        <f t="shared" ca="1" si="5"/>
        <v>12</v>
      </c>
    </row>
    <row r="31" spans="1:18" ht="15.5" x14ac:dyDescent="0.35">
      <c r="A31" s="116"/>
      <c r="B31" s="129" t="s">
        <v>119</v>
      </c>
      <c r="C31" s="131"/>
      <c r="D31" s="132"/>
      <c r="E31" s="132"/>
      <c r="F31" s="132"/>
      <c r="G31" s="132"/>
      <c r="H31" s="132"/>
      <c r="I31" s="132"/>
      <c r="J31" s="132"/>
      <c r="K31" s="132"/>
      <c r="L31" s="132"/>
      <c r="M31" s="132"/>
      <c r="N31" s="132"/>
      <c r="O31" s="132"/>
      <c r="P31" s="132"/>
      <c r="Q31" s="132"/>
      <c r="R31" s="130"/>
    </row>
    <row r="32" spans="1:18" ht="15.5" x14ac:dyDescent="0.35">
      <c r="A32" s="121">
        <f>Assumptions!C48</f>
        <v>2</v>
      </c>
      <c r="B32" s="106" t="s">
        <v>355</v>
      </c>
      <c r="C32" s="108" cm="1">
        <f t="array" aca="1" ref="C32" ca="1">INDIRECT("R[36]C["&amp;$A$32&amp;"]",FALSE)</f>
        <v>0</v>
      </c>
      <c r="D32" s="108" cm="1">
        <f t="array" aca="1" ref="D32" ca="1">INDIRECT("R[36]C["&amp;$A$32&amp;"]",FALSE)</f>
        <v>0</v>
      </c>
      <c r="E32" s="108" cm="1">
        <f t="array" aca="1" ref="E32" ca="1">INDIRECT("R[36]C["&amp;$A$32&amp;"]",FALSE)</f>
        <v>0</v>
      </c>
      <c r="F32" s="108" cm="1">
        <f t="array" aca="1" ref="F32" ca="1">INDIRECT("R[36]C["&amp;$A$32&amp;"]",FALSE)</f>
        <v>0</v>
      </c>
      <c r="G32" s="108" cm="1">
        <f t="array" aca="1" ref="G32" ca="1">INDIRECT("R[36]C["&amp;$A$32&amp;"]",FALSE)</f>
        <v>0</v>
      </c>
      <c r="H32" s="108" cm="1">
        <f t="array" aca="1" ref="H32" ca="1">INDIRECT("R[36]C["&amp;$A$32&amp;"]",FALSE)</f>
        <v>0</v>
      </c>
      <c r="I32" s="108" cm="1">
        <f t="array" aca="1" ref="I32" ca="1">INDIRECT("R[36]C["&amp;$A$32&amp;"]",FALSE)</f>
        <v>0</v>
      </c>
      <c r="J32" s="108" cm="1">
        <f t="array" aca="1" ref="J32" ca="1">INDIRECT("R[36]C["&amp;$A$32&amp;"]",FALSE)</f>
        <v>2</v>
      </c>
      <c r="K32" s="108" cm="1">
        <f t="array" aca="1" ref="K32" ca="1">INDIRECT("R[36]C["&amp;$A$32&amp;"]",FALSE)</f>
        <v>4</v>
      </c>
      <c r="L32" s="108" cm="1">
        <f t="array" aca="1" ref="L32" ca="1">INDIRECT("R[36]C["&amp;$A$32&amp;"]",FALSE)</f>
        <v>4</v>
      </c>
      <c r="M32" s="108" cm="1">
        <f t="array" aca="1" ref="M32" ca="1">INDIRECT("R[36]C["&amp;$A$32&amp;"]",FALSE)</f>
        <v>2</v>
      </c>
      <c r="N32" s="108" cm="1">
        <f t="array" aca="1" ref="N32" ca="1">INDIRECT("R[36]C["&amp;$A$32&amp;"]",FALSE)</f>
        <v>0</v>
      </c>
      <c r="O32" s="108" cm="1">
        <f t="array" aca="1" ref="O32" ca="1">INDIRECT("R[36]C["&amp;$A$32&amp;"]",FALSE)</f>
        <v>0</v>
      </c>
      <c r="P32" s="108"/>
      <c r="Q32" s="108"/>
      <c r="R32" s="113">
        <f ca="1">SUM(C32:Q32)</f>
        <v>12</v>
      </c>
    </row>
    <row r="33" spans="1:19" ht="15.5" x14ac:dyDescent="0.35">
      <c r="A33" s="116"/>
      <c r="B33" s="129" t="s">
        <v>356</v>
      </c>
      <c r="C33" s="131"/>
      <c r="D33" s="131"/>
      <c r="E33" s="131"/>
      <c r="F33" s="131"/>
      <c r="G33" s="131"/>
      <c r="H33" s="131"/>
      <c r="I33" s="131"/>
      <c r="J33" s="131"/>
      <c r="K33" s="131"/>
      <c r="L33" s="131"/>
      <c r="M33" s="131"/>
      <c r="N33" s="131"/>
      <c r="O33" s="131"/>
      <c r="P33" s="131"/>
      <c r="Q33" s="131"/>
      <c r="R33" s="130"/>
    </row>
    <row r="34" spans="1:19" ht="15.5" x14ac:dyDescent="0.35">
      <c r="A34" s="121">
        <f>Assumptions!C49</f>
        <v>1</v>
      </c>
      <c r="B34" s="106" t="s">
        <v>357</v>
      </c>
      <c r="C34" s="108" cm="1">
        <f t="array" aca="1" ref="C34" ca="1">INDIRECT("R[36]C["&amp;$A$34&amp;"]",FALSE)</f>
        <v>0</v>
      </c>
      <c r="D34" s="108" cm="1">
        <f t="array" aca="1" ref="D34" ca="1">INDIRECT("R[36]C["&amp;$A$34&amp;"]",FALSE)</f>
        <v>0</v>
      </c>
      <c r="E34" s="108" cm="1">
        <f t="array" aca="1" ref="E34" ca="1">INDIRECT("R[36]C["&amp;$A$34&amp;"]",FALSE)</f>
        <v>0</v>
      </c>
      <c r="F34" s="108" cm="1">
        <f t="array" aca="1" ref="F34" ca="1">INDIRECT("R[36]C["&amp;$A$34&amp;"]",FALSE)</f>
        <v>0</v>
      </c>
      <c r="G34" s="108" cm="1">
        <f t="array" aca="1" ref="G34" ca="1">INDIRECT("R[36]C["&amp;$A$34&amp;"]",FALSE)</f>
        <v>0</v>
      </c>
      <c r="H34" s="108" cm="1">
        <f t="array" aca="1" ref="H34" ca="1">INDIRECT("R[36]C["&amp;$A$34&amp;"]",FALSE)</f>
        <v>0</v>
      </c>
      <c r="I34" s="108" cm="1">
        <f t="array" aca="1" ref="I34" ca="1">INDIRECT("R[36]C["&amp;$A$34&amp;"]",FALSE)</f>
        <v>0</v>
      </c>
      <c r="J34" s="108" cm="1">
        <f t="array" aca="1" ref="J34" ca="1">INDIRECT("R[36]C["&amp;$A$34&amp;"]",FALSE)</f>
        <v>0</v>
      </c>
      <c r="K34" s="108" cm="1">
        <f t="array" aca="1" ref="K34" ca="1">INDIRECT("R[36]C["&amp;$A$34&amp;"]",FALSE)</f>
        <v>183</v>
      </c>
      <c r="L34" s="108" cm="1">
        <f t="array" aca="1" ref="L34" ca="1">INDIRECT("R[36]C["&amp;$A$34&amp;"]",FALSE)</f>
        <v>244.00000000000003</v>
      </c>
      <c r="M34" s="108" cm="1">
        <f t="array" aca="1" ref="M34" ca="1">INDIRECT("R[36]C["&amp;$A$34&amp;"]",FALSE)</f>
        <v>305</v>
      </c>
      <c r="N34" s="108" cm="1">
        <f t="array" aca="1" ref="N34" ca="1">INDIRECT("R[36]C["&amp;$A$34&amp;"]",FALSE)</f>
        <v>122.00000000000001</v>
      </c>
      <c r="O34" s="108" cm="1">
        <f t="array" aca="1" ref="O34" ca="1">INDIRECT("R[36]C["&amp;$A$34&amp;"]",FALSE)</f>
        <v>0</v>
      </c>
      <c r="P34" s="108"/>
      <c r="Q34" s="108"/>
      <c r="R34" s="113">
        <f ca="1">SUM(C34:Q34)</f>
        <v>854</v>
      </c>
    </row>
    <row r="35" spans="1:19" ht="15.5" x14ac:dyDescent="0.35">
      <c r="A35" s="121">
        <f>Assumptions!C50</f>
        <v>1</v>
      </c>
      <c r="B35" s="106" t="s">
        <v>358</v>
      </c>
      <c r="C35" s="108" cm="1">
        <f t="array" aca="1" ref="C35" ca="1">INDIRECT("R[36]C["&amp;$A$35&amp;"]",FALSE)</f>
        <v>0</v>
      </c>
      <c r="D35" s="108" cm="1">
        <f t="array" aca="1" ref="D35" ca="1">INDIRECT("R[36]C["&amp;$A$35&amp;"]",FALSE)</f>
        <v>0</v>
      </c>
      <c r="E35" s="108" cm="1">
        <f t="array" aca="1" ref="E35" ca="1">INDIRECT("R[36]C["&amp;$A$35&amp;"]",FALSE)</f>
        <v>0</v>
      </c>
      <c r="F35" s="108" cm="1">
        <f t="array" aca="1" ref="F35" ca="1">INDIRECT("R[36]C["&amp;$A$35&amp;"]",FALSE)</f>
        <v>0</v>
      </c>
      <c r="G35" s="108" cm="1">
        <f t="array" aca="1" ref="G35" ca="1">INDIRECT("R[36]C["&amp;$A$35&amp;"]",FALSE)</f>
        <v>0</v>
      </c>
      <c r="H35" s="108" cm="1">
        <f t="array" aca="1" ref="H35" ca="1">INDIRECT("R[36]C["&amp;$A$35&amp;"]",FALSE)</f>
        <v>0</v>
      </c>
      <c r="I35" s="108" cm="1">
        <f t="array" aca="1" ref="I35" ca="1">INDIRECT("R[36]C["&amp;$A$35&amp;"]",FALSE)</f>
        <v>0</v>
      </c>
      <c r="J35" s="108" cm="1">
        <f t="array" aca="1" ref="J35" ca="1">INDIRECT("R[36]C["&amp;$A$35&amp;"]",FALSE)</f>
        <v>0</v>
      </c>
      <c r="K35" s="108" cm="1">
        <f t="array" aca="1" ref="K35" ca="1">INDIRECT("R[36]C["&amp;$A$35&amp;"]",FALSE)</f>
        <v>300</v>
      </c>
      <c r="L35" s="108" cm="1">
        <f t="array" aca="1" ref="L35" ca="1">INDIRECT("R[36]C["&amp;$A$35&amp;"]",FALSE)</f>
        <v>600</v>
      </c>
      <c r="M35" s="108" cm="1">
        <f t="array" aca="1" ref="M35" ca="1">INDIRECT("R[36]C["&amp;$A$35&amp;"]",FALSE)</f>
        <v>600</v>
      </c>
      <c r="N35" s="108" cm="1">
        <f t="array" aca="1" ref="N35" ca="1">INDIRECT("R[36]C["&amp;$A$35&amp;"]",FALSE)</f>
        <v>300</v>
      </c>
      <c r="O35" s="108" cm="1">
        <f t="array" aca="1" ref="O35" ca="1">INDIRECT("R[36]C["&amp;$A$35&amp;"]",FALSE)</f>
        <v>0</v>
      </c>
      <c r="P35" s="108"/>
      <c r="Q35" s="108"/>
      <c r="R35" s="113">
        <f ca="1">SUM(C35:Q35)</f>
        <v>1800</v>
      </c>
    </row>
    <row r="36" spans="1:19" ht="15.5" x14ac:dyDescent="0.35">
      <c r="A36" s="116"/>
      <c r="B36" s="129"/>
      <c r="C36" s="129"/>
      <c r="D36" s="129"/>
      <c r="E36" s="129"/>
      <c r="F36" s="129"/>
      <c r="G36" s="129"/>
      <c r="H36" s="129"/>
      <c r="I36" s="129"/>
      <c r="J36" s="129"/>
      <c r="K36" s="129"/>
      <c r="L36" s="129"/>
      <c r="M36" s="129"/>
      <c r="N36" s="129"/>
      <c r="O36" s="129"/>
      <c r="P36" s="129"/>
      <c r="Q36" s="129"/>
      <c r="R36" s="130"/>
    </row>
    <row r="37" spans="1:19" ht="15.5" x14ac:dyDescent="0.35">
      <c r="A37" s="116"/>
      <c r="B37" s="116"/>
      <c r="C37" s="116"/>
      <c r="D37" s="115"/>
      <c r="E37" s="115"/>
      <c r="F37" s="115"/>
      <c r="G37" s="115"/>
      <c r="H37" s="115"/>
      <c r="I37" s="115"/>
      <c r="J37" s="115"/>
      <c r="K37" s="115"/>
      <c r="L37" s="115"/>
      <c r="M37" s="115"/>
      <c r="N37" s="115"/>
      <c r="O37" s="115"/>
      <c r="P37" s="115"/>
      <c r="Q37" s="115"/>
      <c r="R37" s="115"/>
    </row>
    <row r="38" spans="1:19" ht="15.5" x14ac:dyDescent="0.35">
      <c r="A38" s="116"/>
      <c r="B38" s="116"/>
      <c r="C38" s="116"/>
      <c r="D38" s="115"/>
      <c r="E38" s="115"/>
      <c r="F38" s="115"/>
      <c r="G38" s="115"/>
      <c r="H38" s="115"/>
      <c r="I38" s="115"/>
      <c r="J38" s="115"/>
      <c r="K38" s="115"/>
      <c r="L38" s="115"/>
      <c r="M38" s="115"/>
      <c r="N38" s="115"/>
      <c r="O38" s="115"/>
      <c r="P38" s="115"/>
      <c r="Q38" s="115"/>
      <c r="R38" s="115"/>
    </row>
    <row r="39" spans="1:19" ht="15.5" x14ac:dyDescent="0.35">
      <c r="A39" s="116"/>
      <c r="B39" s="116" t="s">
        <v>235</v>
      </c>
      <c r="C39" s="115">
        <f ca="1">SUM(C10:C12)</f>
        <v>0</v>
      </c>
      <c r="D39" s="115">
        <f ca="1">SUM(D10:D12)</f>
        <v>0</v>
      </c>
      <c r="E39" s="115">
        <f t="shared" ref="E39:Q39" ca="1" si="6">SUM(E10:E12)</f>
        <v>0</v>
      </c>
      <c r="F39" s="115">
        <f t="shared" ca="1" si="6"/>
        <v>0</v>
      </c>
      <c r="G39" s="115">
        <f t="shared" ca="1" si="6"/>
        <v>0</v>
      </c>
      <c r="H39" s="115">
        <f t="shared" ca="1" si="6"/>
        <v>0</v>
      </c>
      <c r="I39" s="115">
        <f t="shared" ca="1" si="6"/>
        <v>0</v>
      </c>
      <c r="J39" s="115">
        <f t="shared" ca="1" si="6"/>
        <v>0</v>
      </c>
      <c r="K39" s="115">
        <f t="shared" ca="1" si="6"/>
        <v>83.333333333333329</v>
      </c>
      <c r="L39" s="115">
        <f t="shared" ca="1" si="6"/>
        <v>111.11111111111111</v>
      </c>
      <c r="M39" s="115">
        <f t="shared" ca="1" si="6"/>
        <v>138.88888888888889</v>
      </c>
      <c r="N39" s="115">
        <f t="shared" ca="1" si="6"/>
        <v>55.555555555555557</v>
      </c>
      <c r="O39" s="115">
        <f t="shared" ca="1" si="6"/>
        <v>0</v>
      </c>
      <c r="P39" s="115">
        <f t="shared" si="6"/>
        <v>0</v>
      </c>
      <c r="Q39" s="115">
        <f t="shared" si="6"/>
        <v>0</v>
      </c>
      <c r="R39" s="115">
        <f ca="1">SUM(R10:R12)</f>
        <v>388.88888888888891</v>
      </c>
    </row>
    <row r="40" spans="1:19" ht="15.5" x14ac:dyDescent="0.35">
      <c r="A40" s="116"/>
      <c r="B40" s="116"/>
      <c r="C40" s="116"/>
      <c r="D40" s="115"/>
      <c r="E40" s="115"/>
      <c r="F40" s="115"/>
      <c r="G40" s="115"/>
      <c r="H40" s="115"/>
      <c r="I40" s="115"/>
      <c r="J40" s="115"/>
      <c r="K40" s="115"/>
      <c r="L40" s="115"/>
      <c r="M40" s="115"/>
      <c r="N40" s="115"/>
      <c r="O40" s="115"/>
      <c r="P40" s="115"/>
      <c r="Q40" s="115"/>
      <c r="R40" s="115"/>
    </row>
    <row r="41" spans="1:19" ht="15.5" x14ac:dyDescent="0.35">
      <c r="A41" s="116"/>
      <c r="B41" s="116"/>
      <c r="C41" s="116"/>
      <c r="D41" s="115"/>
      <c r="E41" s="115"/>
      <c r="F41" s="115"/>
      <c r="G41" s="115"/>
      <c r="H41" s="115"/>
      <c r="I41" s="115"/>
      <c r="J41" s="115"/>
      <c r="K41" s="115"/>
      <c r="L41" s="115"/>
      <c r="M41" s="115"/>
      <c r="N41" s="115"/>
      <c r="O41" s="115"/>
      <c r="P41" s="115"/>
      <c r="Q41" s="115"/>
      <c r="R41" s="115"/>
    </row>
    <row r="42" spans="1:19" ht="15.5" x14ac:dyDescent="0.35">
      <c r="A42" s="116"/>
      <c r="B42" s="116"/>
      <c r="C42" s="116"/>
      <c r="D42" s="116"/>
      <c r="E42" s="116"/>
      <c r="F42" s="116"/>
      <c r="G42" s="116"/>
      <c r="H42" s="116"/>
      <c r="I42" s="116"/>
      <c r="J42" s="116"/>
      <c r="K42" s="116"/>
      <c r="L42" s="116"/>
      <c r="M42" s="116"/>
      <c r="N42" s="116"/>
      <c r="O42" s="116"/>
      <c r="P42" s="116"/>
      <c r="Q42" s="116"/>
      <c r="R42" s="115"/>
    </row>
    <row r="43" spans="1:19" ht="15.5" x14ac:dyDescent="0.35">
      <c r="A43" s="116"/>
      <c r="B43" s="116"/>
      <c r="C43" s="116"/>
      <c r="D43" s="116"/>
      <c r="E43" s="116"/>
      <c r="F43" s="116"/>
      <c r="G43" s="116"/>
      <c r="H43" s="116"/>
      <c r="I43" s="116"/>
      <c r="J43" s="116"/>
      <c r="K43" s="116"/>
      <c r="L43" s="116"/>
      <c r="M43" s="116"/>
      <c r="N43" s="116"/>
      <c r="O43" s="116"/>
      <c r="P43" s="116"/>
      <c r="Q43" s="116"/>
      <c r="R43" s="115"/>
    </row>
    <row r="44" spans="1:19" ht="15.5" x14ac:dyDescent="0.35">
      <c r="A44" s="116"/>
      <c r="B44" s="120" t="s">
        <v>193</v>
      </c>
      <c r="C44" s="120"/>
      <c r="D44" s="116"/>
      <c r="E44" s="116"/>
      <c r="F44" s="116"/>
      <c r="G44" s="116"/>
      <c r="H44" s="116"/>
      <c r="I44" s="116"/>
      <c r="J44" s="116"/>
      <c r="K44" s="116"/>
      <c r="L44" s="116"/>
      <c r="M44" s="116"/>
      <c r="N44" s="116"/>
      <c r="O44" s="116"/>
      <c r="P44" s="116"/>
      <c r="Q44" s="116"/>
      <c r="R44" s="115"/>
    </row>
    <row r="45" spans="1:19" ht="15.5" x14ac:dyDescent="0.35">
      <c r="A45" s="116"/>
      <c r="B45" s="129" t="s">
        <v>112</v>
      </c>
      <c r="C45" s="129"/>
      <c r="D45" s="129"/>
      <c r="E45" s="129"/>
      <c r="F45" s="129"/>
      <c r="G45" s="129"/>
      <c r="H45" s="129"/>
      <c r="I45" s="129"/>
      <c r="J45" s="129"/>
      <c r="K45" s="129"/>
      <c r="L45" s="129"/>
      <c r="M45" s="129"/>
      <c r="N45" s="129"/>
      <c r="O45" s="129"/>
      <c r="P45" s="129"/>
      <c r="Q45" s="129"/>
      <c r="R45" s="130"/>
    </row>
    <row r="46" spans="1:19" ht="15.5" x14ac:dyDescent="0.35">
      <c r="A46" s="122">
        <f>Assumptions!C55</f>
        <v>1</v>
      </c>
      <c r="B46" s="123">
        <v>12</v>
      </c>
      <c r="C46" s="127" cm="1">
        <f t="array" aca="1" ref="C46" ca="1">INDIRECT("R[40]C["&amp;$A$46&amp;"]",FALSE)</f>
        <v>0</v>
      </c>
      <c r="D46" s="124" cm="1">
        <f t="array" aca="1" ref="D46" ca="1">INDIRECT("R[40]C["&amp;$A$46&amp;"]",FALSE)</f>
        <v>0</v>
      </c>
      <c r="E46" s="124" cm="1">
        <f t="array" aca="1" ref="E46" ca="1">INDIRECT("R[40]C["&amp;$A$46&amp;"]",FALSE)</f>
        <v>0</v>
      </c>
      <c r="F46" s="124" cm="1">
        <f t="array" aca="1" ref="F46" ca="1">INDIRECT("R[40]C["&amp;$A$46&amp;"]",FALSE)</f>
        <v>0</v>
      </c>
      <c r="G46" s="124" cm="1">
        <f t="array" aca="1" ref="G46" ca="1">INDIRECT("R[40]C["&amp;$A$46&amp;"]",FALSE)</f>
        <v>0</v>
      </c>
      <c r="H46" s="124" cm="1">
        <f t="array" aca="1" ref="H46" ca="1">INDIRECT("R[40]C["&amp;$A$46&amp;"]",FALSE)</f>
        <v>0</v>
      </c>
      <c r="I46" s="124" cm="1">
        <f t="array" aca="1" ref="I46" ca="1">INDIRECT("R[40]C["&amp;$A$46&amp;"]",FALSE)</f>
        <v>0</v>
      </c>
      <c r="J46" s="124" cm="1">
        <f t="array" aca="1" ref="J46" ca="1">INDIRECT("R[40]C["&amp;$A$46&amp;"]",FALSE)</f>
        <v>0</v>
      </c>
      <c r="K46" s="124" cm="1">
        <f t="array" aca="1" ref="K46" ca="1">INDIRECT("R[40]C["&amp;$A$46&amp;"]",FALSE)</f>
        <v>0</v>
      </c>
      <c r="L46" s="124" cm="1">
        <f t="array" aca="1" ref="L46" ca="1">INDIRECT("R[40]C["&amp;$A$46&amp;"]",FALSE)</f>
        <v>0</v>
      </c>
      <c r="M46" s="124" cm="1">
        <f t="array" aca="1" ref="M46" ca="1">INDIRECT("R[40]C["&amp;$A$46&amp;"]",FALSE)</f>
        <v>0</v>
      </c>
      <c r="N46" s="124" cm="1">
        <f t="array" aca="1" ref="N46" ca="1">INDIRECT("R[40]C["&amp;$A$46&amp;"]",FALSE)</f>
        <v>0</v>
      </c>
      <c r="O46" s="124" cm="1">
        <f t="array" aca="1" ref="O46" ca="1">INDIRECT("R[40]C["&amp;$A$46&amp;"]",FALSE)</f>
        <v>0</v>
      </c>
      <c r="P46" s="124" cm="1">
        <f t="array" aca="1" ref="P46" ca="1">INDIRECT("R[40]C["&amp;$A$46&amp;"]",FALSE)</f>
        <v>0</v>
      </c>
      <c r="Q46" s="125"/>
      <c r="R46" s="128">
        <f ca="1">SUM(D46:P46)</f>
        <v>0</v>
      </c>
    </row>
    <row r="47" spans="1:19" ht="15.5" x14ac:dyDescent="0.35">
      <c r="A47" s="121">
        <f>A46</f>
        <v>1</v>
      </c>
      <c r="B47" s="123">
        <v>15</v>
      </c>
      <c r="C47" s="127" cm="1">
        <f t="array" aca="1" ref="C47" ca="1">INDIRECT("R[40]C["&amp;$A$46&amp;"]",FALSE)</f>
        <v>0</v>
      </c>
      <c r="D47" s="124" cm="1">
        <f t="array" aca="1" ref="D47" ca="1">INDIRECT("R[40]C["&amp;$A$46&amp;"]",FALSE)</f>
        <v>0</v>
      </c>
      <c r="E47" s="124" cm="1">
        <f t="array" aca="1" ref="E47" ca="1">INDIRECT("R[40]C["&amp;$A$46&amp;"]",FALSE)</f>
        <v>0</v>
      </c>
      <c r="F47" s="124" cm="1">
        <f t="array" aca="1" ref="F47" ca="1">INDIRECT("R[40]C["&amp;$A$46&amp;"]",FALSE)</f>
        <v>0</v>
      </c>
      <c r="G47" s="124" cm="1">
        <f t="array" aca="1" ref="G47" ca="1">INDIRECT("R[40]C["&amp;$A$46&amp;"]",FALSE)</f>
        <v>0</v>
      </c>
      <c r="H47" s="124" cm="1">
        <f t="array" aca="1" ref="H47" ca="1">INDIRECT("R[40]C["&amp;$A$46&amp;"]",FALSE)</f>
        <v>0</v>
      </c>
      <c r="I47" s="124" cm="1">
        <f t="array" aca="1" ref="I47" ca="1">INDIRECT("R[40]C["&amp;$A$46&amp;"]",FALSE)</f>
        <v>0</v>
      </c>
      <c r="J47" s="124" cm="1">
        <f t="array" aca="1" ref="J47" ca="1">INDIRECT("R[40]C["&amp;$A$46&amp;"]",FALSE)</f>
        <v>0</v>
      </c>
      <c r="K47" s="124" cm="1">
        <f t="array" aca="1" ref="K47" ca="1">INDIRECT("R[40]C["&amp;$A$46&amp;"]",FALSE)</f>
        <v>0</v>
      </c>
      <c r="L47" s="124" cm="1">
        <f t="array" aca="1" ref="L47" ca="1">INDIRECT("R[40]C["&amp;$A$46&amp;"]",FALSE)</f>
        <v>0</v>
      </c>
      <c r="M47" s="124" cm="1">
        <f t="array" aca="1" ref="M47" ca="1">INDIRECT("R[40]C["&amp;$A$46&amp;"]",FALSE)</f>
        <v>0</v>
      </c>
      <c r="N47" s="124" cm="1">
        <f t="array" aca="1" ref="N47" ca="1">INDIRECT("R[40]C["&amp;$A$46&amp;"]",FALSE)</f>
        <v>0</v>
      </c>
      <c r="O47" s="124" cm="1">
        <f t="array" aca="1" ref="O47" ca="1">INDIRECT("R[40]C["&amp;$A$46&amp;"]",FALSE)</f>
        <v>0</v>
      </c>
      <c r="P47" s="124" cm="1">
        <f t="array" aca="1" ref="P47" ca="1">INDIRECT("R[40]C["&amp;$A$46&amp;"]",FALSE)</f>
        <v>0</v>
      </c>
      <c r="Q47" s="125"/>
      <c r="R47" s="128">
        <f ca="1">SUM(D47:P47)</f>
        <v>0</v>
      </c>
    </row>
    <row r="48" spans="1:19" ht="15.5" x14ac:dyDescent="0.35">
      <c r="A48" s="121">
        <f>A47</f>
        <v>1</v>
      </c>
      <c r="B48" s="123">
        <v>18</v>
      </c>
      <c r="C48" s="127" cm="1">
        <f t="array" aca="1" ref="C48" ca="1">INDIRECT("R[40]C["&amp;$A$46&amp;"]",FALSE)</f>
        <v>0</v>
      </c>
      <c r="D48" s="124" cm="1">
        <f t="array" aca="1" ref="D48" ca="1">INDIRECT("R[40]C["&amp;$A$46&amp;"]",FALSE)</f>
        <v>0</v>
      </c>
      <c r="E48" s="124" cm="1">
        <f t="array" aca="1" ref="E48" ca="1">INDIRECT("R[40]C["&amp;$A$46&amp;"]",FALSE)</f>
        <v>0</v>
      </c>
      <c r="F48" s="124" cm="1">
        <f t="array" aca="1" ref="F48" ca="1">INDIRECT("R[40]C["&amp;$A$46&amp;"]",FALSE)</f>
        <v>0</v>
      </c>
      <c r="G48" s="124" cm="1">
        <f t="array" aca="1" ref="G48" ca="1">INDIRECT("R[40]C["&amp;$A$46&amp;"]",FALSE)</f>
        <v>0</v>
      </c>
      <c r="H48" s="124" cm="1">
        <f t="array" aca="1" ref="H48" ca="1">INDIRECT("R[40]C["&amp;$A$46&amp;"]",FALSE)</f>
        <v>0</v>
      </c>
      <c r="I48" s="124" cm="1">
        <f t="array" aca="1" ref="I48" ca="1">INDIRECT("R[40]C["&amp;$A$46&amp;"]",FALSE)</f>
        <v>0</v>
      </c>
      <c r="J48" s="124" cm="1">
        <f t="array" aca="1" ref="J48" ca="1">INDIRECT("R[40]C["&amp;$A$46&amp;"]",FALSE)</f>
        <v>0</v>
      </c>
      <c r="K48" s="124" cm="1">
        <f t="array" aca="1" ref="K48" ca="1">INDIRECT("R[40]C["&amp;$A$46&amp;"]",FALSE)</f>
        <v>0</v>
      </c>
      <c r="L48" s="124" cm="1">
        <f t="array" aca="1" ref="L48" ca="1">INDIRECT("R[40]C["&amp;$A$46&amp;"]",FALSE)</f>
        <v>83.333333333333329</v>
      </c>
      <c r="M48" s="124" cm="1">
        <f t="array" aca="1" ref="M48" ca="1">INDIRECT("R[40]C["&amp;$A$46&amp;"]",FALSE)</f>
        <v>111.11111111111111</v>
      </c>
      <c r="N48" s="124" cm="1">
        <f t="array" aca="1" ref="N48" ca="1">INDIRECT("R[40]C["&amp;$A$46&amp;"]",FALSE)</f>
        <v>138.88888888888889</v>
      </c>
      <c r="O48" s="124" cm="1">
        <f t="array" aca="1" ref="O48" ca="1">INDIRECT("R[40]C["&amp;$A$46&amp;"]",FALSE)</f>
        <v>55.555555555555557</v>
      </c>
      <c r="P48" s="124" cm="1">
        <f t="array" aca="1" ref="P48" ca="1">INDIRECT("R[40]C["&amp;$A$46&amp;"]",FALSE)</f>
        <v>0</v>
      </c>
      <c r="Q48" s="125"/>
      <c r="R48" s="128">
        <f ca="1">SUM(D48:P48)</f>
        <v>388.88888888888891</v>
      </c>
      <c r="S48" t="s">
        <v>91</v>
      </c>
    </row>
    <row r="49" spans="1:18" ht="15.5" x14ac:dyDescent="0.35">
      <c r="A49" s="116"/>
      <c r="B49" s="129" t="s">
        <v>351</v>
      </c>
      <c r="C49" s="133"/>
      <c r="D49" s="129"/>
      <c r="E49" s="129"/>
      <c r="F49" s="129"/>
      <c r="G49" s="129"/>
      <c r="H49" s="129"/>
      <c r="I49" s="129"/>
      <c r="J49" s="129"/>
      <c r="K49" s="129"/>
      <c r="L49" s="129"/>
      <c r="M49" s="129"/>
      <c r="N49" s="129"/>
      <c r="O49" s="129"/>
      <c r="P49" s="129"/>
      <c r="Q49" s="129"/>
      <c r="R49" s="130"/>
    </row>
    <row r="50" spans="1:18" ht="15.5" x14ac:dyDescent="0.35">
      <c r="A50" s="121">
        <f>A48</f>
        <v>1</v>
      </c>
      <c r="B50" s="123">
        <v>12</v>
      </c>
      <c r="C50" s="127" cm="1">
        <f t="array" aca="1" ref="C50" ca="1">INDIRECT("R[40]C["&amp;$A$50&amp;"]",FALSE)</f>
        <v>0</v>
      </c>
      <c r="D50" s="124" cm="1">
        <f t="array" aca="1" ref="D50" ca="1">INDIRECT("R[40]C["&amp;$A$50&amp;"]",FALSE)</f>
        <v>0</v>
      </c>
      <c r="E50" s="124" cm="1">
        <f t="array" aca="1" ref="E50" ca="1">INDIRECT("R[40]C["&amp;$A$50&amp;"]",FALSE)</f>
        <v>0</v>
      </c>
      <c r="F50" s="124" cm="1">
        <f t="array" aca="1" ref="F50" ca="1">INDIRECT("R[40]C["&amp;$A$50&amp;"]",FALSE)</f>
        <v>0</v>
      </c>
      <c r="G50" s="124" cm="1">
        <f t="array" aca="1" ref="G50" ca="1">INDIRECT("R[40]C["&amp;$A$50&amp;"]",FALSE)</f>
        <v>0</v>
      </c>
      <c r="H50" s="124" cm="1">
        <f t="array" aca="1" ref="H50" ca="1">INDIRECT("R[40]C["&amp;$A$50&amp;"]",FALSE)</f>
        <v>0</v>
      </c>
      <c r="I50" s="124" cm="1">
        <f t="array" aca="1" ref="I50" ca="1">INDIRECT("R[40]C["&amp;$A$50&amp;"]",FALSE)</f>
        <v>0</v>
      </c>
      <c r="J50" s="124" cm="1">
        <f t="array" aca="1" ref="J50" ca="1">INDIRECT("R[40]C["&amp;$A$50&amp;"]",FALSE)</f>
        <v>0</v>
      </c>
      <c r="K50" s="124" cm="1">
        <f t="array" aca="1" ref="K50" ca="1">INDIRECT("R[40]C["&amp;$A$50&amp;"]",FALSE)</f>
        <v>0</v>
      </c>
      <c r="L50" s="124" cm="1">
        <f t="array" aca="1" ref="L50" ca="1">INDIRECT("R[40]C["&amp;$A$50&amp;"]",FALSE)</f>
        <v>0</v>
      </c>
      <c r="M50" s="124" cm="1">
        <f t="array" aca="1" ref="M50" ca="1">INDIRECT("R[40]C["&amp;$A$50&amp;"]",FALSE)</f>
        <v>0</v>
      </c>
      <c r="N50" s="124" cm="1">
        <f t="array" aca="1" ref="N50" ca="1">INDIRECT("R[40]C["&amp;$A$50&amp;"]",FALSE)</f>
        <v>0</v>
      </c>
      <c r="O50" s="124" cm="1">
        <f t="array" aca="1" ref="O50" ca="1">INDIRECT("R[40]C["&amp;$A$50&amp;"]",FALSE)</f>
        <v>0</v>
      </c>
      <c r="P50" s="124" cm="1">
        <f t="array" aca="1" ref="P50" ca="1">INDIRECT("R[40]C["&amp;$A$50&amp;"]",FALSE)</f>
        <v>0</v>
      </c>
      <c r="Q50" s="126"/>
      <c r="R50" s="128">
        <f ca="1">SUM(D50:P50)</f>
        <v>0</v>
      </c>
    </row>
    <row r="51" spans="1:18" ht="15.5" x14ac:dyDescent="0.35">
      <c r="A51" s="121">
        <f>A50</f>
        <v>1</v>
      </c>
      <c r="B51" s="123">
        <v>15</v>
      </c>
      <c r="C51" s="127" cm="1">
        <f t="array" aca="1" ref="C51" ca="1">INDIRECT("R[40]C["&amp;$A$50&amp;"]",FALSE)</f>
        <v>0</v>
      </c>
      <c r="D51" s="124" cm="1">
        <f t="array" aca="1" ref="D51" ca="1">INDIRECT("R[40]C["&amp;$A$50&amp;"]",FALSE)</f>
        <v>0</v>
      </c>
      <c r="E51" s="124" cm="1">
        <f t="array" aca="1" ref="E51" ca="1">INDIRECT("R[40]C["&amp;$A$50&amp;"]",FALSE)</f>
        <v>0</v>
      </c>
      <c r="F51" s="124" cm="1">
        <f t="array" aca="1" ref="F51" ca="1">INDIRECT("R[40]C["&amp;$A$50&amp;"]",FALSE)</f>
        <v>0</v>
      </c>
      <c r="G51" s="124" cm="1">
        <f t="array" aca="1" ref="G51" ca="1">INDIRECT("R[40]C["&amp;$A$50&amp;"]",FALSE)</f>
        <v>0</v>
      </c>
      <c r="H51" s="124" cm="1">
        <f t="array" aca="1" ref="H51" ca="1">INDIRECT("R[40]C["&amp;$A$50&amp;"]",FALSE)</f>
        <v>0</v>
      </c>
      <c r="I51" s="124" cm="1">
        <f t="array" aca="1" ref="I51" ca="1">INDIRECT("R[40]C["&amp;$A$50&amp;"]",FALSE)</f>
        <v>0</v>
      </c>
      <c r="J51" s="124" cm="1">
        <f t="array" aca="1" ref="J51" ca="1">INDIRECT("R[40]C["&amp;$A$50&amp;"]",FALSE)</f>
        <v>0</v>
      </c>
      <c r="K51" s="124" cm="1">
        <f t="array" aca="1" ref="K51" ca="1">INDIRECT("R[40]C["&amp;$A$50&amp;"]",FALSE)</f>
        <v>0</v>
      </c>
      <c r="L51" s="124" cm="1">
        <f t="array" aca="1" ref="L51" ca="1">INDIRECT("R[40]C["&amp;$A$50&amp;"]",FALSE)</f>
        <v>0</v>
      </c>
      <c r="M51" s="124" cm="1">
        <f t="array" aca="1" ref="M51" ca="1">INDIRECT("R[40]C["&amp;$A$50&amp;"]",FALSE)</f>
        <v>0</v>
      </c>
      <c r="N51" s="124" cm="1">
        <f t="array" aca="1" ref="N51" ca="1">INDIRECT("R[40]C["&amp;$A$50&amp;"]",FALSE)</f>
        <v>0</v>
      </c>
      <c r="O51" s="124" cm="1">
        <f t="array" aca="1" ref="O51" ca="1">INDIRECT("R[40]C["&amp;$A$50&amp;"]",FALSE)</f>
        <v>0</v>
      </c>
      <c r="P51" s="124" cm="1">
        <f t="array" aca="1" ref="P51" ca="1">INDIRECT("R[40]C["&amp;$A$50&amp;"]",FALSE)</f>
        <v>0</v>
      </c>
      <c r="Q51" s="126"/>
      <c r="R51" s="128">
        <f ca="1">SUM(D51:P51)</f>
        <v>0</v>
      </c>
    </row>
    <row r="52" spans="1:18" ht="15.5" x14ac:dyDescent="0.35">
      <c r="A52" s="121">
        <f>A51</f>
        <v>1</v>
      </c>
      <c r="B52" s="123">
        <v>18</v>
      </c>
      <c r="C52" s="127" cm="1">
        <f t="array" aca="1" ref="C52" ca="1">INDIRECT("R[40]C["&amp;$A$50&amp;"]",FALSE)</f>
        <v>0</v>
      </c>
      <c r="D52" s="124" cm="1">
        <f t="array" aca="1" ref="D52" ca="1">INDIRECT("R[40]C["&amp;$A$50&amp;"]",FALSE)</f>
        <v>0</v>
      </c>
      <c r="E52" s="124" cm="1">
        <f t="array" aca="1" ref="E52" ca="1">INDIRECT("R[40]C["&amp;$A$50&amp;"]",FALSE)</f>
        <v>0</v>
      </c>
      <c r="F52" s="124" cm="1">
        <f t="array" aca="1" ref="F52" ca="1">INDIRECT("R[40]C["&amp;$A$50&amp;"]",FALSE)</f>
        <v>0</v>
      </c>
      <c r="G52" s="124" cm="1">
        <f t="array" aca="1" ref="G52" ca="1">INDIRECT("R[40]C["&amp;$A$50&amp;"]",FALSE)</f>
        <v>0</v>
      </c>
      <c r="H52" s="124" cm="1">
        <f t="array" aca="1" ref="H52" ca="1">INDIRECT("R[40]C["&amp;$A$50&amp;"]",FALSE)</f>
        <v>0</v>
      </c>
      <c r="I52" s="124" cm="1">
        <f t="array" aca="1" ref="I52" ca="1">INDIRECT("R[40]C["&amp;$A$50&amp;"]",FALSE)</f>
        <v>0</v>
      </c>
      <c r="J52" s="124" cm="1">
        <f t="array" aca="1" ref="J52" ca="1">INDIRECT("R[40]C["&amp;$A$50&amp;"]",FALSE)</f>
        <v>0</v>
      </c>
      <c r="K52" s="124" cm="1">
        <f t="array" aca="1" ref="K52" ca="1">INDIRECT("R[40]C["&amp;$A$50&amp;"]",FALSE)</f>
        <v>0</v>
      </c>
      <c r="L52" s="124" cm="1">
        <f t="array" aca="1" ref="L52" ca="1">INDIRECT("R[40]C["&amp;$A$50&amp;"]",FALSE)</f>
        <v>250</v>
      </c>
      <c r="M52" s="124" cm="1">
        <f t="array" aca="1" ref="M52" ca="1">INDIRECT("R[40]C["&amp;$A$50&amp;"]",FALSE)</f>
        <v>333.33333333333337</v>
      </c>
      <c r="N52" s="124" cm="1">
        <f t="array" aca="1" ref="N52" ca="1">INDIRECT("R[40]C["&amp;$A$50&amp;"]",FALSE)</f>
        <v>416.66666666666663</v>
      </c>
      <c r="O52" s="124" cm="1">
        <f t="array" aca="1" ref="O52" ca="1">INDIRECT("R[40]C["&amp;$A$50&amp;"]",FALSE)</f>
        <v>166.66666666666669</v>
      </c>
      <c r="P52" s="124" cm="1">
        <f t="array" aca="1" ref="P52" ca="1">INDIRECT("R[40]C["&amp;$A$50&amp;"]",FALSE)</f>
        <v>0</v>
      </c>
      <c r="Q52" s="126"/>
      <c r="R52" s="128">
        <f ca="1">SUM(D52:P52)</f>
        <v>1166.6666666666667</v>
      </c>
    </row>
    <row r="53" spans="1:18" ht="15.5" x14ac:dyDescent="0.35">
      <c r="A53" s="116"/>
      <c r="B53" s="129" t="s">
        <v>114</v>
      </c>
      <c r="C53" s="133"/>
      <c r="D53" s="129"/>
      <c r="E53" s="129"/>
      <c r="F53" s="129"/>
      <c r="G53" s="129"/>
      <c r="H53" s="129"/>
      <c r="I53" s="129"/>
      <c r="J53" s="129"/>
      <c r="K53" s="129"/>
      <c r="L53" s="129"/>
      <c r="M53" s="129"/>
      <c r="N53" s="129"/>
      <c r="O53" s="129"/>
      <c r="P53" s="129"/>
      <c r="Q53" s="129"/>
      <c r="R53" s="130"/>
    </row>
    <row r="54" spans="1:18" ht="15.5" x14ac:dyDescent="0.35">
      <c r="A54" s="121">
        <f>A52</f>
        <v>1</v>
      </c>
      <c r="B54" s="123">
        <v>12</v>
      </c>
      <c r="C54" s="127" cm="1">
        <f t="array" aca="1" ref="C54" ca="1">INDIRECT("R[40]C["&amp;$A$46&amp;"]",FALSE)</f>
        <v>0</v>
      </c>
      <c r="D54" s="124" cm="1">
        <f t="array" aca="1" ref="D54" ca="1">INDIRECT("R[40]C["&amp;$A$46&amp;"]",FALSE)</f>
        <v>0</v>
      </c>
      <c r="E54" s="124" cm="1">
        <f t="array" aca="1" ref="E54" ca="1">INDIRECT("R[40]C["&amp;$A$46&amp;"]",FALSE)</f>
        <v>0</v>
      </c>
      <c r="F54" s="124" cm="1">
        <f t="array" aca="1" ref="F54" ca="1">INDIRECT("R[40]C["&amp;$A$46&amp;"]",FALSE)</f>
        <v>0</v>
      </c>
      <c r="G54" s="124" cm="1">
        <f t="array" aca="1" ref="G54" ca="1">INDIRECT("R[40]C["&amp;$A$46&amp;"]",FALSE)</f>
        <v>0</v>
      </c>
      <c r="H54" s="124" cm="1">
        <f t="array" aca="1" ref="H54" ca="1">INDIRECT("R[40]C["&amp;$A$46&amp;"]",FALSE)</f>
        <v>0</v>
      </c>
      <c r="I54" s="124" cm="1">
        <f t="array" aca="1" ref="I54" ca="1">INDIRECT("R[40]C["&amp;$A$46&amp;"]",FALSE)</f>
        <v>0</v>
      </c>
      <c r="J54" s="124" cm="1">
        <f t="array" aca="1" ref="J54" ca="1">INDIRECT("R[40]C["&amp;$A$46&amp;"]",FALSE)</f>
        <v>0</v>
      </c>
      <c r="K54" s="124" cm="1">
        <f t="array" aca="1" ref="K54" ca="1">INDIRECT("R[40]C["&amp;$A$46&amp;"]",FALSE)</f>
        <v>0</v>
      </c>
      <c r="L54" s="124" cm="1">
        <f t="array" aca="1" ref="L54" ca="1">INDIRECT("R[40]C["&amp;$A$46&amp;"]",FALSE)</f>
        <v>0</v>
      </c>
      <c r="M54" s="124" cm="1">
        <f t="array" aca="1" ref="M54" ca="1">INDIRECT("R[40]C["&amp;$A$46&amp;"]",FALSE)</f>
        <v>0</v>
      </c>
      <c r="N54" s="124" cm="1">
        <f t="array" aca="1" ref="N54" ca="1">INDIRECT("R[40]C["&amp;$A$46&amp;"]",FALSE)</f>
        <v>0</v>
      </c>
      <c r="O54" s="124" cm="1">
        <f t="array" aca="1" ref="O54" ca="1">INDIRECT("R[40]C["&amp;$A$46&amp;"]",FALSE)</f>
        <v>0</v>
      </c>
      <c r="P54" s="124" cm="1">
        <f t="array" aca="1" ref="P54" ca="1">INDIRECT("R[40]C["&amp;$A$46&amp;"]",FALSE)</f>
        <v>0</v>
      </c>
      <c r="Q54" s="123"/>
      <c r="R54" s="128">
        <f ca="1">SUM(D54:P54)</f>
        <v>0</v>
      </c>
    </row>
    <row r="55" spans="1:18" ht="15.5" x14ac:dyDescent="0.35">
      <c r="A55" s="121">
        <f>A54</f>
        <v>1</v>
      </c>
      <c r="B55" s="123">
        <v>15</v>
      </c>
      <c r="C55" s="127" cm="1">
        <f t="array" aca="1" ref="C55" ca="1">INDIRECT("R[40]C["&amp;$A$46&amp;"]",FALSE)</f>
        <v>0</v>
      </c>
      <c r="D55" s="124" cm="1">
        <f t="array" aca="1" ref="D55" ca="1">INDIRECT("R[40]C["&amp;$A$46&amp;"]",FALSE)</f>
        <v>0</v>
      </c>
      <c r="E55" s="124" cm="1">
        <f t="array" aca="1" ref="E55" ca="1">INDIRECT("R[40]C["&amp;$A$46&amp;"]",FALSE)</f>
        <v>0</v>
      </c>
      <c r="F55" s="124" cm="1">
        <f t="array" aca="1" ref="F55" ca="1">INDIRECT("R[40]C["&amp;$A$46&amp;"]",FALSE)</f>
        <v>0</v>
      </c>
      <c r="G55" s="124" cm="1">
        <f t="array" aca="1" ref="G55" ca="1">INDIRECT("R[40]C["&amp;$A$46&amp;"]",FALSE)</f>
        <v>0</v>
      </c>
      <c r="H55" s="124" cm="1">
        <f t="array" aca="1" ref="H55" ca="1">INDIRECT("R[40]C["&amp;$A$46&amp;"]",FALSE)</f>
        <v>0</v>
      </c>
      <c r="I55" s="124" cm="1">
        <f t="array" aca="1" ref="I55" ca="1">INDIRECT("R[40]C["&amp;$A$46&amp;"]",FALSE)</f>
        <v>0</v>
      </c>
      <c r="J55" s="124" cm="1">
        <f t="array" aca="1" ref="J55" ca="1">INDIRECT("R[40]C["&amp;$A$46&amp;"]",FALSE)</f>
        <v>0</v>
      </c>
      <c r="K55" s="124" cm="1">
        <f t="array" aca="1" ref="K55" ca="1">INDIRECT("R[40]C["&amp;$A$46&amp;"]",FALSE)</f>
        <v>0</v>
      </c>
      <c r="L55" s="124" cm="1">
        <f t="array" aca="1" ref="L55" ca="1">INDIRECT("R[40]C["&amp;$A$46&amp;"]",FALSE)</f>
        <v>0</v>
      </c>
      <c r="M55" s="124" cm="1">
        <f t="array" aca="1" ref="M55" ca="1">INDIRECT("R[40]C["&amp;$A$46&amp;"]",FALSE)</f>
        <v>0</v>
      </c>
      <c r="N55" s="124" cm="1">
        <f t="array" aca="1" ref="N55" ca="1">INDIRECT("R[40]C["&amp;$A$46&amp;"]",FALSE)</f>
        <v>0</v>
      </c>
      <c r="O55" s="124" cm="1">
        <f t="array" aca="1" ref="O55" ca="1">INDIRECT("R[40]C["&amp;$A$46&amp;"]",FALSE)</f>
        <v>0</v>
      </c>
      <c r="P55" s="124" cm="1">
        <f t="array" aca="1" ref="P55" ca="1">INDIRECT("R[40]C["&amp;$A$46&amp;"]",FALSE)</f>
        <v>0</v>
      </c>
      <c r="Q55" s="123"/>
      <c r="R55" s="128">
        <f ca="1">SUM(D55:P55)</f>
        <v>0</v>
      </c>
    </row>
    <row r="56" spans="1:18" ht="15.5" x14ac:dyDescent="0.35">
      <c r="A56" s="121">
        <f>A55</f>
        <v>1</v>
      </c>
      <c r="B56" s="123">
        <v>18</v>
      </c>
      <c r="C56" s="127" cm="1">
        <f t="array" aca="1" ref="C56" ca="1">INDIRECT("R[40]C["&amp;$A$46&amp;"]",FALSE)</f>
        <v>0</v>
      </c>
      <c r="D56" s="124" cm="1">
        <f t="array" aca="1" ref="D56" ca="1">INDIRECT("R[40]C["&amp;$A$46&amp;"]",FALSE)</f>
        <v>0</v>
      </c>
      <c r="E56" s="124" cm="1">
        <f t="array" aca="1" ref="E56" ca="1">INDIRECT("R[40]C["&amp;$A$46&amp;"]",FALSE)</f>
        <v>0</v>
      </c>
      <c r="F56" s="124" cm="1">
        <f t="array" aca="1" ref="F56" ca="1">INDIRECT("R[40]C["&amp;$A$46&amp;"]",FALSE)</f>
        <v>0</v>
      </c>
      <c r="G56" s="124" cm="1">
        <f t="array" aca="1" ref="G56" ca="1">INDIRECT("R[40]C["&amp;$A$46&amp;"]",FALSE)</f>
        <v>0</v>
      </c>
      <c r="H56" s="124" cm="1">
        <f t="array" aca="1" ref="H56" ca="1">INDIRECT("R[40]C["&amp;$A$46&amp;"]",FALSE)</f>
        <v>0</v>
      </c>
      <c r="I56" s="124" cm="1">
        <f t="array" aca="1" ref="I56" ca="1">INDIRECT("R[40]C["&amp;$A$46&amp;"]",FALSE)</f>
        <v>0</v>
      </c>
      <c r="J56" s="124" cm="1">
        <f t="array" aca="1" ref="J56" ca="1">INDIRECT("R[40]C["&amp;$A$46&amp;"]",FALSE)</f>
        <v>0</v>
      </c>
      <c r="K56" s="124" cm="1">
        <f t="array" aca="1" ref="K56" ca="1">INDIRECT("R[40]C["&amp;$A$46&amp;"]",FALSE)</f>
        <v>0</v>
      </c>
      <c r="L56" s="124" cm="1">
        <f t="array" aca="1" ref="L56" ca="1">INDIRECT("R[40]C["&amp;$A$46&amp;"]",FALSE)</f>
        <v>83.333333333333329</v>
      </c>
      <c r="M56" s="124" cm="1">
        <f t="array" aca="1" ref="M56" ca="1">INDIRECT("R[40]C["&amp;$A$46&amp;"]",FALSE)</f>
        <v>111.11111111111111</v>
      </c>
      <c r="N56" s="124" cm="1">
        <f t="array" aca="1" ref="N56" ca="1">INDIRECT("R[40]C["&amp;$A$46&amp;"]",FALSE)</f>
        <v>138.88888888888889</v>
      </c>
      <c r="O56" s="124" cm="1">
        <f t="array" aca="1" ref="O56" ca="1">INDIRECT("R[40]C["&amp;$A$46&amp;"]",FALSE)</f>
        <v>55.555555555555557</v>
      </c>
      <c r="P56" s="124" cm="1">
        <f t="array" aca="1" ref="P56" ca="1">INDIRECT("R[40]C["&amp;$A$46&amp;"]",FALSE)</f>
        <v>0</v>
      </c>
      <c r="Q56" s="123"/>
      <c r="R56" s="128">
        <f ca="1">SUM(D56:P56)</f>
        <v>388.88888888888891</v>
      </c>
    </row>
    <row r="57" spans="1:18" ht="15.5" x14ac:dyDescent="0.35">
      <c r="A57" s="116"/>
      <c r="B57" s="129" t="s">
        <v>352</v>
      </c>
      <c r="C57" s="133"/>
      <c r="D57" s="129"/>
      <c r="E57" s="129"/>
      <c r="F57" s="129"/>
      <c r="G57" s="129"/>
      <c r="H57" s="129"/>
      <c r="I57" s="129"/>
      <c r="J57" s="129"/>
      <c r="K57" s="129"/>
      <c r="L57" s="129"/>
      <c r="M57" s="129"/>
      <c r="N57" s="129"/>
      <c r="O57" s="129"/>
      <c r="P57" s="129"/>
      <c r="Q57" s="129"/>
      <c r="R57" s="130"/>
    </row>
    <row r="58" spans="1:18" ht="15.5" x14ac:dyDescent="0.35">
      <c r="A58" s="121">
        <f>A56</f>
        <v>1</v>
      </c>
      <c r="B58" s="123">
        <v>12</v>
      </c>
      <c r="C58" s="127" cm="1">
        <f t="array" aca="1" ref="C58" ca="1">INDIRECT("R[40]C["&amp;$A$58&amp;"]",FALSE)</f>
        <v>0</v>
      </c>
      <c r="D58" s="124" cm="1">
        <f t="array" aca="1" ref="D58" ca="1">INDIRECT("R[40]C["&amp;$A$58&amp;"]",FALSE)</f>
        <v>0</v>
      </c>
      <c r="E58" s="124" cm="1">
        <f t="array" aca="1" ref="E58" ca="1">INDIRECT("R[40]C["&amp;$A$58&amp;"]",FALSE)</f>
        <v>0</v>
      </c>
      <c r="F58" s="124" cm="1">
        <f t="array" aca="1" ref="F58" ca="1">INDIRECT("R[40]C["&amp;$A$58&amp;"]",FALSE)</f>
        <v>0</v>
      </c>
      <c r="G58" s="124" cm="1">
        <f t="array" aca="1" ref="G58" ca="1">INDIRECT("R[40]C["&amp;$A$58&amp;"]",FALSE)</f>
        <v>0</v>
      </c>
      <c r="H58" s="124" cm="1">
        <f t="array" aca="1" ref="H58" ca="1">INDIRECT("R[40]C["&amp;$A$58&amp;"]",FALSE)</f>
        <v>0</v>
      </c>
      <c r="I58" s="124" cm="1">
        <f t="array" aca="1" ref="I58" ca="1">INDIRECT("R[40]C["&amp;$A$58&amp;"]",FALSE)</f>
        <v>0</v>
      </c>
      <c r="J58" s="124" cm="1">
        <f t="array" aca="1" ref="J58" ca="1">INDIRECT("R[40]C["&amp;$A$58&amp;"]",FALSE)</f>
        <v>0</v>
      </c>
      <c r="K58" s="124" cm="1">
        <f t="array" aca="1" ref="K58" ca="1">INDIRECT("R[40]C["&amp;$A$58&amp;"]",FALSE)</f>
        <v>0</v>
      </c>
      <c r="L58" s="124" cm="1">
        <f t="array" aca="1" ref="L58" ca="1">INDIRECT("R[40]C["&amp;$A$58&amp;"]",FALSE)</f>
        <v>0</v>
      </c>
      <c r="M58" s="124" cm="1">
        <f t="array" aca="1" ref="M58" ca="1">INDIRECT("R[40]C["&amp;$A$58&amp;"]",FALSE)</f>
        <v>0</v>
      </c>
      <c r="N58" s="124" cm="1">
        <f t="array" aca="1" ref="N58" ca="1">INDIRECT("R[40]C["&amp;$A$58&amp;"]",FALSE)</f>
        <v>0</v>
      </c>
      <c r="O58" s="124" cm="1">
        <f t="array" aca="1" ref="O58" ca="1">INDIRECT("R[40]C["&amp;$A$58&amp;"]",FALSE)</f>
        <v>0</v>
      </c>
      <c r="P58" s="124" cm="1">
        <f t="array" aca="1" ref="P58" ca="1">INDIRECT("R[40]C["&amp;$A$58&amp;"]",FALSE)</f>
        <v>0</v>
      </c>
      <c r="Q58" s="125"/>
      <c r="R58" s="128">
        <f ca="1">SUM(D58:P58)</f>
        <v>0</v>
      </c>
    </row>
    <row r="59" spans="1:18" ht="15.5" x14ac:dyDescent="0.35">
      <c r="A59" s="121">
        <f>A56</f>
        <v>1</v>
      </c>
      <c r="B59" s="123">
        <v>15</v>
      </c>
      <c r="C59" s="127" cm="1">
        <f t="array" aca="1" ref="C59" ca="1">INDIRECT("R[40]C["&amp;$A$58&amp;"]",FALSE)</f>
        <v>0</v>
      </c>
      <c r="D59" s="124" cm="1">
        <f t="array" aca="1" ref="D59" ca="1">INDIRECT("R[40]C["&amp;$A$58&amp;"]",FALSE)</f>
        <v>0</v>
      </c>
      <c r="E59" s="124" cm="1">
        <f t="array" aca="1" ref="E59" ca="1">INDIRECT("R[40]C["&amp;$A$58&amp;"]",FALSE)</f>
        <v>0</v>
      </c>
      <c r="F59" s="124" cm="1">
        <f t="array" aca="1" ref="F59" ca="1">INDIRECT("R[40]C["&amp;$A$58&amp;"]",FALSE)</f>
        <v>0</v>
      </c>
      <c r="G59" s="124" cm="1">
        <f t="array" aca="1" ref="G59" ca="1">INDIRECT("R[40]C["&amp;$A$58&amp;"]",FALSE)</f>
        <v>0</v>
      </c>
      <c r="H59" s="124" cm="1">
        <f t="array" aca="1" ref="H59" ca="1">INDIRECT("R[40]C["&amp;$A$58&amp;"]",FALSE)</f>
        <v>0</v>
      </c>
      <c r="I59" s="124" cm="1">
        <f t="array" aca="1" ref="I59" ca="1">INDIRECT("R[40]C["&amp;$A$58&amp;"]",FALSE)</f>
        <v>0</v>
      </c>
      <c r="J59" s="124" cm="1">
        <f t="array" aca="1" ref="J59" ca="1">INDIRECT("R[40]C["&amp;$A$58&amp;"]",FALSE)</f>
        <v>0</v>
      </c>
      <c r="K59" s="124" cm="1">
        <f t="array" aca="1" ref="K59" ca="1">INDIRECT("R[40]C["&amp;$A$58&amp;"]",FALSE)</f>
        <v>0</v>
      </c>
      <c r="L59" s="124" cm="1">
        <f t="array" aca="1" ref="L59" ca="1">INDIRECT("R[40]C["&amp;$A$58&amp;"]",FALSE)</f>
        <v>0</v>
      </c>
      <c r="M59" s="124" cm="1">
        <f t="array" aca="1" ref="M59" ca="1">INDIRECT("R[40]C["&amp;$A$58&amp;"]",FALSE)</f>
        <v>0</v>
      </c>
      <c r="N59" s="124" cm="1">
        <f t="array" aca="1" ref="N59" ca="1">INDIRECT("R[40]C["&amp;$A$58&amp;"]",FALSE)</f>
        <v>0</v>
      </c>
      <c r="O59" s="124" cm="1">
        <f t="array" aca="1" ref="O59" ca="1">INDIRECT("R[40]C["&amp;$A$58&amp;"]",FALSE)</f>
        <v>0</v>
      </c>
      <c r="P59" s="124" cm="1">
        <f t="array" aca="1" ref="P59" ca="1">INDIRECT("R[40]C["&amp;$A$58&amp;"]",FALSE)</f>
        <v>0</v>
      </c>
      <c r="Q59" s="125"/>
      <c r="R59" s="128">
        <f ca="1">SUM(D59:P59)</f>
        <v>0</v>
      </c>
    </row>
    <row r="60" spans="1:18" ht="15.5" x14ac:dyDescent="0.35">
      <c r="A60" s="121">
        <f>A56</f>
        <v>1</v>
      </c>
      <c r="B60" s="123">
        <v>18</v>
      </c>
      <c r="C60" s="127" cm="1">
        <f t="array" aca="1" ref="C60" ca="1">INDIRECT("R[40]C["&amp;$A$58&amp;"]",FALSE)</f>
        <v>0</v>
      </c>
      <c r="D60" s="124" cm="1">
        <f t="array" aca="1" ref="D60" ca="1">INDIRECT("R[40]C["&amp;$A$58&amp;"]",FALSE)</f>
        <v>0</v>
      </c>
      <c r="E60" s="124" cm="1">
        <f t="array" aca="1" ref="E60" ca="1">INDIRECT("R[40]C["&amp;$A$58&amp;"]",FALSE)</f>
        <v>0</v>
      </c>
      <c r="F60" s="124" cm="1">
        <f t="array" aca="1" ref="F60" ca="1">INDIRECT("R[40]C["&amp;$A$58&amp;"]",FALSE)</f>
        <v>0</v>
      </c>
      <c r="G60" s="124" cm="1">
        <f t="array" aca="1" ref="G60" ca="1">INDIRECT("R[40]C["&amp;$A$58&amp;"]",FALSE)</f>
        <v>0</v>
      </c>
      <c r="H60" s="124" cm="1">
        <f t="array" aca="1" ref="H60" ca="1">INDIRECT("R[40]C["&amp;$A$58&amp;"]",FALSE)</f>
        <v>0</v>
      </c>
      <c r="I60" s="124" cm="1">
        <f t="array" aca="1" ref="I60" ca="1">INDIRECT("R[40]C["&amp;$A$58&amp;"]",FALSE)</f>
        <v>0</v>
      </c>
      <c r="J60" s="124" cm="1">
        <f t="array" aca="1" ref="J60" ca="1">INDIRECT("R[40]C["&amp;$A$58&amp;"]",FALSE)</f>
        <v>0</v>
      </c>
      <c r="K60" s="124" cm="1">
        <f t="array" aca="1" ref="K60" ca="1">INDIRECT("R[40]C["&amp;$A$58&amp;"]",FALSE)</f>
        <v>0</v>
      </c>
      <c r="L60" s="124" cm="1">
        <f t="array" aca="1" ref="L60" ca="1">INDIRECT("R[40]C["&amp;$A$58&amp;"]",FALSE)</f>
        <v>83.333333333333329</v>
      </c>
      <c r="M60" s="124" cm="1">
        <f t="array" aca="1" ref="M60" ca="1">INDIRECT("R[40]C["&amp;$A$58&amp;"]",FALSE)</f>
        <v>111.11111111111111</v>
      </c>
      <c r="N60" s="124" cm="1">
        <f t="array" aca="1" ref="N60" ca="1">INDIRECT("R[40]C["&amp;$A$58&amp;"]",FALSE)</f>
        <v>138.88888888888889</v>
      </c>
      <c r="O60" s="124" cm="1">
        <f t="array" aca="1" ref="O60" ca="1">INDIRECT("R[40]C["&amp;$A$58&amp;"]",FALSE)</f>
        <v>55.555555555555557</v>
      </c>
      <c r="P60" s="124" cm="1">
        <f t="array" aca="1" ref="P60" ca="1">INDIRECT("R[40]C["&amp;$A$58&amp;"]",FALSE)</f>
        <v>0</v>
      </c>
      <c r="Q60" s="125"/>
      <c r="R60" s="128">
        <f ca="1">SUM(D60:P60)</f>
        <v>388.88888888888891</v>
      </c>
    </row>
    <row r="61" spans="1:18" ht="15.5" x14ac:dyDescent="0.35">
      <c r="A61" s="116"/>
      <c r="B61" s="129" t="s">
        <v>116</v>
      </c>
      <c r="C61" s="133"/>
      <c r="D61" s="129"/>
      <c r="E61" s="129"/>
      <c r="F61" s="129"/>
      <c r="G61" s="129"/>
      <c r="H61" s="129"/>
      <c r="I61" s="129"/>
      <c r="J61" s="129"/>
      <c r="K61" s="129"/>
      <c r="L61" s="129"/>
      <c r="M61" s="129"/>
      <c r="N61" s="129"/>
      <c r="O61" s="129"/>
      <c r="P61" s="129"/>
      <c r="Q61" s="129"/>
      <c r="R61" s="130"/>
    </row>
    <row r="62" spans="1:18" ht="15.5" x14ac:dyDescent="0.35">
      <c r="A62" s="121">
        <f>A60</f>
        <v>1</v>
      </c>
      <c r="B62" s="125" t="s">
        <v>257</v>
      </c>
      <c r="C62" s="127" cm="1">
        <f t="array" aca="1" ref="C62" ca="1">INDIRECT("R[40]C["&amp;$A$62&amp;"]",FALSE)</f>
        <v>0</v>
      </c>
      <c r="D62" s="124" cm="1">
        <f t="array" aca="1" ref="D62" ca="1">INDIRECT("R[40]C["&amp;$A$62&amp;"]",FALSE)</f>
        <v>0</v>
      </c>
      <c r="E62" s="124" cm="1">
        <f t="array" aca="1" ref="E62" ca="1">INDIRECT("R[40]C["&amp;$A$62&amp;"]",FALSE)</f>
        <v>0</v>
      </c>
      <c r="F62" s="124" cm="1">
        <f t="array" aca="1" ref="F62" ca="1">INDIRECT("R[40]C["&amp;$A$62&amp;"]",FALSE)</f>
        <v>0</v>
      </c>
      <c r="G62" s="124" cm="1">
        <f t="array" aca="1" ref="G62" ca="1">INDIRECT("R[40]C["&amp;$A$62&amp;"]",FALSE)</f>
        <v>0</v>
      </c>
      <c r="H62" s="124" cm="1">
        <f t="array" aca="1" ref="H62" ca="1">INDIRECT("R[40]C["&amp;$A$62&amp;"]",FALSE)</f>
        <v>0</v>
      </c>
      <c r="I62" s="124" cm="1">
        <f t="array" aca="1" ref="I62" ca="1">INDIRECT("R[40]C["&amp;$A$62&amp;"]",FALSE)</f>
        <v>0</v>
      </c>
      <c r="J62" s="124" cm="1">
        <f t="array" aca="1" ref="J62" ca="1">INDIRECT("R[40]C["&amp;$A$62&amp;"]",FALSE)</f>
        <v>0</v>
      </c>
      <c r="K62" s="124" cm="1">
        <f t="array" aca="1" ref="K62" ca="1">INDIRECT("R[40]C["&amp;$A$62&amp;"]",FALSE)</f>
        <v>0</v>
      </c>
      <c r="L62" s="124" cm="1">
        <f t="array" aca="1" ref="L62" ca="1">INDIRECT("R[40]C["&amp;$A$62&amp;"]",FALSE)</f>
        <v>58.333333333333329</v>
      </c>
      <c r="M62" s="124" cm="1">
        <f t="array" aca="1" ref="M62" ca="1">INDIRECT("R[40]C["&amp;$A$62&amp;"]",FALSE)</f>
        <v>77.777777777777771</v>
      </c>
      <c r="N62" s="124" cm="1">
        <f t="array" aca="1" ref="N62" ca="1">INDIRECT("R[40]C["&amp;$A$62&amp;"]",FALSE)</f>
        <v>97.222222222222214</v>
      </c>
      <c r="O62" s="124" cm="1">
        <f t="array" aca="1" ref="O62" ca="1">INDIRECT("R[40]C["&amp;$A$62&amp;"]",FALSE)</f>
        <v>38.888888888888886</v>
      </c>
      <c r="P62" s="124" cm="1">
        <f t="array" aca="1" ref="P62" ca="1">INDIRECT("R[40]C["&amp;$A$62&amp;"]",FALSE)</f>
        <v>0</v>
      </c>
      <c r="Q62" s="124"/>
      <c r="R62" s="128">
        <f t="shared" ref="R62" ca="1" si="7">SUM(D62:Q62)</f>
        <v>272.22222222222217</v>
      </c>
    </row>
    <row r="63" spans="1:18" ht="15.5" x14ac:dyDescent="0.35">
      <c r="A63" s="121">
        <f>A60</f>
        <v>1</v>
      </c>
      <c r="B63" s="125" t="s">
        <v>258</v>
      </c>
      <c r="C63" s="127" cm="1">
        <f t="array" aca="1" ref="C63" ca="1">INDIRECT("R[40]C["&amp;$A$62&amp;"]",FALSE)</f>
        <v>0</v>
      </c>
      <c r="D63" s="124" cm="1">
        <f t="array" aca="1" ref="D63" ca="1">INDIRECT("R[40]C["&amp;$A$62&amp;"]",FALSE)</f>
        <v>0</v>
      </c>
      <c r="E63" s="124" cm="1">
        <f t="array" aca="1" ref="E63" ca="1">INDIRECT("R[40]C["&amp;$A$62&amp;"]",FALSE)</f>
        <v>0</v>
      </c>
      <c r="F63" s="124" cm="1">
        <f t="array" aca="1" ref="F63" ca="1">INDIRECT("R[40]C["&amp;$A$62&amp;"]",FALSE)</f>
        <v>0</v>
      </c>
      <c r="G63" s="124" cm="1">
        <f t="array" aca="1" ref="G63" ca="1">INDIRECT("R[40]C["&amp;$A$62&amp;"]",FALSE)</f>
        <v>0</v>
      </c>
      <c r="H63" s="124" cm="1">
        <f t="array" aca="1" ref="H63" ca="1">INDIRECT("R[40]C["&amp;$A$62&amp;"]",FALSE)</f>
        <v>0</v>
      </c>
      <c r="I63" s="124" cm="1">
        <f t="array" aca="1" ref="I63" ca="1">INDIRECT("R[40]C["&amp;$A$62&amp;"]",FALSE)</f>
        <v>0</v>
      </c>
      <c r="J63" s="124" cm="1">
        <f t="array" aca="1" ref="J63" ca="1">INDIRECT("R[40]C["&amp;$A$62&amp;"]",FALSE)</f>
        <v>0</v>
      </c>
      <c r="K63" s="124" cm="1">
        <f t="array" aca="1" ref="K63" ca="1">INDIRECT("R[40]C["&amp;$A$62&amp;"]",FALSE)</f>
        <v>0</v>
      </c>
      <c r="L63" s="124" cm="1">
        <f t="array" aca="1" ref="L63" ca="1">INDIRECT("R[40]C["&amp;$A$62&amp;"]",FALSE)</f>
        <v>58.333333333333329</v>
      </c>
      <c r="M63" s="124" cm="1">
        <f t="array" aca="1" ref="M63" ca="1">INDIRECT("R[40]C["&amp;$A$62&amp;"]",FALSE)</f>
        <v>77.777777777777771</v>
      </c>
      <c r="N63" s="124" cm="1">
        <f t="array" aca="1" ref="N63" ca="1">INDIRECT("R[40]C["&amp;$A$62&amp;"]",FALSE)</f>
        <v>97.222222222222214</v>
      </c>
      <c r="O63" s="124" cm="1">
        <f t="array" aca="1" ref="O63" ca="1">INDIRECT("R[40]C["&amp;$A$62&amp;"]",FALSE)</f>
        <v>38.888888888888886</v>
      </c>
      <c r="P63" s="124" cm="1">
        <f t="array" aca="1" ref="P63" ca="1">INDIRECT("R[40]C["&amp;$A$62&amp;"]",FALSE)</f>
        <v>0</v>
      </c>
      <c r="Q63" s="124"/>
      <c r="R63" s="128"/>
    </row>
    <row r="64" spans="1:18" ht="15.5" x14ac:dyDescent="0.35">
      <c r="A64" s="121">
        <f>A60</f>
        <v>1</v>
      </c>
      <c r="B64" s="125" t="s">
        <v>353</v>
      </c>
      <c r="C64" s="127" cm="1">
        <f t="array" aca="1" ref="C64" ca="1">INDIRECT("R[40]C["&amp;$A$62&amp;"]",FALSE)</f>
        <v>0</v>
      </c>
      <c r="D64" s="124" cm="1">
        <f t="array" aca="1" ref="D64" ca="1">INDIRECT("R[40]C["&amp;$A$62&amp;"]",FALSE)</f>
        <v>0</v>
      </c>
      <c r="E64" s="124" cm="1">
        <f t="array" aca="1" ref="E64" ca="1">INDIRECT("R[40]C["&amp;$A$62&amp;"]",FALSE)</f>
        <v>0</v>
      </c>
      <c r="F64" s="124" cm="1">
        <f t="array" aca="1" ref="F64" ca="1">INDIRECT("R[40]C["&amp;$A$62&amp;"]",FALSE)</f>
        <v>0</v>
      </c>
      <c r="G64" s="124" cm="1">
        <f t="array" aca="1" ref="G64" ca="1">INDIRECT("R[40]C["&amp;$A$62&amp;"]",FALSE)</f>
        <v>0</v>
      </c>
      <c r="H64" s="124" cm="1">
        <f t="array" aca="1" ref="H64" ca="1">INDIRECT("R[40]C["&amp;$A$62&amp;"]",FALSE)</f>
        <v>0</v>
      </c>
      <c r="I64" s="124" cm="1">
        <f t="array" aca="1" ref="I64" ca="1">INDIRECT("R[40]C["&amp;$A$62&amp;"]",FALSE)</f>
        <v>0</v>
      </c>
      <c r="J64" s="124" cm="1">
        <f t="array" aca="1" ref="J64" ca="1">INDIRECT("R[40]C["&amp;$A$62&amp;"]",FALSE)</f>
        <v>0</v>
      </c>
      <c r="K64" s="124" cm="1">
        <f t="array" aca="1" ref="K64" ca="1">INDIRECT("R[40]C["&amp;$A$62&amp;"]",FALSE)</f>
        <v>0</v>
      </c>
      <c r="L64" s="124" cm="1">
        <f t="array" aca="1" ref="L64" ca="1">INDIRECT("R[40]C["&amp;$A$62&amp;"]",FALSE)</f>
        <v>12.499999999999998</v>
      </c>
      <c r="M64" s="124" cm="1">
        <f t="array" aca="1" ref="M64" ca="1">INDIRECT("R[40]C["&amp;$A$62&amp;"]",FALSE)</f>
        <v>16.666666666666668</v>
      </c>
      <c r="N64" s="124" cm="1">
        <f t="array" aca="1" ref="N64" ca="1">INDIRECT("R[40]C["&amp;$A$62&amp;"]",FALSE)</f>
        <v>20.833333333333332</v>
      </c>
      <c r="O64" s="124" cm="1">
        <f t="array" aca="1" ref="O64" ca="1">INDIRECT("R[40]C["&amp;$A$62&amp;"]",FALSE)</f>
        <v>8.3333333333333339</v>
      </c>
      <c r="P64" s="124" cm="1">
        <f t="array" aca="1" ref="P64" ca="1">INDIRECT("R[40]C["&amp;$A$62&amp;"]",FALSE)</f>
        <v>0</v>
      </c>
      <c r="Q64" s="124"/>
      <c r="R64" s="128">
        <f t="shared" ref="R64:R66" ca="1" si="8">SUM(D64:Q64)</f>
        <v>58.333333333333336</v>
      </c>
    </row>
    <row r="65" spans="1:18" ht="15.5" x14ac:dyDescent="0.35">
      <c r="A65" s="121">
        <f>A60</f>
        <v>1</v>
      </c>
      <c r="B65" s="125" t="s">
        <v>117</v>
      </c>
      <c r="C65" s="127" cm="1">
        <f t="array" aca="1" ref="C65" ca="1">INDIRECT("R[40]C["&amp;$A$62&amp;"]",FALSE)</f>
        <v>0</v>
      </c>
      <c r="D65" s="124" cm="1">
        <f t="array" aca="1" ref="D65" ca="1">INDIRECT("R[40]C["&amp;$A$62&amp;"]",FALSE)</f>
        <v>0</v>
      </c>
      <c r="E65" s="124" cm="1">
        <f t="array" aca="1" ref="E65" ca="1">INDIRECT("R[40]C["&amp;$A$62&amp;"]",FALSE)</f>
        <v>0</v>
      </c>
      <c r="F65" s="124" cm="1">
        <f t="array" aca="1" ref="F65" ca="1">INDIRECT("R[40]C["&amp;$A$62&amp;"]",FALSE)</f>
        <v>0</v>
      </c>
      <c r="G65" s="124" cm="1">
        <f t="array" aca="1" ref="G65" ca="1">INDIRECT("R[40]C["&amp;$A$62&amp;"]",FALSE)</f>
        <v>0</v>
      </c>
      <c r="H65" s="124" cm="1">
        <f t="array" aca="1" ref="H65" ca="1">INDIRECT("R[40]C["&amp;$A$62&amp;"]",FALSE)</f>
        <v>0</v>
      </c>
      <c r="I65" s="124" cm="1">
        <f t="array" aca="1" ref="I65" ca="1">INDIRECT("R[40]C["&amp;$A$62&amp;"]",FALSE)</f>
        <v>0</v>
      </c>
      <c r="J65" s="124" cm="1">
        <f t="array" aca="1" ref="J65" ca="1">INDIRECT("R[40]C["&amp;$A$62&amp;"]",FALSE)</f>
        <v>0</v>
      </c>
      <c r="K65" s="124" cm="1">
        <f t="array" aca="1" ref="K65" ca="1">INDIRECT("R[40]C["&amp;$A$62&amp;"]",FALSE)</f>
        <v>0</v>
      </c>
      <c r="L65" s="124" cm="1">
        <f t="array" aca="1" ref="L65" ca="1">INDIRECT("R[40]C["&amp;$A$62&amp;"]",FALSE)</f>
        <v>12.499999999999998</v>
      </c>
      <c r="M65" s="124" cm="1">
        <f t="array" aca="1" ref="M65" ca="1">INDIRECT("R[40]C["&amp;$A$62&amp;"]",FALSE)</f>
        <v>16.666666666666668</v>
      </c>
      <c r="N65" s="124" cm="1">
        <f t="array" aca="1" ref="N65" ca="1">INDIRECT("R[40]C["&amp;$A$62&amp;"]",FALSE)</f>
        <v>20.833333333333332</v>
      </c>
      <c r="O65" s="124" cm="1">
        <f t="array" aca="1" ref="O65" ca="1">INDIRECT("R[40]C["&amp;$A$62&amp;"]",FALSE)</f>
        <v>8.3333333333333339</v>
      </c>
      <c r="P65" s="124" cm="1">
        <f t="array" aca="1" ref="P65" ca="1">INDIRECT("R[40]C["&amp;$A$62&amp;"]",FALSE)</f>
        <v>0</v>
      </c>
      <c r="Q65" s="124"/>
      <c r="R65" s="128">
        <f t="shared" ca="1" si="8"/>
        <v>58.333333333333336</v>
      </c>
    </row>
    <row r="66" spans="1:18" ht="15.5" x14ac:dyDescent="0.35">
      <c r="A66" s="121">
        <f>A60</f>
        <v>1</v>
      </c>
      <c r="B66" s="125" t="s">
        <v>354</v>
      </c>
      <c r="C66" s="127" cm="1">
        <f t="array" aca="1" ref="C66" ca="1">INDIRECT("R[40]C["&amp;$A$62&amp;"]",FALSE)</f>
        <v>0</v>
      </c>
      <c r="D66" s="124" cm="1">
        <f t="array" aca="1" ref="D66" ca="1">INDIRECT("R[40]C["&amp;$A$62&amp;"]",FALSE)</f>
        <v>0</v>
      </c>
      <c r="E66" s="124" cm="1">
        <f t="array" aca="1" ref="E66" ca="1">INDIRECT("R[40]C["&amp;$A$62&amp;"]",FALSE)</f>
        <v>0</v>
      </c>
      <c r="F66" s="124" cm="1">
        <f t="array" aca="1" ref="F66" ca="1">INDIRECT("R[40]C["&amp;$A$62&amp;"]",FALSE)</f>
        <v>0</v>
      </c>
      <c r="G66" s="124" cm="1">
        <f t="array" aca="1" ref="G66" ca="1">INDIRECT("R[40]C["&amp;$A$62&amp;"]",FALSE)</f>
        <v>0</v>
      </c>
      <c r="H66" s="124" cm="1">
        <f t="array" aca="1" ref="H66" ca="1">INDIRECT("R[40]C["&amp;$A$62&amp;"]",FALSE)</f>
        <v>0</v>
      </c>
      <c r="I66" s="124" cm="1">
        <f t="array" aca="1" ref="I66" ca="1">INDIRECT("R[40]C["&amp;$A$62&amp;"]",FALSE)</f>
        <v>0</v>
      </c>
      <c r="J66" s="124" cm="1">
        <f t="array" aca="1" ref="J66" ca="1">INDIRECT("R[40]C["&amp;$A$62&amp;"]",FALSE)</f>
        <v>0</v>
      </c>
      <c r="K66" s="124" cm="1">
        <f t="array" aca="1" ref="K66" ca="1">INDIRECT("R[40]C["&amp;$A$62&amp;"]",FALSE)</f>
        <v>0</v>
      </c>
      <c r="L66" s="124" cm="1">
        <f t="array" aca="1" ref="L66" ca="1">INDIRECT("R[40]C["&amp;$A$62&amp;"]",FALSE)</f>
        <v>2</v>
      </c>
      <c r="M66" s="124" cm="1">
        <f t="array" aca="1" ref="M66" ca="1">INDIRECT("R[40]C["&amp;$A$62&amp;"]",FALSE)</f>
        <v>4</v>
      </c>
      <c r="N66" s="124" cm="1">
        <f t="array" aca="1" ref="N66" ca="1">INDIRECT("R[40]C["&amp;$A$62&amp;"]",FALSE)</f>
        <v>4</v>
      </c>
      <c r="O66" s="124" cm="1">
        <f t="array" aca="1" ref="O66" ca="1">INDIRECT("R[40]C["&amp;$A$62&amp;"]",FALSE)</f>
        <v>2</v>
      </c>
      <c r="P66" s="124" cm="1">
        <f t="array" aca="1" ref="P66" ca="1">INDIRECT("R[40]C["&amp;$A$62&amp;"]",FALSE)</f>
        <v>0</v>
      </c>
      <c r="Q66" s="124"/>
      <c r="R66" s="128">
        <f t="shared" ca="1" si="8"/>
        <v>12</v>
      </c>
    </row>
    <row r="67" spans="1:18" ht="15.5" x14ac:dyDescent="0.35">
      <c r="A67" s="116"/>
      <c r="B67" s="129" t="s">
        <v>119</v>
      </c>
      <c r="C67" s="134"/>
      <c r="D67" s="132"/>
      <c r="E67" s="132"/>
      <c r="F67" s="132"/>
      <c r="G67" s="132"/>
      <c r="H67" s="132"/>
      <c r="I67" s="132"/>
      <c r="J67" s="132"/>
      <c r="K67" s="132"/>
      <c r="L67" s="132"/>
      <c r="M67" s="132"/>
      <c r="N67" s="132"/>
      <c r="O67" s="132"/>
      <c r="P67" s="132"/>
      <c r="Q67" s="132"/>
      <c r="R67" s="130"/>
    </row>
    <row r="68" spans="1:18" ht="15.5" x14ac:dyDescent="0.35">
      <c r="A68" s="121">
        <f>A59</f>
        <v>1</v>
      </c>
      <c r="B68" s="125" t="s">
        <v>355</v>
      </c>
      <c r="C68" s="127" cm="1">
        <f t="array" aca="1" ref="C68" ca="1">INDIRECT("R[40]C["&amp;$A$68&amp;"]",FALSE)</f>
        <v>0</v>
      </c>
      <c r="D68" s="124" cm="1">
        <f t="array" aca="1" ref="D68" ca="1">INDIRECT("R[40]C["&amp;$A$68&amp;"]",FALSE)</f>
        <v>0</v>
      </c>
      <c r="E68" s="124" cm="1">
        <f t="array" aca="1" ref="E68" ca="1">INDIRECT("R[40]C["&amp;$A$68&amp;"]",FALSE)</f>
        <v>0</v>
      </c>
      <c r="F68" s="124" cm="1">
        <f t="array" aca="1" ref="F68" ca="1">INDIRECT("R[40]C["&amp;$A$68&amp;"]",FALSE)</f>
        <v>0</v>
      </c>
      <c r="G68" s="124" cm="1">
        <f t="array" aca="1" ref="G68" ca="1">INDIRECT("R[40]C["&amp;$A$68&amp;"]",FALSE)</f>
        <v>0</v>
      </c>
      <c r="H68" s="124" cm="1">
        <f t="array" aca="1" ref="H68" ca="1">INDIRECT("R[40]C["&amp;$A$68&amp;"]",FALSE)</f>
        <v>0</v>
      </c>
      <c r="I68" s="124" cm="1">
        <f t="array" aca="1" ref="I68" ca="1">INDIRECT("R[40]C["&amp;$A$68&amp;"]",FALSE)</f>
        <v>0</v>
      </c>
      <c r="J68" s="124" cm="1">
        <f t="array" aca="1" ref="J68" ca="1">INDIRECT("R[40]C["&amp;$A$68&amp;"]",FALSE)</f>
        <v>0</v>
      </c>
      <c r="K68" s="124" cm="1">
        <f t="array" aca="1" ref="K68" ca="1">INDIRECT("R[40]C["&amp;$A$68&amp;"]",FALSE)</f>
        <v>0</v>
      </c>
      <c r="L68" s="124" cm="1">
        <f t="array" aca="1" ref="L68" ca="1">INDIRECT("R[40]C["&amp;$A$68&amp;"]",FALSE)</f>
        <v>2</v>
      </c>
      <c r="M68" s="124" cm="1">
        <f t="array" aca="1" ref="M68" ca="1">INDIRECT("R[40]C["&amp;$A$68&amp;"]",FALSE)</f>
        <v>4</v>
      </c>
      <c r="N68" s="124" cm="1">
        <f t="array" aca="1" ref="N68" ca="1">INDIRECT("R[40]C["&amp;$A$68&amp;"]",FALSE)</f>
        <v>4</v>
      </c>
      <c r="O68" s="124" cm="1">
        <f t="array" aca="1" ref="O68" ca="1">INDIRECT("R[40]C["&amp;$A$68&amp;"]",FALSE)</f>
        <v>2</v>
      </c>
      <c r="P68" s="124" cm="1">
        <f t="array" aca="1" ref="P68" ca="1">INDIRECT("R[40]C["&amp;$A$68&amp;"]",FALSE)</f>
        <v>0</v>
      </c>
      <c r="Q68" s="124"/>
      <c r="R68" s="128">
        <f t="shared" ref="R68" ca="1" si="9">SUM(D68:Q68)</f>
        <v>12</v>
      </c>
    </row>
    <row r="69" spans="1:18" ht="15.5" x14ac:dyDescent="0.35">
      <c r="A69" s="116"/>
      <c r="B69" s="129" t="s">
        <v>356</v>
      </c>
      <c r="C69" s="134"/>
      <c r="D69" s="131"/>
      <c r="E69" s="131"/>
      <c r="F69" s="131"/>
      <c r="G69" s="131"/>
      <c r="H69" s="131"/>
      <c r="I69" s="131"/>
      <c r="J69" s="131"/>
      <c r="K69" s="131"/>
      <c r="L69" s="131"/>
      <c r="M69" s="131"/>
      <c r="N69" s="131"/>
      <c r="O69" s="131"/>
      <c r="P69" s="131"/>
      <c r="Q69" s="131"/>
      <c r="R69" s="130"/>
    </row>
    <row r="70" spans="1:18" ht="15.5" x14ac:dyDescent="0.35">
      <c r="A70" s="121">
        <f>A59</f>
        <v>1</v>
      </c>
      <c r="B70" s="125" t="s">
        <v>357</v>
      </c>
      <c r="C70" s="127" cm="1">
        <f t="array" aca="1" ref="C70" ca="1">INDIRECT("R[40]C["&amp;$A$70&amp;"]",FALSE)</f>
        <v>0</v>
      </c>
      <c r="D70" s="124" cm="1">
        <f t="array" aca="1" ref="D70" ca="1">INDIRECT("R[40]C["&amp;$A$70&amp;"]",FALSE)</f>
        <v>0</v>
      </c>
      <c r="E70" s="124" cm="1">
        <f t="array" aca="1" ref="E70" ca="1">INDIRECT("R[40]C["&amp;$A$70&amp;"]",FALSE)</f>
        <v>0</v>
      </c>
      <c r="F70" s="124" cm="1">
        <f t="array" aca="1" ref="F70" ca="1">INDIRECT("R[40]C["&amp;$A$70&amp;"]",FALSE)</f>
        <v>0</v>
      </c>
      <c r="G70" s="124" cm="1">
        <f t="array" aca="1" ref="G70" ca="1">INDIRECT("R[40]C["&amp;$A$70&amp;"]",FALSE)</f>
        <v>0</v>
      </c>
      <c r="H70" s="124" cm="1">
        <f t="array" aca="1" ref="H70" ca="1">INDIRECT("R[40]C["&amp;$A$70&amp;"]",FALSE)</f>
        <v>0</v>
      </c>
      <c r="I70" s="124" cm="1">
        <f t="array" aca="1" ref="I70" ca="1">INDIRECT("R[40]C["&amp;$A$70&amp;"]",FALSE)</f>
        <v>0</v>
      </c>
      <c r="J70" s="124" cm="1">
        <f t="array" aca="1" ref="J70" ca="1">INDIRECT("R[40]C["&amp;$A$70&amp;"]",FALSE)</f>
        <v>0</v>
      </c>
      <c r="K70" s="124" cm="1">
        <f t="array" aca="1" ref="K70" ca="1">INDIRECT("R[40]C["&amp;$A$70&amp;"]",FALSE)</f>
        <v>0</v>
      </c>
      <c r="L70" s="124" cm="1">
        <f t="array" aca="1" ref="L70" ca="1">INDIRECT("R[40]C["&amp;$A$70&amp;"]",FALSE)</f>
        <v>183</v>
      </c>
      <c r="M70" s="124" cm="1">
        <f t="array" aca="1" ref="M70" ca="1">INDIRECT("R[40]C["&amp;$A$70&amp;"]",FALSE)</f>
        <v>244.00000000000003</v>
      </c>
      <c r="N70" s="124" cm="1">
        <f t="array" aca="1" ref="N70" ca="1">INDIRECT("R[40]C["&amp;$A$70&amp;"]",FALSE)</f>
        <v>305</v>
      </c>
      <c r="O70" s="124" cm="1">
        <f t="array" aca="1" ref="O70" ca="1">INDIRECT("R[40]C["&amp;$A$70&amp;"]",FALSE)</f>
        <v>122.00000000000001</v>
      </c>
      <c r="P70" s="124" cm="1">
        <f t="array" aca="1" ref="P70" ca="1">INDIRECT("R[40]C["&amp;$A$70&amp;"]",FALSE)</f>
        <v>0</v>
      </c>
      <c r="Q70" s="124"/>
      <c r="R70" s="128">
        <f t="shared" ref="R70:R71" ca="1" si="10">SUM(D70:Q70)</f>
        <v>854</v>
      </c>
    </row>
    <row r="71" spans="1:18" ht="15.5" x14ac:dyDescent="0.35">
      <c r="A71" s="121">
        <f>A59</f>
        <v>1</v>
      </c>
      <c r="B71" s="125" t="s">
        <v>358</v>
      </c>
      <c r="C71" s="127" cm="1">
        <f t="array" aca="1" ref="C71" ca="1">INDIRECT("R[40]C["&amp;$A$70&amp;"]",FALSE)</f>
        <v>0</v>
      </c>
      <c r="D71" s="124" cm="1">
        <f t="array" aca="1" ref="D71" ca="1">INDIRECT("R[40]C["&amp;$A$70&amp;"]",FALSE)</f>
        <v>0</v>
      </c>
      <c r="E71" s="124" cm="1">
        <f t="array" aca="1" ref="E71" ca="1">INDIRECT("R[40]C["&amp;$A$70&amp;"]",FALSE)</f>
        <v>0</v>
      </c>
      <c r="F71" s="124" cm="1">
        <f t="array" aca="1" ref="F71" ca="1">INDIRECT("R[40]C["&amp;$A$70&amp;"]",FALSE)</f>
        <v>0</v>
      </c>
      <c r="G71" s="124" cm="1">
        <f t="array" aca="1" ref="G71" ca="1">INDIRECT("R[40]C["&amp;$A$70&amp;"]",FALSE)</f>
        <v>0</v>
      </c>
      <c r="H71" s="124" cm="1">
        <f t="array" aca="1" ref="H71" ca="1">INDIRECT("R[40]C["&amp;$A$70&amp;"]",FALSE)</f>
        <v>0</v>
      </c>
      <c r="I71" s="124" cm="1">
        <f t="array" aca="1" ref="I71" ca="1">INDIRECT("R[40]C["&amp;$A$70&amp;"]",FALSE)</f>
        <v>0</v>
      </c>
      <c r="J71" s="124" cm="1">
        <f t="array" aca="1" ref="J71" ca="1">INDIRECT("R[40]C["&amp;$A$70&amp;"]",FALSE)</f>
        <v>0</v>
      </c>
      <c r="K71" s="124" cm="1">
        <f t="array" aca="1" ref="K71" ca="1">INDIRECT("R[40]C["&amp;$A$70&amp;"]",FALSE)</f>
        <v>0</v>
      </c>
      <c r="L71" s="124" cm="1">
        <f t="array" aca="1" ref="L71" ca="1">INDIRECT("R[40]C["&amp;$A$70&amp;"]",FALSE)</f>
        <v>300</v>
      </c>
      <c r="M71" s="124" cm="1">
        <f t="array" aca="1" ref="M71" ca="1">INDIRECT("R[40]C["&amp;$A$70&amp;"]",FALSE)</f>
        <v>600</v>
      </c>
      <c r="N71" s="124" cm="1">
        <f t="array" aca="1" ref="N71" ca="1">INDIRECT("R[40]C["&amp;$A$70&amp;"]",FALSE)</f>
        <v>600</v>
      </c>
      <c r="O71" s="124" cm="1">
        <f t="array" aca="1" ref="O71" ca="1">INDIRECT("R[40]C["&amp;$A$70&amp;"]",FALSE)</f>
        <v>300</v>
      </c>
      <c r="P71" s="124" cm="1">
        <f t="array" aca="1" ref="P71" ca="1">INDIRECT("R[40]C["&amp;$A$70&amp;"]",FALSE)</f>
        <v>0</v>
      </c>
      <c r="Q71" s="124"/>
      <c r="R71" s="128">
        <f t="shared" ca="1" si="10"/>
        <v>1800</v>
      </c>
    </row>
    <row r="72" spans="1:18" ht="15.5" x14ac:dyDescent="0.35">
      <c r="A72" s="116"/>
      <c r="B72" s="129"/>
      <c r="C72" s="133"/>
      <c r="D72" s="129"/>
      <c r="E72" s="129"/>
      <c r="F72" s="129"/>
      <c r="G72" s="129"/>
      <c r="H72" s="129"/>
      <c r="I72" s="129"/>
      <c r="J72" s="129"/>
      <c r="K72" s="129"/>
      <c r="L72" s="129"/>
      <c r="M72" s="129"/>
      <c r="N72" s="129"/>
      <c r="O72" s="129"/>
      <c r="P72" s="129"/>
      <c r="Q72" s="129"/>
      <c r="R72" s="130"/>
    </row>
    <row r="73" spans="1:18" ht="15.5" x14ac:dyDescent="0.35">
      <c r="A73" s="116"/>
      <c r="B73" s="116"/>
      <c r="C73" s="116"/>
      <c r="D73" s="116"/>
      <c r="E73" s="116"/>
      <c r="F73" s="116"/>
      <c r="G73" s="116"/>
      <c r="H73" s="116"/>
      <c r="I73" s="116"/>
      <c r="J73" s="116"/>
      <c r="K73" s="116"/>
      <c r="L73" s="116"/>
      <c r="M73" s="116"/>
      <c r="N73" s="116"/>
      <c r="O73" s="116"/>
      <c r="P73" s="116"/>
      <c r="Q73" s="116"/>
      <c r="R73" s="115"/>
    </row>
    <row r="74" spans="1:18" ht="15.5" x14ac:dyDescent="0.35">
      <c r="A74" s="116"/>
      <c r="B74" s="116"/>
      <c r="C74" s="116"/>
      <c r="D74" s="116"/>
      <c r="E74" s="116"/>
      <c r="F74" s="116"/>
      <c r="G74" s="116"/>
      <c r="H74" s="116"/>
      <c r="I74" s="116"/>
      <c r="J74" s="116"/>
      <c r="K74" s="116"/>
      <c r="L74" s="116"/>
      <c r="M74" s="116"/>
      <c r="N74" s="116"/>
      <c r="O74" s="116"/>
      <c r="P74" s="116"/>
      <c r="Q74" s="116"/>
      <c r="R74" s="115"/>
    </row>
    <row r="75" spans="1:18" ht="15.5" x14ac:dyDescent="0.35">
      <c r="A75" s="116"/>
      <c r="B75" s="116" t="s">
        <v>235</v>
      </c>
      <c r="C75" s="115">
        <f ca="1">SUM(C46:C48)</f>
        <v>0</v>
      </c>
      <c r="D75" s="115">
        <f ca="1">SUM(D46:D48)</f>
        <v>0</v>
      </c>
      <c r="E75" s="115">
        <f t="shared" ref="E75:Q75" ca="1" si="11">SUM(E46:E48)</f>
        <v>0</v>
      </c>
      <c r="F75" s="115">
        <f t="shared" ca="1" si="11"/>
        <v>0</v>
      </c>
      <c r="G75" s="115">
        <f t="shared" ca="1" si="11"/>
        <v>0</v>
      </c>
      <c r="H75" s="115">
        <f t="shared" ca="1" si="11"/>
        <v>0</v>
      </c>
      <c r="I75" s="115">
        <f t="shared" ca="1" si="11"/>
        <v>0</v>
      </c>
      <c r="J75" s="115">
        <f t="shared" ca="1" si="11"/>
        <v>0</v>
      </c>
      <c r="K75" s="115">
        <f t="shared" ca="1" si="11"/>
        <v>0</v>
      </c>
      <c r="L75" s="115">
        <f t="shared" ca="1" si="11"/>
        <v>83.333333333333329</v>
      </c>
      <c r="M75" s="115">
        <f t="shared" ca="1" si="11"/>
        <v>111.11111111111111</v>
      </c>
      <c r="N75" s="115">
        <f t="shared" ca="1" si="11"/>
        <v>138.88888888888889</v>
      </c>
      <c r="O75" s="115">
        <f t="shared" ca="1" si="11"/>
        <v>55.555555555555557</v>
      </c>
      <c r="P75" s="115">
        <f t="shared" ca="1" si="11"/>
        <v>0</v>
      </c>
      <c r="Q75" s="115">
        <f t="shared" si="11"/>
        <v>0</v>
      </c>
      <c r="R75" s="115">
        <f ca="1">SUM(R46:R48)</f>
        <v>388.88888888888891</v>
      </c>
    </row>
    <row r="77" spans="1:18" x14ac:dyDescent="0.35">
      <c r="R77" s="22"/>
    </row>
    <row r="78" spans="1:18" x14ac:dyDescent="0.35">
      <c r="R78" s="22"/>
    </row>
    <row r="79" spans="1:18" x14ac:dyDescent="0.35">
      <c r="R79" s="22"/>
    </row>
    <row r="80" spans="1:18" x14ac:dyDescent="0.35">
      <c r="B80" s="28" t="s">
        <v>276</v>
      </c>
      <c r="C80" s="28"/>
      <c r="D80" s="28"/>
      <c r="E80" s="28"/>
      <c r="F80" s="28"/>
      <c r="G80" s="28"/>
      <c r="H80" s="28"/>
      <c r="I80" s="28"/>
      <c r="J80" s="28"/>
      <c r="R80" s="22"/>
    </row>
    <row r="81" spans="1:26" x14ac:dyDescent="0.35">
      <c r="B81" s="7" t="s">
        <v>170</v>
      </c>
      <c r="C81" s="7"/>
      <c r="R81" s="22"/>
    </row>
    <row r="82" spans="1:26" ht="15.5" x14ac:dyDescent="0.35">
      <c r="B82" s="105" t="s">
        <v>110</v>
      </c>
      <c r="C82" s="105"/>
      <c r="D82" s="107">
        <f>D83</f>
        <v>0</v>
      </c>
      <c r="E82" s="108">
        <f>SUM($E83:E83)</f>
        <v>0</v>
      </c>
      <c r="F82" s="108">
        <f>SUM($E83:F83)</f>
        <v>0</v>
      </c>
      <c r="G82" s="108">
        <f>SUM($E83:G83)</f>
        <v>0</v>
      </c>
      <c r="H82" s="108">
        <f>SUM($E83:H83)</f>
        <v>0</v>
      </c>
      <c r="I82" s="108">
        <f>SUM($E83:I83)</f>
        <v>0</v>
      </c>
      <c r="J82" s="108">
        <f>SUM($E83:J83)</f>
        <v>0</v>
      </c>
      <c r="K82" s="108">
        <f>SUM($E83:K83)</f>
        <v>0</v>
      </c>
      <c r="L82" s="109">
        <f>SUM($E83:L83)</f>
        <v>0</v>
      </c>
      <c r="M82" s="108">
        <f>SUM($E83:M83)</f>
        <v>1500</v>
      </c>
      <c r="N82" s="108">
        <f>SUM($E83:N83)</f>
        <v>3500</v>
      </c>
      <c r="O82" s="108">
        <f>SUM($E83:O83)</f>
        <v>6000</v>
      </c>
      <c r="P82" s="108">
        <f>SUM($E83:P83)</f>
        <v>7000</v>
      </c>
      <c r="Q82" s="108">
        <f>SUM($E83:Q83)</f>
        <v>7000</v>
      </c>
      <c r="R82" s="113">
        <f>Q82</f>
        <v>7000</v>
      </c>
    </row>
    <row r="83" spans="1:26" ht="15.5" x14ac:dyDescent="0.35">
      <c r="B83" s="105" t="s">
        <v>361</v>
      </c>
      <c r="C83" s="105"/>
      <c r="D83" s="107">
        <f>SUMPRODUCT(D86:D88,$B$86:$B$88)</f>
        <v>0</v>
      </c>
      <c r="E83" s="108">
        <f>SUMPRODUCT(E86:E88,$B$86:$B$88)</f>
        <v>0</v>
      </c>
      <c r="F83" s="108">
        <f t="shared" ref="F83:Q83" si="12">SUMPRODUCT(F86:F88,$B$86:$B$88)</f>
        <v>0</v>
      </c>
      <c r="G83" s="108">
        <f t="shared" si="12"/>
        <v>0</v>
      </c>
      <c r="H83" s="108">
        <f t="shared" si="12"/>
        <v>0</v>
      </c>
      <c r="I83" s="108">
        <f>SUMPRODUCT(I86:I88,$B$86:$B$88)</f>
        <v>0</v>
      </c>
      <c r="J83" s="108">
        <f>SUMPRODUCT(J86:J88,$B$86:$B$88)</f>
        <v>0</v>
      </c>
      <c r="K83" s="108">
        <f t="shared" si="12"/>
        <v>0</v>
      </c>
      <c r="L83" s="109">
        <f t="shared" si="12"/>
        <v>0</v>
      </c>
      <c r="M83" s="108">
        <f t="shared" si="12"/>
        <v>1500</v>
      </c>
      <c r="N83" s="108">
        <f t="shared" si="12"/>
        <v>2000</v>
      </c>
      <c r="O83" s="108">
        <f>SUMPRODUCT(O86:O88,$B$86:$B$88)</f>
        <v>2500</v>
      </c>
      <c r="P83" s="108">
        <f t="shared" si="12"/>
        <v>1000</v>
      </c>
      <c r="Q83" s="108">
        <f t="shared" si="12"/>
        <v>0</v>
      </c>
      <c r="R83" s="113">
        <f>SUM(D83:Q83)</f>
        <v>7000</v>
      </c>
    </row>
    <row r="84" spans="1:26" ht="15.5" x14ac:dyDescent="0.35">
      <c r="B84" s="105" t="s">
        <v>236</v>
      </c>
      <c r="C84" s="105"/>
      <c r="D84" s="107">
        <f>Aggregated!AA7*$R$2+Aggregated!AP7*$R$3</f>
        <v>0</v>
      </c>
      <c r="E84" s="108">
        <f>Aggregated!BU7*$R$2</f>
        <v>0</v>
      </c>
      <c r="F84" s="108">
        <f>Aggregated!BV7*$R$2</f>
        <v>0</v>
      </c>
      <c r="G84" s="108">
        <f>Aggregated!BW7*$R$2</f>
        <v>0</v>
      </c>
      <c r="H84" s="108">
        <f>Aggregated!BX7*$R$2</f>
        <v>0</v>
      </c>
      <c r="I84" s="108">
        <f>Aggregated!BY7*$R$2</f>
        <v>0</v>
      </c>
      <c r="J84" s="108">
        <f>Aggregated!BZ7*$R$2</f>
        <v>0</v>
      </c>
      <c r="K84" s="108">
        <f>Aggregated!CA7*$R$2</f>
        <v>0</v>
      </c>
      <c r="L84" s="108">
        <f>Aggregated!CB7*$R$2</f>
        <v>0</v>
      </c>
      <c r="M84" s="108">
        <f>Aggregated!CC7*$R$2</f>
        <v>1</v>
      </c>
      <c r="N84" s="108">
        <f>Aggregated!CD7*$R$2</f>
        <v>2</v>
      </c>
      <c r="O84" s="108">
        <f>Aggregated!CE7*$R$2</f>
        <v>2</v>
      </c>
      <c r="P84" s="108">
        <f>Aggregated!CF7*$R$2</f>
        <v>1</v>
      </c>
      <c r="Q84" s="108">
        <f>Aggregated!CG7*$R$2</f>
        <v>0</v>
      </c>
      <c r="R84" s="113">
        <f>SUM(D84:Q84)</f>
        <v>6</v>
      </c>
    </row>
    <row r="85" spans="1:26" ht="15.5" x14ac:dyDescent="0.35">
      <c r="B85" s="135" t="s">
        <v>275</v>
      </c>
      <c r="C85" s="152">
        <v>0</v>
      </c>
      <c r="D85" s="153">
        <v>0</v>
      </c>
      <c r="E85" s="154">
        <f>SUM(E86:E88)</f>
        <v>0</v>
      </c>
      <c r="F85" s="154">
        <f t="shared" ref="F85:Q85" si="13">SUM(F86:F88)</f>
        <v>0</v>
      </c>
      <c r="G85" s="154">
        <f t="shared" si="13"/>
        <v>0</v>
      </c>
      <c r="H85" s="154">
        <f t="shared" si="13"/>
        <v>0</v>
      </c>
      <c r="I85" s="154">
        <f t="shared" si="13"/>
        <v>0</v>
      </c>
      <c r="J85" s="154">
        <f t="shared" si="13"/>
        <v>0</v>
      </c>
      <c r="K85" s="154">
        <f t="shared" si="13"/>
        <v>0</v>
      </c>
      <c r="L85" s="154">
        <f t="shared" si="13"/>
        <v>0</v>
      </c>
      <c r="M85" s="154">
        <f t="shared" si="13"/>
        <v>83.333333333333329</v>
      </c>
      <c r="N85" s="154">
        <f t="shared" si="13"/>
        <v>111.11111111111111</v>
      </c>
      <c r="O85" s="154">
        <f t="shared" si="13"/>
        <v>138.88888888888889</v>
      </c>
      <c r="P85" s="154">
        <f t="shared" si="13"/>
        <v>55.555555555555557</v>
      </c>
      <c r="Q85" s="154">
        <f t="shared" si="13"/>
        <v>0</v>
      </c>
      <c r="R85" s="130">
        <f>SUM(E85:Q85)</f>
        <v>388.88888888888891</v>
      </c>
    </row>
    <row r="86" spans="1:26" ht="15.5" x14ac:dyDescent="0.35">
      <c r="A86" s="29"/>
      <c r="B86" s="111">
        <f>Assumptions!F16</f>
        <v>12</v>
      </c>
      <c r="C86" s="111"/>
      <c r="D86" s="107">
        <v>0</v>
      </c>
      <c r="E86" s="108">
        <f>Aggregated!BU9*$R$2</f>
        <v>0</v>
      </c>
      <c r="F86" s="108">
        <f>Aggregated!BV9*$R$2</f>
        <v>0</v>
      </c>
      <c r="G86" s="108">
        <f>Aggregated!BW9*$R$2</f>
        <v>0</v>
      </c>
      <c r="H86" s="108">
        <f>Aggregated!BX9*$R$2</f>
        <v>0</v>
      </c>
      <c r="I86" s="108">
        <f>Aggregated!BY9*$R$2</f>
        <v>0</v>
      </c>
      <c r="J86" s="108">
        <f>Aggregated!BZ9*$R$2</f>
        <v>0</v>
      </c>
      <c r="K86" s="108">
        <f>Aggregated!CA9*$R$2</f>
        <v>0</v>
      </c>
      <c r="L86" s="108">
        <f>Aggregated!CB9*$R$2</f>
        <v>0</v>
      </c>
      <c r="M86" s="108">
        <f>Aggregated!CC9*$R$2</f>
        <v>0</v>
      </c>
      <c r="N86" s="108">
        <f>Aggregated!CD9*$R$2</f>
        <v>0</v>
      </c>
      <c r="O86" s="108">
        <f>Aggregated!CE9*$R$2</f>
        <v>0</v>
      </c>
      <c r="P86" s="108">
        <f>Aggregated!CF9*$R$2</f>
        <v>0</v>
      </c>
      <c r="Q86" s="108">
        <f>Aggregated!CG9*$R$2</f>
        <v>0</v>
      </c>
      <c r="R86" s="113">
        <f>SUM(D86:Q86)</f>
        <v>0</v>
      </c>
      <c r="S86" s="44"/>
      <c r="T86" s="30"/>
      <c r="U86" s="30"/>
      <c r="V86" s="30"/>
      <c r="W86" s="30"/>
      <c r="X86" s="30"/>
      <c r="Y86" s="30"/>
      <c r="Z86" s="30"/>
    </row>
    <row r="87" spans="1:26" ht="15.5" x14ac:dyDescent="0.35">
      <c r="B87" s="111">
        <f>Assumptions!F17</f>
        <v>15</v>
      </c>
      <c r="C87" s="111"/>
      <c r="D87" s="107">
        <v>0</v>
      </c>
      <c r="E87" s="108">
        <f>Aggregated!BU10*$R$2</f>
        <v>0</v>
      </c>
      <c r="F87" s="108">
        <f>Aggregated!BV10*$R$2</f>
        <v>0</v>
      </c>
      <c r="G87" s="108">
        <f>Aggregated!BW10*$R$2</f>
        <v>0</v>
      </c>
      <c r="H87" s="108">
        <f>Aggregated!BX10*$R$2</f>
        <v>0</v>
      </c>
      <c r="I87" s="108">
        <f>Aggregated!BY10*$R$2</f>
        <v>0</v>
      </c>
      <c r="J87" s="108">
        <f>Aggregated!BZ10*$R$2</f>
        <v>0</v>
      </c>
      <c r="K87" s="108">
        <f>Aggregated!CA10*$R$2</f>
        <v>0</v>
      </c>
      <c r="L87" s="108">
        <f>Aggregated!CB10*$R$2</f>
        <v>0</v>
      </c>
      <c r="M87" s="108">
        <f>Aggregated!CC10*$R$2</f>
        <v>0</v>
      </c>
      <c r="N87" s="108">
        <f>Aggregated!CD10*$R$2</f>
        <v>0</v>
      </c>
      <c r="O87" s="108">
        <f>Aggregated!CE10*$R$2</f>
        <v>0</v>
      </c>
      <c r="P87" s="108">
        <f>Aggregated!CF10*$R$2</f>
        <v>0</v>
      </c>
      <c r="Q87" s="108">
        <f>Aggregated!CG10*$R$2</f>
        <v>0</v>
      </c>
      <c r="R87" s="113">
        <f t="shared" ref="R87:R88" si="14">SUM(D87:Q87)</f>
        <v>0</v>
      </c>
      <c r="S87" s="22"/>
    </row>
    <row r="88" spans="1:26" ht="15.5" x14ac:dyDescent="0.35">
      <c r="B88" s="111">
        <f>Assumptions!F18</f>
        <v>18</v>
      </c>
      <c r="C88" s="111"/>
      <c r="D88" s="107">
        <v>0</v>
      </c>
      <c r="E88" s="108">
        <f>Aggregated!BU11*$R$2</f>
        <v>0</v>
      </c>
      <c r="F88" s="108">
        <f>Aggregated!BV11*$R$2</f>
        <v>0</v>
      </c>
      <c r="G88" s="108">
        <f>Aggregated!BW11*$R$2</f>
        <v>0</v>
      </c>
      <c r="H88" s="108">
        <f>Aggregated!BX11*$R$2</f>
        <v>0</v>
      </c>
      <c r="I88" s="108">
        <f>Aggregated!BY11*$R$2</f>
        <v>0</v>
      </c>
      <c r="J88" s="108">
        <f>Aggregated!BZ11*$R$2</f>
        <v>0</v>
      </c>
      <c r="K88" s="108">
        <f>Aggregated!CA11*$R$2</f>
        <v>0</v>
      </c>
      <c r="L88" s="108">
        <f>Aggregated!CB11*$R$2</f>
        <v>0</v>
      </c>
      <c r="M88" s="108">
        <f>Aggregated!CC11*$R$2</f>
        <v>83.333333333333329</v>
      </c>
      <c r="N88" s="108">
        <f>Aggregated!CD11*$R$2</f>
        <v>111.11111111111111</v>
      </c>
      <c r="O88" s="108">
        <f>Aggregated!CE11*$R$2</f>
        <v>138.88888888888889</v>
      </c>
      <c r="P88" s="108">
        <f>Aggregated!CF11*$R$2</f>
        <v>55.555555555555557</v>
      </c>
      <c r="Q88" s="108">
        <f>Aggregated!CG11*$R$2</f>
        <v>0</v>
      </c>
      <c r="R88" s="113">
        <f t="shared" si="14"/>
        <v>388.88888888888891</v>
      </c>
      <c r="S88" s="22"/>
    </row>
    <row r="89" spans="1:26" ht="15.5" x14ac:dyDescent="0.35">
      <c r="B89" s="135" t="s">
        <v>239</v>
      </c>
      <c r="C89" s="129"/>
      <c r="D89" s="136"/>
      <c r="E89" s="132"/>
      <c r="F89" s="132"/>
      <c r="G89" s="132"/>
      <c r="H89" s="132"/>
      <c r="I89" s="132"/>
      <c r="J89" s="132"/>
      <c r="K89" s="132"/>
      <c r="L89" s="137"/>
      <c r="M89" s="132"/>
      <c r="N89" s="132"/>
      <c r="O89" s="132"/>
      <c r="P89" s="132"/>
      <c r="Q89" s="132"/>
      <c r="R89" s="130"/>
      <c r="S89" s="22"/>
    </row>
    <row r="90" spans="1:26" ht="15.5" x14ac:dyDescent="0.35">
      <c r="B90" s="111">
        <f>B86</f>
        <v>12</v>
      </c>
      <c r="C90" s="111"/>
      <c r="D90" s="107">
        <f>3*D86</f>
        <v>0</v>
      </c>
      <c r="E90" s="108">
        <f t="shared" ref="E90:Q90" si="15">3*E86</f>
        <v>0</v>
      </c>
      <c r="F90" s="108">
        <f t="shared" si="15"/>
        <v>0</v>
      </c>
      <c r="G90" s="108">
        <f t="shared" si="15"/>
        <v>0</v>
      </c>
      <c r="H90" s="108">
        <f t="shared" si="15"/>
        <v>0</v>
      </c>
      <c r="I90" s="108">
        <f t="shared" si="15"/>
        <v>0</v>
      </c>
      <c r="J90" s="108">
        <f t="shared" si="15"/>
        <v>0</v>
      </c>
      <c r="K90" s="108">
        <f t="shared" si="15"/>
        <v>0</v>
      </c>
      <c r="L90" s="109">
        <f t="shared" si="15"/>
        <v>0</v>
      </c>
      <c r="M90" s="108">
        <f t="shared" si="15"/>
        <v>0</v>
      </c>
      <c r="N90" s="108">
        <f t="shared" si="15"/>
        <v>0</v>
      </c>
      <c r="O90" s="108">
        <f t="shared" si="15"/>
        <v>0</v>
      </c>
      <c r="P90" s="108">
        <f t="shared" si="15"/>
        <v>0</v>
      </c>
      <c r="Q90" s="108">
        <f t="shared" si="15"/>
        <v>0</v>
      </c>
      <c r="R90" s="113">
        <f>SUM(D90:Q90)</f>
        <v>0</v>
      </c>
    </row>
    <row r="91" spans="1:26" ht="15.5" x14ac:dyDescent="0.35">
      <c r="B91" s="111">
        <f t="shared" ref="B91:B92" si="16">B87</f>
        <v>15</v>
      </c>
      <c r="C91" s="111"/>
      <c r="D91" s="107">
        <f t="shared" ref="D91:Q92" si="17">3*D87</f>
        <v>0</v>
      </c>
      <c r="E91" s="108">
        <f t="shared" si="17"/>
        <v>0</v>
      </c>
      <c r="F91" s="108">
        <f t="shared" si="17"/>
        <v>0</v>
      </c>
      <c r="G91" s="108">
        <f t="shared" si="17"/>
        <v>0</v>
      </c>
      <c r="H91" s="108">
        <f t="shared" si="17"/>
        <v>0</v>
      </c>
      <c r="I91" s="108">
        <f t="shared" si="17"/>
        <v>0</v>
      </c>
      <c r="J91" s="108">
        <f t="shared" si="17"/>
        <v>0</v>
      </c>
      <c r="K91" s="108">
        <f t="shared" si="17"/>
        <v>0</v>
      </c>
      <c r="L91" s="109">
        <f t="shared" si="17"/>
        <v>0</v>
      </c>
      <c r="M91" s="108">
        <f t="shared" si="17"/>
        <v>0</v>
      </c>
      <c r="N91" s="108">
        <f t="shared" si="17"/>
        <v>0</v>
      </c>
      <c r="O91" s="108">
        <f t="shared" si="17"/>
        <v>0</v>
      </c>
      <c r="P91" s="108">
        <f t="shared" si="17"/>
        <v>0</v>
      </c>
      <c r="Q91" s="108">
        <f t="shared" si="17"/>
        <v>0</v>
      </c>
      <c r="R91" s="113">
        <f t="shared" ref="R91:R92" si="18">SUM(D91:Q91)</f>
        <v>0</v>
      </c>
    </row>
    <row r="92" spans="1:26" ht="15.5" x14ac:dyDescent="0.35">
      <c r="B92" s="111">
        <f t="shared" si="16"/>
        <v>18</v>
      </c>
      <c r="C92" s="111"/>
      <c r="D92" s="107">
        <f t="shared" si="17"/>
        <v>0</v>
      </c>
      <c r="E92" s="108">
        <f t="shared" si="17"/>
        <v>0</v>
      </c>
      <c r="F92" s="108">
        <f t="shared" si="17"/>
        <v>0</v>
      </c>
      <c r="G92" s="108">
        <f t="shared" si="17"/>
        <v>0</v>
      </c>
      <c r="H92" s="108">
        <f t="shared" si="17"/>
        <v>0</v>
      </c>
      <c r="I92" s="108">
        <f t="shared" si="17"/>
        <v>0</v>
      </c>
      <c r="J92" s="108">
        <f t="shared" si="17"/>
        <v>0</v>
      </c>
      <c r="K92" s="108">
        <f t="shared" si="17"/>
        <v>0</v>
      </c>
      <c r="L92" s="109">
        <f t="shared" si="17"/>
        <v>0</v>
      </c>
      <c r="M92" s="108">
        <f t="shared" si="17"/>
        <v>250</v>
      </c>
      <c r="N92" s="108">
        <f t="shared" si="17"/>
        <v>333.33333333333337</v>
      </c>
      <c r="O92" s="108">
        <f t="shared" si="17"/>
        <v>416.66666666666663</v>
      </c>
      <c r="P92" s="108">
        <f t="shared" si="17"/>
        <v>166.66666666666669</v>
      </c>
      <c r="Q92" s="108">
        <f t="shared" si="17"/>
        <v>0</v>
      </c>
      <c r="R92" s="113">
        <f t="shared" si="18"/>
        <v>1166.6666666666667</v>
      </c>
    </row>
    <row r="93" spans="1:26" ht="15.5" x14ac:dyDescent="0.35">
      <c r="B93" s="135" t="s">
        <v>240</v>
      </c>
      <c r="C93" s="129"/>
      <c r="D93" s="136"/>
      <c r="E93" s="132"/>
      <c r="F93" s="132"/>
      <c r="G93" s="132"/>
      <c r="H93" s="132"/>
      <c r="I93" s="132"/>
      <c r="J93" s="132"/>
      <c r="K93" s="132"/>
      <c r="L93" s="137"/>
      <c r="M93" s="132"/>
      <c r="N93" s="132"/>
      <c r="O93" s="132"/>
      <c r="P93" s="132"/>
      <c r="Q93" s="132"/>
      <c r="R93" s="130"/>
    </row>
    <row r="94" spans="1:26" ht="15.5" x14ac:dyDescent="0.35">
      <c r="B94" s="111">
        <f>B86</f>
        <v>12</v>
      </c>
      <c r="C94" s="111"/>
      <c r="D94" s="107">
        <f>D86</f>
        <v>0</v>
      </c>
      <c r="E94" s="108">
        <f t="shared" ref="E94:Q94" si="19">E86</f>
        <v>0</v>
      </c>
      <c r="F94" s="108">
        <f t="shared" si="19"/>
        <v>0</v>
      </c>
      <c r="G94" s="108">
        <f t="shared" si="19"/>
        <v>0</v>
      </c>
      <c r="H94" s="108">
        <f t="shared" si="19"/>
        <v>0</v>
      </c>
      <c r="I94" s="108">
        <f t="shared" si="19"/>
        <v>0</v>
      </c>
      <c r="J94" s="108">
        <f t="shared" si="19"/>
        <v>0</v>
      </c>
      <c r="K94" s="108">
        <f t="shared" si="19"/>
        <v>0</v>
      </c>
      <c r="L94" s="109">
        <f t="shared" si="19"/>
        <v>0</v>
      </c>
      <c r="M94" s="108">
        <f t="shared" si="19"/>
        <v>0</v>
      </c>
      <c r="N94" s="108">
        <f t="shared" si="19"/>
        <v>0</v>
      </c>
      <c r="O94" s="108">
        <f t="shared" si="19"/>
        <v>0</v>
      </c>
      <c r="P94" s="108">
        <f t="shared" si="19"/>
        <v>0</v>
      </c>
      <c r="Q94" s="108">
        <f t="shared" si="19"/>
        <v>0</v>
      </c>
      <c r="R94" s="113">
        <f>SUM(D94:Q94)</f>
        <v>0</v>
      </c>
    </row>
    <row r="95" spans="1:26" ht="15.5" x14ac:dyDescent="0.35">
      <c r="B95" s="111">
        <f t="shared" ref="B95:B96" si="20">B87</f>
        <v>15</v>
      </c>
      <c r="C95" s="111"/>
      <c r="D95" s="107">
        <f t="shared" ref="D95:Q96" si="21">D87</f>
        <v>0</v>
      </c>
      <c r="E95" s="108">
        <f t="shared" si="21"/>
        <v>0</v>
      </c>
      <c r="F95" s="108">
        <f t="shared" si="21"/>
        <v>0</v>
      </c>
      <c r="G95" s="108">
        <f t="shared" si="21"/>
        <v>0</v>
      </c>
      <c r="H95" s="108">
        <f t="shared" si="21"/>
        <v>0</v>
      </c>
      <c r="I95" s="108">
        <f t="shared" si="21"/>
        <v>0</v>
      </c>
      <c r="J95" s="108">
        <f t="shared" si="21"/>
        <v>0</v>
      </c>
      <c r="K95" s="108">
        <f t="shared" si="21"/>
        <v>0</v>
      </c>
      <c r="L95" s="109">
        <f t="shared" si="21"/>
        <v>0</v>
      </c>
      <c r="M95" s="108">
        <f t="shared" si="21"/>
        <v>0</v>
      </c>
      <c r="N95" s="108">
        <f t="shared" si="21"/>
        <v>0</v>
      </c>
      <c r="O95" s="108">
        <f t="shared" si="21"/>
        <v>0</v>
      </c>
      <c r="P95" s="108">
        <f t="shared" si="21"/>
        <v>0</v>
      </c>
      <c r="Q95" s="108">
        <f t="shared" si="21"/>
        <v>0</v>
      </c>
      <c r="R95" s="113">
        <f t="shared" ref="R95:R96" si="22">SUM(D95:Q95)</f>
        <v>0</v>
      </c>
    </row>
    <row r="96" spans="1:26" ht="15.5" x14ac:dyDescent="0.35">
      <c r="B96" s="111">
        <f t="shared" si="20"/>
        <v>18</v>
      </c>
      <c r="C96" s="111"/>
      <c r="D96" s="107">
        <f t="shared" si="21"/>
        <v>0</v>
      </c>
      <c r="E96" s="108">
        <f t="shared" si="21"/>
        <v>0</v>
      </c>
      <c r="F96" s="108">
        <f t="shared" si="21"/>
        <v>0</v>
      </c>
      <c r="G96" s="108">
        <f t="shared" si="21"/>
        <v>0</v>
      </c>
      <c r="H96" s="108">
        <f t="shared" si="21"/>
        <v>0</v>
      </c>
      <c r="I96" s="108">
        <f t="shared" si="21"/>
        <v>0</v>
      </c>
      <c r="J96" s="108">
        <f t="shared" si="21"/>
        <v>0</v>
      </c>
      <c r="K96" s="108">
        <f t="shared" si="21"/>
        <v>0</v>
      </c>
      <c r="L96" s="109">
        <f t="shared" si="21"/>
        <v>0</v>
      </c>
      <c r="M96" s="108">
        <f t="shared" si="21"/>
        <v>83.333333333333329</v>
      </c>
      <c r="N96" s="108">
        <f t="shared" si="21"/>
        <v>111.11111111111111</v>
      </c>
      <c r="O96" s="108">
        <f t="shared" si="21"/>
        <v>138.88888888888889</v>
      </c>
      <c r="P96" s="108">
        <f t="shared" si="21"/>
        <v>55.555555555555557</v>
      </c>
      <c r="Q96" s="108">
        <f t="shared" si="21"/>
        <v>0</v>
      </c>
      <c r="R96" s="113">
        <f t="shared" si="22"/>
        <v>388.88888888888891</v>
      </c>
    </row>
    <row r="97" spans="2:19" ht="15.5" x14ac:dyDescent="0.35">
      <c r="B97" s="135" t="s">
        <v>241</v>
      </c>
      <c r="C97" s="129"/>
      <c r="D97" s="136"/>
      <c r="E97" s="132"/>
      <c r="F97" s="132"/>
      <c r="G97" s="132"/>
      <c r="H97" s="132"/>
      <c r="I97" s="132"/>
      <c r="J97" s="132"/>
      <c r="K97" s="132"/>
      <c r="L97" s="137"/>
      <c r="M97" s="132"/>
      <c r="N97" s="132"/>
      <c r="O97" s="132"/>
      <c r="P97" s="132"/>
      <c r="Q97" s="132"/>
      <c r="R97" s="130"/>
    </row>
    <row r="98" spans="2:19" ht="15.5" x14ac:dyDescent="0.35">
      <c r="B98" s="111">
        <f>B86</f>
        <v>12</v>
      </c>
      <c r="C98" s="111"/>
      <c r="D98" s="107">
        <f>D86</f>
        <v>0</v>
      </c>
      <c r="E98" s="108">
        <f t="shared" ref="E98:Q98" si="23">E86</f>
        <v>0</v>
      </c>
      <c r="F98" s="108">
        <f t="shared" si="23"/>
        <v>0</v>
      </c>
      <c r="G98" s="108">
        <f t="shared" si="23"/>
        <v>0</v>
      </c>
      <c r="H98" s="108">
        <f t="shared" si="23"/>
        <v>0</v>
      </c>
      <c r="I98" s="108">
        <f t="shared" si="23"/>
        <v>0</v>
      </c>
      <c r="J98" s="108">
        <f t="shared" si="23"/>
        <v>0</v>
      </c>
      <c r="K98" s="108">
        <f t="shared" si="23"/>
        <v>0</v>
      </c>
      <c r="L98" s="109">
        <f t="shared" si="23"/>
        <v>0</v>
      </c>
      <c r="M98" s="108">
        <f t="shared" si="23"/>
        <v>0</v>
      </c>
      <c r="N98" s="108">
        <f t="shared" si="23"/>
        <v>0</v>
      </c>
      <c r="O98" s="108">
        <f t="shared" si="23"/>
        <v>0</v>
      </c>
      <c r="P98" s="108">
        <f t="shared" si="23"/>
        <v>0</v>
      </c>
      <c r="Q98" s="108">
        <f t="shared" si="23"/>
        <v>0</v>
      </c>
      <c r="R98" s="113">
        <f t="shared" ref="R98:R100" si="24">SUM(D98:Q98)</f>
        <v>0</v>
      </c>
    </row>
    <row r="99" spans="2:19" ht="15.5" x14ac:dyDescent="0.35">
      <c r="B99" s="111">
        <f t="shared" ref="B99:B100" si="25">B87</f>
        <v>15</v>
      </c>
      <c r="C99" s="111"/>
      <c r="D99" s="107">
        <f t="shared" ref="D99:Q100" si="26">D87</f>
        <v>0</v>
      </c>
      <c r="E99" s="108">
        <f t="shared" si="26"/>
        <v>0</v>
      </c>
      <c r="F99" s="108">
        <f t="shared" si="26"/>
        <v>0</v>
      </c>
      <c r="G99" s="108">
        <f t="shared" si="26"/>
        <v>0</v>
      </c>
      <c r="H99" s="108">
        <f t="shared" si="26"/>
        <v>0</v>
      </c>
      <c r="I99" s="108">
        <f t="shared" si="26"/>
        <v>0</v>
      </c>
      <c r="J99" s="108">
        <f t="shared" si="26"/>
        <v>0</v>
      </c>
      <c r="K99" s="108">
        <f t="shared" si="26"/>
        <v>0</v>
      </c>
      <c r="L99" s="109">
        <f t="shared" si="26"/>
        <v>0</v>
      </c>
      <c r="M99" s="108">
        <f t="shared" si="26"/>
        <v>0</v>
      </c>
      <c r="N99" s="108">
        <f t="shared" si="26"/>
        <v>0</v>
      </c>
      <c r="O99" s="108">
        <f t="shared" si="26"/>
        <v>0</v>
      </c>
      <c r="P99" s="108">
        <f t="shared" si="26"/>
        <v>0</v>
      </c>
      <c r="Q99" s="108">
        <f t="shared" si="26"/>
        <v>0</v>
      </c>
      <c r="R99" s="113">
        <f t="shared" si="24"/>
        <v>0</v>
      </c>
    </row>
    <row r="100" spans="2:19" ht="15.5" x14ac:dyDescent="0.35">
      <c r="B100" s="111">
        <f t="shared" si="25"/>
        <v>18</v>
      </c>
      <c r="C100" s="111"/>
      <c r="D100" s="107">
        <f t="shared" si="26"/>
        <v>0</v>
      </c>
      <c r="E100" s="108">
        <f t="shared" si="26"/>
        <v>0</v>
      </c>
      <c r="F100" s="108">
        <f t="shared" si="26"/>
        <v>0</v>
      </c>
      <c r="G100" s="108">
        <f t="shared" si="26"/>
        <v>0</v>
      </c>
      <c r="H100" s="108">
        <f t="shared" si="26"/>
        <v>0</v>
      </c>
      <c r="I100" s="108">
        <f t="shared" si="26"/>
        <v>0</v>
      </c>
      <c r="J100" s="108">
        <f t="shared" si="26"/>
        <v>0</v>
      </c>
      <c r="K100" s="108">
        <f t="shared" si="26"/>
        <v>0</v>
      </c>
      <c r="L100" s="109">
        <f t="shared" si="26"/>
        <v>0</v>
      </c>
      <c r="M100" s="108">
        <f t="shared" si="26"/>
        <v>83.333333333333329</v>
      </c>
      <c r="N100" s="108">
        <f t="shared" si="26"/>
        <v>111.11111111111111</v>
      </c>
      <c r="O100" s="108">
        <f t="shared" si="26"/>
        <v>138.88888888888889</v>
      </c>
      <c r="P100" s="108">
        <f t="shared" si="26"/>
        <v>55.555555555555557</v>
      </c>
      <c r="Q100" s="108">
        <f t="shared" si="26"/>
        <v>0</v>
      </c>
      <c r="R100" s="113">
        <f t="shared" si="24"/>
        <v>388.88888888888891</v>
      </c>
    </row>
    <row r="101" spans="2:19" ht="15.5" x14ac:dyDescent="0.35">
      <c r="B101" s="135" t="s">
        <v>116</v>
      </c>
      <c r="C101" s="139"/>
      <c r="D101" s="151">
        <f>SUM(D103:D105)</f>
        <v>0</v>
      </c>
      <c r="E101" s="151">
        <f t="shared" ref="E101:Q101" si="27">SUM(E103:E105)</f>
        <v>0</v>
      </c>
      <c r="F101" s="151">
        <f t="shared" si="27"/>
        <v>0</v>
      </c>
      <c r="G101" s="151">
        <f t="shared" si="27"/>
        <v>0</v>
      </c>
      <c r="H101" s="151">
        <f t="shared" si="27"/>
        <v>0</v>
      </c>
      <c r="I101" s="151">
        <f t="shared" si="27"/>
        <v>0</v>
      </c>
      <c r="J101" s="151">
        <f t="shared" si="27"/>
        <v>0</v>
      </c>
      <c r="K101" s="151">
        <f t="shared" si="27"/>
        <v>0</v>
      </c>
      <c r="L101" s="151">
        <f t="shared" si="27"/>
        <v>0</v>
      </c>
      <c r="M101" s="151">
        <f t="shared" si="27"/>
        <v>83.333333333333329</v>
      </c>
      <c r="N101" s="151">
        <f t="shared" si="27"/>
        <v>111.11111111111111</v>
      </c>
      <c r="O101" s="151">
        <f t="shared" si="27"/>
        <v>138.88888888888889</v>
      </c>
      <c r="P101" s="151">
        <f t="shared" si="27"/>
        <v>55.555555555555557</v>
      </c>
      <c r="Q101" s="151">
        <f t="shared" si="27"/>
        <v>0</v>
      </c>
      <c r="R101" s="130">
        <f>SUM(C101:Q101)</f>
        <v>388.88888888888891</v>
      </c>
    </row>
    <row r="102" spans="2:19" ht="15.5" x14ac:dyDescent="0.35">
      <c r="B102" s="106" t="s">
        <v>257</v>
      </c>
      <c r="C102" s="106"/>
      <c r="D102" s="108">
        <f>Aggregated!BT15*$R$2</f>
        <v>0</v>
      </c>
      <c r="E102" s="108">
        <f>Aggregated!BU15*$R$2</f>
        <v>0</v>
      </c>
      <c r="F102" s="108">
        <f>Aggregated!BV15*$R$2</f>
        <v>0</v>
      </c>
      <c r="G102" s="108">
        <f>Aggregated!BW15*$R$2</f>
        <v>0</v>
      </c>
      <c r="H102" s="108">
        <f>Aggregated!BX15*$R$2</f>
        <v>0</v>
      </c>
      <c r="I102" s="108">
        <f>Aggregated!BY15*$R$2</f>
        <v>0</v>
      </c>
      <c r="J102" s="108">
        <f>Aggregated!BZ15*$R$2</f>
        <v>0</v>
      </c>
      <c r="K102" s="108">
        <f>Aggregated!CA15*$R$2</f>
        <v>0</v>
      </c>
      <c r="L102" s="108">
        <f>Aggregated!CB15*$R$2</f>
        <v>0</v>
      </c>
      <c r="M102" s="108">
        <f>Aggregated!CC15*$R$2</f>
        <v>58.333333333333329</v>
      </c>
      <c r="N102" s="108">
        <f>Aggregated!CD15*$R$2</f>
        <v>77.777777777777771</v>
      </c>
      <c r="O102" s="108">
        <f>Aggregated!CE15*$R$2</f>
        <v>97.222222222222214</v>
      </c>
      <c r="P102" s="108">
        <f>Aggregated!CF15*$R$2</f>
        <v>38.888888888888886</v>
      </c>
      <c r="Q102" s="108">
        <f>Aggregated!CG15*$R$2</f>
        <v>0</v>
      </c>
      <c r="R102" s="113">
        <f t="shared" ref="R102:R111" si="28">SUM(D102:Q102)</f>
        <v>272.22222222222217</v>
      </c>
    </row>
    <row r="103" spans="2:19" ht="15.5" x14ac:dyDescent="0.35">
      <c r="B103" s="106" t="s">
        <v>258</v>
      </c>
      <c r="C103" s="106"/>
      <c r="D103" s="108">
        <f t="shared" ref="D103:Q103" si="29">D102</f>
        <v>0</v>
      </c>
      <c r="E103" s="108">
        <f t="shared" si="29"/>
        <v>0</v>
      </c>
      <c r="F103" s="108">
        <f t="shared" si="29"/>
        <v>0</v>
      </c>
      <c r="G103" s="108">
        <f t="shared" si="29"/>
        <v>0</v>
      </c>
      <c r="H103" s="108">
        <f t="shared" si="29"/>
        <v>0</v>
      </c>
      <c r="I103" s="108">
        <f t="shared" si="29"/>
        <v>0</v>
      </c>
      <c r="J103" s="108">
        <f t="shared" si="29"/>
        <v>0</v>
      </c>
      <c r="K103" s="108">
        <f t="shared" si="29"/>
        <v>0</v>
      </c>
      <c r="L103" s="108">
        <f t="shared" si="29"/>
        <v>0</v>
      </c>
      <c r="M103" s="108">
        <f t="shared" si="29"/>
        <v>58.333333333333329</v>
      </c>
      <c r="N103" s="108">
        <f t="shared" si="29"/>
        <v>77.777777777777771</v>
      </c>
      <c r="O103" s="108">
        <f t="shared" si="29"/>
        <v>97.222222222222214</v>
      </c>
      <c r="P103" s="108">
        <f t="shared" si="29"/>
        <v>38.888888888888886</v>
      </c>
      <c r="Q103" s="108">
        <f t="shared" si="29"/>
        <v>0</v>
      </c>
      <c r="R103" s="113">
        <f t="shared" si="28"/>
        <v>272.22222222222217</v>
      </c>
      <c r="S103" s="140"/>
    </row>
    <row r="104" spans="2:19" ht="15.5" x14ac:dyDescent="0.35">
      <c r="B104" s="106" t="s">
        <v>117</v>
      </c>
      <c r="C104" s="106"/>
      <c r="D104" s="108">
        <f>Aggregated!BT16*$R$2</f>
        <v>0</v>
      </c>
      <c r="E104" s="108">
        <f>Aggregated!BU16</f>
        <v>0</v>
      </c>
      <c r="F104" s="108">
        <f>Aggregated!BV16</f>
        <v>0</v>
      </c>
      <c r="G104" s="108">
        <f>Aggregated!BW16</f>
        <v>0</v>
      </c>
      <c r="H104" s="108">
        <f>Aggregated!BX16</f>
        <v>0</v>
      </c>
      <c r="I104" s="108">
        <f>Aggregated!BY16</f>
        <v>0</v>
      </c>
      <c r="J104" s="108">
        <f>Aggregated!BZ16</f>
        <v>0</v>
      </c>
      <c r="K104" s="108">
        <f>Aggregated!CA16</f>
        <v>0</v>
      </c>
      <c r="L104" s="108">
        <f>Aggregated!CB16</f>
        <v>0</v>
      </c>
      <c r="M104" s="108">
        <f>Aggregated!CC16</f>
        <v>12.499999999999998</v>
      </c>
      <c r="N104" s="108">
        <f>Aggregated!CD16</f>
        <v>16.666666666666668</v>
      </c>
      <c r="O104" s="108">
        <f>Aggregated!CE16</f>
        <v>20.833333333333332</v>
      </c>
      <c r="P104" s="108">
        <f>Aggregated!CF16</f>
        <v>8.3333333333333339</v>
      </c>
      <c r="Q104" s="108">
        <f>Aggregated!CG16</f>
        <v>0</v>
      </c>
      <c r="R104" s="113">
        <f t="shared" si="28"/>
        <v>58.333333333333336</v>
      </c>
      <c r="S104" s="140"/>
    </row>
    <row r="105" spans="2:19" ht="15.5" x14ac:dyDescent="0.35">
      <c r="B105" s="106" t="s">
        <v>118</v>
      </c>
      <c r="C105" s="106"/>
      <c r="D105" s="108">
        <f>Aggregated!BT17*$R$2</f>
        <v>0</v>
      </c>
      <c r="E105" s="108">
        <f>Aggregated!BU17</f>
        <v>0</v>
      </c>
      <c r="F105" s="108">
        <f>Aggregated!BV17</f>
        <v>0</v>
      </c>
      <c r="G105" s="108">
        <f>Aggregated!BW17</f>
        <v>0</v>
      </c>
      <c r="H105" s="108">
        <f>Aggregated!BX17</f>
        <v>0</v>
      </c>
      <c r="I105" s="108">
        <f>Aggregated!BY17</f>
        <v>0</v>
      </c>
      <c r="J105" s="108">
        <f>Aggregated!BZ17</f>
        <v>0</v>
      </c>
      <c r="K105" s="108">
        <f>Aggregated!CA17</f>
        <v>0</v>
      </c>
      <c r="L105" s="108">
        <f>Aggregated!CB17</f>
        <v>0</v>
      </c>
      <c r="M105" s="108">
        <f>Aggregated!CC17</f>
        <v>12.499999999999998</v>
      </c>
      <c r="N105" s="108">
        <f>Aggregated!CD17</f>
        <v>16.666666666666668</v>
      </c>
      <c r="O105" s="108">
        <f>Aggregated!CE17</f>
        <v>20.833333333333332</v>
      </c>
      <c r="P105" s="108">
        <f>Aggregated!CF17</f>
        <v>8.3333333333333339</v>
      </c>
      <c r="Q105" s="108">
        <f>Aggregated!CG17</f>
        <v>0</v>
      </c>
      <c r="R105" s="113">
        <f t="shared" si="28"/>
        <v>58.333333333333336</v>
      </c>
      <c r="S105" s="140"/>
    </row>
    <row r="106" spans="2:19" ht="15.5" x14ac:dyDescent="0.35">
      <c r="B106" s="106" t="s">
        <v>259</v>
      </c>
      <c r="C106" s="106"/>
      <c r="D106" s="108">
        <f>Aggregated!BT18*$R$2</f>
        <v>0</v>
      </c>
      <c r="E106" s="108">
        <f>Aggregated!BU18*$R$2</f>
        <v>0</v>
      </c>
      <c r="F106" s="108">
        <f>Aggregated!BV18*$R$2</f>
        <v>0</v>
      </c>
      <c r="G106" s="108">
        <f>Aggregated!BW18*$R$2</f>
        <v>0</v>
      </c>
      <c r="H106" s="108">
        <f>Aggregated!BX18*$R$2</f>
        <v>0</v>
      </c>
      <c r="I106" s="108">
        <f>Aggregated!BY18*$R$2</f>
        <v>0</v>
      </c>
      <c r="J106" s="108">
        <f>Aggregated!BZ18*$R$2</f>
        <v>0</v>
      </c>
      <c r="K106" s="108">
        <f>Aggregated!CA18*$R$2</f>
        <v>0</v>
      </c>
      <c r="L106" s="108">
        <f>Aggregated!CB18*$R$2</f>
        <v>0</v>
      </c>
      <c r="M106" s="108">
        <f>Aggregated!CC18*$R$2</f>
        <v>2</v>
      </c>
      <c r="N106" s="108">
        <f>Aggregated!CD18*$R$2</f>
        <v>4</v>
      </c>
      <c r="O106" s="108">
        <f>Aggregated!CE18*$R$2</f>
        <v>4</v>
      </c>
      <c r="P106" s="108">
        <f>Aggregated!CF18*$R$2</f>
        <v>2</v>
      </c>
      <c r="Q106" s="108">
        <f>Aggregated!CG18*$R$2</f>
        <v>0</v>
      </c>
      <c r="R106" s="113">
        <f t="shared" si="28"/>
        <v>12</v>
      </c>
    </row>
    <row r="107" spans="2:19" ht="15.5" x14ac:dyDescent="0.35">
      <c r="B107" s="135" t="s">
        <v>119</v>
      </c>
      <c r="C107" s="129"/>
      <c r="D107" s="132"/>
      <c r="E107" s="132"/>
      <c r="F107" s="132"/>
      <c r="G107" s="132"/>
      <c r="H107" s="132"/>
      <c r="I107" s="132"/>
      <c r="J107" s="132"/>
      <c r="K107" s="132"/>
      <c r="L107" s="132"/>
      <c r="M107" s="132"/>
      <c r="N107" s="132"/>
      <c r="O107" s="132"/>
      <c r="P107" s="132"/>
      <c r="Q107" s="132"/>
      <c r="R107" s="130"/>
    </row>
    <row r="108" spans="2:19" ht="15.5" x14ac:dyDescent="0.35">
      <c r="B108" s="106" t="s">
        <v>271</v>
      </c>
      <c r="C108" s="106"/>
      <c r="D108" s="108">
        <f>Aggregated!BT19*$R$2</f>
        <v>0</v>
      </c>
      <c r="E108" s="108">
        <f>Aggregated!BU19*$R$2</f>
        <v>0</v>
      </c>
      <c r="F108" s="108">
        <f>Aggregated!BV19*$R$2</f>
        <v>0</v>
      </c>
      <c r="G108" s="108">
        <f>Aggregated!BW19*$R$2</f>
        <v>0</v>
      </c>
      <c r="H108" s="108">
        <f>Aggregated!BX19*$R$2</f>
        <v>0</v>
      </c>
      <c r="I108" s="108">
        <f>Aggregated!BY19*$R$2</f>
        <v>0</v>
      </c>
      <c r="J108" s="108">
        <f>Aggregated!BZ19*$R$2</f>
        <v>0</v>
      </c>
      <c r="K108" s="108">
        <f>Aggregated!CA19*$R$2</f>
        <v>0</v>
      </c>
      <c r="L108" s="108">
        <f>Aggregated!CB19*$R$2</f>
        <v>0</v>
      </c>
      <c r="M108" s="108">
        <f>Aggregated!CC19*$R$2</f>
        <v>2</v>
      </c>
      <c r="N108" s="108">
        <f>Aggregated!CD19*$R$2</f>
        <v>4</v>
      </c>
      <c r="O108" s="108">
        <f>Aggregated!CE19*$R$2</f>
        <v>4</v>
      </c>
      <c r="P108" s="108">
        <f>Aggregated!CF19*$R$2</f>
        <v>2</v>
      </c>
      <c r="Q108" s="108">
        <f>Aggregated!CG19*$R$2</f>
        <v>0</v>
      </c>
      <c r="R108" s="113">
        <f t="shared" si="28"/>
        <v>12</v>
      </c>
    </row>
    <row r="109" spans="2:19" ht="15.5" x14ac:dyDescent="0.35">
      <c r="B109" s="135" t="s">
        <v>120</v>
      </c>
      <c r="C109" s="129"/>
      <c r="D109" s="132"/>
      <c r="E109" s="132"/>
      <c r="F109" s="132"/>
      <c r="G109" s="132"/>
      <c r="H109" s="132"/>
      <c r="I109" s="132"/>
      <c r="J109" s="132"/>
      <c r="K109" s="132"/>
      <c r="L109" s="132"/>
      <c r="M109" s="132"/>
      <c r="N109" s="132"/>
      <c r="O109" s="132"/>
      <c r="P109" s="132"/>
      <c r="Q109" s="132"/>
      <c r="R109" s="130"/>
    </row>
    <row r="110" spans="2:19" ht="15.5" x14ac:dyDescent="0.35">
      <c r="B110" s="106" t="s">
        <v>272</v>
      </c>
      <c r="C110" s="106"/>
      <c r="D110" s="108">
        <f>Aggregated!BT21*$R$2</f>
        <v>0</v>
      </c>
      <c r="E110" s="108">
        <f>Aggregated!BU21*$R$2</f>
        <v>0</v>
      </c>
      <c r="F110" s="108">
        <f>Aggregated!BV21*$R$2</f>
        <v>0</v>
      </c>
      <c r="G110" s="108">
        <f>Aggregated!BW21*$R$2</f>
        <v>0</v>
      </c>
      <c r="H110" s="108">
        <f>Aggregated!BX21*$R$2</f>
        <v>0</v>
      </c>
      <c r="I110" s="108">
        <f>Aggregated!BY21*$R$2</f>
        <v>0</v>
      </c>
      <c r="J110" s="108">
        <f>Aggregated!BZ21*$R$2</f>
        <v>0</v>
      </c>
      <c r="K110" s="108">
        <f>Aggregated!CA21*$R$2</f>
        <v>0</v>
      </c>
      <c r="L110" s="108">
        <f>Aggregated!CB21*$R$2</f>
        <v>0</v>
      </c>
      <c r="M110" s="108">
        <f>Aggregated!CC21*$R$2</f>
        <v>183</v>
      </c>
      <c r="N110" s="108">
        <f>Aggregated!CD21*$R$2</f>
        <v>244.00000000000003</v>
      </c>
      <c r="O110" s="108">
        <f>Aggregated!CE21*$R$2</f>
        <v>305</v>
      </c>
      <c r="P110" s="108">
        <f>Aggregated!CF21*$R$2</f>
        <v>122.00000000000001</v>
      </c>
      <c r="Q110" s="108">
        <f>Aggregated!CG21*$R$2</f>
        <v>0</v>
      </c>
      <c r="R110" s="113">
        <f t="shared" si="28"/>
        <v>854</v>
      </c>
    </row>
    <row r="111" spans="2:19" ht="15.5" x14ac:dyDescent="0.35">
      <c r="B111" s="106" t="s">
        <v>273</v>
      </c>
      <c r="C111" s="106"/>
      <c r="D111" s="108">
        <f>Aggregated!BT24*$R$2</f>
        <v>0</v>
      </c>
      <c r="E111" s="108">
        <f>Aggregated!BU24*$R$2</f>
        <v>0</v>
      </c>
      <c r="F111" s="108">
        <f>Aggregated!BV24*$R$2</f>
        <v>0</v>
      </c>
      <c r="G111" s="108">
        <f>Aggregated!BW24*$R$2</f>
        <v>0</v>
      </c>
      <c r="H111" s="108">
        <f>Aggregated!BX24*$R$2</f>
        <v>0</v>
      </c>
      <c r="I111" s="108">
        <f>Aggregated!BY24*$R$2</f>
        <v>0</v>
      </c>
      <c r="J111" s="108">
        <f>Aggregated!BZ24*$R$2</f>
        <v>0</v>
      </c>
      <c r="K111" s="108">
        <f>Aggregated!CA24*$R$2</f>
        <v>0</v>
      </c>
      <c r="L111" s="108">
        <f>Aggregated!CB24*$R$2</f>
        <v>0</v>
      </c>
      <c r="M111" s="108">
        <f>Aggregated!CC24*$R$2</f>
        <v>300</v>
      </c>
      <c r="N111" s="108">
        <f>Aggregated!CD24*$R$2</f>
        <v>600</v>
      </c>
      <c r="O111" s="108">
        <f>Aggregated!CE24*$R$2</f>
        <v>600</v>
      </c>
      <c r="P111" s="108">
        <f>Aggregated!CF24*$R$2</f>
        <v>300</v>
      </c>
      <c r="Q111" s="108">
        <f>Aggregated!CG24*$R$2</f>
        <v>0</v>
      </c>
      <c r="R111" s="113">
        <f t="shared" si="28"/>
        <v>1800</v>
      </c>
    </row>
    <row r="112" spans="2:19" ht="15.5" x14ac:dyDescent="0.35">
      <c r="B112" s="135" t="s">
        <v>244</v>
      </c>
      <c r="C112" s="129"/>
      <c r="D112" s="136"/>
      <c r="E112" s="132"/>
      <c r="F112" s="132"/>
      <c r="G112" s="132"/>
      <c r="H112" s="132"/>
      <c r="I112" s="132"/>
      <c r="J112" s="132"/>
      <c r="K112" s="132"/>
      <c r="L112" s="137"/>
      <c r="M112" s="132"/>
      <c r="N112" s="132"/>
      <c r="O112" s="132"/>
      <c r="P112" s="132"/>
      <c r="Q112" s="132"/>
      <c r="R112" s="130"/>
    </row>
    <row r="113" spans="2:21" ht="15.5" x14ac:dyDescent="0.35">
      <c r="B113" s="106" t="s">
        <v>121</v>
      </c>
      <c r="C113" s="106"/>
      <c r="D113" s="108">
        <f>D86*Assumptions!$K$25/24</f>
        <v>0</v>
      </c>
      <c r="E113" s="108">
        <f>E86*Assumptions!$K$25/24</f>
        <v>0</v>
      </c>
      <c r="F113" s="108">
        <f>F86*Assumptions!$K$25/24</f>
        <v>0</v>
      </c>
      <c r="G113" s="108">
        <f>G86*Assumptions!$K$25/24</f>
        <v>0</v>
      </c>
      <c r="H113" s="108">
        <f>H86*Assumptions!$K$25/24</f>
        <v>0</v>
      </c>
      <c r="I113" s="108">
        <f>I86*Assumptions!$K$25/24</f>
        <v>0</v>
      </c>
      <c r="J113" s="108">
        <f>J86*Assumptions!$K$25/24</f>
        <v>0</v>
      </c>
      <c r="K113" s="108">
        <f>K86*Assumptions!$K$25/24</f>
        <v>0</v>
      </c>
      <c r="L113" s="109">
        <f>L86*Assumptions!$K$25/24</f>
        <v>0</v>
      </c>
      <c r="M113" s="108">
        <f>M86*Assumptions!$K$25/24</f>
        <v>0</v>
      </c>
      <c r="N113" s="108">
        <f>N86*Assumptions!$K$25/24</f>
        <v>0</v>
      </c>
      <c r="O113" s="108">
        <f>O86*Assumptions!$K$25/24</f>
        <v>0</v>
      </c>
      <c r="P113" s="108">
        <f>P86*Assumptions!$K$25/24</f>
        <v>0</v>
      </c>
      <c r="Q113" s="108">
        <f>Q86*Assumptions!$K$25/24</f>
        <v>0</v>
      </c>
      <c r="R113" s="113"/>
      <c r="T113" t="s">
        <v>139</v>
      </c>
    </row>
    <row r="114" spans="2:21" ht="15.5" x14ac:dyDescent="0.35">
      <c r="B114" s="106" t="s">
        <v>122</v>
      </c>
      <c r="C114" s="106"/>
      <c r="D114" s="108">
        <f>D87*Assumptions!$K$25/24</f>
        <v>0</v>
      </c>
      <c r="E114" s="108">
        <f>E87*Assumptions!$K$25/24</f>
        <v>0</v>
      </c>
      <c r="F114" s="108">
        <f>F87*Assumptions!$K$25/24</f>
        <v>0</v>
      </c>
      <c r="G114" s="108">
        <f>G87*Assumptions!$K$25/24</f>
        <v>0</v>
      </c>
      <c r="H114" s="108">
        <f>H87*Assumptions!$K$25/24</f>
        <v>0</v>
      </c>
      <c r="I114" s="108">
        <f>I87*Assumptions!$K$25/24</f>
        <v>0</v>
      </c>
      <c r="J114" s="108">
        <f>J87*Assumptions!$K$25/24</f>
        <v>0</v>
      </c>
      <c r="K114" s="108">
        <f>K87*Assumptions!$K$25/24</f>
        <v>0</v>
      </c>
      <c r="L114" s="109">
        <f>L87*Assumptions!$K$25/24</f>
        <v>0</v>
      </c>
      <c r="M114" s="108">
        <f>M87*Assumptions!$K$25/24</f>
        <v>0</v>
      </c>
      <c r="N114" s="108">
        <f>N87*Assumptions!$K$25/24</f>
        <v>0</v>
      </c>
      <c r="O114" s="108">
        <f>O87*Assumptions!$K$25/24</f>
        <v>0</v>
      </c>
      <c r="P114" s="108">
        <f>P87*Assumptions!$K$25/24</f>
        <v>0</v>
      </c>
      <c r="Q114" s="108">
        <f>Q87*Assumptions!$K$25/24</f>
        <v>0</v>
      </c>
      <c r="R114" s="113"/>
      <c r="T114" t="s">
        <v>148</v>
      </c>
    </row>
    <row r="115" spans="2:21" ht="15.5" x14ac:dyDescent="0.35">
      <c r="B115" s="106" t="s">
        <v>123</v>
      </c>
      <c r="C115" s="106"/>
      <c r="D115" s="108">
        <f>D88*Assumptions!$K$25/24</f>
        <v>0</v>
      </c>
      <c r="E115" s="108">
        <f>E88*Assumptions!$K$25/24</f>
        <v>0</v>
      </c>
      <c r="F115" s="108">
        <f>F88*Assumptions!$K$25/24</f>
        <v>0</v>
      </c>
      <c r="G115" s="108">
        <f>G88*Assumptions!$K$25/24</f>
        <v>0</v>
      </c>
      <c r="H115" s="108">
        <f>H88*Assumptions!$K$25/24</f>
        <v>0</v>
      </c>
      <c r="I115" s="108">
        <f>I88*Assumptions!$K$25/24</f>
        <v>0</v>
      </c>
      <c r="J115" s="108">
        <f>J88*Assumptions!$K$25/24</f>
        <v>0</v>
      </c>
      <c r="K115" s="108">
        <f>K88*Assumptions!$K$25/24</f>
        <v>0</v>
      </c>
      <c r="L115" s="109">
        <f>L88*Assumptions!$K$25/24</f>
        <v>0</v>
      </c>
      <c r="M115" s="108">
        <f>M88*Assumptions!$K$25/24</f>
        <v>125</v>
      </c>
      <c r="N115" s="108">
        <f>N88*Assumptions!$K$25/24</f>
        <v>166.66666666666666</v>
      </c>
      <c r="O115" s="108">
        <f>O88*Assumptions!$K$25/24</f>
        <v>208.33333333333334</v>
      </c>
      <c r="P115" s="108">
        <f>P88*Assumptions!$K$25/24</f>
        <v>83.333333333333329</v>
      </c>
      <c r="Q115" s="108">
        <f>Q88*Assumptions!$K$25/24</f>
        <v>0</v>
      </c>
      <c r="R115" s="113"/>
      <c r="U115" t="s">
        <v>150</v>
      </c>
    </row>
    <row r="116" spans="2:21" ht="15.5" x14ac:dyDescent="0.35">
      <c r="B116" s="106" t="s">
        <v>140</v>
      </c>
      <c r="C116" s="106"/>
      <c r="D116" s="108">
        <f>(D102+D105)*Assumptions!$K$26/24</f>
        <v>0</v>
      </c>
      <c r="E116" s="108">
        <f>(E102+E105)*Assumptions!$K$26/24</f>
        <v>0</v>
      </c>
      <c r="F116" s="108">
        <f>(F102+F105)*Assumptions!$K$26/24</f>
        <v>0</v>
      </c>
      <c r="G116" s="108">
        <f>(G102+G105)*Assumptions!$K$26/24</f>
        <v>0</v>
      </c>
      <c r="H116" s="108">
        <f>(H102+H105)*Assumptions!$K$26/24</f>
        <v>0</v>
      </c>
      <c r="I116" s="108">
        <f>(I102+I105)*Assumptions!$K$26/24</f>
        <v>0</v>
      </c>
      <c r="J116" s="108">
        <f>(J102+J105)*Assumptions!$K$26/24</f>
        <v>0</v>
      </c>
      <c r="K116" s="108">
        <f>(K102+K105)*Assumptions!$K$26/24</f>
        <v>0</v>
      </c>
      <c r="L116" s="109">
        <f>(L102+L105)*Assumptions!$K$26/24</f>
        <v>0</v>
      </c>
      <c r="M116" s="108">
        <f>(M102+M105)*Assumptions!$K$26/24</f>
        <v>106.25</v>
      </c>
      <c r="N116" s="108">
        <f>(N102+N105)*Assumptions!$K$26/24</f>
        <v>141.66666666666666</v>
      </c>
      <c r="O116" s="108">
        <f>(O102+O105)*Assumptions!$K$26/24</f>
        <v>177.08333333333334</v>
      </c>
      <c r="P116" s="108">
        <f>(P102+P105)*Assumptions!$K$26/24</f>
        <v>70.833333333333329</v>
      </c>
      <c r="Q116" s="108">
        <f>(Q102+Q105)*Assumptions!$K$26/24</f>
        <v>0</v>
      </c>
      <c r="R116" s="113"/>
    </row>
    <row r="117" spans="2:21" ht="15.5" x14ac:dyDescent="0.35">
      <c r="B117" s="106" t="s">
        <v>252</v>
      </c>
      <c r="C117" s="106"/>
      <c r="D117" s="108"/>
      <c r="E117" s="108">
        <f>SUM(E113:E116)</f>
        <v>0</v>
      </c>
      <c r="F117" s="108">
        <f t="shared" ref="F117:Q117" si="30">SUM(F113:F116)</f>
        <v>0</v>
      </c>
      <c r="G117" s="108">
        <f t="shared" si="30"/>
        <v>0</v>
      </c>
      <c r="H117" s="108">
        <f t="shared" si="30"/>
        <v>0</v>
      </c>
      <c r="I117" s="108">
        <f t="shared" si="30"/>
        <v>0</v>
      </c>
      <c r="J117" s="108">
        <f t="shared" si="30"/>
        <v>0</v>
      </c>
      <c r="K117" s="108">
        <f>SUM(K113:K116)</f>
        <v>0</v>
      </c>
      <c r="L117" s="108">
        <f t="shared" si="30"/>
        <v>0</v>
      </c>
      <c r="M117" s="108">
        <f t="shared" si="30"/>
        <v>231.25</v>
      </c>
      <c r="N117" s="108">
        <f t="shared" si="30"/>
        <v>308.33333333333331</v>
      </c>
      <c r="O117" s="108">
        <f t="shared" si="30"/>
        <v>385.41666666666669</v>
      </c>
      <c r="P117" s="108">
        <f t="shared" si="30"/>
        <v>154.16666666666666</v>
      </c>
      <c r="Q117" s="108">
        <f t="shared" si="30"/>
        <v>0</v>
      </c>
      <c r="R117" s="113"/>
    </row>
    <row r="118" spans="2:21" ht="15.5" x14ac:dyDescent="0.35">
      <c r="B118" s="106" t="s">
        <v>138</v>
      </c>
      <c r="C118" s="106"/>
      <c r="D118" s="108">
        <f>D108*Assumptions!$K$27/24</f>
        <v>0</v>
      </c>
      <c r="E118" s="108">
        <f>E108*Assumptions!$K$27/24</f>
        <v>0</v>
      </c>
      <c r="F118" s="108">
        <f>F108*Assumptions!$K$27/24</f>
        <v>0</v>
      </c>
      <c r="G118" s="108">
        <f>G108*Assumptions!$K$27/24</f>
        <v>0</v>
      </c>
      <c r="H118" s="108">
        <f>H108*Assumptions!$K$27/24</f>
        <v>0</v>
      </c>
      <c r="I118" s="108">
        <f>I108*Assumptions!$K$27/24</f>
        <v>0</v>
      </c>
      <c r="J118" s="108">
        <f>J108*Assumptions!$K$27/24</f>
        <v>0</v>
      </c>
      <c r="K118" s="108">
        <f>K108*Assumptions!$K$27/24</f>
        <v>0</v>
      </c>
      <c r="L118" s="109">
        <f>L108*Assumptions!$K$27/24</f>
        <v>0</v>
      </c>
      <c r="M118" s="108">
        <f>M108*Assumptions!$K$27/24</f>
        <v>20</v>
      </c>
      <c r="N118" s="108">
        <f>N108*Assumptions!$K$27/24</f>
        <v>40</v>
      </c>
      <c r="O118" s="108">
        <f>O108*Assumptions!$K$27/24</f>
        <v>40</v>
      </c>
      <c r="P118" s="108">
        <f>P108*Assumptions!$K$27/24</f>
        <v>20</v>
      </c>
      <c r="Q118" s="108">
        <f>Q108*Assumptions!$K$27/24</f>
        <v>0</v>
      </c>
      <c r="R118" s="113"/>
    </row>
    <row r="119" spans="2:21" ht="15.5" x14ac:dyDescent="0.35">
      <c r="B119" s="106" t="s">
        <v>195</v>
      </c>
      <c r="C119" s="106"/>
      <c r="D119" s="108">
        <f>(ROUNDUP(D83/400,1)+D84)*Assumptions!$K$45+SUM(D110:D111)/Assumptions!$K$44</f>
        <v>0</v>
      </c>
      <c r="E119" s="108">
        <f>(ROUNDUP(E83/400,1)+E84)*Assumptions!$K$45+SUM(E110:E111)/Assumptions!$K$44</f>
        <v>0</v>
      </c>
      <c r="F119" s="108">
        <f>(ROUNDUP(F83/400,1)+F84)*Assumptions!$K$45+SUM(F110:F111)/Assumptions!$K$44</f>
        <v>0</v>
      </c>
      <c r="G119" s="108">
        <f>(ROUNDUP(G83/400,1)+G84)*Assumptions!$K$45+SUM(G110:G111)/Assumptions!$K$44</f>
        <v>0</v>
      </c>
      <c r="H119" s="108">
        <f>(ROUNDUP(H83/400,1)+H84)*Assumptions!$K$45+SUM(H110:H111)/Assumptions!$K$44</f>
        <v>0</v>
      </c>
      <c r="I119" s="108">
        <f>(ROUNDUP(I83/400,1)+I84)*Assumptions!$K$45+SUM(I110:I111)/Assumptions!$K$44</f>
        <v>0</v>
      </c>
      <c r="J119" s="108">
        <f>(ROUNDUP(J83/400,1)+J84)*Assumptions!$K$45+SUM(J110:J111)/Assumptions!$K$44</f>
        <v>0</v>
      </c>
      <c r="K119" s="108">
        <f>(ROUNDUP(K83/400,1)+K84)*Assumptions!$K$45+SUM(K110:K111)/Assumptions!$K$44</f>
        <v>0</v>
      </c>
      <c r="L119" s="109">
        <f>(ROUNDUP(L83/400,1)+L84)*Assumptions!$K$45+SUM(L110:L111)/Assumptions!$K$44</f>
        <v>0</v>
      </c>
      <c r="M119" s="108">
        <f>(ROUNDUP(M83/400,1)+M84)*Assumptions!$K$45+SUM(M110:M111)/Assumptions!$K$44</f>
        <v>216.75</v>
      </c>
      <c r="N119" s="108">
        <f>(ROUNDUP(N83/400,1)+N84)*Assumptions!$K$45+SUM(N110:N111)/Assumptions!$K$44</f>
        <v>351</v>
      </c>
      <c r="O119" s="108">
        <f>(ROUNDUP(O83/400,1)+O84)*Assumptions!$K$45+SUM(O110:O111)/Assumptions!$K$44</f>
        <v>392.25</v>
      </c>
      <c r="P119" s="108">
        <f>(ROUNDUP(P83/400,1)+P84)*Assumptions!$K$45+SUM(P110:P111)/Assumptions!$K$44</f>
        <v>175.5</v>
      </c>
      <c r="Q119" s="108">
        <f>(ROUNDUP(Q83/400,1)+Q84)*Assumptions!$K$45+SUM(Q110:Q111)/Assumptions!$K$44</f>
        <v>0</v>
      </c>
      <c r="R119" s="113"/>
    </row>
    <row r="120" spans="2:21" ht="15.5" x14ac:dyDescent="0.35">
      <c r="B120" s="106" t="s">
        <v>297</v>
      </c>
      <c r="C120" s="106"/>
      <c r="D120" s="108">
        <f>D102*Assumptions!$K$28/24</f>
        <v>0</v>
      </c>
      <c r="E120" s="108">
        <f>E102*Assumptions!$K$28/24</f>
        <v>0</v>
      </c>
      <c r="F120" s="108">
        <f>F102*Assumptions!$K$28/24</f>
        <v>0</v>
      </c>
      <c r="G120" s="108">
        <f>G102*Assumptions!$K$28/24</f>
        <v>0</v>
      </c>
      <c r="H120" s="108">
        <f>H102*Assumptions!$K$28/24</f>
        <v>0</v>
      </c>
      <c r="I120" s="108">
        <f>I102*Assumptions!$K$28/24</f>
        <v>0</v>
      </c>
      <c r="J120" s="108">
        <f>J102*Assumptions!$K$28/24</f>
        <v>0</v>
      </c>
      <c r="K120" s="108">
        <f>K102*Assumptions!$K$28/24</f>
        <v>0</v>
      </c>
      <c r="L120" s="108">
        <f>L102*Assumptions!$K$28/24</f>
        <v>0</v>
      </c>
      <c r="M120" s="108">
        <f>M102*Assumptions!$K$28/24</f>
        <v>87.5</v>
      </c>
      <c r="N120" s="108">
        <f>N102*Assumptions!$K$28/24</f>
        <v>116.66666666666667</v>
      </c>
      <c r="O120" s="108">
        <f>O102*Assumptions!$K$28/24</f>
        <v>145.83333333333331</v>
      </c>
      <c r="P120" s="108">
        <f>P102*Assumptions!$K$28/24</f>
        <v>58.333333333333336</v>
      </c>
      <c r="Q120" s="108">
        <f>Q102*Assumptions!$K$28/24</f>
        <v>0</v>
      </c>
      <c r="R120" s="113"/>
    </row>
    <row r="121" spans="2:21" ht="15.5" x14ac:dyDescent="0.35">
      <c r="B121" s="135" t="s">
        <v>243</v>
      </c>
      <c r="C121" s="129"/>
      <c r="D121" s="132"/>
      <c r="E121" s="132"/>
      <c r="F121" s="132"/>
      <c r="G121" s="132"/>
      <c r="H121" s="132"/>
      <c r="I121" s="132"/>
      <c r="J121" s="132"/>
      <c r="K121" s="132"/>
      <c r="L121" s="137"/>
      <c r="M121" s="132"/>
      <c r="N121" s="132"/>
      <c r="O121" s="132"/>
      <c r="P121" s="132"/>
      <c r="Q121" s="132"/>
      <c r="R121" s="130"/>
    </row>
    <row r="122" spans="2:21" ht="15.5" x14ac:dyDescent="0.35">
      <c r="B122" s="106" t="s">
        <v>121</v>
      </c>
      <c r="C122" s="106"/>
      <c r="D122" s="108">
        <f>ROUNDUP(D113/(Assumptions!$C$36*365),0)</f>
        <v>0</v>
      </c>
      <c r="E122" s="108">
        <f>ROUNDUP(E113/(Assumptions!$C$36*365),0)</f>
        <v>0</v>
      </c>
      <c r="F122" s="108">
        <f>ROUNDUP(F113/(Assumptions!$C$36*365),0)</f>
        <v>0</v>
      </c>
      <c r="G122" s="108">
        <f>ROUNDUP(G113/(Assumptions!$C$36*365),0)</f>
        <v>0</v>
      </c>
      <c r="H122" s="108">
        <f>ROUNDUP(H113/(Assumptions!$C$36*365),0)</f>
        <v>0</v>
      </c>
      <c r="I122" s="108">
        <f>ROUNDUP(I113/(Assumptions!$C$36*365),0)</f>
        <v>0</v>
      </c>
      <c r="J122" s="108">
        <f>ROUNDUP(J113/(Assumptions!$C$36*365),0)</f>
        <v>0</v>
      </c>
      <c r="K122" s="108">
        <f>ROUNDUP(K113/(Assumptions!$C$36*365),0)</f>
        <v>0</v>
      </c>
      <c r="L122" s="109">
        <f>ROUNDUP(L113/(Assumptions!$C$36*365),0)</f>
        <v>0</v>
      </c>
      <c r="M122" s="108">
        <f>ROUNDUP(M113/(Assumptions!$C$36*365),0)</f>
        <v>0</v>
      </c>
      <c r="N122" s="108">
        <f>ROUNDUP(N113/(Assumptions!$C$36*365),0)</f>
        <v>0</v>
      </c>
      <c r="O122" s="108">
        <f>ROUNDUP(O113/(Assumptions!$C$36*365),0)</f>
        <v>0</v>
      </c>
      <c r="P122" s="108">
        <f>ROUNDUP(P113/(Assumptions!$C$36*365),0)</f>
        <v>0</v>
      </c>
      <c r="Q122" s="108">
        <f>ROUNDUP(Q113/(Assumptions!$C$36*365),0)</f>
        <v>0</v>
      </c>
      <c r="R122" s="113"/>
    </row>
    <row r="123" spans="2:21" ht="15.5" x14ac:dyDescent="0.35">
      <c r="B123" s="106" t="s">
        <v>122</v>
      </c>
      <c r="C123" s="106"/>
      <c r="D123" s="108">
        <f>ROUNDUP(D114/(Assumptions!$C$36*365),0)</f>
        <v>0</v>
      </c>
      <c r="E123" s="108">
        <f>ROUNDUP(E114/(Assumptions!$C$36*365),0)</f>
        <v>0</v>
      </c>
      <c r="F123" s="108">
        <f>ROUNDUP(F114/(Assumptions!$C$36*365),0)</f>
        <v>0</v>
      </c>
      <c r="G123" s="108">
        <f>ROUNDUP(G114/(Assumptions!$C$36*365),0)</f>
        <v>0</v>
      </c>
      <c r="H123" s="108">
        <f>ROUNDUP(H114/(Assumptions!$C$36*365),0)</f>
        <v>0</v>
      </c>
      <c r="I123" s="108">
        <f>ROUNDUP(I114/(Assumptions!$C$36*365),0)</f>
        <v>0</v>
      </c>
      <c r="J123" s="108">
        <f>ROUNDUP(J114/(Assumptions!$C$36*365),0)</f>
        <v>0</v>
      </c>
      <c r="K123" s="108">
        <f>ROUNDUP(K114/(Assumptions!$C$36*365),0)</f>
        <v>0</v>
      </c>
      <c r="L123" s="109">
        <f>ROUNDUP(L114/(Assumptions!$C$36*365),0)</f>
        <v>0</v>
      </c>
      <c r="M123" s="108">
        <f>ROUNDUP(M114/(Assumptions!$C$36*365),0)</f>
        <v>0</v>
      </c>
      <c r="N123" s="108">
        <f>ROUNDUP(N114/(Assumptions!$C$36*365),0)</f>
        <v>0</v>
      </c>
      <c r="O123" s="108">
        <f>ROUNDUP(O114/(Assumptions!$C$36*365),0)</f>
        <v>0</v>
      </c>
      <c r="P123" s="108">
        <f>ROUNDUP(P114/(Assumptions!$C$36*365),0)</f>
        <v>0</v>
      </c>
      <c r="Q123" s="108">
        <f>ROUNDUP(Q114/(Assumptions!$C$36*365),0)</f>
        <v>0</v>
      </c>
      <c r="R123" s="113"/>
    </row>
    <row r="124" spans="2:21" ht="15.5" x14ac:dyDescent="0.35">
      <c r="B124" s="106" t="s">
        <v>123</v>
      </c>
      <c r="C124" s="106"/>
      <c r="D124" s="108">
        <f>ROUNDUP(D115/(Assumptions!$C$36*365),0)</f>
        <v>0</v>
      </c>
      <c r="E124" s="108">
        <f>ROUNDUP(E115/(Assumptions!$C$36*365),0)</f>
        <v>0</v>
      </c>
      <c r="F124" s="108">
        <f>ROUNDUP(F115/(Assumptions!$C$36*365),0)</f>
        <v>0</v>
      </c>
      <c r="G124" s="108">
        <f>ROUNDUP(G115/(Assumptions!$C$36*365),0)</f>
        <v>0</v>
      </c>
      <c r="H124" s="108">
        <f>ROUNDUP(H115/(Assumptions!$C$36*365),0)</f>
        <v>0</v>
      </c>
      <c r="I124" s="108">
        <f>ROUNDUP(I115/(Assumptions!$C$36*365),0)</f>
        <v>0</v>
      </c>
      <c r="J124" s="108">
        <f>ROUNDUP(J115/(Assumptions!$C$36*365),0)</f>
        <v>0</v>
      </c>
      <c r="K124" s="108">
        <f>ROUNDUP(K115/(Assumptions!$C$36*365),0)</f>
        <v>0</v>
      </c>
      <c r="L124" s="109">
        <f>ROUNDUP(L115/(Assumptions!$C$36*365),0)</f>
        <v>0</v>
      </c>
      <c r="M124" s="108">
        <f>ROUNDUP(M115/(Assumptions!$C$36*365),0)</f>
        <v>1</v>
      </c>
      <c r="N124" s="108">
        <f>ROUNDUP(N115/(Assumptions!$C$36*365),0)</f>
        <v>1</v>
      </c>
      <c r="O124" s="108">
        <f>ROUNDUP(O115/(Assumptions!$C$36*365),0)</f>
        <v>1</v>
      </c>
      <c r="P124" s="108">
        <f>ROUNDUP(P115/(Assumptions!$C$36*365),0)</f>
        <v>1</v>
      </c>
      <c r="Q124" s="108">
        <f>ROUNDUP(Q115/(Assumptions!$C$36*365),0)</f>
        <v>0</v>
      </c>
      <c r="R124" s="113"/>
    </row>
    <row r="125" spans="2:21" ht="15.5" x14ac:dyDescent="0.35">
      <c r="B125" s="106" t="s">
        <v>140</v>
      </c>
      <c r="C125" s="106"/>
      <c r="D125" s="108">
        <f>ROUNDUP(D116/(Assumptions!$C$36*365),0)</f>
        <v>0</v>
      </c>
      <c r="E125" s="108">
        <f>ROUNDUP(E116/(Assumptions!$C$36*365),0)</f>
        <v>0</v>
      </c>
      <c r="F125" s="108">
        <f>ROUNDUP(F116/(Assumptions!$C$36*365),0)</f>
        <v>0</v>
      </c>
      <c r="G125" s="108">
        <f>ROUNDUP(G116/(Assumptions!$C$36*365),0)</f>
        <v>0</v>
      </c>
      <c r="H125" s="108">
        <f>ROUNDUP(H116/(Assumptions!$C$36*365),0)</f>
        <v>0</v>
      </c>
      <c r="I125" s="108">
        <f>ROUNDUP(I116/(Assumptions!$C$36*365),0)</f>
        <v>0</v>
      </c>
      <c r="J125" s="108">
        <f>ROUNDUP(J116/(Assumptions!$C$36*365),0)</f>
        <v>0</v>
      </c>
      <c r="K125" s="108">
        <f>ROUNDUP(K116/(Assumptions!$C$36*365),0)</f>
        <v>0</v>
      </c>
      <c r="L125" s="109">
        <f>ROUNDUP(L116/(Assumptions!$C$36*365),0)</f>
        <v>0</v>
      </c>
      <c r="M125" s="108">
        <f>ROUNDUP(M116/(Assumptions!$C$36*365),0)</f>
        <v>1</v>
      </c>
      <c r="N125" s="108">
        <f>ROUNDUP(N116/(Assumptions!$C$36*365),0)</f>
        <v>1</v>
      </c>
      <c r="O125" s="108">
        <f>ROUNDUP(O116/(Assumptions!$C$36*365),0)</f>
        <v>1</v>
      </c>
      <c r="P125" s="108">
        <f>ROUNDUP(P116/(Assumptions!$C$36*365),0)</f>
        <v>1</v>
      </c>
      <c r="Q125" s="108">
        <f>ROUNDUP(Q116/(Assumptions!$C$36*365),0)</f>
        <v>0</v>
      </c>
      <c r="R125" s="113"/>
    </row>
    <row r="126" spans="2:21" ht="15.5" x14ac:dyDescent="0.35">
      <c r="B126" s="105" t="s">
        <v>149</v>
      </c>
      <c r="C126" s="106"/>
      <c r="D126" s="108">
        <f>SUM(D122:D125)</f>
        <v>0</v>
      </c>
      <c r="E126" s="108">
        <f t="shared" ref="E126:Q126" si="31">SUM(E122:E125)</f>
        <v>0</v>
      </c>
      <c r="F126" s="108">
        <f t="shared" si="31"/>
        <v>0</v>
      </c>
      <c r="G126" s="108">
        <f t="shared" si="31"/>
        <v>0</v>
      </c>
      <c r="H126" s="108">
        <f t="shared" si="31"/>
        <v>0</v>
      </c>
      <c r="I126" s="108">
        <f>SUM(I122:I125)</f>
        <v>0</v>
      </c>
      <c r="J126" s="108">
        <f t="shared" si="31"/>
        <v>0</v>
      </c>
      <c r="K126" s="108">
        <f t="shared" si="31"/>
        <v>0</v>
      </c>
      <c r="L126" s="109">
        <f t="shared" si="31"/>
        <v>0</v>
      </c>
      <c r="M126" s="108">
        <f t="shared" si="31"/>
        <v>2</v>
      </c>
      <c r="N126" s="108">
        <f t="shared" si="31"/>
        <v>2</v>
      </c>
      <c r="O126" s="108">
        <f t="shared" si="31"/>
        <v>2</v>
      </c>
      <c r="P126" s="108">
        <f t="shared" si="31"/>
        <v>2</v>
      </c>
      <c r="Q126" s="108">
        <f t="shared" si="31"/>
        <v>0</v>
      </c>
      <c r="R126" s="113"/>
    </row>
    <row r="127" spans="2:21" ht="15.5" x14ac:dyDescent="0.35">
      <c r="B127" s="105"/>
      <c r="C127" s="106"/>
      <c r="D127" s="108"/>
      <c r="E127" s="108">
        <f>ROUNDUP(E117/(Assumptions!$C$36*365),0)</f>
        <v>0</v>
      </c>
      <c r="F127" s="108">
        <f>ROUNDUP(F117/(Assumptions!$C$36*365),0)</f>
        <v>0</v>
      </c>
      <c r="G127" s="108">
        <f>ROUNDUP(G117/(Assumptions!$C$36*365),0)</f>
        <v>0</v>
      </c>
      <c r="H127" s="108">
        <f>ROUNDUP(H117/(Assumptions!$C$36*365),0)</f>
        <v>0</v>
      </c>
      <c r="I127" s="108">
        <f>ROUNDUP(I117/(Assumptions!$C$36*365),0)</f>
        <v>0</v>
      </c>
      <c r="J127" s="108">
        <f>ROUNDUP(J117/(Assumptions!$C$36*365),0)</f>
        <v>0</v>
      </c>
      <c r="K127" s="108">
        <f>ROUNDUP(K117/(Assumptions!$C$36*365),0)</f>
        <v>0</v>
      </c>
      <c r="L127" s="108">
        <f>ROUNDUP(L117/(Assumptions!$C$36*365),0)</f>
        <v>0</v>
      </c>
      <c r="M127" s="108">
        <f>ROUNDUP(M117/(Assumptions!$C$36*365),0)</f>
        <v>1</v>
      </c>
      <c r="N127" s="108">
        <f>ROUNDUP(N117/(Assumptions!$C$36*365),0)</f>
        <v>2</v>
      </c>
      <c r="O127" s="108">
        <f>ROUNDUP(O117/(Assumptions!$C$36*365),0)</f>
        <v>2</v>
      </c>
      <c r="P127" s="108">
        <f>ROUNDUP(P117/(Assumptions!$C$36*365),0)</f>
        <v>1</v>
      </c>
      <c r="Q127" s="108">
        <f>ROUNDUP(Q117/(Assumptions!$C$36*365),0)</f>
        <v>0</v>
      </c>
      <c r="R127" s="113"/>
    </row>
    <row r="128" spans="2:21" ht="15.5" x14ac:dyDescent="0.35">
      <c r="B128" s="106" t="s">
        <v>138</v>
      </c>
      <c r="C128" s="106"/>
      <c r="D128" s="108">
        <f>ROUNDUP(D118/(Assumptions!$C$36*365),0)</f>
        <v>0</v>
      </c>
      <c r="E128" s="108">
        <f>ROUNDUP(E118/(Assumptions!$C$36*365),0)</f>
        <v>0</v>
      </c>
      <c r="F128" s="108">
        <f>ROUNDUP(F118/(Assumptions!$C$36*365),0)</f>
        <v>0</v>
      </c>
      <c r="G128" s="108">
        <f>ROUNDUP(G118/(Assumptions!$C$36*365),0)</f>
        <v>0</v>
      </c>
      <c r="H128" s="108">
        <f>ROUNDUP(H118/(Assumptions!$C$36*365),0)</f>
        <v>0</v>
      </c>
      <c r="I128" s="108">
        <f>ROUNDUP(I118/(Assumptions!$C$36*365),0)</f>
        <v>0</v>
      </c>
      <c r="J128" s="108">
        <f>ROUNDUP(J118/(Assumptions!$C$36*365),0)</f>
        <v>0</v>
      </c>
      <c r="K128" s="108">
        <f>ROUNDUP(K118/(Assumptions!$C$36*365),0)</f>
        <v>0</v>
      </c>
      <c r="L128" s="109">
        <f>ROUNDUP(L118/(Assumptions!$C$36*365),0)</f>
        <v>0</v>
      </c>
      <c r="M128" s="108">
        <f>ROUNDUP(M118/(Assumptions!$C$36*365),0)</f>
        <v>1</v>
      </c>
      <c r="N128" s="108">
        <f>ROUNDUP(N118/(Assumptions!$C$36*365),0)</f>
        <v>1</v>
      </c>
      <c r="O128" s="108">
        <f>ROUNDUP(O118/(Assumptions!$C$36*365),0)</f>
        <v>1</v>
      </c>
      <c r="P128" s="108">
        <f>ROUNDUP(P118/(Assumptions!$C$36*365),0)</f>
        <v>1</v>
      </c>
      <c r="Q128" s="108">
        <f>ROUNDUP(Q118/(Assumptions!$C$36*365),0)</f>
        <v>0</v>
      </c>
      <c r="R128" s="113"/>
    </row>
    <row r="129" spans="2:18" ht="15.5" x14ac:dyDescent="0.35">
      <c r="B129" s="106" t="s">
        <v>242</v>
      </c>
      <c r="C129" s="106"/>
      <c r="D129" s="108">
        <f>D126*2</f>
        <v>0</v>
      </c>
      <c r="E129" s="108">
        <f t="shared" ref="E129:Q129" si="32">E126*2</f>
        <v>0</v>
      </c>
      <c r="F129" s="108">
        <f t="shared" si="32"/>
        <v>0</v>
      </c>
      <c r="G129" s="108">
        <f t="shared" si="32"/>
        <v>0</v>
      </c>
      <c r="H129" s="108">
        <f t="shared" si="32"/>
        <v>0</v>
      </c>
      <c r="I129" s="108">
        <f t="shared" si="32"/>
        <v>0</v>
      </c>
      <c r="J129" s="108">
        <f t="shared" si="32"/>
        <v>0</v>
      </c>
      <c r="K129" s="108">
        <f t="shared" si="32"/>
        <v>0</v>
      </c>
      <c r="L129" s="109">
        <f t="shared" si="32"/>
        <v>0</v>
      </c>
      <c r="M129" s="108">
        <f t="shared" si="32"/>
        <v>4</v>
      </c>
      <c r="N129" s="108">
        <f t="shared" si="32"/>
        <v>4</v>
      </c>
      <c r="O129" s="108">
        <f t="shared" si="32"/>
        <v>4</v>
      </c>
      <c r="P129" s="108">
        <f t="shared" si="32"/>
        <v>4</v>
      </c>
      <c r="Q129" s="108">
        <f t="shared" si="32"/>
        <v>0</v>
      </c>
      <c r="R129" s="113"/>
    </row>
    <row r="130" spans="2:18" ht="15.5" x14ac:dyDescent="0.35">
      <c r="B130" s="106" t="s">
        <v>179</v>
      </c>
      <c r="C130" s="106"/>
      <c r="D130" s="108">
        <v>0</v>
      </c>
      <c r="E130" s="108">
        <f>IF(E82=0,0,E84*Assumptions!$K$35+D84*Assumptions!$K$36+SUM($C84:C84)*Assumptions!$K$37+Assumptions!$K$38)</f>
        <v>0</v>
      </c>
      <c r="F130" s="108">
        <f>IF(F82=0,0,F84*Assumptions!$K$35+E84*Assumptions!$K$36+SUM($C84:D84)*Assumptions!$K$37+Assumptions!$K$38)</f>
        <v>0</v>
      </c>
      <c r="G130" s="108">
        <f>IF(G82=0,0,G84*Assumptions!$K$35+F84*Assumptions!$K$36+SUM($C84:E84)*Assumptions!$K$37+Assumptions!$K$38)</f>
        <v>0</v>
      </c>
      <c r="H130" s="108">
        <f>IF(H82=0,0,H84*Assumptions!$K$35+G84*Assumptions!$K$36+SUM($C84:F84)*Assumptions!$K$37+Assumptions!$K$38)</f>
        <v>0</v>
      </c>
      <c r="I130" s="108">
        <f>IF(I82=0,0,I84*Assumptions!$K$35+H84*Assumptions!$K$36+SUM($C84:G84)*Assumptions!$K$37+Assumptions!$K$38)</f>
        <v>0</v>
      </c>
      <c r="J130" s="108">
        <f>IF(J82=0,0,J84*Assumptions!$K$35+I84*Assumptions!$K$36+SUM($C84:H84)*Assumptions!$K$37+Assumptions!$K$38)</f>
        <v>0</v>
      </c>
      <c r="K130" s="108">
        <f>IF(K82=0,0,K84*Assumptions!$K$35+J84*Assumptions!$K$36+SUM($C84:I84)*Assumptions!$K$37+Assumptions!$K$38)</f>
        <v>0</v>
      </c>
      <c r="L130" s="108">
        <f>IF(L82=0,0,L84*Assumptions!$K$35+K84*Assumptions!$K$36+SUM($C84:J84)*Assumptions!$K$37+Assumptions!$K$38)</f>
        <v>0</v>
      </c>
      <c r="M130" s="108">
        <f>IF(M82=0,0,M84*Assumptions!$K$35+L84*Assumptions!$K$36+SUM($C84:K84)*Assumptions!$K$37+Assumptions!$K$38)</f>
        <v>4</v>
      </c>
      <c r="N130" s="108">
        <f>IF(N82=0,0,N84*Assumptions!$K$35+M84*Assumptions!$K$36+SUM($C84:L84)*Assumptions!$K$37+Assumptions!$K$38)</f>
        <v>8</v>
      </c>
      <c r="O130" s="108">
        <f>IF(O82=0,0,O84*Assumptions!$K$35+N84*Assumptions!$K$36+SUM($C84:M84)*Assumptions!$K$37+Assumptions!$K$38)</f>
        <v>11</v>
      </c>
      <c r="P130" s="108">
        <f>IF(P82=0,0,P84*Assumptions!$K$35+O84*Assumptions!$K$36+SUM($C84:N84)*Assumptions!$K$37+Assumptions!$K$38)</f>
        <v>11</v>
      </c>
      <c r="Q130" s="108">
        <f>IF(Q82=0,0,Q84*Assumptions!$K$35+P84*Assumptions!$K$36+SUM($C84:O84)*Assumptions!$K$37+Assumptions!$K$38)</f>
        <v>9</v>
      </c>
      <c r="R130" s="113">
        <f>Q130</f>
        <v>9</v>
      </c>
    </row>
    <row r="131" spans="2:18" ht="15.5" x14ac:dyDescent="0.35">
      <c r="B131" s="106" t="s">
        <v>343</v>
      </c>
      <c r="C131" s="106"/>
      <c r="D131" s="108">
        <v>0</v>
      </c>
      <c r="E131" s="108">
        <f>ROUNDUP((SUM($E86:E88)+D131)/Assumptions!$K$41,0)</f>
        <v>0</v>
      </c>
      <c r="F131" s="108">
        <f>ROUNDUP((SUM($E86:F88)+E131)/Assumptions!$K$41,0)</f>
        <v>0</v>
      </c>
      <c r="G131" s="108">
        <f>ROUNDUP((SUM($E86:G88)+F131)/Assumptions!$K$41,0)</f>
        <v>0</v>
      </c>
      <c r="H131" s="108">
        <f>ROUNDUP((SUM($E86:H88)+G131)/Assumptions!$K$41,0)</f>
        <v>0</v>
      </c>
      <c r="I131" s="108">
        <f>ROUNDUP((SUM($E86:I88)+H131)/Assumptions!$K$41,0)</f>
        <v>0</v>
      </c>
      <c r="J131" s="108">
        <f>ROUNDUP((SUM($E86:J88)+I131)/Assumptions!$K$41,0)</f>
        <v>0</v>
      </c>
      <c r="K131" s="108">
        <f>ROUNDUP((SUM($E86:K88)+J131)/Assumptions!$K$41,0)</f>
        <v>0</v>
      </c>
      <c r="L131" s="108">
        <f>ROUNDUP((SUM($E86:L88)+K131)/Assumptions!$K$41,0)</f>
        <v>0</v>
      </c>
      <c r="M131" s="108">
        <f>ROUNDUP((SUM($E86:M88)+L131)/Assumptions!$K$41,0)</f>
        <v>1</v>
      </c>
      <c r="N131" s="108">
        <f>ROUNDUP((SUM($E86:N88)+M131)/Assumptions!$K$41,0)</f>
        <v>1</v>
      </c>
      <c r="O131" s="108">
        <f>ROUNDUP((SUM($E86:O88)+N131)/Assumptions!$K$41,0)</f>
        <v>2</v>
      </c>
      <c r="P131" s="108">
        <f>ROUNDUP((SUM($E86:P88)+O131)/Assumptions!$K$41,0)</f>
        <v>2</v>
      </c>
      <c r="Q131" s="108">
        <f>ROUNDUP((SUM($E86:Q88)+P131)/Assumptions!$K$41,0)</f>
        <v>2</v>
      </c>
      <c r="R131" s="113">
        <f>Q131</f>
        <v>2</v>
      </c>
    </row>
    <row r="132" spans="2:18" ht="15.5" x14ac:dyDescent="0.35">
      <c r="B132" s="106" t="s">
        <v>195</v>
      </c>
      <c r="C132" s="106"/>
      <c r="D132" s="108">
        <f>ROUNDUP(D119/(Assumptions!$C$36*365),0)</f>
        <v>0</v>
      </c>
      <c r="E132" s="108">
        <f>ROUNDUP(E119/(Assumptions!$C$36*365),0)</f>
        <v>0</v>
      </c>
      <c r="F132" s="108">
        <f>ROUNDUP(F119/(Assumptions!$C$36*365),0)</f>
        <v>0</v>
      </c>
      <c r="G132" s="108">
        <f>ROUNDUP(G119/(Assumptions!$C$36*365),0)</f>
        <v>0</v>
      </c>
      <c r="H132" s="108">
        <f>ROUNDUP(H119/(Assumptions!$C$36*365),0)</f>
        <v>0</v>
      </c>
      <c r="I132" s="108">
        <f>ROUNDUP(I119/(Assumptions!$C$36*365),0)</f>
        <v>0</v>
      </c>
      <c r="J132" s="108">
        <f>ROUNDUP(J119/(Assumptions!$C$36*365),0)</f>
        <v>0</v>
      </c>
      <c r="K132" s="108">
        <f>ROUNDUP(K119/(Assumptions!$C$36*365),0)</f>
        <v>0</v>
      </c>
      <c r="L132" s="109">
        <f>ROUNDUP(L119/(Assumptions!$C$36*365),0)</f>
        <v>0</v>
      </c>
      <c r="M132" s="108">
        <f>ROUNDUP(M119/(Assumptions!$C$36*365),0)</f>
        <v>1</v>
      </c>
      <c r="N132" s="108">
        <f>ROUNDUP(N119/(Assumptions!$C$36*365),0)</f>
        <v>2</v>
      </c>
      <c r="O132" s="108">
        <f>ROUNDUP(O119/(Assumptions!$C$36*365),0)</f>
        <v>2</v>
      </c>
      <c r="P132" s="108">
        <f>ROUNDUP(P119/(Assumptions!$C$36*365),0)</f>
        <v>1</v>
      </c>
      <c r="Q132" s="108">
        <f>ROUNDUP(Q119/(Assumptions!$C$36*365),0)</f>
        <v>0</v>
      </c>
      <c r="R132" s="114"/>
    </row>
    <row r="133" spans="2:18" ht="15.5" x14ac:dyDescent="0.35">
      <c r="B133" s="106" t="s">
        <v>305</v>
      </c>
      <c r="C133" s="106"/>
      <c r="D133" s="108">
        <f>ROUNDUP(D120/(Assumptions!$C$36*365),0)</f>
        <v>0</v>
      </c>
      <c r="E133" s="108">
        <f>ROUNDUP(E120/(Assumptions!$C$36*365),0)</f>
        <v>0</v>
      </c>
      <c r="F133" s="108">
        <f>ROUNDUP(F120/(Assumptions!$C$36*365),0)</f>
        <v>0</v>
      </c>
      <c r="G133" s="108">
        <f>ROUNDUP(G120/(Assumptions!$C$36*365),0)</f>
        <v>0</v>
      </c>
      <c r="H133" s="108">
        <f>ROUNDUP(H120/(Assumptions!$C$36*365),0)</f>
        <v>0</v>
      </c>
      <c r="I133" s="108">
        <f>ROUNDUP(I120/(Assumptions!$C$36*365),0)</f>
        <v>0</v>
      </c>
      <c r="J133" s="108">
        <f>ROUNDUP(J120/(Assumptions!$C$36*365),0)</f>
        <v>0</v>
      </c>
      <c r="K133" s="108">
        <f>ROUNDUP(K120/(Assumptions!$C$36*365),0)</f>
        <v>0</v>
      </c>
      <c r="L133" s="108">
        <f>ROUNDUP(L120/(Assumptions!$C$36*365),0)</f>
        <v>0</v>
      </c>
      <c r="M133" s="108">
        <f>ROUNDUP(M120/(Assumptions!$C$36*365),0)</f>
        <v>1</v>
      </c>
      <c r="N133" s="108">
        <f>ROUNDUP(N120/(Assumptions!$C$36*365),0)</f>
        <v>1</v>
      </c>
      <c r="O133" s="108">
        <f>ROUNDUP(O120/(Assumptions!$C$36*365),0)</f>
        <v>1</v>
      </c>
      <c r="P133" s="108">
        <f>ROUNDUP(P120/(Assumptions!$C$36*365),0)</f>
        <v>1</v>
      </c>
      <c r="Q133" s="108">
        <f>ROUNDUP(Q120/(Assumptions!$C$36*365),0)</f>
        <v>0</v>
      </c>
      <c r="R133" s="114"/>
    </row>
    <row r="134" spans="2:18" ht="15.5" x14ac:dyDescent="0.35">
      <c r="B134" s="106"/>
      <c r="C134" s="106"/>
      <c r="D134" s="108"/>
      <c r="E134" s="108"/>
      <c r="F134" s="108"/>
      <c r="G134" s="108"/>
      <c r="H134" s="108"/>
      <c r="I134" s="108"/>
      <c r="J134" s="108"/>
      <c r="K134" s="108"/>
      <c r="L134" s="109"/>
      <c r="M134" s="108"/>
      <c r="N134" s="108"/>
      <c r="O134" s="108"/>
      <c r="P134" s="108"/>
      <c r="Q134" s="108"/>
      <c r="R134" s="114"/>
    </row>
    <row r="135" spans="2:18" ht="15.5" x14ac:dyDescent="0.35">
      <c r="B135" s="135" t="s">
        <v>253</v>
      </c>
      <c r="C135" s="143"/>
      <c r="D135" s="143"/>
      <c r="E135" s="143"/>
      <c r="F135" s="143"/>
      <c r="G135" s="143"/>
      <c r="H135" s="143"/>
      <c r="I135" s="143"/>
      <c r="J135" s="143"/>
      <c r="K135" s="143"/>
      <c r="L135" s="143"/>
      <c r="M135" s="143"/>
      <c r="N135" s="143"/>
      <c r="O135" s="143"/>
      <c r="P135" s="143"/>
      <c r="Q135" s="143"/>
      <c r="R135" s="143"/>
    </row>
    <row r="136" spans="2:18" ht="15.5" x14ac:dyDescent="0.35">
      <c r="B136" s="135"/>
      <c r="C136" s="143">
        <f t="shared" ref="C136:Q136" si="33">C6</f>
        <v>2021</v>
      </c>
      <c r="D136" s="143">
        <f t="shared" si="33"/>
        <v>2022</v>
      </c>
      <c r="E136" s="143">
        <f t="shared" si="33"/>
        <v>2023</v>
      </c>
      <c r="F136" s="143">
        <f t="shared" si="33"/>
        <v>2024</v>
      </c>
      <c r="G136" s="143">
        <f t="shared" si="33"/>
        <v>2025</v>
      </c>
      <c r="H136" s="143">
        <f t="shared" si="33"/>
        <v>2026</v>
      </c>
      <c r="I136" s="143">
        <f t="shared" si="33"/>
        <v>2027</v>
      </c>
      <c r="J136" s="143">
        <f t="shared" si="33"/>
        <v>2028</v>
      </c>
      <c r="K136" s="143">
        <f t="shared" si="33"/>
        <v>2029</v>
      </c>
      <c r="L136" s="143">
        <f t="shared" si="33"/>
        <v>2030</v>
      </c>
      <c r="M136" s="143">
        <f t="shared" si="33"/>
        <v>2031</v>
      </c>
      <c r="N136" s="143">
        <f t="shared" si="33"/>
        <v>2032</v>
      </c>
      <c r="O136" s="143">
        <f t="shared" si="33"/>
        <v>2033</v>
      </c>
      <c r="P136" s="143">
        <f t="shared" si="33"/>
        <v>2034</v>
      </c>
      <c r="Q136" s="143">
        <f t="shared" si="33"/>
        <v>2035</v>
      </c>
      <c r="R136" s="143"/>
    </row>
    <row r="137" spans="2:18" x14ac:dyDescent="0.35">
      <c r="B137" s="144" t="s">
        <v>254</v>
      </c>
      <c r="C137" s="144"/>
      <c r="D137" s="144">
        <f>ROUNDUP(D126*1.5,0)</f>
        <v>0</v>
      </c>
      <c r="E137" s="144">
        <f>ROUNDUP(E126*1.5,0)</f>
        <v>0</v>
      </c>
      <c r="F137" s="144">
        <f t="shared" ref="F137:Q137" si="34">ROUNDUP(F126*1.5,0)</f>
        <v>0</v>
      </c>
      <c r="G137" s="144">
        <f t="shared" si="34"/>
        <v>0</v>
      </c>
      <c r="H137" s="144">
        <f t="shared" si="34"/>
        <v>0</v>
      </c>
      <c r="I137" s="144">
        <f>ROUNDUP(I126*1.5,0)</f>
        <v>0</v>
      </c>
      <c r="J137" s="144">
        <f t="shared" si="34"/>
        <v>0</v>
      </c>
      <c r="K137" s="144">
        <f t="shared" si="34"/>
        <v>0</v>
      </c>
      <c r="L137" s="144">
        <f t="shared" si="34"/>
        <v>0</v>
      </c>
      <c r="M137" s="144">
        <f t="shared" si="34"/>
        <v>3</v>
      </c>
      <c r="N137" s="144">
        <f t="shared" si="34"/>
        <v>3</v>
      </c>
      <c r="O137" s="144">
        <f t="shared" si="34"/>
        <v>3</v>
      </c>
      <c r="P137" s="144">
        <f t="shared" si="34"/>
        <v>3</v>
      </c>
      <c r="Q137" s="144">
        <f t="shared" si="34"/>
        <v>0</v>
      </c>
      <c r="R137" s="144"/>
    </row>
    <row r="138" spans="2:18" x14ac:dyDescent="0.35">
      <c r="B138" s="144" t="s">
        <v>269</v>
      </c>
      <c r="C138" s="145"/>
      <c r="D138" s="145">
        <f t="shared" ref="D138" si="35">D127*29*$R$2*$R$3</f>
        <v>0</v>
      </c>
      <c r="E138" s="145">
        <f t="shared" ref="E138:Q138" si="36">E127*40*$R$2*$R$3</f>
        <v>0</v>
      </c>
      <c r="F138" s="145">
        <f t="shared" si="36"/>
        <v>0</v>
      </c>
      <c r="G138" s="145">
        <f t="shared" si="36"/>
        <v>0</v>
      </c>
      <c r="H138" s="145">
        <f t="shared" si="36"/>
        <v>0</v>
      </c>
      <c r="I138" s="145">
        <f t="shared" si="36"/>
        <v>0</v>
      </c>
      <c r="J138" s="145">
        <f t="shared" si="36"/>
        <v>0</v>
      </c>
      <c r="K138" s="145">
        <f t="shared" si="36"/>
        <v>0</v>
      </c>
      <c r="L138" s="145">
        <f t="shared" si="36"/>
        <v>0</v>
      </c>
      <c r="M138" s="145">
        <f t="shared" si="36"/>
        <v>40</v>
      </c>
      <c r="N138" s="145">
        <f t="shared" si="36"/>
        <v>80</v>
      </c>
      <c r="O138" s="145">
        <f t="shared" si="36"/>
        <v>80</v>
      </c>
      <c r="P138" s="145">
        <f t="shared" si="36"/>
        <v>40</v>
      </c>
      <c r="Q138" s="145">
        <f t="shared" si="36"/>
        <v>0</v>
      </c>
      <c r="R138" s="144"/>
    </row>
    <row r="139" spans="2:18" x14ac:dyDescent="0.35">
      <c r="B139" s="83"/>
      <c r="C139" s="54"/>
      <c r="D139" s="54"/>
      <c r="E139" s="54"/>
      <c r="F139" s="54"/>
      <c r="G139" s="54"/>
      <c r="H139" s="54"/>
      <c r="I139" s="54"/>
      <c r="J139" s="54"/>
      <c r="K139" s="54"/>
      <c r="L139" s="54"/>
      <c r="M139" s="54"/>
      <c r="N139" s="54"/>
      <c r="O139" s="54"/>
      <c r="P139" s="54"/>
      <c r="Q139" s="54"/>
      <c r="R139" s="83"/>
    </row>
    <row r="140" spans="2:18" x14ac:dyDescent="0.35">
      <c r="B140" s="83"/>
      <c r="C140" s="54"/>
      <c r="D140" s="54"/>
      <c r="E140" s="54"/>
      <c r="F140" s="54"/>
      <c r="G140" s="54"/>
      <c r="H140" s="54"/>
      <c r="I140" s="54"/>
      <c r="J140" s="54"/>
      <c r="K140" s="54"/>
      <c r="L140" s="54"/>
      <c r="M140" s="54"/>
      <c r="N140" s="54"/>
      <c r="O140" s="54"/>
      <c r="P140" s="54"/>
      <c r="Q140" s="54"/>
      <c r="R140" s="83"/>
    </row>
    <row r="142" spans="2:18" ht="15.5" x14ac:dyDescent="0.35">
      <c r="B142" t="s">
        <v>235</v>
      </c>
      <c r="D142" s="115">
        <f t="shared" ref="D142:R142" si="37">SUM(D86:D88)</f>
        <v>0</v>
      </c>
      <c r="E142" s="115">
        <f t="shared" si="37"/>
        <v>0</v>
      </c>
      <c r="F142" s="115">
        <f t="shared" si="37"/>
        <v>0</v>
      </c>
      <c r="G142" s="115">
        <f t="shared" si="37"/>
        <v>0</v>
      </c>
      <c r="H142" s="115">
        <f t="shared" si="37"/>
        <v>0</v>
      </c>
      <c r="I142" s="115">
        <f t="shared" si="37"/>
        <v>0</v>
      </c>
      <c r="J142" s="115">
        <f t="shared" si="37"/>
        <v>0</v>
      </c>
      <c r="K142" s="115">
        <f t="shared" si="37"/>
        <v>0</v>
      </c>
      <c r="L142" s="115">
        <f t="shared" si="37"/>
        <v>0</v>
      </c>
      <c r="M142" s="115">
        <f t="shared" si="37"/>
        <v>83.333333333333329</v>
      </c>
      <c r="N142" s="115">
        <f t="shared" si="37"/>
        <v>111.11111111111111</v>
      </c>
      <c r="O142" s="115">
        <f t="shared" si="37"/>
        <v>138.88888888888889</v>
      </c>
      <c r="P142" s="115">
        <f t="shared" si="37"/>
        <v>55.555555555555557</v>
      </c>
      <c r="Q142" s="115">
        <f t="shared" si="37"/>
        <v>0</v>
      </c>
      <c r="R142" s="115">
        <f t="shared" si="37"/>
        <v>388.88888888888891</v>
      </c>
    </row>
    <row r="146" spans="6:17" x14ac:dyDescent="0.35">
      <c r="F146" s="22"/>
      <c r="G146" s="22"/>
      <c r="H146" s="22"/>
      <c r="I146" s="22"/>
      <c r="J146" s="22"/>
      <c r="K146" s="22"/>
      <c r="L146" s="22"/>
      <c r="M146" s="22"/>
      <c r="N146" s="22"/>
      <c r="O146" s="22"/>
      <c r="P146" s="22"/>
      <c r="Q146" s="22"/>
    </row>
    <row r="147" spans="6:17" x14ac:dyDescent="0.35">
      <c r="F147" s="22"/>
      <c r="G147" s="22"/>
      <c r="H147" s="22"/>
      <c r="I147" s="22"/>
      <c r="J147" s="22"/>
      <c r="K147" s="22"/>
      <c r="L147" s="22"/>
      <c r="M147" s="22"/>
      <c r="N147" s="22"/>
      <c r="O147" s="22"/>
      <c r="P147" s="22"/>
      <c r="Q147" s="22"/>
    </row>
    <row r="148" spans="6:17" x14ac:dyDescent="0.35">
      <c r="F148" s="22"/>
      <c r="G148" s="22"/>
      <c r="H148" s="22"/>
      <c r="I148" s="22"/>
      <c r="J148" s="22"/>
      <c r="K148" s="22"/>
      <c r="L148" s="22"/>
      <c r="M148" s="22"/>
      <c r="N148" s="22"/>
      <c r="O148" s="22"/>
      <c r="P148" s="22"/>
      <c r="Q148" s="22"/>
    </row>
    <row r="150" spans="6:17" x14ac:dyDescent="0.35">
      <c r="F150" s="58"/>
      <c r="G150" s="58"/>
      <c r="H150" s="58"/>
      <c r="I150" s="58"/>
      <c r="J150" s="58"/>
      <c r="K150" s="58"/>
      <c r="L150" s="58"/>
      <c r="M150" s="58"/>
      <c r="N150" s="58"/>
      <c r="O150" s="58"/>
      <c r="P150" s="58"/>
      <c r="Q150" s="58"/>
    </row>
    <row r="151" spans="6:17" x14ac:dyDescent="0.35">
      <c r="F151" s="58"/>
      <c r="G151" s="58"/>
      <c r="H151" s="58"/>
      <c r="I151" s="58"/>
      <c r="J151" s="58"/>
      <c r="K151" s="58"/>
      <c r="L151" s="58"/>
      <c r="M151" s="58"/>
      <c r="N151" s="58"/>
      <c r="O151" s="58"/>
      <c r="P151" s="58"/>
      <c r="Q151" s="58"/>
    </row>
    <row r="152" spans="6:17" x14ac:dyDescent="0.35">
      <c r="F152" s="58"/>
      <c r="G152" s="58"/>
      <c r="H152" s="58"/>
      <c r="I152" s="58"/>
      <c r="J152" s="58"/>
      <c r="K152" s="58"/>
      <c r="L152" s="58"/>
      <c r="M152" s="58"/>
      <c r="N152" s="58"/>
      <c r="O152" s="58"/>
      <c r="P152" s="58"/>
      <c r="Q152" s="58"/>
    </row>
    <row r="153" spans="6:17" x14ac:dyDescent="0.35">
      <c r="F153" s="58"/>
      <c r="G153" s="58"/>
      <c r="H153" s="58"/>
      <c r="I153" s="58"/>
      <c r="J153" s="58"/>
      <c r="K153" s="58"/>
      <c r="L153" s="58"/>
      <c r="M153" s="58"/>
      <c r="N153" s="58"/>
      <c r="O153" s="58"/>
      <c r="P153" s="58"/>
      <c r="Q153" s="58"/>
    </row>
  </sheetData>
  <conditionalFormatting sqref="C10:Q12">
    <cfRule type="colorScale" priority="27">
      <colorScale>
        <cfvo type="min"/>
        <cfvo type="max"/>
        <color theme="0"/>
        <color rgb="FF5D9732"/>
      </colorScale>
    </cfRule>
  </conditionalFormatting>
  <conditionalFormatting sqref="C18:Q20">
    <cfRule type="colorScale" priority="26">
      <colorScale>
        <cfvo type="min"/>
        <cfvo type="max"/>
        <color theme="0"/>
        <color rgb="FF5D9732"/>
      </colorScale>
    </cfRule>
  </conditionalFormatting>
  <conditionalFormatting sqref="C30:Q32">
    <cfRule type="colorScale" priority="25">
      <colorScale>
        <cfvo type="min"/>
        <cfvo type="max"/>
        <color theme="0"/>
        <color rgb="FF5D9732"/>
      </colorScale>
    </cfRule>
  </conditionalFormatting>
  <conditionalFormatting sqref="C34:Q35">
    <cfRule type="colorScale" priority="24">
      <colorScale>
        <cfvo type="min"/>
        <cfvo type="max"/>
        <color theme="0"/>
        <color rgb="FF5D9732"/>
      </colorScale>
    </cfRule>
  </conditionalFormatting>
  <conditionalFormatting sqref="D67:Q67">
    <cfRule type="colorScale" priority="23">
      <colorScale>
        <cfvo type="min"/>
        <cfvo type="max"/>
        <color rgb="FFFCFCFF"/>
        <color rgb="FF00B050"/>
      </colorScale>
    </cfRule>
  </conditionalFormatting>
  <conditionalFormatting sqref="C50:Q52">
    <cfRule type="colorScale" priority="22">
      <colorScale>
        <cfvo type="min"/>
        <cfvo type="max"/>
        <color theme="0"/>
        <color rgb="FF5D9732"/>
      </colorScale>
    </cfRule>
  </conditionalFormatting>
  <conditionalFormatting sqref="Q58:Q60">
    <cfRule type="colorScale" priority="21">
      <colorScale>
        <cfvo type="min"/>
        <cfvo type="max"/>
        <color theme="0"/>
        <color rgb="FF00B050"/>
      </colorScale>
    </cfRule>
  </conditionalFormatting>
  <conditionalFormatting sqref="C68:Q68">
    <cfRule type="colorScale" priority="20">
      <colorScale>
        <cfvo type="min"/>
        <cfvo type="max"/>
        <color theme="0"/>
        <color rgb="FF5D9732"/>
      </colorScale>
    </cfRule>
  </conditionalFormatting>
  <conditionalFormatting sqref="C70:Q71">
    <cfRule type="colorScale" priority="19">
      <colorScale>
        <cfvo type="min"/>
        <cfvo type="max"/>
        <color theme="0"/>
        <color rgb="FF5D9732"/>
      </colorScale>
    </cfRule>
  </conditionalFormatting>
  <conditionalFormatting sqref="D86:Q88">
    <cfRule type="colorScale" priority="18">
      <colorScale>
        <cfvo type="min"/>
        <cfvo type="max"/>
        <color theme="0"/>
        <color rgb="FF5D9732"/>
      </colorScale>
    </cfRule>
  </conditionalFormatting>
  <conditionalFormatting sqref="D90:Q92">
    <cfRule type="colorScale" priority="17">
      <colorScale>
        <cfvo type="min"/>
        <cfvo type="max"/>
        <color theme="0"/>
        <color rgb="FF5D9732"/>
      </colorScale>
    </cfRule>
  </conditionalFormatting>
  <conditionalFormatting sqref="D94:Q96">
    <cfRule type="colorScale" priority="16">
      <colorScale>
        <cfvo type="min"/>
        <cfvo type="max"/>
        <color theme="0"/>
        <color rgb="FF5D9732"/>
      </colorScale>
    </cfRule>
  </conditionalFormatting>
  <conditionalFormatting sqref="D98:Q100">
    <cfRule type="colorScale" priority="15">
      <colorScale>
        <cfvo type="min"/>
        <cfvo type="max"/>
        <color theme="0"/>
        <color rgb="FF5D9732"/>
      </colorScale>
    </cfRule>
  </conditionalFormatting>
  <conditionalFormatting sqref="C14:Q16">
    <cfRule type="colorScale" priority="14">
      <colorScale>
        <cfvo type="min"/>
        <cfvo type="max"/>
        <color theme="0"/>
        <color rgb="FF5D9732"/>
      </colorScale>
    </cfRule>
  </conditionalFormatting>
  <conditionalFormatting sqref="C46:Q48">
    <cfRule type="colorScale" priority="13">
      <colorScale>
        <cfvo type="min"/>
        <cfvo type="max"/>
        <color theme="0"/>
        <color rgb="FF5D9732"/>
      </colorScale>
    </cfRule>
  </conditionalFormatting>
  <conditionalFormatting sqref="C54:Q60">
    <cfRule type="colorScale" priority="12">
      <colorScale>
        <cfvo type="min"/>
        <cfvo type="max"/>
        <color theme="0"/>
        <color rgb="FF5D9732"/>
      </colorScale>
    </cfRule>
  </conditionalFormatting>
  <conditionalFormatting sqref="D113:Q116 D118:Q120">
    <cfRule type="colorScale" priority="11">
      <colorScale>
        <cfvo type="min"/>
        <cfvo type="max"/>
        <color rgb="FFFCFCFF"/>
        <color rgb="FF5D9732"/>
      </colorScale>
    </cfRule>
  </conditionalFormatting>
  <conditionalFormatting sqref="D122:Q126 D128:Q128">
    <cfRule type="colorScale" priority="28">
      <colorScale>
        <cfvo type="min"/>
        <cfvo type="max"/>
        <color rgb="FFFCFCFF"/>
        <color rgb="FF5D9732"/>
      </colorScale>
    </cfRule>
  </conditionalFormatting>
  <conditionalFormatting sqref="D77:Q80">
    <cfRule type="colorScale" priority="29">
      <colorScale>
        <cfvo type="min"/>
        <cfvo type="max"/>
        <color rgb="FFFCFCFF"/>
        <color rgb="FF00B050"/>
      </colorScale>
    </cfRule>
  </conditionalFormatting>
  <conditionalFormatting sqref="D84:Q84">
    <cfRule type="colorScale" priority="7">
      <colorScale>
        <cfvo type="min"/>
        <cfvo type="max"/>
        <color rgb="FFFCFCFF"/>
        <color rgb="FF5D9732"/>
      </colorScale>
    </cfRule>
  </conditionalFormatting>
  <conditionalFormatting sqref="C62:Q65">
    <cfRule type="colorScale" priority="10">
      <colorScale>
        <cfvo type="min"/>
        <cfvo type="max"/>
        <color theme="0"/>
        <color rgb="FF5D9732"/>
      </colorScale>
    </cfRule>
  </conditionalFormatting>
  <conditionalFormatting sqref="C22:Q24">
    <cfRule type="colorScale" priority="9">
      <colorScale>
        <cfvo type="min"/>
        <cfvo type="max"/>
        <color theme="0"/>
        <color rgb="FF5D9732"/>
      </colorScale>
    </cfRule>
  </conditionalFormatting>
  <conditionalFormatting sqref="C26:Q29">
    <cfRule type="colorScale" priority="8">
      <colorScale>
        <cfvo type="min"/>
        <cfvo type="max"/>
        <color theme="0"/>
        <color rgb="FF5D9732"/>
      </colorScale>
    </cfRule>
  </conditionalFormatting>
  <conditionalFormatting sqref="C66:P66">
    <cfRule type="colorScale" priority="6">
      <colorScale>
        <cfvo type="min"/>
        <cfvo type="max"/>
        <color rgb="FFFCFCFF"/>
        <color rgb="FF5D9732"/>
      </colorScale>
    </cfRule>
  </conditionalFormatting>
  <conditionalFormatting sqref="D117:Q117">
    <cfRule type="colorScale" priority="5">
      <colorScale>
        <cfvo type="min"/>
        <cfvo type="max"/>
        <color rgb="FFFCFCFF"/>
        <color rgb="FF5D9732"/>
      </colorScale>
    </cfRule>
  </conditionalFormatting>
  <conditionalFormatting sqref="D127:Q127">
    <cfRule type="colorScale" priority="4">
      <colorScale>
        <cfvo type="min"/>
        <cfvo type="max"/>
        <color rgb="FFFCFCFF"/>
        <color rgb="FF5D9732"/>
      </colorScale>
    </cfRule>
  </conditionalFormatting>
  <conditionalFormatting sqref="D132:Q133">
    <cfRule type="colorScale" priority="3">
      <colorScale>
        <cfvo type="min"/>
        <cfvo type="max"/>
        <color theme="0"/>
        <color rgb="FF5D9732"/>
      </colorScale>
    </cfRule>
  </conditionalFormatting>
  <conditionalFormatting sqref="D102:Q106">
    <cfRule type="colorScale" priority="30">
      <colorScale>
        <cfvo type="min"/>
        <cfvo type="max"/>
        <color theme="0"/>
        <color rgb="FF5D9732"/>
      </colorScale>
    </cfRule>
  </conditionalFormatting>
  <conditionalFormatting sqref="D107:Q108">
    <cfRule type="colorScale" priority="31">
      <colorScale>
        <cfvo type="min"/>
        <cfvo type="max"/>
        <color rgb="FFFCFCFF"/>
        <color rgb="FF5D9732"/>
      </colorScale>
    </cfRule>
  </conditionalFormatting>
  <conditionalFormatting sqref="D110:Q111">
    <cfRule type="colorScale" priority="32">
      <colorScale>
        <cfvo type="min"/>
        <cfvo type="max"/>
        <color theme="0"/>
        <color rgb="FF5D9732"/>
      </colorScale>
    </cfRule>
  </conditionalFormatting>
  <conditionalFormatting sqref="D129:Q130">
    <cfRule type="colorScale" priority="2">
      <colorScale>
        <cfvo type="min"/>
        <cfvo type="max"/>
        <color theme="0"/>
        <color rgb="FF5D9732"/>
      </colorScale>
    </cfRule>
  </conditionalFormatting>
  <conditionalFormatting sqref="D131:Q131">
    <cfRule type="colorScale" priority="1">
      <colorScale>
        <cfvo type="min"/>
        <cfvo type="max"/>
        <color theme="0"/>
        <color rgb="FF5D9732"/>
      </colorScale>
    </cfRule>
  </conditionalFormatting>
  <pageMargins left="0.7" right="0.7" top="0.75" bottom="0.75" header="0.3" footer="0.3"/>
  <pageSetup orientation="portrait" horizontalDpi="1200" verticalDpi="120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0E99FF-AAE2-4B46-B870-01A464283BC7}">
  <sheetPr>
    <tabColor rgb="FF8CC63F"/>
  </sheetPr>
  <dimension ref="A1:Z143"/>
  <sheetViews>
    <sheetView topLeftCell="A83" zoomScale="70" zoomScaleNormal="70" workbookViewId="0">
      <selection activeCell="B114" sqref="B114"/>
    </sheetView>
  </sheetViews>
  <sheetFormatPr defaultRowHeight="14.5" x14ac:dyDescent="0.35"/>
  <cols>
    <col min="1" max="1" width="5.08984375" customWidth="1"/>
    <col min="2" max="2" width="25.1796875" customWidth="1"/>
    <col min="3" max="3" width="7.1796875" bestFit="1" customWidth="1"/>
    <col min="6" max="16" width="9.36328125" bestFit="1" customWidth="1"/>
    <col min="17" max="17" width="10.08984375" customWidth="1"/>
  </cols>
  <sheetData>
    <row r="1" spans="1:20" x14ac:dyDescent="0.35">
      <c r="R1" t="s">
        <v>104</v>
      </c>
    </row>
    <row r="2" spans="1:20" x14ac:dyDescent="0.35">
      <c r="A2" s="30"/>
      <c r="B2" s="7" t="s">
        <v>372</v>
      </c>
      <c r="C2" s="30"/>
      <c r="D2" s="30"/>
      <c r="E2" s="30"/>
      <c r="F2" s="30"/>
      <c r="G2" s="30"/>
      <c r="Q2" s="4"/>
      <c r="R2" s="23"/>
    </row>
    <row r="3" spans="1:20" x14ac:dyDescent="0.35">
      <c r="Q3" s="4"/>
      <c r="R3" s="23"/>
      <c r="T3" s="138" t="s">
        <v>133</v>
      </c>
    </row>
    <row r="4" spans="1:20" x14ac:dyDescent="0.35">
      <c r="Q4" s="4" t="s">
        <v>256</v>
      </c>
      <c r="R4" s="23">
        <v>1</v>
      </c>
      <c r="T4" s="138" t="s">
        <v>134</v>
      </c>
    </row>
    <row r="5" spans="1:20" x14ac:dyDescent="0.35">
      <c r="C5" t="s">
        <v>105</v>
      </c>
      <c r="T5" s="138" t="s">
        <v>135</v>
      </c>
    </row>
    <row r="6" spans="1:20" ht="21" x14ac:dyDescent="0.5">
      <c r="B6" s="102"/>
      <c r="C6" s="103">
        <v>2021</v>
      </c>
      <c r="D6" s="103">
        <v>2022</v>
      </c>
      <c r="E6" s="103">
        <f t="shared" ref="E6:Q6" si="0">D6+1</f>
        <v>2023</v>
      </c>
      <c r="F6" s="103">
        <f t="shared" si="0"/>
        <v>2024</v>
      </c>
      <c r="G6" s="103">
        <f t="shared" si="0"/>
        <v>2025</v>
      </c>
      <c r="H6" s="103">
        <f t="shared" si="0"/>
        <v>2026</v>
      </c>
      <c r="I6" s="103">
        <f t="shared" si="0"/>
        <v>2027</v>
      </c>
      <c r="J6" s="103">
        <f t="shared" si="0"/>
        <v>2028</v>
      </c>
      <c r="K6" s="103">
        <f t="shared" si="0"/>
        <v>2029</v>
      </c>
      <c r="L6" s="104">
        <f t="shared" si="0"/>
        <v>2030</v>
      </c>
      <c r="M6" s="103">
        <f t="shared" si="0"/>
        <v>2031</v>
      </c>
      <c r="N6" s="103">
        <f t="shared" si="0"/>
        <v>2032</v>
      </c>
      <c r="O6" s="103">
        <f t="shared" si="0"/>
        <v>2033</v>
      </c>
      <c r="P6" s="103">
        <f t="shared" si="0"/>
        <v>2034</v>
      </c>
      <c r="Q6" s="103">
        <f t="shared" si="0"/>
        <v>2035</v>
      </c>
      <c r="R6" s="112" t="s">
        <v>96</v>
      </c>
      <c r="T6" s="138" t="s">
        <v>136</v>
      </c>
    </row>
    <row r="7" spans="1:20" ht="15.5" x14ac:dyDescent="0.35">
      <c r="A7" s="116" t="s">
        <v>132</v>
      </c>
      <c r="B7" s="117" t="s">
        <v>107</v>
      </c>
      <c r="C7" s="117"/>
      <c r="D7" s="118"/>
      <c r="E7" s="118"/>
      <c r="F7" s="118"/>
      <c r="G7" s="118"/>
      <c r="H7" s="118"/>
      <c r="I7" s="118"/>
      <c r="J7" s="118"/>
      <c r="K7" s="118"/>
      <c r="L7" s="118"/>
      <c r="M7" s="118"/>
      <c r="N7" s="118"/>
      <c r="O7" s="118"/>
      <c r="P7" s="118"/>
      <c r="Q7" s="118"/>
      <c r="R7" s="119"/>
    </row>
    <row r="8" spans="1:20" ht="15.5" x14ac:dyDescent="0.35">
      <c r="A8" s="116"/>
      <c r="B8" s="120" t="s">
        <v>108</v>
      </c>
      <c r="C8" s="120"/>
      <c r="D8" s="116"/>
      <c r="E8" s="116"/>
      <c r="F8" s="116"/>
      <c r="G8" s="116"/>
      <c r="H8" s="116"/>
      <c r="I8" s="116"/>
      <c r="J8" s="116"/>
      <c r="K8" s="116"/>
      <c r="L8" s="116"/>
      <c r="M8" s="116"/>
      <c r="N8" s="116"/>
      <c r="O8" s="116"/>
      <c r="P8" s="116"/>
      <c r="Q8" s="116"/>
      <c r="R8" s="115"/>
    </row>
    <row r="9" spans="1:20" ht="15.5" x14ac:dyDescent="0.35">
      <c r="A9" s="116"/>
      <c r="B9" s="129" t="s">
        <v>350</v>
      </c>
      <c r="C9" s="129"/>
      <c r="D9" s="129"/>
      <c r="E9" s="129"/>
      <c r="F9" s="129"/>
      <c r="G9" s="129"/>
      <c r="H9" s="129"/>
      <c r="I9" s="129"/>
      <c r="J9" s="129"/>
      <c r="K9" s="129"/>
      <c r="L9" s="129"/>
      <c r="M9" s="129"/>
      <c r="N9" s="129"/>
      <c r="O9" s="129"/>
      <c r="P9" s="129"/>
      <c r="Q9" s="129"/>
      <c r="R9" s="130"/>
    </row>
    <row r="10" spans="1:20" ht="15.5" x14ac:dyDescent="0.35">
      <c r="A10" s="121">
        <f>MAX(Assumptions!C$45:C$47)</f>
        <v>1</v>
      </c>
      <c r="B10" s="111">
        <v>12</v>
      </c>
      <c r="C10" s="108" cm="1">
        <f t="array" aca="1" ref="C10" ca="1">INDIRECT("R[36]C["&amp;$A$10&amp;"]",FALSE)</f>
        <v>0</v>
      </c>
      <c r="D10" s="108" cm="1">
        <f t="array" aca="1" ref="D10" ca="1">INDIRECT("R[36]C["&amp;$A$10&amp;"]",FALSE)</f>
        <v>0</v>
      </c>
      <c r="E10" s="108" cm="1">
        <f t="array" aca="1" ref="E10" ca="1">INDIRECT("R[36]C["&amp;$A$10&amp;"]",FALSE)</f>
        <v>0</v>
      </c>
      <c r="F10" s="108" cm="1">
        <f t="array" aca="1" ref="F10" ca="1">INDIRECT("R[36]C["&amp;$A$10&amp;"]",FALSE)</f>
        <v>0</v>
      </c>
      <c r="G10" s="108" cm="1">
        <f t="array" aca="1" ref="G10" ca="1">INDIRECT("R[36]C["&amp;$A$10&amp;"]",FALSE)</f>
        <v>0</v>
      </c>
      <c r="H10" s="108" cm="1">
        <f t="array" aca="1" ref="H10" ca="1">INDIRECT("R[36]C["&amp;$A$10&amp;"]",FALSE)</f>
        <v>0</v>
      </c>
      <c r="I10" s="108" cm="1">
        <f t="array" aca="1" ref="I10" ca="1">INDIRECT("R[36]C["&amp;$A$10&amp;"]",FALSE)</f>
        <v>0</v>
      </c>
      <c r="J10" s="108" cm="1">
        <f t="array" aca="1" ref="J10" ca="1">INDIRECT("R[36]C["&amp;$A$10&amp;"]",FALSE)</f>
        <v>0</v>
      </c>
      <c r="K10" s="108" cm="1">
        <f t="array" aca="1" ref="K10" ca="1">INDIRECT("R[36]C["&amp;$A$10&amp;"]",FALSE)</f>
        <v>0</v>
      </c>
      <c r="L10" s="108" cm="1">
        <f t="array" aca="1" ref="L10" ca="1">INDIRECT("R[36]C["&amp;$A$10&amp;"]",FALSE)</f>
        <v>0</v>
      </c>
      <c r="M10" s="108" cm="1">
        <f t="array" aca="1" ref="M10" ca="1">INDIRECT("R[36]C["&amp;$A$10&amp;"]",FALSE)</f>
        <v>0</v>
      </c>
      <c r="N10" s="108" cm="1">
        <f t="array" aca="1" ref="N10" ca="1">INDIRECT("R[36]C["&amp;$A$10&amp;"]",FALSE)</f>
        <v>0</v>
      </c>
      <c r="O10" s="108" cm="1">
        <f t="array" aca="1" ref="O10" ca="1">INDIRECT("R[36]C["&amp;$A$10&amp;"]",FALSE)</f>
        <v>0</v>
      </c>
      <c r="P10" s="110"/>
      <c r="Q10" s="110"/>
      <c r="R10" s="113">
        <f ca="1">SUM(C10:P10)</f>
        <v>0</v>
      </c>
    </row>
    <row r="11" spans="1:20" ht="15.5" x14ac:dyDescent="0.35">
      <c r="A11" s="121">
        <f>MAX(Assumptions!C$45:C$47)</f>
        <v>1</v>
      </c>
      <c r="B11" s="111">
        <v>15</v>
      </c>
      <c r="C11" s="108" cm="1">
        <f t="array" aca="1" ref="C11" ca="1">INDIRECT("R[36]C["&amp;$A$11&amp;"]",FALSE)</f>
        <v>0</v>
      </c>
      <c r="D11" s="108" cm="1">
        <f t="array" aca="1" ref="D11" ca="1">INDIRECT("R[36]C["&amp;$A$11&amp;"]",FALSE)</f>
        <v>0</v>
      </c>
      <c r="E11" s="108" cm="1">
        <f t="array" aca="1" ref="E11" ca="1">INDIRECT("R[36]C["&amp;$A$11&amp;"]",FALSE)</f>
        <v>0</v>
      </c>
      <c r="F11" s="108" cm="1">
        <f t="array" aca="1" ref="F11" ca="1">INDIRECT("R[36]C["&amp;$A$11&amp;"]",FALSE)</f>
        <v>0</v>
      </c>
      <c r="G11" s="108" cm="1">
        <f t="array" aca="1" ref="G11" ca="1">INDIRECT("R[36]C["&amp;$A$11&amp;"]",FALSE)</f>
        <v>0</v>
      </c>
      <c r="H11" s="108" cm="1">
        <f t="array" aca="1" ref="H11" ca="1">INDIRECT("R[36]C["&amp;$A$11&amp;"]",FALSE)</f>
        <v>0</v>
      </c>
      <c r="I11" s="108" cm="1">
        <f t="array" aca="1" ref="I11" ca="1">INDIRECT("R[36]C["&amp;$A$11&amp;"]",FALSE)</f>
        <v>0</v>
      </c>
      <c r="J11" s="108" cm="1">
        <f t="array" aca="1" ref="J11" ca="1">INDIRECT("R[36]C["&amp;$A$11&amp;"]",FALSE)</f>
        <v>0</v>
      </c>
      <c r="K11" s="108" cm="1">
        <f t="array" aca="1" ref="K11" ca="1">INDIRECT("R[36]C["&amp;$A$11&amp;"]",FALSE)</f>
        <v>0</v>
      </c>
      <c r="L11" s="108" cm="1">
        <f t="array" aca="1" ref="L11" ca="1">INDIRECT("R[36]C["&amp;$A$11&amp;"]",FALSE)</f>
        <v>0</v>
      </c>
      <c r="M11" s="108" cm="1">
        <f t="array" aca="1" ref="M11" ca="1">INDIRECT("R[36]C["&amp;$A$11&amp;"]",FALSE)</f>
        <v>0</v>
      </c>
      <c r="N11" s="108" cm="1">
        <f t="array" aca="1" ref="N11" ca="1">INDIRECT("R[36]C["&amp;$A$11&amp;"]",FALSE)</f>
        <v>0</v>
      </c>
      <c r="O11" s="108" cm="1">
        <f t="array" aca="1" ref="O11" ca="1">INDIRECT("R[36]C["&amp;$A$11&amp;"]",FALSE)</f>
        <v>0</v>
      </c>
      <c r="P11" s="110"/>
      <c r="Q11" s="110"/>
      <c r="R11" s="113">
        <f t="shared" ref="R11:R12" ca="1" si="1">SUM(C11:P11)</f>
        <v>0</v>
      </c>
    </row>
    <row r="12" spans="1:20" ht="15.5" x14ac:dyDescent="0.35">
      <c r="A12" s="121">
        <f>MAX(Assumptions!C$45:C$47)</f>
        <v>1</v>
      </c>
      <c r="B12" s="111">
        <v>18</v>
      </c>
      <c r="C12" s="108" cm="1">
        <f t="array" aca="1" ref="C12" ca="1">INDIRECT("R[36]C["&amp;$A$12&amp;"]",FALSE)</f>
        <v>0</v>
      </c>
      <c r="D12" s="108" cm="1">
        <f t="array" aca="1" ref="D12" ca="1">INDIRECT("R[36]C["&amp;$A$12&amp;"]",FALSE)</f>
        <v>0</v>
      </c>
      <c r="E12" s="108" cm="1">
        <f t="array" aca="1" ref="E12" ca="1">INDIRECT("R[36]C["&amp;$A$12&amp;"]",FALSE)</f>
        <v>0</v>
      </c>
      <c r="F12" s="108" cm="1">
        <f t="array" aca="1" ref="F12" ca="1">INDIRECT("R[36]C["&amp;$A$12&amp;"]",FALSE)</f>
        <v>0</v>
      </c>
      <c r="G12" s="108" cm="1">
        <f t="array" aca="1" ref="G12" ca="1">INDIRECT("R[36]C["&amp;$A$12&amp;"]",FALSE)</f>
        <v>0</v>
      </c>
      <c r="H12" s="108" cm="1">
        <f t="array" aca="1" ref="H12" ca="1">INDIRECT("R[36]C["&amp;$A$12&amp;"]",FALSE)</f>
        <v>0</v>
      </c>
      <c r="I12" s="108" cm="1">
        <f t="array" aca="1" ref="I12" ca="1">INDIRECT("R[36]C["&amp;$A$12&amp;"]",FALSE)</f>
        <v>0</v>
      </c>
      <c r="J12" s="108" cm="1">
        <f t="array" aca="1" ref="J12" ca="1">INDIRECT("R[36]C["&amp;$A$12&amp;"]",FALSE)</f>
        <v>0</v>
      </c>
      <c r="K12" s="108" cm="1">
        <f t="array" aca="1" ref="K12" ca="1">INDIRECT("R[36]C["&amp;$A$12&amp;"]",FALSE)</f>
        <v>91.333333333333329</v>
      </c>
      <c r="L12" s="108" cm="1">
        <f t="array" aca="1" ref="L12" ca="1">INDIRECT("R[36]C["&amp;$A$12&amp;"]",FALSE)</f>
        <v>27.777777777777779</v>
      </c>
      <c r="M12" s="108" cm="1">
        <f t="array" aca="1" ref="M12" ca="1">INDIRECT("R[36]C["&amp;$A$12&amp;"]",FALSE)</f>
        <v>177.77777777777777</v>
      </c>
      <c r="N12" s="108" cm="1">
        <f t="array" aca="1" ref="N12" ca="1">INDIRECT("R[36]C["&amp;$A$12&amp;"]",FALSE)</f>
        <v>138.88888888888889</v>
      </c>
      <c r="O12" s="108" cm="1">
        <f t="array" aca="1" ref="O12" ca="1">INDIRECT("R[36]C["&amp;$A$12&amp;"]",FALSE)</f>
        <v>250</v>
      </c>
      <c r="P12" s="110"/>
      <c r="Q12" s="110"/>
      <c r="R12" s="113">
        <f t="shared" ca="1" si="1"/>
        <v>685.77777777777783</v>
      </c>
      <c r="S12" t="s">
        <v>91</v>
      </c>
    </row>
    <row r="13" spans="1:20" ht="15.5" x14ac:dyDescent="0.35">
      <c r="A13" s="116"/>
      <c r="B13" s="129" t="s">
        <v>351</v>
      </c>
      <c r="C13" s="129"/>
      <c r="D13" s="129"/>
      <c r="E13" s="129"/>
      <c r="F13" s="129"/>
      <c r="G13" s="129"/>
      <c r="H13" s="129"/>
      <c r="I13" s="129"/>
      <c r="J13" s="129"/>
      <c r="K13" s="129"/>
      <c r="L13" s="129"/>
      <c r="M13" s="129"/>
      <c r="N13" s="129"/>
      <c r="O13" s="129"/>
      <c r="P13" s="129"/>
      <c r="Q13" s="129"/>
      <c r="R13" s="130"/>
    </row>
    <row r="14" spans="1:20" ht="15.5" x14ac:dyDescent="0.35">
      <c r="A14" s="121">
        <f>Assumptions!C$45</f>
        <v>1</v>
      </c>
      <c r="B14" s="111">
        <v>12</v>
      </c>
      <c r="C14" s="108" cm="1">
        <f t="array" aca="1" ref="C14" ca="1">INDIRECT("R[36]C["&amp;$A$14&amp;"]",FALSE)</f>
        <v>0</v>
      </c>
      <c r="D14" s="108" cm="1">
        <f t="array" aca="1" ref="D14" ca="1">INDIRECT("R[36]C["&amp;$A$14&amp;"]",FALSE)</f>
        <v>0</v>
      </c>
      <c r="E14" s="108" cm="1">
        <f t="array" aca="1" ref="E14" ca="1">INDIRECT("R[36]C["&amp;$A$14&amp;"]",FALSE)</f>
        <v>0</v>
      </c>
      <c r="F14" s="108" cm="1">
        <f t="array" aca="1" ref="F14" ca="1">INDIRECT("R[36]C["&amp;$A$14&amp;"]",FALSE)</f>
        <v>0</v>
      </c>
      <c r="G14" s="108" cm="1">
        <f t="array" aca="1" ref="G14" ca="1">INDIRECT("R[36]C["&amp;$A$14&amp;"]",FALSE)</f>
        <v>0</v>
      </c>
      <c r="H14" s="108" cm="1">
        <f t="array" aca="1" ref="H14" ca="1">INDIRECT("R[36]C["&amp;$A$14&amp;"]",FALSE)</f>
        <v>0</v>
      </c>
      <c r="I14" s="108" cm="1">
        <f t="array" aca="1" ref="I14" ca="1">INDIRECT("R[36]C["&amp;$A$14&amp;"]",FALSE)</f>
        <v>0</v>
      </c>
      <c r="J14" s="108" cm="1">
        <f t="array" aca="1" ref="J14" ca="1">INDIRECT("R[36]C["&amp;$A$14&amp;"]",FALSE)</f>
        <v>0</v>
      </c>
      <c r="K14" s="108" cm="1">
        <f t="array" aca="1" ref="K14" ca="1">INDIRECT("R[36]C["&amp;$A$14&amp;"]",FALSE)</f>
        <v>0</v>
      </c>
      <c r="L14" s="108" cm="1">
        <f t="array" aca="1" ref="L14" ca="1">INDIRECT("R[36]C["&amp;$A$14&amp;"]",FALSE)</f>
        <v>0</v>
      </c>
      <c r="M14" s="108" cm="1">
        <f t="array" aca="1" ref="M14" ca="1">INDIRECT("R[36]C["&amp;$A$14&amp;"]",FALSE)</f>
        <v>0</v>
      </c>
      <c r="N14" s="108" cm="1">
        <f t="array" aca="1" ref="N14" ca="1">INDIRECT("R[36]C["&amp;$A$14&amp;"]",FALSE)</f>
        <v>0</v>
      </c>
      <c r="O14" s="108" cm="1">
        <f t="array" aca="1" ref="O14" ca="1">INDIRECT("R[36]C["&amp;$A$14&amp;"]",FALSE)</f>
        <v>0</v>
      </c>
      <c r="P14" s="106"/>
      <c r="Q14" s="106"/>
      <c r="R14" s="113">
        <f ca="1">SUM(C14:P14)</f>
        <v>0</v>
      </c>
    </row>
    <row r="15" spans="1:20" ht="15.5" x14ac:dyDescent="0.35">
      <c r="A15" s="121">
        <f>Assumptions!C$45</f>
        <v>1</v>
      </c>
      <c r="B15" s="111">
        <v>15</v>
      </c>
      <c r="C15" s="108" cm="1">
        <f t="array" aca="1" ref="C15" ca="1">INDIRECT("R[36]C["&amp;$A$15&amp;"]",FALSE)</f>
        <v>0</v>
      </c>
      <c r="D15" s="108" cm="1">
        <f t="array" aca="1" ref="D15" ca="1">INDIRECT("R[36]C["&amp;$A$15&amp;"]",FALSE)</f>
        <v>0</v>
      </c>
      <c r="E15" s="108" cm="1">
        <f t="array" aca="1" ref="E15" ca="1">INDIRECT("R[36]C["&amp;$A$15&amp;"]",FALSE)</f>
        <v>0</v>
      </c>
      <c r="F15" s="108" cm="1">
        <f t="array" aca="1" ref="F15" ca="1">INDIRECT("R[36]C["&amp;$A$15&amp;"]",FALSE)</f>
        <v>0</v>
      </c>
      <c r="G15" s="108" cm="1">
        <f t="array" aca="1" ref="G15" ca="1">INDIRECT("R[36]C["&amp;$A$15&amp;"]",FALSE)</f>
        <v>0</v>
      </c>
      <c r="H15" s="108" cm="1">
        <f t="array" aca="1" ref="H15" ca="1">INDIRECT("R[36]C["&amp;$A$15&amp;"]",FALSE)</f>
        <v>0</v>
      </c>
      <c r="I15" s="108" cm="1">
        <f t="array" aca="1" ref="I15" ca="1">INDIRECT("R[36]C["&amp;$A$15&amp;"]",FALSE)</f>
        <v>0</v>
      </c>
      <c r="J15" s="108" cm="1">
        <f t="array" aca="1" ref="J15" ca="1">INDIRECT("R[36]C["&amp;$A$15&amp;"]",FALSE)</f>
        <v>0</v>
      </c>
      <c r="K15" s="108" cm="1">
        <f t="array" aca="1" ref="K15" ca="1">INDIRECT("R[36]C["&amp;$A$15&amp;"]",FALSE)</f>
        <v>0</v>
      </c>
      <c r="L15" s="108" cm="1">
        <f t="array" aca="1" ref="L15" ca="1">INDIRECT("R[36]C["&amp;$A$15&amp;"]",FALSE)</f>
        <v>0</v>
      </c>
      <c r="M15" s="108" cm="1">
        <f t="array" aca="1" ref="M15" ca="1">INDIRECT("R[36]C["&amp;$A$15&amp;"]",FALSE)</f>
        <v>0</v>
      </c>
      <c r="N15" s="108" cm="1">
        <f t="array" aca="1" ref="N15" ca="1">INDIRECT("R[36]C["&amp;$A$15&amp;"]",FALSE)</f>
        <v>0</v>
      </c>
      <c r="O15" s="108" cm="1">
        <f t="array" aca="1" ref="O15" ca="1">INDIRECT("R[36]C["&amp;$A$15&amp;"]",FALSE)</f>
        <v>0</v>
      </c>
      <c r="P15" s="106"/>
      <c r="Q15" s="106"/>
      <c r="R15" s="113">
        <f t="shared" ref="R15:R16" ca="1" si="2">SUM(C15:P15)</f>
        <v>0</v>
      </c>
    </row>
    <row r="16" spans="1:20" ht="15.5" x14ac:dyDescent="0.35">
      <c r="A16" s="121">
        <f>Assumptions!C$45</f>
        <v>1</v>
      </c>
      <c r="B16" s="111">
        <v>18</v>
      </c>
      <c r="C16" s="108" cm="1">
        <f t="array" aca="1" ref="C16" ca="1">INDIRECT("R[36]C["&amp;$A$16&amp;"]",FALSE)</f>
        <v>0</v>
      </c>
      <c r="D16" s="108" cm="1">
        <f t="array" aca="1" ref="D16" ca="1">INDIRECT("R[36]C["&amp;$A$16&amp;"]",FALSE)</f>
        <v>0</v>
      </c>
      <c r="E16" s="108" cm="1">
        <f t="array" aca="1" ref="E16" ca="1">INDIRECT("R[36]C["&amp;$A$16&amp;"]",FALSE)</f>
        <v>0</v>
      </c>
      <c r="F16" s="108" cm="1">
        <f t="array" aca="1" ref="F16" ca="1">INDIRECT("R[36]C["&amp;$A$16&amp;"]",FALSE)</f>
        <v>0</v>
      </c>
      <c r="G16" s="108" cm="1">
        <f t="array" aca="1" ref="G16" ca="1">INDIRECT("R[36]C["&amp;$A$16&amp;"]",FALSE)</f>
        <v>0</v>
      </c>
      <c r="H16" s="108" cm="1">
        <f t="array" aca="1" ref="H16" ca="1">INDIRECT("R[36]C["&amp;$A$16&amp;"]",FALSE)</f>
        <v>0</v>
      </c>
      <c r="I16" s="108" cm="1">
        <f t="array" aca="1" ref="I16" ca="1">INDIRECT("R[36]C["&amp;$A$16&amp;"]",FALSE)</f>
        <v>0</v>
      </c>
      <c r="J16" s="108" cm="1">
        <f t="array" aca="1" ref="J16" ca="1">INDIRECT("R[36]C["&amp;$A$16&amp;"]",FALSE)</f>
        <v>0</v>
      </c>
      <c r="K16" s="108" cm="1">
        <f t="array" aca="1" ref="K16" ca="1">INDIRECT("R[36]C["&amp;$A$16&amp;"]",FALSE)</f>
        <v>274</v>
      </c>
      <c r="L16" s="108" cm="1">
        <f t="array" aca="1" ref="L16" ca="1">INDIRECT("R[36]C["&amp;$A$16&amp;"]",FALSE)</f>
        <v>83.333333333333343</v>
      </c>
      <c r="M16" s="108" cm="1">
        <f t="array" aca="1" ref="M16" ca="1">INDIRECT("R[36]C["&amp;$A$16&amp;"]",FALSE)</f>
        <v>533.33333333333326</v>
      </c>
      <c r="N16" s="108" cm="1">
        <f t="array" aca="1" ref="N16" ca="1">INDIRECT("R[36]C["&amp;$A$16&amp;"]",FALSE)</f>
        <v>416.66666666666663</v>
      </c>
      <c r="O16" s="108" cm="1">
        <f t="array" aca="1" ref="O16" ca="1">INDIRECT("R[36]C["&amp;$A$16&amp;"]",FALSE)</f>
        <v>750</v>
      </c>
      <c r="P16" s="106"/>
      <c r="Q16" s="106"/>
      <c r="R16" s="113">
        <f t="shared" ca="1" si="2"/>
        <v>2057.333333333333</v>
      </c>
    </row>
    <row r="17" spans="1:18" ht="15.5" x14ac:dyDescent="0.35">
      <c r="A17" s="116"/>
      <c r="B17" s="129" t="s">
        <v>114</v>
      </c>
      <c r="C17" s="129"/>
      <c r="D17" s="129"/>
      <c r="E17" s="129"/>
      <c r="F17" s="129"/>
      <c r="G17" s="129"/>
      <c r="H17" s="129"/>
      <c r="I17" s="129"/>
      <c r="J17" s="129"/>
      <c r="K17" s="129"/>
      <c r="L17" s="129"/>
      <c r="M17" s="129"/>
      <c r="N17" s="129"/>
      <c r="O17" s="129"/>
      <c r="P17" s="129"/>
      <c r="Q17" s="129"/>
      <c r="R17" s="130"/>
    </row>
    <row r="18" spans="1:18" ht="15.5" x14ac:dyDescent="0.35">
      <c r="A18" s="121">
        <f>Assumptions!C46</f>
        <v>1</v>
      </c>
      <c r="B18" s="111">
        <v>12</v>
      </c>
      <c r="C18" s="108" cm="1">
        <f t="array" aca="1" ref="C18" ca="1">INDIRECT("R[36]C["&amp;$A$18&amp;"]",FALSE)</f>
        <v>0</v>
      </c>
      <c r="D18" s="108" cm="1">
        <f t="array" aca="1" ref="D18" ca="1">INDIRECT("R[36]C["&amp;$A$18&amp;"]",FALSE)</f>
        <v>0</v>
      </c>
      <c r="E18" s="108" cm="1">
        <f t="array" aca="1" ref="E18" ca="1">INDIRECT("R[36]C["&amp;$A$18&amp;"]",FALSE)</f>
        <v>0</v>
      </c>
      <c r="F18" s="108" cm="1">
        <f t="array" aca="1" ref="F18" ca="1">INDIRECT("R[36]C["&amp;$A$18&amp;"]",FALSE)</f>
        <v>0</v>
      </c>
      <c r="G18" s="108" cm="1">
        <f t="array" aca="1" ref="G18" ca="1">INDIRECT("R[36]C["&amp;$A$18&amp;"]",FALSE)</f>
        <v>0</v>
      </c>
      <c r="H18" s="108" cm="1">
        <f t="array" aca="1" ref="H18" ca="1">INDIRECT("R[36]C["&amp;$A$18&amp;"]",FALSE)</f>
        <v>0</v>
      </c>
      <c r="I18" s="108" cm="1">
        <f t="array" aca="1" ref="I18" ca="1">INDIRECT("R[36]C["&amp;$A$18&amp;"]",FALSE)</f>
        <v>0</v>
      </c>
      <c r="J18" s="108" cm="1">
        <f t="array" aca="1" ref="J18" ca="1">INDIRECT("R[36]C["&amp;$A$18&amp;"]",FALSE)</f>
        <v>0</v>
      </c>
      <c r="K18" s="108" cm="1">
        <f t="array" aca="1" ref="K18" ca="1">INDIRECT("R[36]C["&amp;$A$18&amp;"]",FALSE)</f>
        <v>0</v>
      </c>
      <c r="L18" s="108" cm="1">
        <f t="array" aca="1" ref="L18" ca="1">INDIRECT("R[36]C["&amp;$A$18&amp;"]",FALSE)</f>
        <v>0</v>
      </c>
      <c r="M18" s="108" cm="1">
        <f t="array" aca="1" ref="M18" ca="1">INDIRECT("R[36]C["&amp;$A$18&amp;"]",FALSE)</f>
        <v>0</v>
      </c>
      <c r="N18" s="108" cm="1">
        <f t="array" aca="1" ref="N18" ca="1">INDIRECT("R[36]C["&amp;$A$18&amp;"]",FALSE)</f>
        <v>0</v>
      </c>
      <c r="O18" s="108" cm="1">
        <f t="array" aca="1" ref="O18" ca="1">INDIRECT("R[36]C["&amp;$A$18&amp;"]",FALSE)</f>
        <v>0</v>
      </c>
      <c r="P18" s="106"/>
      <c r="Q18" s="106"/>
      <c r="R18" s="113">
        <f ca="1">SUM(C18:P18)</f>
        <v>0</v>
      </c>
    </row>
    <row r="19" spans="1:18" ht="15.5" x14ac:dyDescent="0.35">
      <c r="A19" s="121">
        <f>A18</f>
        <v>1</v>
      </c>
      <c r="B19" s="111">
        <v>15</v>
      </c>
      <c r="C19" s="108" cm="1">
        <f t="array" aca="1" ref="C19" ca="1">INDIRECT("R[36]C["&amp;$A$19&amp;"]",FALSE)</f>
        <v>0</v>
      </c>
      <c r="D19" s="108" cm="1">
        <f t="array" aca="1" ref="D19" ca="1">INDIRECT("R[36]C["&amp;$A$19&amp;"]",FALSE)</f>
        <v>0</v>
      </c>
      <c r="E19" s="108" cm="1">
        <f t="array" aca="1" ref="E19" ca="1">INDIRECT("R[36]C["&amp;$A$19&amp;"]",FALSE)</f>
        <v>0</v>
      </c>
      <c r="F19" s="108" cm="1">
        <f t="array" aca="1" ref="F19" ca="1">INDIRECT("R[36]C["&amp;$A$19&amp;"]",FALSE)</f>
        <v>0</v>
      </c>
      <c r="G19" s="108" cm="1">
        <f t="array" aca="1" ref="G19" ca="1">INDIRECT("R[36]C["&amp;$A$19&amp;"]",FALSE)</f>
        <v>0</v>
      </c>
      <c r="H19" s="108" cm="1">
        <f t="array" aca="1" ref="H19" ca="1">INDIRECT("R[36]C["&amp;$A$19&amp;"]",FALSE)</f>
        <v>0</v>
      </c>
      <c r="I19" s="108" cm="1">
        <f t="array" aca="1" ref="I19" ca="1">INDIRECT("R[36]C["&amp;$A$19&amp;"]",FALSE)</f>
        <v>0</v>
      </c>
      <c r="J19" s="108" cm="1">
        <f t="array" aca="1" ref="J19" ca="1">INDIRECT("R[36]C["&amp;$A$19&amp;"]",FALSE)</f>
        <v>0</v>
      </c>
      <c r="K19" s="108" cm="1">
        <f t="array" aca="1" ref="K19" ca="1">INDIRECT("R[36]C["&amp;$A$19&amp;"]",FALSE)</f>
        <v>0</v>
      </c>
      <c r="L19" s="108" cm="1">
        <f t="array" aca="1" ref="L19" ca="1">INDIRECT("R[36]C["&amp;$A$19&amp;"]",FALSE)</f>
        <v>0</v>
      </c>
      <c r="M19" s="108" cm="1">
        <f t="array" aca="1" ref="M19" ca="1">INDIRECT("R[36]C["&amp;$A$19&amp;"]",FALSE)</f>
        <v>0</v>
      </c>
      <c r="N19" s="108" cm="1">
        <f t="array" aca="1" ref="N19" ca="1">INDIRECT("R[36]C["&amp;$A$19&amp;"]",FALSE)</f>
        <v>0</v>
      </c>
      <c r="O19" s="108" cm="1">
        <f t="array" aca="1" ref="O19" ca="1">INDIRECT("R[36]C["&amp;$A$19&amp;"]",FALSE)</f>
        <v>0</v>
      </c>
      <c r="P19" s="106"/>
      <c r="Q19" s="106"/>
      <c r="R19" s="113">
        <f t="shared" ref="R19:R20" ca="1" si="3">SUM(C19:P19)</f>
        <v>0</v>
      </c>
    </row>
    <row r="20" spans="1:18" ht="15.5" x14ac:dyDescent="0.35">
      <c r="A20" s="121">
        <f>A18</f>
        <v>1</v>
      </c>
      <c r="B20" s="111">
        <v>18</v>
      </c>
      <c r="C20" s="108" cm="1">
        <f t="array" aca="1" ref="C20" ca="1">INDIRECT("R[36]C["&amp;$A$20&amp;"]",FALSE)</f>
        <v>0</v>
      </c>
      <c r="D20" s="108" cm="1">
        <f t="array" aca="1" ref="D20" ca="1">INDIRECT("R[36]C["&amp;$A$20&amp;"]",FALSE)</f>
        <v>0</v>
      </c>
      <c r="E20" s="108" cm="1">
        <f t="array" aca="1" ref="E20" ca="1">INDIRECT("R[36]C["&amp;$A$20&amp;"]",FALSE)</f>
        <v>0</v>
      </c>
      <c r="F20" s="108" cm="1">
        <f t="array" aca="1" ref="F20" ca="1">INDIRECT("R[36]C["&amp;$A$20&amp;"]",FALSE)</f>
        <v>0</v>
      </c>
      <c r="G20" s="108" cm="1">
        <f t="array" aca="1" ref="G20" ca="1">INDIRECT("R[36]C["&amp;$A$20&amp;"]",FALSE)</f>
        <v>0</v>
      </c>
      <c r="H20" s="108" cm="1">
        <f t="array" aca="1" ref="H20" ca="1">INDIRECT("R[36]C["&amp;$A$20&amp;"]",FALSE)</f>
        <v>0</v>
      </c>
      <c r="I20" s="108" cm="1">
        <f t="array" aca="1" ref="I20" ca="1">INDIRECT("R[36]C["&amp;$A$20&amp;"]",FALSE)</f>
        <v>0</v>
      </c>
      <c r="J20" s="108" cm="1">
        <f t="array" aca="1" ref="J20" ca="1">INDIRECT("R[36]C["&amp;$A$20&amp;"]",FALSE)</f>
        <v>0</v>
      </c>
      <c r="K20" s="108" cm="1">
        <f t="array" aca="1" ref="K20" ca="1">INDIRECT("R[36]C["&amp;$A$20&amp;"]",FALSE)</f>
        <v>91.333333333333329</v>
      </c>
      <c r="L20" s="108" cm="1">
        <f t="array" aca="1" ref="L20" ca="1">INDIRECT("R[36]C["&amp;$A$20&amp;"]",FALSE)</f>
        <v>27.777777777777779</v>
      </c>
      <c r="M20" s="108" cm="1">
        <f t="array" aca="1" ref="M20" ca="1">INDIRECT("R[36]C["&amp;$A$20&amp;"]",FALSE)</f>
        <v>177.77777777777777</v>
      </c>
      <c r="N20" s="108" cm="1">
        <f t="array" aca="1" ref="N20" ca="1">INDIRECT("R[36]C["&amp;$A$20&amp;"]",FALSE)</f>
        <v>138.88888888888889</v>
      </c>
      <c r="O20" s="108" cm="1">
        <f t="array" aca="1" ref="O20" ca="1">INDIRECT("R[36]C["&amp;$A$20&amp;"]",FALSE)</f>
        <v>250</v>
      </c>
      <c r="P20" s="106"/>
      <c r="Q20" s="106"/>
      <c r="R20" s="113">
        <f t="shared" ca="1" si="3"/>
        <v>685.77777777777783</v>
      </c>
    </row>
    <row r="21" spans="1:18" ht="15.5" x14ac:dyDescent="0.35">
      <c r="A21" s="116"/>
      <c r="B21" s="129" t="s">
        <v>352</v>
      </c>
      <c r="C21" s="129"/>
      <c r="D21" s="129"/>
      <c r="E21" s="129"/>
      <c r="F21" s="129"/>
      <c r="G21" s="129"/>
      <c r="H21" s="129"/>
      <c r="I21" s="129"/>
      <c r="J21" s="129"/>
      <c r="K21" s="129"/>
      <c r="L21" s="129"/>
      <c r="M21" s="129"/>
      <c r="N21" s="129"/>
      <c r="O21" s="129"/>
      <c r="P21" s="129"/>
      <c r="Q21" s="129"/>
      <c r="R21" s="130"/>
    </row>
    <row r="22" spans="1:18" ht="15.5" x14ac:dyDescent="0.35">
      <c r="A22" s="121">
        <f>Assumptions!C47</f>
        <v>1</v>
      </c>
      <c r="B22" s="111">
        <v>12</v>
      </c>
      <c r="C22" s="108" cm="1">
        <f t="array" aca="1" ref="C22" ca="1">INDIRECT("R[36]C["&amp;$A$22&amp;"]",FALSE)</f>
        <v>0</v>
      </c>
      <c r="D22" s="108" cm="1">
        <f t="array" aca="1" ref="D22" ca="1">INDIRECT("R[36]C["&amp;$A$18&amp;"]",FALSE)</f>
        <v>0</v>
      </c>
      <c r="E22" s="108" cm="1">
        <f t="array" aca="1" ref="E22" ca="1">INDIRECT("R[36]C["&amp;$A$18&amp;"]",FALSE)</f>
        <v>0</v>
      </c>
      <c r="F22" s="108" cm="1">
        <f t="array" aca="1" ref="F22" ca="1">INDIRECT("R[36]C["&amp;$A$18&amp;"]",FALSE)</f>
        <v>0</v>
      </c>
      <c r="G22" s="108" cm="1">
        <f t="array" aca="1" ref="G22" ca="1">INDIRECT("R[36]C["&amp;$A$18&amp;"]",FALSE)</f>
        <v>0</v>
      </c>
      <c r="H22" s="108" cm="1">
        <f t="array" aca="1" ref="H22" ca="1">INDIRECT("R[36]C["&amp;$A$18&amp;"]",FALSE)</f>
        <v>0</v>
      </c>
      <c r="I22" s="108" cm="1">
        <f t="array" aca="1" ref="I22" ca="1">INDIRECT("R[36]C["&amp;$A$18&amp;"]",FALSE)</f>
        <v>0</v>
      </c>
      <c r="J22" s="108" cm="1">
        <f t="array" aca="1" ref="J22" ca="1">INDIRECT("R[36]C["&amp;$A$18&amp;"]",FALSE)</f>
        <v>0</v>
      </c>
      <c r="K22" s="108" cm="1">
        <f t="array" aca="1" ref="K22" ca="1">INDIRECT("R[36]C["&amp;$A$18&amp;"]",FALSE)</f>
        <v>0</v>
      </c>
      <c r="L22" s="108" cm="1">
        <f t="array" aca="1" ref="L22" ca="1">INDIRECT("R[36]C["&amp;$A$18&amp;"]",FALSE)</f>
        <v>0</v>
      </c>
      <c r="M22" s="108" cm="1">
        <f t="array" aca="1" ref="M22" ca="1">INDIRECT("R[36]C["&amp;$A$18&amp;"]",FALSE)</f>
        <v>0</v>
      </c>
      <c r="N22" s="108" cm="1">
        <f t="array" aca="1" ref="N22" ca="1">INDIRECT("R[36]C["&amp;$A$18&amp;"]",FALSE)</f>
        <v>0</v>
      </c>
      <c r="O22" s="108" cm="1">
        <f t="array" aca="1" ref="O22" ca="1">INDIRECT("R[36]C["&amp;$A$18&amp;"]",FALSE)</f>
        <v>0</v>
      </c>
      <c r="P22" s="111"/>
      <c r="Q22" s="111"/>
      <c r="R22" s="113">
        <f ca="1">SUM(C22:P22)</f>
        <v>0</v>
      </c>
    </row>
    <row r="23" spans="1:18" ht="15.5" x14ac:dyDescent="0.35">
      <c r="A23" s="121">
        <f>A22</f>
        <v>1</v>
      </c>
      <c r="B23" s="111">
        <v>15</v>
      </c>
      <c r="C23" s="108" cm="1">
        <f t="array" aca="1" ref="C23" ca="1">INDIRECT("R[36]C["&amp;$A$23&amp;"]",FALSE)</f>
        <v>0</v>
      </c>
      <c r="D23" s="108" cm="1">
        <f t="array" aca="1" ref="D23" ca="1">INDIRECT("R[36]C["&amp;$A$19&amp;"]",FALSE)</f>
        <v>0</v>
      </c>
      <c r="E23" s="108" cm="1">
        <f t="array" aca="1" ref="E23" ca="1">INDIRECT("R[36]C["&amp;$A$19&amp;"]",FALSE)</f>
        <v>0</v>
      </c>
      <c r="F23" s="108" cm="1">
        <f t="array" aca="1" ref="F23" ca="1">INDIRECT("R[36]C["&amp;$A$19&amp;"]",FALSE)</f>
        <v>0</v>
      </c>
      <c r="G23" s="108" cm="1">
        <f t="array" aca="1" ref="G23" ca="1">INDIRECT("R[36]C["&amp;$A$19&amp;"]",FALSE)</f>
        <v>0</v>
      </c>
      <c r="H23" s="108" cm="1">
        <f t="array" aca="1" ref="H23" ca="1">INDIRECT("R[36]C["&amp;$A$19&amp;"]",FALSE)</f>
        <v>0</v>
      </c>
      <c r="I23" s="108" cm="1">
        <f t="array" aca="1" ref="I23" ca="1">INDIRECT("R[36]C["&amp;$A$19&amp;"]",FALSE)</f>
        <v>0</v>
      </c>
      <c r="J23" s="108" cm="1">
        <f t="array" aca="1" ref="J23" ca="1">INDIRECT("R[36]C["&amp;$A$19&amp;"]",FALSE)</f>
        <v>0</v>
      </c>
      <c r="K23" s="108" cm="1">
        <f t="array" aca="1" ref="K23" ca="1">INDIRECT("R[36]C["&amp;$A$19&amp;"]",FALSE)</f>
        <v>0</v>
      </c>
      <c r="L23" s="108" cm="1">
        <f t="array" aca="1" ref="L23" ca="1">INDIRECT("R[36]C["&amp;$A$19&amp;"]",FALSE)</f>
        <v>0</v>
      </c>
      <c r="M23" s="108" cm="1">
        <f t="array" aca="1" ref="M23" ca="1">INDIRECT("R[36]C["&amp;$A$19&amp;"]",FALSE)</f>
        <v>0</v>
      </c>
      <c r="N23" s="108" cm="1">
        <f t="array" aca="1" ref="N23" ca="1">INDIRECT("R[36]C["&amp;$A$19&amp;"]",FALSE)</f>
        <v>0</v>
      </c>
      <c r="O23" s="108" cm="1">
        <f t="array" aca="1" ref="O23" ca="1">INDIRECT("R[36]C["&amp;$A$19&amp;"]",FALSE)</f>
        <v>0</v>
      </c>
      <c r="P23" s="111"/>
      <c r="Q23" s="111"/>
      <c r="R23" s="113">
        <f t="shared" ref="R23:R24" ca="1" si="4">SUM(C23:P23)</f>
        <v>0</v>
      </c>
    </row>
    <row r="24" spans="1:18" ht="15.5" x14ac:dyDescent="0.35">
      <c r="A24" s="121">
        <f>A22</f>
        <v>1</v>
      </c>
      <c r="B24" s="111">
        <v>18</v>
      </c>
      <c r="C24" s="108" cm="1">
        <f t="array" aca="1" ref="C24" ca="1">INDIRECT("R[36]C["&amp;$A$24&amp;"]",FALSE)</f>
        <v>0</v>
      </c>
      <c r="D24" s="108" cm="1">
        <f t="array" aca="1" ref="D24" ca="1">INDIRECT("R[36]C["&amp;$A$20&amp;"]",FALSE)</f>
        <v>0</v>
      </c>
      <c r="E24" s="108" cm="1">
        <f t="array" aca="1" ref="E24" ca="1">INDIRECT("R[36]C["&amp;$A$20&amp;"]",FALSE)</f>
        <v>0</v>
      </c>
      <c r="F24" s="108" cm="1">
        <f t="array" aca="1" ref="F24" ca="1">INDIRECT("R[36]C["&amp;$A$20&amp;"]",FALSE)</f>
        <v>0</v>
      </c>
      <c r="G24" s="108" cm="1">
        <f t="array" aca="1" ref="G24" ca="1">INDIRECT("R[36]C["&amp;$A$20&amp;"]",FALSE)</f>
        <v>0</v>
      </c>
      <c r="H24" s="108" cm="1">
        <f t="array" aca="1" ref="H24" ca="1">INDIRECT("R[36]C["&amp;$A$20&amp;"]",FALSE)</f>
        <v>0</v>
      </c>
      <c r="I24" s="108" cm="1">
        <f t="array" aca="1" ref="I24" ca="1">INDIRECT("R[36]C["&amp;$A$20&amp;"]",FALSE)</f>
        <v>0</v>
      </c>
      <c r="J24" s="108" cm="1">
        <f t="array" aca="1" ref="J24" ca="1">INDIRECT("R[36]C["&amp;$A$20&amp;"]",FALSE)</f>
        <v>0</v>
      </c>
      <c r="K24" s="108" cm="1">
        <f t="array" aca="1" ref="K24" ca="1">INDIRECT("R[36]C["&amp;$A$20&amp;"]",FALSE)</f>
        <v>91.333333333333329</v>
      </c>
      <c r="L24" s="108" cm="1">
        <f t="array" aca="1" ref="L24" ca="1">INDIRECT("R[36]C["&amp;$A$20&amp;"]",FALSE)</f>
        <v>27.777777777777779</v>
      </c>
      <c r="M24" s="108" cm="1">
        <f t="array" aca="1" ref="M24" ca="1">INDIRECT("R[36]C["&amp;$A$20&amp;"]",FALSE)</f>
        <v>177.77777777777777</v>
      </c>
      <c r="N24" s="108" cm="1">
        <f t="array" aca="1" ref="N24" ca="1">INDIRECT("R[36]C["&amp;$A$20&amp;"]",FALSE)</f>
        <v>138.88888888888889</v>
      </c>
      <c r="O24" s="108" cm="1">
        <f t="array" aca="1" ref="O24" ca="1">INDIRECT("R[36]C["&amp;$A$20&amp;"]",FALSE)</f>
        <v>250</v>
      </c>
      <c r="P24" s="111"/>
      <c r="Q24" s="111"/>
      <c r="R24" s="113">
        <f t="shared" ca="1" si="4"/>
        <v>685.77777777777783</v>
      </c>
    </row>
    <row r="25" spans="1:18" ht="15.5" x14ac:dyDescent="0.35">
      <c r="A25" s="116"/>
      <c r="B25" s="129" t="s">
        <v>116</v>
      </c>
      <c r="C25" s="131"/>
      <c r="D25" s="131"/>
      <c r="E25" s="131"/>
      <c r="F25" s="131"/>
      <c r="G25" s="131"/>
      <c r="H25" s="131"/>
      <c r="I25" s="131"/>
      <c r="J25" s="131"/>
      <c r="K25" s="131"/>
      <c r="L25" s="131"/>
      <c r="M25" s="131"/>
      <c r="N25" s="131"/>
      <c r="O25" s="131"/>
      <c r="P25" s="131"/>
      <c r="Q25" s="131"/>
      <c r="R25" s="130"/>
    </row>
    <row r="26" spans="1:18" ht="15.5" x14ac:dyDescent="0.35">
      <c r="A26" s="121">
        <f>Assumptions!C51</f>
        <v>1</v>
      </c>
      <c r="B26" s="106" t="s">
        <v>257</v>
      </c>
      <c r="C26" s="108" cm="1">
        <f t="array" aca="1" ref="C26" ca="1">INDIRECT("R[36]C["&amp;$A$26&amp;"]",FALSE)</f>
        <v>0</v>
      </c>
      <c r="D26" s="108" cm="1">
        <f t="array" aca="1" ref="D26" ca="1">INDIRECT("R[36]C["&amp;$A$18&amp;"]",FALSE)</f>
        <v>0</v>
      </c>
      <c r="E26" s="108" cm="1">
        <f t="array" aca="1" ref="E26" ca="1">INDIRECT("R[36]C["&amp;$A$18&amp;"]",FALSE)</f>
        <v>0</v>
      </c>
      <c r="F26" s="108" cm="1">
        <f t="array" aca="1" ref="F26" ca="1">INDIRECT("R[36]C["&amp;$A$18&amp;"]",FALSE)</f>
        <v>0</v>
      </c>
      <c r="G26" s="108" cm="1">
        <f t="array" aca="1" ref="G26" ca="1">INDIRECT("R[36]C["&amp;$A$18&amp;"]",FALSE)</f>
        <v>0</v>
      </c>
      <c r="H26" s="108" cm="1">
        <f t="array" aca="1" ref="H26" ca="1">INDIRECT("R[36]C["&amp;$A$18&amp;"]",FALSE)</f>
        <v>0</v>
      </c>
      <c r="I26" s="108" cm="1">
        <f t="array" aca="1" ref="I26" ca="1">INDIRECT("R[36]C["&amp;$A$18&amp;"]",FALSE)</f>
        <v>0</v>
      </c>
      <c r="J26" s="108" cm="1">
        <f t="array" aca="1" ref="J26" ca="1">INDIRECT("R[36]C["&amp;$A$18&amp;"]",FALSE)</f>
        <v>0</v>
      </c>
      <c r="K26" s="108" cm="1">
        <f t="array" aca="1" ref="K26" ca="1">INDIRECT("R[36]C["&amp;$A$18&amp;"]",FALSE)</f>
        <v>0</v>
      </c>
      <c r="L26" s="108" cm="1">
        <f t="array" aca="1" ref="L26" ca="1">INDIRECT("R[36]C["&amp;$A$18&amp;"]",FALSE)</f>
        <v>0</v>
      </c>
      <c r="M26" s="108" cm="1">
        <f t="array" aca="1" ref="M26" ca="1">INDIRECT("R[36]C["&amp;$A$18&amp;"]",FALSE)</f>
        <v>0</v>
      </c>
      <c r="N26" s="108" cm="1">
        <f t="array" aca="1" ref="N26" ca="1">INDIRECT("R[36]C["&amp;$A$18&amp;"]",FALSE)</f>
        <v>0</v>
      </c>
      <c r="O26" s="108" cm="1">
        <f t="array" aca="1" ref="O26" ca="1">INDIRECT("R[36]C["&amp;$A$18&amp;"]",FALSE)</f>
        <v>0</v>
      </c>
      <c r="P26" s="108"/>
      <c r="Q26" s="108"/>
      <c r="R26" s="113">
        <f ca="1">SUM(C26:Q26)</f>
        <v>0</v>
      </c>
    </row>
    <row r="27" spans="1:18" ht="15.5" x14ac:dyDescent="0.35">
      <c r="A27" s="121">
        <f>A26</f>
        <v>1</v>
      </c>
      <c r="B27" s="106" t="s">
        <v>258</v>
      </c>
      <c r="C27" s="108" cm="1">
        <f t="array" aca="1" ref="C27" ca="1">INDIRECT("R[36]C["&amp;$A$27&amp;"]",FALSE)</f>
        <v>0</v>
      </c>
      <c r="D27" s="108" cm="1">
        <f t="array" aca="1" ref="D27" ca="1">INDIRECT("R[36]C["&amp;$A$19&amp;"]",FALSE)</f>
        <v>0</v>
      </c>
      <c r="E27" s="108" cm="1">
        <f t="array" aca="1" ref="E27" ca="1">INDIRECT("R[36]C["&amp;$A$19&amp;"]",FALSE)</f>
        <v>0</v>
      </c>
      <c r="F27" s="108" cm="1">
        <f t="array" aca="1" ref="F27" ca="1">INDIRECT("R[36]C["&amp;$A$19&amp;"]",FALSE)</f>
        <v>0</v>
      </c>
      <c r="G27" s="108" cm="1">
        <f t="array" aca="1" ref="G27" ca="1">INDIRECT("R[36]C["&amp;$A$19&amp;"]",FALSE)</f>
        <v>0</v>
      </c>
      <c r="H27" s="108" cm="1">
        <f t="array" aca="1" ref="H27" ca="1">INDIRECT("R[36]C["&amp;$A$19&amp;"]",FALSE)</f>
        <v>0</v>
      </c>
      <c r="I27" s="108" cm="1">
        <f t="array" aca="1" ref="I27" ca="1">INDIRECT("R[36]C["&amp;$A$19&amp;"]",FALSE)</f>
        <v>0</v>
      </c>
      <c r="J27" s="108" cm="1">
        <f t="array" aca="1" ref="J27" ca="1">INDIRECT("R[36]C["&amp;$A$19&amp;"]",FALSE)</f>
        <v>0</v>
      </c>
      <c r="K27" s="108" cm="1">
        <f t="array" aca="1" ref="K27" ca="1">INDIRECT("R[36]C["&amp;$A$19&amp;"]",FALSE)</f>
        <v>0</v>
      </c>
      <c r="L27" s="108" cm="1">
        <f t="array" aca="1" ref="L27" ca="1">INDIRECT("R[36]C["&amp;$A$19&amp;"]",FALSE)</f>
        <v>0</v>
      </c>
      <c r="M27" s="108" cm="1">
        <f t="array" aca="1" ref="M27" ca="1">INDIRECT("R[36]C["&amp;$A$19&amp;"]",FALSE)</f>
        <v>0</v>
      </c>
      <c r="N27" s="108" cm="1">
        <f t="array" aca="1" ref="N27" ca="1">INDIRECT("R[36]C["&amp;$A$19&amp;"]",FALSE)</f>
        <v>0</v>
      </c>
      <c r="O27" s="108" cm="1">
        <f t="array" aca="1" ref="O27" ca="1">INDIRECT("R[36]C["&amp;$A$19&amp;"]",FALSE)</f>
        <v>0</v>
      </c>
      <c r="P27" s="108"/>
      <c r="Q27" s="108"/>
      <c r="R27" s="113">
        <f t="shared" ref="R27:R30" ca="1" si="5">SUM(C27:Q27)</f>
        <v>0</v>
      </c>
    </row>
    <row r="28" spans="1:18" ht="15.5" x14ac:dyDescent="0.35">
      <c r="A28" s="121">
        <f>Assumptions!C53</f>
        <v>1</v>
      </c>
      <c r="B28" s="106" t="s">
        <v>353</v>
      </c>
      <c r="C28" s="108" cm="1">
        <f t="array" aca="1" ref="C28" ca="1">INDIRECT("R[36]C["&amp;$A$28&amp;"]",FALSE)</f>
        <v>0</v>
      </c>
      <c r="D28" s="108" cm="1">
        <f t="array" aca="1" ref="D28" ca="1">INDIRECT("R[36]C["&amp;$A$28&amp;"]",FALSE)</f>
        <v>0</v>
      </c>
      <c r="E28" s="108" cm="1">
        <f t="array" aca="1" ref="E28" ca="1">INDIRECT("R[36]C["&amp;$A$28&amp;"]",FALSE)</f>
        <v>0</v>
      </c>
      <c r="F28" s="108" cm="1">
        <f t="array" aca="1" ref="F28" ca="1">INDIRECT("R[36]C["&amp;$A$28&amp;"]",FALSE)</f>
        <v>0</v>
      </c>
      <c r="G28" s="108" cm="1">
        <f t="array" aca="1" ref="G28" ca="1">INDIRECT("R[36]C["&amp;$A$28&amp;"]",FALSE)</f>
        <v>0</v>
      </c>
      <c r="H28" s="108" cm="1">
        <f t="array" aca="1" ref="H28" ca="1">INDIRECT("R[36]C["&amp;$A$28&amp;"]",FALSE)</f>
        <v>0</v>
      </c>
      <c r="I28" s="108" cm="1">
        <f t="array" aca="1" ref="I28" ca="1">INDIRECT("R[36]C["&amp;$A$28&amp;"]",FALSE)</f>
        <v>0</v>
      </c>
      <c r="J28" s="108" cm="1">
        <f t="array" aca="1" ref="J28" ca="1">INDIRECT("R[36]C["&amp;$A$28&amp;"]",FALSE)</f>
        <v>0</v>
      </c>
      <c r="K28" s="108" cm="1">
        <f t="array" aca="1" ref="K28" ca="1">INDIRECT("R[36]C["&amp;$A$28&amp;"]",FALSE)</f>
        <v>0</v>
      </c>
      <c r="L28" s="108" cm="1">
        <f t="array" aca="1" ref="L28" ca="1">INDIRECT("R[36]C["&amp;$A$28&amp;"]",FALSE)</f>
        <v>0</v>
      </c>
      <c r="M28" s="108" cm="1">
        <f t="array" aca="1" ref="M28" ca="1">INDIRECT("R[36]C["&amp;$A$28&amp;"]",FALSE)</f>
        <v>0</v>
      </c>
      <c r="N28" s="108" cm="1">
        <f t="array" aca="1" ref="N28" ca="1">INDIRECT("R[36]C["&amp;$A$28&amp;"]",FALSE)</f>
        <v>0</v>
      </c>
      <c r="O28" s="108" cm="1">
        <f t="array" aca="1" ref="O28" ca="1">INDIRECT("R[36]C["&amp;$A$28&amp;"]",FALSE)</f>
        <v>0</v>
      </c>
      <c r="P28" s="108"/>
      <c r="Q28" s="108"/>
      <c r="R28" s="113">
        <f t="shared" ca="1" si="5"/>
        <v>0</v>
      </c>
    </row>
    <row r="29" spans="1:18" ht="15.5" x14ac:dyDescent="0.35">
      <c r="A29" s="121">
        <f>Assumptions!C52</f>
        <v>1</v>
      </c>
      <c r="B29" s="106" t="s">
        <v>117</v>
      </c>
      <c r="C29" s="108" cm="1">
        <f t="array" aca="1" ref="C29" ca="1">INDIRECT("R[36]C["&amp;$A$29&amp;"]",FALSE)</f>
        <v>0</v>
      </c>
      <c r="D29" s="108" cm="1">
        <f t="array" aca="1" ref="D29" ca="1">INDIRECT("R[36]C["&amp;$A$29&amp;"]",FALSE)</f>
        <v>0</v>
      </c>
      <c r="E29" s="108" cm="1">
        <f t="array" aca="1" ref="E29" ca="1">INDIRECT("R[36]C["&amp;$A$29&amp;"]",FALSE)</f>
        <v>0</v>
      </c>
      <c r="F29" s="108" cm="1">
        <f t="array" aca="1" ref="F29" ca="1">INDIRECT("R[36]C["&amp;$A$29&amp;"]",FALSE)</f>
        <v>0</v>
      </c>
      <c r="G29" s="108" cm="1">
        <f t="array" aca="1" ref="G29" ca="1">INDIRECT("R[36]C["&amp;$A$29&amp;"]",FALSE)</f>
        <v>0</v>
      </c>
      <c r="H29" s="108" cm="1">
        <f t="array" aca="1" ref="H29" ca="1">INDIRECT("R[36]C["&amp;$A$29&amp;"]",FALSE)</f>
        <v>0</v>
      </c>
      <c r="I29" s="108" cm="1">
        <f t="array" aca="1" ref="I29" ca="1">INDIRECT("R[36]C["&amp;$A$29&amp;"]",FALSE)</f>
        <v>0</v>
      </c>
      <c r="J29" s="108" cm="1">
        <f t="array" aca="1" ref="J29" ca="1">INDIRECT("R[36]C["&amp;$A$29&amp;"]",FALSE)</f>
        <v>0</v>
      </c>
      <c r="K29" s="108" cm="1">
        <f t="array" aca="1" ref="K29" ca="1">INDIRECT("R[36]C["&amp;$A$29&amp;"]",FALSE)</f>
        <v>91.333333333333329</v>
      </c>
      <c r="L29" s="108" cm="1">
        <f t="array" aca="1" ref="L29" ca="1">INDIRECT("R[36]C["&amp;$A$29&amp;"]",FALSE)</f>
        <v>27.777777777777779</v>
      </c>
      <c r="M29" s="108" cm="1">
        <f t="array" aca="1" ref="M29" ca="1">INDIRECT("R[36]C["&amp;$A$29&amp;"]",FALSE)</f>
        <v>177.77777777777777</v>
      </c>
      <c r="N29" s="108" cm="1">
        <f t="array" aca="1" ref="N29" ca="1">INDIRECT("R[36]C["&amp;$A$29&amp;"]",FALSE)</f>
        <v>138.88888888888889</v>
      </c>
      <c r="O29" s="108" cm="1">
        <f t="array" aca="1" ref="O29" ca="1">INDIRECT("R[36]C["&amp;$A$29&amp;"]",FALSE)</f>
        <v>250</v>
      </c>
      <c r="P29" s="108"/>
      <c r="Q29" s="108"/>
      <c r="R29" s="113">
        <f t="shared" ca="1" si="5"/>
        <v>685.77777777777783</v>
      </c>
    </row>
    <row r="30" spans="1:18" ht="15.5" x14ac:dyDescent="0.35">
      <c r="A30" s="121">
        <f>Assumptions!C54</f>
        <v>1</v>
      </c>
      <c r="B30" s="106" t="s">
        <v>354</v>
      </c>
      <c r="C30" s="108" cm="1">
        <f t="array" aca="1" ref="C30" ca="1">INDIRECT("R[36]C["&amp;$A$30&amp;"]",FALSE)</f>
        <v>0</v>
      </c>
      <c r="D30" s="108" cm="1">
        <f t="array" aca="1" ref="D30" ca="1">INDIRECT("R[36]C["&amp;$A$30&amp;"]",FALSE)</f>
        <v>0</v>
      </c>
      <c r="E30" s="108" cm="1">
        <f t="array" aca="1" ref="E30" ca="1">INDIRECT("R[36]C["&amp;$A$30&amp;"]",FALSE)</f>
        <v>0</v>
      </c>
      <c r="F30" s="108" cm="1">
        <f t="array" aca="1" ref="F30" ca="1">INDIRECT("R[36]C["&amp;$A$30&amp;"]",FALSE)</f>
        <v>0</v>
      </c>
      <c r="G30" s="108" cm="1">
        <f t="array" aca="1" ref="G30" ca="1">INDIRECT("R[36]C["&amp;$A$30&amp;"]",FALSE)</f>
        <v>0</v>
      </c>
      <c r="H30" s="108" cm="1">
        <f t="array" aca="1" ref="H30" ca="1">INDIRECT("R[36]C["&amp;$A$30&amp;"]",FALSE)</f>
        <v>0</v>
      </c>
      <c r="I30" s="108" cm="1">
        <f t="array" aca="1" ref="I30" ca="1">INDIRECT("R[36]C["&amp;$A$30&amp;"]",FALSE)</f>
        <v>0</v>
      </c>
      <c r="J30" s="108" cm="1">
        <f t="array" aca="1" ref="J30" ca="1">INDIRECT("R[36]C["&amp;$A$30&amp;"]",FALSE)</f>
        <v>0</v>
      </c>
      <c r="K30" s="108" cm="1">
        <f t="array" aca="1" ref="K30" ca="1">INDIRECT("R[36]C["&amp;$A$30&amp;"]",FALSE)</f>
        <v>3</v>
      </c>
      <c r="L30" s="108" cm="1">
        <f t="array" aca="1" ref="L30" ca="1">INDIRECT("R[36]C["&amp;$A$30&amp;"]",FALSE)</f>
        <v>1</v>
      </c>
      <c r="M30" s="108" cm="1">
        <f t="array" aca="1" ref="M30" ca="1">INDIRECT("R[36]C["&amp;$A$30&amp;"]",FALSE)</f>
        <v>6</v>
      </c>
      <c r="N30" s="108" cm="1">
        <f t="array" aca="1" ref="N30" ca="1">INDIRECT("R[36]C["&amp;$A$30&amp;"]",FALSE)</f>
        <v>4</v>
      </c>
      <c r="O30" s="108" cm="1">
        <f t="array" aca="1" ref="O30" ca="1">INDIRECT("R[36]C["&amp;$A$30&amp;"]",FALSE)</f>
        <v>8</v>
      </c>
      <c r="P30" s="108"/>
      <c r="Q30" s="108"/>
      <c r="R30" s="113">
        <f t="shared" ca="1" si="5"/>
        <v>22</v>
      </c>
    </row>
    <row r="31" spans="1:18" ht="15.5" x14ac:dyDescent="0.35">
      <c r="A31" s="116"/>
      <c r="B31" s="129" t="s">
        <v>119</v>
      </c>
      <c r="C31" s="131"/>
      <c r="D31" s="132"/>
      <c r="E31" s="132"/>
      <c r="F31" s="132"/>
      <c r="G31" s="132"/>
      <c r="H31" s="132"/>
      <c r="I31" s="132"/>
      <c r="J31" s="132"/>
      <c r="K31" s="132"/>
      <c r="L31" s="132"/>
      <c r="M31" s="132"/>
      <c r="N31" s="132"/>
      <c r="O31" s="132"/>
      <c r="P31" s="132"/>
      <c r="Q31" s="132"/>
      <c r="R31" s="130"/>
    </row>
    <row r="32" spans="1:18" ht="15.5" x14ac:dyDescent="0.35">
      <c r="A32" s="121">
        <f>Assumptions!C48</f>
        <v>2</v>
      </c>
      <c r="B32" s="106" t="s">
        <v>355</v>
      </c>
      <c r="C32" s="108" cm="1">
        <f t="array" aca="1" ref="C32" ca="1">INDIRECT("R[36]C["&amp;$A$32&amp;"]",FALSE)</f>
        <v>0</v>
      </c>
      <c r="D32" s="108" cm="1">
        <f t="array" aca="1" ref="D32" ca="1">INDIRECT("R[36]C["&amp;$A$32&amp;"]",FALSE)</f>
        <v>0</v>
      </c>
      <c r="E32" s="108" cm="1">
        <f t="array" aca="1" ref="E32" ca="1">INDIRECT("R[36]C["&amp;$A$32&amp;"]",FALSE)</f>
        <v>0</v>
      </c>
      <c r="F32" s="108" cm="1">
        <f t="array" aca="1" ref="F32" ca="1">INDIRECT("R[36]C["&amp;$A$32&amp;"]",FALSE)</f>
        <v>0</v>
      </c>
      <c r="G32" s="108" cm="1">
        <f t="array" aca="1" ref="G32" ca="1">INDIRECT("R[36]C["&amp;$A$32&amp;"]",FALSE)</f>
        <v>0</v>
      </c>
      <c r="H32" s="108" cm="1">
        <f t="array" aca="1" ref="H32" ca="1">INDIRECT("R[36]C["&amp;$A$32&amp;"]",FALSE)</f>
        <v>0</v>
      </c>
      <c r="I32" s="108" cm="1">
        <f t="array" aca="1" ref="I32" ca="1">INDIRECT("R[36]C["&amp;$A$32&amp;"]",FALSE)</f>
        <v>0</v>
      </c>
      <c r="J32" s="108" cm="1">
        <f t="array" aca="1" ref="J32" ca="1">INDIRECT("R[36]C["&amp;$A$32&amp;"]",FALSE)</f>
        <v>3</v>
      </c>
      <c r="K32" s="108" cm="1">
        <f t="array" aca="1" ref="K32" ca="1">INDIRECT("R[36]C["&amp;$A$32&amp;"]",FALSE)</f>
        <v>1</v>
      </c>
      <c r="L32" s="108" cm="1">
        <f t="array" aca="1" ref="L32" ca="1">INDIRECT("R[36]C["&amp;$A$32&amp;"]",FALSE)</f>
        <v>6</v>
      </c>
      <c r="M32" s="108" cm="1">
        <f t="array" aca="1" ref="M32" ca="1">INDIRECT("R[36]C["&amp;$A$32&amp;"]",FALSE)</f>
        <v>4</v>
      </c>
      <c r="N32" s="108" cm="1">
        <f t="array" aca="1" ref="N32" ca="1">INDIRECT("R[36]C["&amp;$A$32&amp;"]",FALSE)</f>
        <v>8</v>
      </c>
      <c r="O32" s="108" cm="1">
        <f t="array" aca="1" ref="O32" ca="1">INDIRECT("R[36]C["&amp;$A$32&amp;"]",FALSE)</f>
        <v>0</v>
      </c>
      <c r="P32" s="108"/>
      <c r="Q32" s="108"/>
      <c r="R32" s="113">
        <f ca="1">SUM(C32:Q32)</f>
        <v>22</v>
      </c>
    </row>
    <row r="33" spans="1:19" ht="15.5" x14ac:dyDescent="0.35">
      <c r="A33" s="116"/>
      <c r="B33" s="129" t="s">
        <v>356</v>
      </c>
      <c r="C33" s="131"/>
      <c r="D33" s="131"/>
      <c r="E33" s="131"/>
      <c r="F33" s="131"/>
      <c r="G33" s="131"/>
      <c r="H33" s="131"/>
      <c r="I33" s="131"/>
      <c r="J33" s="131"/>
      <c r="K33" s="131"/>
      <c r="L33" s="131"/>
      <c r="M33" s="131"/>
      <c r="N33" s="131"/>
      <c r="O33" s="131"/>
      <c r="P33" s="131"/>
      <c r="Q33" s="131"/>
      <c r="R33" s="130"/>
    </row>
    <row r="34" spans="1:19" ht="15.5" x14ac:dyDescent="0.35">
      <c r="A34" s="121">
        <f>Assumptions!C49</f>
        <v>1</v>
      </c>
      <c r="B34" s="106" t="s">
        <v>357</v>
      </c>
      <c r="C34" s="108" cm="1">
        <f t="array" aca="1" ref="C34" ca="1">INDIRECT("R[36]C["&amp;$A$34&amp;"]",FALSE)</f>
        <v>0</v>
      </c>
      <c r="D34" s="108" cm="1">
        <f t="array" aca="1" ref="D34" ca="1">INDIRECT("R[36]C["&amp;$A$34&amp;"]",FALSE)</f>
        <v>0</v>
      </c>
      <c r="E34" s="108" cm="1">
        <f t="array" aca="1" ref="E34" ca="1">INDIRECT("R[36]C["&amp;$A$34&amp;"]",FALSE)</f>
        <v>0</v>
      </c>
      <c r="F34" s="108" cm="1">
        <f t="array" aca="1" ref="F34" ca="1">INDIRECT("R[36]C["&amp;$A$34&amp;"]",FALSE)</f>
        <v>0</v>
      </c>
      <c r="G34" s="108" cm="1">
        <f t="array" aca="1" ref="G34" ca="1">INDIRECT("R[36]C["&amp;$A$34&amp;"]",FALSE)</f>
        <v>0</v>
      </c>
      <c r="H34" s="108" cm="1">
        <f t="array" aca="1" ref="H34" ca="1">INDIRECT("R[36]C["&amp;$A$34&amp;"]",FALSE)</f>
        <v>0</v>
      </c>
      <c r="I34" s="108" cm="1">
        <f t="array" aca="1" ref="I34" ca="1">INDIRECT("R[36]C["&amp;$A$34&amp;"]",FALSE)</f>
        <v>0</v>
      </c>
      <c r="J34" s="108" cm="1">
        <f t="array" aca="1" ref="J34" ca="1">INDIRECT("R[36]C["&amp;$A$34&amp;"]",FALSE)</f>
        <v>0</v>
      </c>
      <c r="K34" s="108" cm="1">
        <f t="array" aca="1" ref="K34" ca="1">INDIRECT("R[36]C["&amp;$A$34&amp;"]",FALSE)</f>
        <v>334.28</v>
      </c>
      <c r="L34" s="108" cm="1">
        <f t="array" aca="1" ref="L34" ca="1">INDIRECT("R[36]C["&amp;$A$34&amp;"]",FALSE)</f>
        <v>101.66666666666667</v>
      </c>
      <c r="M34" s="108" cm="1">
        <f t="array" aca="1" ref="M34" ca="1">INDIRECT("R[36]C["&amp;$A$34&amp;"]",FALSE)</f>
        <v>650.66666666666674</v>
      </c>
      <c r="N34" s="108" cm="1">
        <f t="array" aca="1" ref="N34" ca="1">INDIRECT("R[36]C["&amp;$A$34&amp;"]",FALSE)</f>
        <v>508.33333333333337</v>
      </c>
      <c r="O34" s="108" cm="1">
        <f t="array" aca="1" ref="O34" ca="1">INDIRECT("R[36]C["&amp;$A$34&amp;"]",FALSE)</f>
        <v>915.00000000000011</v>
      </c>
      <c r="P34" s="108"/>
      <c r="Q34" s="108"/>
      <c r="R34" s="113">
        <f ca="1">SUM(C34:Q34)</f>
        <v>2509.9466666666667</v>
      </c>
    </row>
    <row r="35" spans="1:19" ht="15.5" x14ac:dyDescent="0.35">
      <c r="A35" s="121">
        <f>Assumptions!C50</f>
        <v>1</v>
      </c>
      <c r="B35" s="106" t="s">
        <v>358</v>
      </c>
      <c r="C35" s="108" cm="1">
        <f t="array" aca="1" ref="C35" ca="1">INDIRECT("R[36]C["&amp;$A$35&amp;"]",FALSE)</f>
        <v>0</v>
      </c>
      <c r="D35" s="108" cm="1">
        <f t="array" aca="1" ref="D35" ca="1">INDIRECT("R[36]C["&amp;$A$35&amp;"]",FALSE)</f>
        <v>0</v>
      </c>
      <c r="E35" s="108" cm="1">
        <f t="array" aca="1" ref="E35" ca="1">INDIRECT("R[36]C["&amp;$A$35&amp;"]",FALSE)</f>
        <v>0</v>
      </c>
      <c r="F35" s="108" cm="1">
        <f t="array" aca="1" ref="F35" ca="1">INDIRECT("R[36]C["&amp;$A$35&amp;"]",FALSE)</f>
        <v>0</v>
      </c>
      <c r="G35" s="108" cm="1">
        <f t="array" aca="1" ref="G35" ca="1">INDIRECT("R[36]C["&amp;$A$35&amp;"]",FALSE)</f>
        <v>0</v>
      </c>
      <c r="H35" s="108" cm="1">
        <f t="array" aca="1" ref="H35" ca="1">INDIRECT("R[36]C["&amp;$A$35&amp;"]",FALSE)</f>
        <v>0</v>
      </c>
      <c r="I35" s="108" cm="1">
        <f t="array" aca="1" ref="I35" ca="1">INDIRECT("R[36]C["&amp;$A$35&amp;"]",FALSE)</f>
        <v>0</v>
      </c>
      <c r="J35" s="108" cm="1">
        <f t="array" aca="1" ref="J35" ca="1">INDIRECT("R[36]C["&amp;$A$35&amp;"]",FALSE)</f>
        <v>0</v>
      </c>
      <c r="K35" s="108" cm="1">
        <f t="array" aca="1" ref="K35" ca="1">INDIRECT("R[36]C["&amp;$A$35&amp;"]",FALSE)</f>
        <v>320</v>
      </c>
      <c r="L35" s="108" cm="1">
        <f t="array" aca="1" ref="L35" ca="1">INDIRECT("R[36]C["&amp;$A$35&amp;"]",FALSE)</f>
        <v>105</v>
      </c>
      <c r="M35" s="108" cm="1">
        <f t="array" aca="1" ref="M35" ca="1">INDIRECT("R[36]C["&amp;$A$35&amp;"]",FALSE)</f>
        <v>640</v>
      </c>
      <c r="N35" s="108" cm="1">
        <f t="array" aca="1" ref="N35" ca="1">INDIRECT("R[36]C["&amp;$A$35&amp;"]",FALSE)</f>
        <v>440</v>
      </c>
      <c r="O35" s="108" cm="1">
        <f t="array" aca="1" ref="O35" ca="1">INDIRECT("R[36]C["&amp;$A$35&amp;"]",FALSE)</f>
        <v>830</v>
      </c>
      <c r="P35" s="108"/>
      <c r="Q35" s="108"/>
      <c r="R35" s="113">
        <f ca="1">SUM(C35:Q35)</f>
        <v>2335</v>
      </c>
    </row>
    <row r="36" spans="1:19" ht="15.5" x14ac:dyDescent="0.35">
      <c r="A36" s="116"/>
      <c r="B36" s="129"/>
      <c r="C36" s="129"/>
      <c r="D36" s="129"/>
      <c r="E36" s="129"/>
      <c r="F36" s="129"/>
      <c r="G36" s="129"/>
      <c r="H36" s="129"/>
      <c r="I36" s="129"/>
      <c r="J36" s="129"/>
      <c r="K36" s="129"/>
      <c r="L36" s="129"/>
      <c r="M36" s="129"/>
      <c r="N36" s="129"/>
      <c r="O36" s="129"/>
      <c r="P36" s="129"/>
      <c r="Q36" s="129"/>
      <c r="R36" s="130"/>
    </row>
    <row r="37" spans="1:19" ht="15.5" x14ac:dyDescent="0.35">
      <c r="A37" s="116"/>
      <c r="B37" s="116"/>
      <c r="C37" s="116"/>
      <c r="D37" s="115"/>
      <c r="E37" s="115"/>
      <c r="F37" s="115"/>
      <c r="G37" s="115"/>
      <c r="H37" s="115"/>
      <c r="I37" s="115"/>
      <c r="J37" s="115"/>
      <c r="K37" s="115"/>
      <c r="L37" s="115"/>
      <c r="M37" s="115"/>
      <c r="N37" s="115"/>
      <c r="O37" s="115"/>
      <c r="P37" s="115"/>
      <c r="Q37" s="115"/>
      <c r="R37" s="115"/>
    </row>
    <row r="38" spans="1:19" ht="15.5" x14ac:dyDescent="0.35">
      <c r="A38" s="116"/>
      <c r="B38" s="116"/>
      <c r="C38" s="116"/>
      <c r="D38" s="115"/>
      <c r="E38" s="115"/>
      <c r="F38" s="115"/>
      <c r="G38" s="115"/>
      <c r="H38" s="115"/>
      <c r="I38" s="115"/>
      <c r="J38" s="115"/>
      <c r="K38" s="115"/>
      <c r="L38" s="115"/>
      <c r="M38" s="115"/>
      <c r="N38" s="115"/>
      <c r="O38" s="115"/>
      <c r="P38" s="115"/>
      <c r="Q38" s="115"/>
      <c r="R38" s="115"/>
    </row>
    <row r="39" spans="1:19" ht="15.5" x14ac:dyDescent="0.35">
      <c r="A39" s="116"/>
      <c r="B39" s="116" t="s">
        <v>235</v>
      </c>
      <c r="C39" s="115">
        <f ca="1">SUM(C10:C12)</f>
        <v>0</v>
      </c>
      <c r="D39" s="115">
        <f ca="1">SUM(D10:D12)</f>
        <v>0</v>
      </c>
      <c r="E39" s="115">
        <f t="shared" ref="E39:Q39" ca="1" si="6">SUM(E10:E12)</f>
        <v>0</v>
      </c>
      <c r="F39" s="115">
        <f t="shared" ca="1" si="6"/>
        <v>0</v>
      </c>
      <c r="G39" s="115">
        <f t="shared" ca="1" si="6"/>
        <v>0</v>
      </c>
      <c r="H39" s="115">
        <f t="shared" ca="1" si="6"/>
        <v>0</v>
      </c>
      <c r="I39" s="115">
        <f t="shared" ca="1" si="6"/>
        <v>0</v>
      </c>
      <c r="J39" s="115">
        <f t="shared" ca="1" si="6"/>
        <v>0</v>
      </c>
      <c r="K39" s="115">
        <f t="shared" ca="1" si="6"/>
        <v>91.333333333333329</v>
      </c>
      <c r="L39" s="115">
        <f t="shared" ca="1" si="6"/>
        <v>27.777777777777779</v>
      </c>
      <c r="M39" s="115">
        <f t="shared" ca="1" si="6"/>
        <v>177.77777777777777</v>
      </c>
      <c r="N39" s="115">
        <f t="shared" ca="1" si="6"/>
        <v>138.88888888888889</v>
      </c>
      <c r="O39" s="115">
        <f t="shared" ca="1" si="6"/>
        <v>250</v>
      </c>
      <c r="P39" s="115">
        <f t="shared" si="6"/>
        <v>0</v>
      </c>
      <c r="Q39" s="115">
        <f t="shared" si="6"/>
        <v>0</v>
      </c>
      <c r="R39" s="115">
        <f ca="1">SUM(R10:R12)</f>
        <v>685.77777777777783</v>
      </c>
    </row>
    <row r="40" spans="1:19" ht="15.5" x14ac:dyDescent="0.35">
      <c r="A40" s="116"/>
      <c r="B40" s="116"/>
      <c r="C40" s="116"/>
      <c r="D40" s="115"/>
      <c r="E40" s="115"/>
      <c r="F40" s="115"/>
      <c r="G40" s="115"/>
      <c r="H40" s="115"/>
      <c r="I40" s="115"/>
      <c r="J40" s="115"/>
      <c r="K40" s="115"/>
      <c r="L40" s="115"/>
      <c r="M40" s="115"/>
      <c r="N40" s="115"/>
      <c r="O40" s="115"/>
      <c r="P40" s="115"/>
      <c r="Q40" s="115"/>
      <c r="R40" s="115"/>
    </row>
    <row r="41" spans="1:19" ht="15.5" x14ac:dyDescent="0.35">
      <c r="A41" s="116"/>
      <c r="B41" s="116"/>
      <c r="C41" s="116"/>
      <c r="D41" s="115"/>
      <c r="E41" s="115"/>
      <c r="F41" s="115"/>
      <c r="G41" s="115"/>
      <c r="H41" s="115"/>
      <c r="I41" s="115"/>
      <c r="J41" s="115"/>
      <c r="K41" s="115"/>
      <c r="L41" s="115"/>
      <c r="M41" s="115"/>
      <c r="N41" s="115"/>
      <c r="O41" s="115"/>
      <c r="P41" s="115"/>
      <c r="Q41" s="115"/>
      <c r="R41" s="115"/>
    </row>
    <row r="42" spans="1:19" ht="15.5" x14ac:dyDescent="0.35">
      <c r="A42" s="116"/>
      <c r="B42" s="116"/>
      <c r="C42" s="116"/>
      <c r="D42" s="116"/>
      <c r="E42" s="116"/>
      <c r="F42" s="116"/>
      <c r="G42" s="116"/>
      <c r="H42" s="116"/>
      <c r="I42" s="116"/>
      <c r="J42" s="116"/>
      <c r="K42" s="116"/>
      <c r="L42" s="116"/>
      <c r="M42" s="116"/>
      <c r="N42" s="116"/>
      <c r="O42" s="116"/>
      <c r="P42" s="116"/>
      <c r="Q42" s="116"/>
      <c r="R42" s="115"/>
    </row>
    <row r="43" spans="1:19" ht="15.5" x14ac:dyDescent="0.35">
      <c r="A43" s="116"/>
      <c r="B43" s="116"/>
      <c r="C43" s="116"/>
      <c r="D43" s="116"/>
      <c r="E43" s="116"/>
      <c r="F43" s="116"/>
      <c r="G43" s="116"/>
      <c r="H43" s="116"/>
      <c r="I43" s="116"/>
      <c r="J43" s="116"/>
      <c r="K43" s="116"/>
      <c r="L43" s="116"/>
      <c r="M43" s="116"/>
      <c r="N43" s="116"/>
      <c r="O43" s="116"/>
      <c r="P43" s="116"/>
      <c r="Q43" s="116"/>
      <c r="R43" s="115"/>
    </row>
    <row r="44" spans="1:19" ht="15.5" x14ac:dyDescent="0.35">
      <c r="A44" s="116"/>
      <c r="B44" s="120" t="s">
        <v>193</v>
      </c>
      <c r="C44" s="120"/>
      <c r="D44" s="116"/>
      <c r="E44" s="116"/>
      <c r="F44" s="116"/>
      <c r="G44" s="116"/>
      <c r="H44" s="116"/>
      <c r="I44" s="116"/>
      <c r="J44" s="116"/>
      <c r="K44" s="116"/>
      <c r="L44" s="116"/>
      <c r="M44" s="116"/>
      <c r="N44" s="116"/>
      <c r="O44" s="116"/>
      <c r="P44" s="116"/>
      <c r="Q44" s="116"/>
      <c r="R44" s="115"/>
    </row>
    <row r="45" spans="1:19" ht="15.5" x14ac:dyDescent="0.35">
      <c r="A45" s="116"/>
      <c r="B45" s="129" t="s">
        <v>112</v>
      </c>
      <c r="C45" s="129"/>
      <c r="D45" s="129"/>
      <c r="E45" s="129"/>
      <c r="F45" s="129"/>
      <c r="G45" s="129"/>
      <c r="H45" s="129"/>
      <c r="I45" s="129"/>
      <c r="J45" s="129"/>
      <c r="K45" s="129"/>
      <c r="L45" s="129"/>
      <c r="M45" s="129"/>
      <c r="N45" s="129"/>
      <c r="O45" s="129"/>
      <c r="P45" s="129"/>
      <c r="Q45" s="129"/>
      <c r="R45" s="130"/>
    </row>
    <row r="46" spans="1:19" ht="15.5" x14ac:dyDescent="0.35">
      <c r="A46" s="122">
        <f>Assumptions!C55</f>
        <v>1</v>
      </c>
      <c r="B46" s="123">
        <v>12</v>
      </c>
      <c r="C46" s="127" cm="1">
        <f t="array" aca="1" ref="C46" ca="1">INDIRECT("R[40]C["&amp;$A$46&amp;"]",FALSE)</f>
        <v>0</v>
      </c>
      <c r="D46" s="124" cm="1">
        <f t="array" aca="1" ref="D46" ca="1">INDIRECT("R[40]C["&amp;$A$46&amp;"]",FALSE)</f>
        <v>0</v>
      </c>
      <c r="E46" s="124" cm="1">
        <f t="array" aca="1" ref="E46" ca="1">INDIRECT("R[40]C["&amp;$A$46&amp;"]",FALSE)</f>
        <v>0</v>
      </c>
      <c r="F46" s="124" cm="1">
        <f t="array" aca="1" ref="F46" ca="1">INDIRECT("R[40]C["&amp;$A$46&amp;"]",FALSE)</f>
        <v>0</v>
      </c>
      <c r="G46" s="124" cm="1">
        <f t="array" aca="1" ref="G46" ca="1">INDIRECT("R[40]C["&amp;$A$46&amp;"]",FALSE)</f>
        <v>0</v>
      </c>
      <c r="H46" s="124" cm="1">
        <f t="array" aca="1" ref="H46" ca="1">INDIRECT("R[40]C["&amp;$A$46&amp;"]",FALSE)</f>
        <v>0</v>
      </c>
      <c r="I46" s="124" cm="1">
        <f t="array" aca="1" ref="I46" ca="1">INDIRECT("R[40]C["&amp;$A$46&amp;"]",FALSE)</f>
        <v>0</v>
      </c>
      <c r="J46" s="124" cm="1">
        <f t="array" aca="1" ref="J46" ca="1">INDIRECT("R[40]C["&amp;$A$46&amp;"]",FALSE)</f>
        <v>0</v>
      </c>
      <c r="K46" s="124" cm="1">
        <f t="array" aca="1" ref="K46" ca="1">INDIRECT("R[40]C["&amp;$A$46&amp;"]",FALSE)</f>
        <v>0</v>
      </c>
      <c r="L46" s="124" cm="1">
        <f t="array" aca="1" ref="L46" ca="1">INDIRECT("R[40]C["&amp;$A$46&amp;"]",FALSE)</f>
        <v>0</v>
      </c>
      <c r="M46" s="124" cm="1">
        <f t="array" aca="1" ref="M46" ca="1">INDIRECT("R[40]C["&amp;$A$46&amp;"]",FALSE)</f>
        <v>0</v>
      </c>
      <c r="N46" s="124" cm="1">
        <f t="array" aca="1" ref="N46" ca="1">INDIRECT("R[40]C["&amp;$A$46&amp;"]",FALSE)</f>
        <v>0</v>
      </c>
      <c r="O46" s="124" cm="1">
        <f t="array" aca="1" ref="O46" ca="1">INDIRECT("R[40]C["&amp;$A$46&amp;"]",FALSE)</f>
        <v>0</v>
      </c>
      <c r="P46" s="124" cm="1">
        <f t="array" aca="1" ref="P46" ca="1">INDIRECT("R[40]C["&amp;$A$46&amp;"]",FALSE)</f>
        <v>0</v>
      </c>
      <c r="Q46" s="125"/>
      <c r="R46" s="128">
        <f ca="1">SUM(D46:P46)</f>
        <v>0</v>
      </c>
    </row>
    <row r="47" spans="1:19" ht="15.5" x14ac:dyDescent="0.35">
      <c r="A47" s="121">
        <f>A46</f>
        <v>1</v>
      </c>
      <c r="B47" s="123">
        <v>15</v>
      </c>
      <c r="C47" s="127" cm="1">
        <f t="array" aca="1" ref="C47" ca="1">INDIRECT("R[40]C["&amp;$A$46&amp;"]",FALSE)</f>
        <v>0</v>
      </c>
      <c r="D47" s="124" cm="1">
        <f t="array" aca="1" ref="D47" ca="1">INDIRECT("R[40]C["&amp;$A$46&amp;"]",FALSE)</f>
        <v>0</v>
      </c>
      <c r="E47" s="124" cm="1">
        <f t="array" aca="1" ref="E47" ca="1">INDIRECT("R[40]C["&amp;$A$46&amp;"]",FALSE)</f>
        <v>0</v>
      </c>
      <c r="F47" s="124" cm="1">
        <f t="array" aca="1" ref="F47" ca="1">INDIRECT("R[40]C["&amp;$A$46&amp;"]",FALSE)</f>
        <v>0</v>
      </c>
      <c r="G47" s="124" cm="1">
        <f t="array" aca="1" ref="G47" ca="1">INDIRECT("R[40]C["&amp;$A$46&amp;"]",FALSE)</f>
        <v>0</v>
      </c>
      <c r="H47" s="124" cm="1">
        <f t="array" aca="1" ref="H47" ca="1">INDIRECT("R[40]C["&amp;$A$46&amp;"]",FALSE)</f>
        <v>0</v>
      </c>
      <c r="I47" s="124" cm="1">
        <f t="array" aca="1" ref="I47" ca="1">INDIRECT("R[40]C["&amp;$A$46&amp;"]",FALSE)</f>
        <v>0</v>
      </c>
      <c r="J47" s="124" cm="1">
        <f t="array" aca="1" ref="J47" ca="1">INDIRECT("R[40]C["&amp;$A$46&amp;"]",FALSE)</f>
        <v>0</v>
      </c>
      <c r="K47" s="124" cm="1">
        <f t="array" aca="1" ref="K47" ca="1">INDIRECT("R[40]C["&amp;$A$46&amp;"]",FALSE)</f>
        <v>0</v>
      </c>
      <c r="L47" s="124" cm="1">
        <f t="array" aca="1" ref="L47" ca="1">INDIRECT("R[40]C["&amp;$A$46&amp;"]",FALSE)</f>
        <v>0</v>
      </c>
      <c r="M47" s="124" cm="1">
        <f t="array" aca="1" ref="M47" ca="1">INDIRECT("R[40]C["&amp;$A$46&amp;"]",FALSE)</f>
        <v>0</v>
      </c>
      <c r="N47" s="124" cm="1">
        <f t="array" aca="1" ref="N47" ca="1">INDIRECT("R[40]C["&amp;$A$46&amp;"]",FALSE)</f>
        <v>0</v>
      </c>
      <c r="O47" s="124" cm="1">
        <f t="array" aca="1" ref="O47" ca="1">INDIRECT("R[40]C["&amp;$A$46&amp;"]",FALSE)</f>
        <v>0</v>
      </c>
      <c r="P47" s="124" cm="1">
        <f t="array" aca="1" ref="P47" ca="1">INDIRECT("R[40]C["&amp;$A$46&amp;"]",FALSE)</f>
        <v>0</v>
      </c>
      <c r="Q47" s="125"/>
      <c r="R47" s="128">
        <f ca="1">SUM(D47:P47)</f>
        <v>0</v>
      </c>
    </row>
    <row r="48" spans="1:19" ht="15.5" x14ac:dyDescent="0.35">
      <c r="A48" s="121">
        <f>A47</f>
        <v>1</v>
      </c>
      <c r="B48" s="123">
        <v>18</v>
      </c>
      <c r="C48" s="127" cm="1">
        <f t="array" aca="1" ref="C48" ca="1">INDIRECT("R[40]C["&amp;$A$46&amp;"]",FALSE)</f>
        <v>0</v>
      </c>
      <c r="D48" s="124" cm="1">
        <f t="array" aca="1" ref="D48" ca="1">INDIRECT("R[40]C["&amp;$A$46&amp;"]",FALSE)</f>
        <v>0</v>
      </c>
      <c r="E48" s="124" cm="1">
        <f t="array" aca="1" ref="E48" ca="1">INDIRECT("R[40]C["&amp;$A$46&amp;"]",FALSE)</f>
        <v>0</v>
      </c>
      <c r="F48" s="124" cm="1">
        <f t="array" aca="1" ref="F48" ca="1">INDIRECT("R[40]C["&amp;$A$46&amp;"]",FALSE)</f>
        <v>0</v>
      </c>
      <c r="G48" s="124" cm="1">
        <f t="array" aca="1" ref="G48" ca="1">INDIRECT("R[40]C["&amp;$A$46&amp;"]",FALSE)</f>
        <v>0</v>
      </c>
      <c r="H48" s="124" cm="1">
        <f t="array" aca="1" ref="H48" ca="1">INDIRECT("R[40]C["&amp;$A$46&amp;"]",FALSE)</f>
        <v>0</v>
      </c>
      <c r="I48" s="124" cm="1">
        <f t="array" aca="1" ref="I48" ca="1">INDIRECT("R[40]C["&amp;$A$46&amp;"]",FALSE)</f>
        <v>0</v>
      </c>
      <c r="J48" s="124" cm="1">
        <f t="array" aca="1" ref="J48" ca="1">INDIRECT("R[40]C["&amp;$A$46&amp;"]",FALSE)</f>
        <v>0</v>
      </c>
      <c r="K48" s="124" cm="1">
        <f t="array" aca="1" ref="K48" ca="1">INDIRECT("R[40]C["&amp;$A$46&amp;"]",FALSE)</f>
        <v>0</v>
      </c>
      <c r="L48" s="124" cm="1">
        <f t="array" aca="1" ref="L48" ca="1">INDIRECT("R[40]C["&amp;$A$46&amp;"]",FALSE)</f>
        <v>91.333333333333329</v>
      </c>
      <c r="M48" s="124" cm="1">
        <f t="array" aca="1" ref="M48" ca="1">INDIRECT("R[40]C["&amp;$A$46&amp;"]",FALSE)</f>
        <v>27.777777777777779</v>
      </c>
      <c r="N48" s="124" cm="1">
        <f t="array" aca="1" ref="N48" ca="1">INDIRECT("R[40]C["&amp;$A$46&amp;"]",FALSE)</f>
        <v>177.77777777777777</v>
      </c>
      <c r="O48" s="124" cm="1">
        <f t="array" aca="1" ref="O48" ca="1">INDIRECT("R[40]C["&amp;$A$46&amp;"]",FALSE)</f>
        <v>138.88888888888889</v>
      </c>
      <c r="P48" s="124" cm="1">
        <f t="array" aca="1" ref="P48" ca="1">INDIRECT("R[40]C["&amp;$A$46&amp;"]",FALSE)</f>
        <v>250</v>
      </c>
      <c r="Q48" s="125"/>
      <c r="R48" s="128">
        <f ca="1">SUM(D48:P48)</f>
        <v>685.77777777777783</v>
      </c>
      <c r="S48" t="s">
        <v>91</v>
      </c>
    </row>
    <row r="49" spans="1:18" ht="15.5" x14ac:dyDescent="0.35">
      <c r="A49" s="116"/>
      <c r="B49" s="129" t="s">
        <v>351</v>
      </c>
      <c r="C49" s="133"/>
      <c r="D49" s="129"/>
      <c r="E49" s="129"/>
      <c r="F49" s="129"/>
      <c r="G49" s="129"/>
      <c r="H49" s="129"/>
      <c r="I49" s="129"/>
      <c r="J49" s="129"/>
      <c r="K49" s="129"/>
      <c r="L49" s="129"/>
      <c r="M49" s="129"/>
      <c r="N49" s="129"/>
      <c r="O49" s="129"/>
      <c r="P49" s="129"/>
      <c r="Q49" s="129"/>
      <c r="R49" s="130"/>
    </row>
    <row r="50" spans="1:18" ht="15.5" x14ac:dyDescent="0.35">
      <c r="A50" s="121">
        <f>A48</f>
        <v>1</v>
      </c>
      <c r="B50" s="123">
        <v>12</v>
      </c>
      <c r="C50" s="127" cm="1">
        <f t="array" aca="1" ref="C50" ca="1">INDIRECT("R[40]C["&amp;$A$50&amp;"]",FALSE)</f>
        <v>0</v>
      </c>
      <c r="D50" s="124" cm="1">
        <f t="array" aca="1" ref="D50" ca="1">INDIRECT("R[40]C["&amp;$A$50&amp;"]",FALSE)</f>
        <v>0</v>
      </c>
      <c r="E50" s="124" cm="1">
        <f t="array" aca="1" ref="E50" ca="1">INDIRECT("R[40]C["&amp;$A$50&amp;"]",FALSE)</f>
        <v>0</v>
      </c>
      <c r="F50" s="124" cm="1">
        <f t="array" aca="1" ref="F50" ca="1">INDIRECT("R[40]C["&amp;$A$50&amp;"]",FALSE)</f>
        <v>0</v>
      </c>
      <c r="G50" s="124" cm="1">
        <f t="array" aca="1" ref="G50" ca="1">INDIRECT("R[40]C["&amp;$A$50&amp;"]",FALSE)</f>
        <v>0</v>
      </c>
      <c r="H50" s="124" cm="1">
        <f t="array" aca="1" ref="H50" ca="1">INDIRECT("R[40]C["&amp;$A$50&amp;"]",FALSE)</f>
        <v>0</v>
      </c>
      <c r="I50" s="124" cm="1">
        <f t="array" aca="1" ref="I50" ca="1">INDIRECT("R[40]C["&amp;$A$50&amp;"]",FALSE)</f>
        <v>0</v>
      </c>
      <c r="J50" s="124" cm="1">
        <f t="array" aca="1" ref="J50" ca="1">INDIRECT("R[40]C["&amp;$A$50&amp;"]",FALSE)</f>
        <v>0</v>
      </c>
      <c r="K50" s="124" cm="1">
        <f t="array" aca="1" ref="K50" ca="1">INDIRECT("R[40]C["&amp;$A$50&amp;"]",FALSE)</f>
        <v>0</v>
      </c>
      <c r="L50" s="124" cm="1">
        <f t="array" aca="1" ref="L50" ca="1">INDIRECT("R[40]C["&amp;$A$50&amp;"]",FALSE)</f>
        <v>0</v>
      </c>
      <c r="M50" s="124" cm="1">
        <f t="array" aca="1" ref="M50" ca="1">INDIRECT("R[40]C["&amp;$A$50&amp;"]",FALSE)</f>
        <v>0</v>
      </c>
      <c r="N50" s="124" cm="1">
        <f t="array" aca="1" ref="N50" ca="1">INDIRECT("R[40]C["&amp;$A$50&amp;"]",FALSE)</f>
        <v>0</v>
      </c>
      <c r="O50" s="124" cm="1">
        <f t="array" aca="1" ref="O50" ca="1">INDIRECT("R[40]C["&amp;$A$50&amp;"]",FALSE)</f>
        <v>0</v>
      </c>
      <c r="P50" s="124" cm="1">
        <f t="array" aca="1" ref="P50" ca="1">INDIRECT("R[40]C["&amp;$A$50&amp;"]",FALSE)</f>
        <v>0</v>
      </c>
      <c r="Q50" s="126"/>
      <c r="R50" s="128">
        <f ca="1">SUM(D50:P50)</f>
        <v>0</v>
      </c>
    </row>
    <row r="51" spans="1:18" ht="15.5" x14ac:dyDescent="0.35">
      <c r="A51" s="121">
        <f>A50</f>
        <v>1</v>
      </c>
      <c r="B51" s="123">
        <v>15</v>
      </c>
      <c r="C51" s="127" cm="1">
        <f t="array" aca="1" ref="C51" ca="1">INDIRECT("R[40]C["&amp;$A$50&amp;"]",FALSE)</f>
        <v>0</v>
      </c>
      <c r="D51" s="124" cm="1">
        <f t="array" aca="1" ref="D51" ca="1">INDIRECT("R[40]C["&amp;$A$50&amp;"]",FALSE)</f>
        <v>0</v>
      </c>
      <c r="E51" s="124" cm="1">
        <f t="array" aca="1" ref="E51" ca="1">INDIRECT("R[40]C["&amp;$A$50&amp;"]",FALSE)</f>
        <v>0</v>
      </c>
      <c r="F51" s="124" cm="1">
        <f t="array" aca="1" ref="F51" ca="1">INDIRECT("R[40]C["&amp;$A$50&amp;"]",FALSE)</f>
        <v>0</v>
      </c>
      <c r="G51" s="124" cm="1">
        <f t="array" aca="1" ref="G51" ca="1">INDIRECT("R[40]C["&amp;$A$50&amp;"]",FALSE)</f>
        <v>0</v>
      </c>
      <c r="H51" s="124" cm="1">
        <f t="array" aca="1" ref="H51" ca="1">INDIRECT("R[40]C["&amp;$A$50&amp;"]",FALSE)</f>
        <v>0</v>
      </c>
      <c r="I51" s="124" cm="1">
        <f t="array" aca="1" ref="I51" ca="1">INDIRECT("R[40]C["&amp;$A$50&amp;"]",FALSE)</f>
        <v>0</v>
      </c>
      <c r="J51" s="124" cm="1">
        <f t="array" aca="1" ref="J51" ca="1">INDIRECT("R[40]C["&amp;$A$50&amp;"]",FALSE)</f>
        <v>0</v>
      </c>
      <c r="K51" s="124" cm="1">
        <f t="array" aca="1" ref="K51" ca="1">INDIRECT("R[40]C["&amp;$A$50&amp;"]",FALSE)</f>
        <v>0</v>
      </c>
      <c r="L51" s="124" cm="1">
        <f t="array" aca="1" ref="L51" ca="1">INDIRECT("R[40]C["&amp;$A$50&amp;"]",FALSE)</f>
        <v>0</v>
      </c>
      <c r="M51" s="124" cm="1">
        <f t="array" aca="1" ref="M51" ca="1">INDIRECT("R[40]C["&amp;$A$50&amp;"]",FALSE)</f>
        <v>0</v>
      </c>
      <c r="N51" s="124" cm="1">
        <f t="array" aca="1" ref="N51" ca="1">INDIRECT("R[40]C["&amp;$A$50&amp;"]",FALSE)</f>
        <v>0</v>
      </c>
      <c r="O51" s="124" cm="1">
        <f t="array" aca="1" ref="O51" ca="1">INDIRECT("R[40]C["&amp;$A$50&amp;"]",FALSE)</f>
        <v>0</v>
      </c>
      <c r="P51" s="124" cm="1">
        <f t="array" aca="1" ref="P51" ca="1">INDIRECT("R[40]C["&amp;$A$50&amp;"]",FALSE)</f>
        <v>0</v>
      </c>
      <c r="Q51" s="126"/>
      <c r="R51" s="128">
        <f ca="1">SUM(D51:P51)</f>
        <v>0</v>
      </c>
    </row>
    <row r="52" spans="1:18" ht="15.5" x14ac:dyDescent="0.35">
      <c r="A52" s="121">
        <f>A51</f>
        <v>1</v>
      </c>
      <c r="B52" s="123">
        <v>18</v>
      </c>
      <c r="C52" s="127" cm="1">
        <f t="array" aca="1" ref="C52" ca="1">INDIRECT("R[40]C["&amp;$A$50&amp;"]",FALSE)</f>
        <v>0</v>
      </c>
      <c r="D52" s="124" cm="1">
        <f t="array" aca="1" ref="D52" ca="1">INDIRECT("R[40]C["&amp;$A$50&amp;"]",FALSE)</f>
        <v>0</v>
      </c>
      <c r="E52" s="124" cm="1">
        <f t="array" aca="1" ref="E52" ca="1">INDIRECT("R[40]C["&amp;$A$50&amp;"]",FALSE)</f>
        <v>0</v>
      </c>
      <c r="F52" s="124" cm="1">
        <f t="array" aca="1" ref="F52" ca="1">INDIRECT("R[40]C["&amp;$A$50&amp;"]",FALSE)</f>
        <v>0</v>
      </c>
      <c r="G52" s="124" cm="1">
        <f t="array" aca="1" ref="G52" ca="1">INDIRECT("R[40]C["&amp;$A$50&amp;"]",FALSE)</f>
        <v>0</v>
      </c>
      <c r="H52" s="124" cm="1">
        <f t="array" aca="1" ref="H52" ca="1">INDIRECT("R[40]C["&amp;$A$50&amp;"]",FALSE)</f>
        <v>0</v>
      </c>
      <c r="I52" s="124" cm="1">
        <f t="array" aca="1" ref="I52" ca="1">INDIRECT("R[40]C["&amp;$A$50&amp;"]",FALSE)</f>
        <v>0</v>
      </c>
      <c r="J52" s="124" cm="1">
        <f t="array" aca="1" ref="J52" ca="1">INDIRECT("R[40]C["&amp;$A$50&amp;"]",FALSE)</f>
        <v>0</v>
      </c>
      <c r="K52" s="124" cm="1">
        <f t="array" aca="1" ref="K52" ca="1">INDIRECT("R[40]C["&amp;$A$50&amp;"]",FALSE)</f>
        <v>0</v>
      </c>
      <c r="L52" s="124" cm="1">
        <f t="array" aca="1" ref="L52" ca="1">INDIRECT("R[40]C["&amp;$A$50&amp;"]",FALSE)</f>
        <v>274</v>
      </c>
      <c r="M52" s="124" cm="1">
        <f t="array" aca="1" ref="M52" ca="1">INDIRECT("R[40]C["&amp;$A$50&amp;"]",FALSE)</f>
        <v>83.333333333333343</v>
      </c>
      <c r="N52" s="124" cm="1">
        <f t="array" aca="1" ref="N52" ca="1">INDIRECT("R[40]C["&amp;$A$50&amp;"]",FALSE)</f>
        <v>533.33333333333326</v>
      </c>
      <c r="O52" s="124" cm="1">
        <f t="array" aca="1" ref="O52" ca="1">INDIRECT("R[40]C["&amp;$A$50&amp;"]",FALSE)</f>
        <v>416.66666666666663</v>
      </c>
      <c r="P52" s="124" cm="1">
        <f t="array" aca="1" ref="P52" ca="1">INDIRECT("R[40]C["&amp;$A$50&amp;"]",FALSE)</f>
        <v>750</v>
      </c>
      <c r="Q52" s="126"/>
      <c r="R52" s="128">
        <f ca="1">SUM(D52:P52)</f>
        <v>2057.333333333333</v>
      </c>
    </row>
    <row r="53" spans="1:18" ht="15.5" x14ac:dyDescent="0.35">
      <c r="A53" s="116"/>
      <c r="B53" s="129" t="s">
        <v>114</v>
      </c>
      <c r="C53" s="133"/>
      <c r="D53" s="129"/>
      <c r="E53" s="129"/>
      <c r="F53" s="129"/>
      <c r="G53" s="129"/>
      <c r="H53" s="129"/>
      <c r="I53" s="129"/>
      <c r="J53" s="129"/>
      <c r="K53" s="129"/>
      <c r="L53" s="129"/>
      <c r="M53" s="129"/>
      <c r="N53" s="129"/>
      <c r="O53" s="129"/>
      <c r="P53" s="129"/>
      <c r="Q53" s="129"/>
      <c r="R53" s="130"/>
    </row>
    <row r="54" spans="1:18" ht="15.5" x14ac:dyDescent="0.35">
      <c r="A54" s="121">
        <f>A52</f>
        <v>1</v>
      </c>
      <c r="B54" s="123">
        <v>12</v>
      </c>
      <c r="C54" s="127" cm="1">
        <f t="array" aca="1" ref="C54" ca="1">INDIRECT("R[40]C["&amp;$A$46&amp;"]",FALSE)</f>
        <v>0</v>
      </c>
      <c r="D54" s="124" cm="1">
        <f t="array" aca="1" ref="D54" ca="1">INDIRECT("R[40]C["&amp;$A$46&amp;"]",FALSE)</f>
        <v>0</v>
      </c>
      <c r="E54" s="124" cm="1">
        <f t="array" aca="1" ref="E54" ca="1">INDIRECT("R[40]C["&amp;$A$46&amp;"]",FALSE)</f>
        <v>0</v>
      </c>
      <c r="F54" s="124" cm="1">
        <f t="array" aca="1" ref="F54" ca="1">INDIRECT("R[40]C["&amp;$A$46&amp;"]",FALSE)</f>
        <v>0</v>
      </c>
      <c r="G54" s="124" cm="1">
        <f t="array" aca="1" ref="G54" ca="1">INDIRECT("R[40]C["&amp;$A$46&amp;"]",FALSE)</f>
        <v>0</v>
      </c>
      <c r="H54" s="124" cm="1">
        <f t="array" aca="1" ref="H54" ca="1">INDIRECT("R[40]C["&amp;$A$46&amp;"]",FALSE)</f>
        <v>0</v>
      </c>
      <c r="I54" s="124" cm="1">
        <f t="array" aca="1" ref="I54" ca="1">INDIRECT("R[40]C["&amp;$A$46&amp;"]",FALSE)</f>
        <v>0</v>
      </c>
      <c r="J54" s="124" cm="1">
        <f t="array" aca="1" ref="J54" ca="1">INDIRECT("R[40]C["&amp;$A$46&amp;"]",FALSE)</f>
        <v>0</v>
      </c>
      <c r="K54" s="124" cm="1">
        <f t="array" aca="1" ref="K54" ca="1">INDIRECT("R[40]C["&amp;$A$46&amp;"]",FALSE)</f>
        <v>0</v>
      </c>
      <c r="L54" s="124" cm="1">
        <f t="array" aca="1" ref="L54" ca="1">INDIRECT("R[40]C["&amp;$A$46&amp;"]",FALSE)</f>
        <v>0</v>
      </c>
      <c r="M54" s="124" cm="1">
        <f t="array" aca="1" ref="M54" ca="1">INDIRECT("R[40]C["&amp;$A$46&amp;"]",FALSE)</f>
        <v>0</v>
      </c>
      <c r="N54" s="124" cm="1">
        <f t="array" aca="1" ref="N54" ca="1">INDIRECT("R[40]C["&amp;$A$46&amp;"]",FALSE)</f>
        <v>0</v>
      </c>
      <c r="O54" s="124" cm="1">
        <f t="array" aca="1" ref="O54" ca="1">INDIRECT("R[40]C["&amp;$A$46&amp;"]",FALSE)</f>
        <v>0</v>
      </c>
      <c r="P54" s="124" cm="1">
        <f t="array" aca="1" ref="P54" ca="1">INDIRECT("R[40]C["&amp;$A$46&amp;"]",FALSE)</f>
        <v>0</v>
      </c>
      <c r="Q54" s="123"/>
      <c r="R54" s="128">
        <f ca="1">SUM(D54:P54)</f>
        <v>0</v>
      </c>
    </row>
    <row r="55" spans="1:18" ht="15.5" x14ac:dyDescent="0.35">
      <c r="A55" s="121">
        <f>A54</f>
        <v>1</v>
      </c>
      <c r="B55" s="123">
        <v>15</v>
      </c>
      <c r="C55" s="127" cm="1">
        <f t="array" aca="1" ref="C55" ca="1">INDIRECT("R[40]C["&amp;$A$46&amp;"]",FALSE)</f>
        <v>0</v>
      </c>
      <c r="D55" s="124" cm="1">
        <f t="array" aca="1" ref="D55" ca="1">INDIRECT("R[40]C["&amp;$A$46&amp;"]",FALSE)</f>
        <v>0</v>
      </c>
      <c r="E55" s="124" cm="1">
        <f t="array" aca="1" ref="E55" ca="1">INDIRECT("R[40]C["&amp;$A$46&amp;"]",FALSE)</f>
        <v>0</v>
      </c>
      <c r="F55" s="124" cm="1">
        <f t="array" aca="1" ref="F55" ca="1">INDIRECT("R[40]C["&amp;$A$46&amp;"]",FALSE)</f>
        <v>0</v>
      </c>
      <c r="G55" s="124" cm="1">
        <f t="array" aca="1" ref="G55" ca="1">INDIRECT("R[40]C["&amp;$A$46&amp;"]",FALSE)</f>
        <v>0</v>
      </c>
      <c r="H55" s="124" cm="1">
        <f t="array" aca="1" ref="H55" ca="1">INDIRECT("R[40]C["&amp;$A$46&amp;"]",FALSE)</f>
        <v>0</v>
      </c>
      <c r="I55" s="124" cm="1">
        <f t="array" aca="1" ref="I55" ca="1">INDIRECT("R[40]C["&amp;$A$46&amp;"]",FALSE)</f>
        <v>0</v>
      </c>
      <c r="J55" s="124" cm="1">
        <f t="array" aca="1" ref="J55" ca="1">INDIRECT("R[40]C["&amp;$A$46&amp;"]",FALSE)</f>
        <v>0</v>
      </c>
      <c r="K55" s="124" cm="1">
        <f t="array" aca="1" ref="K55" ca="1">INDIRECT("R[40]C["&amp;$A$46&amp;"]",FALSE)</f>
        <v>0</v>
      </c>
      <c r="L55" s="124" cm="1">
        <f t="array" aca="1" ref="L55" ca="1">INDIRECT("R[40]C["&amp;$A$46&amp;"]",FALSE)</f>
        <v>0</v>
      </c>
      <c r="M55" s="124" cm="1">
        <f t="array" aca="1" ref="M55" ca="1">INDIRECT("R[40]C["&amp;$A$46&amp;"]",FALSE)</f>
        <v>0</v>
      </c>
      <c r="N55" s="124" cm="1">
        <f t="array" aca="1" ref="N55" ca="1">INDIRECT("R[40]C["&amp;$A$46&amp;"]",FALSE)</f>
        <v>0</v>
      </c>
      <c r="O55" s="124" cm="1">
        <f t="array" aca="1" ref="O55" ca="1">INDIRECT("R[40]C["&amp;$A$46&amp;"]",FALSE)</f>
        <v>0</v>
      </c>
      <c r="P55" s="124" cm="1">
        <f t="array" aca="1" ref="P55" ca="1">INDIRECT("R[40]C["&amp;$A$46&amp;"]",FALSE)</f>
        <v>0</v>
      </c>
      <c r="Q55" s="123"/>
      <c r="R55" s="128">
        <f ca="1">SUM(D55:P55)</f>
        <v>0</v>
      </c>
    </row>
    <row r="56" spans="1:18" ht="15.5" x14ac:dyDescent="0.35">
      <c r="A56" s="121">
        <f>A55</f>
        <v>1</v>
      </c>
      <c r="B56" s="123">
        <v>18</v>
      </c>
      <c r="C56" s="127" cm="1">
        <f t="array" aca="1" ref="C56" ca="1">INDIRECT("R[40]C["&amp;$A$46&amp;"]",FALSE)</f>
        <v>0</v>
      </c>
      <c r="D56" s="124" cm="1">
        <f t="array" aca="1" ref="D56" ca="1">INDIRECT("R[40]C["&amp;$A$46&amp;"]",FALSE)</f>
        <v>0</v>
      </c>
      <c r="E56" s="124" cm="1">
        <f t="array" aca="1" ref="E56" ca="1">INDIRECT("R[40]C["&amp;$A$46&amp;"]",FALSE)</f>
        <v>0</v>
      </c>
      <c r="F56" s="124" cm="1">
        <f t="array" aca="1" ref="F56" ca="1">INDIRECT("R[40]C["&amp;$A$46&amp;"]",FALSE)</f>
        <v>0</v>
      </c>
      <c r="G56" s="124" cm="1">
        <f t="array" aca="1" ref="G56" ca="1">INDIRECT("R[40]C["&amp;$A$46&amp;"]",FALSE)</f>
        <v>0</v>
      </c>
      <c r="H56" s="124" cm="1">
        <f t="array" aca="1" ref="H56" ca="1">INDIRECT("R[40]C["&amp;$A$46&amp;"]",FALSE)</f>
        <v>0</v>
      </c>
      <c r="I56" s="124" cm="1">
        <f t="array" aca="1" ref="I56" ca="1">INDIRECT("R[40]C["&amp;$A$46&amp;"]",FALSE)</f>
        <v>0</v>
      </c>
      <c r="J56" s="124" cm="1">
        <f t="array" aca="1" ref="J56" ca="1">INDIRECT("R[40]C["&amp;$A$46&amp;"]",FALSE)</f>
        <v>0</v>
      </c>
      <c r="K56" s="124" cm="1">
        <f t="array" aca="1" ref="K56" ca="1">INDIRECT("R[40]C["&amp;$A$46&amp;"]",FALSE)</f>
        <v>0</v>
      </c>
      <c r="L56" s="124" cm="1">
        <f t="array" aca="1" ref="L56" ca="1">INDIRECT("R[40]C["&amp;$A$46&amp;"]",FALSE)</f>
        <v>91.333333333333329</v>
      </c>
      <c r="M56" s="124" cm="1">
        <f t="array" aca="1" ref="M56" ca="1">INDIRECT("R[40]C["&amp;$A$46&amp;"]",FALSE)</f>
        <v>27.777777777777779</v>
      </c>
      <c r="N56" s="124" cm="1">
        <f t="array" aca="1" ref="N56" ca="1">INDIRECT("R[40]C["&amp;$A$46&amp;"]",FALSE)</f>
        <v>177.77777777777777</v>
      </c>
      <c r="O56" s="124" cm="1">
        <f t="array" aca="1" ref="O56" ca="1">INDIRECT("R[40]C["&amp;$A$46&amp;"]",FALSE)</f>
        <v>138.88888888888889</v>
      </c>
      <c r="P56" s="124" cm="1">
        <f t="array" aca="1" ref="P56" ca="1">INDIRECT("R[40]C["&amp;$A$46&amp;"]",FALSE)</f>
        <v>250</v>
      </c>
      <c r="Q56" s="123"/>
      <c r="R56" s="128">
        <f ca="1">SUM(D56:P56)</f>
        <v>685.77777777777783</v>
      </c>
    </row>
    <row r="57" spans="1:18" ht="15.5" x14ac:dyDescent="0.35">
      <c r="A57" s="116"/>
      <c r="B57" s="129" t="s">
        <v>352</v>
      </c>
      <c r="C57" s="133"/>
      <c r="D57" s="129"/>
      <c r="E57" s="129"/>
      <c r="F57" s="129"/>
      <c r="G57" s="129"/>
      <c r="H57" s="129"/>
      <c r="I57" s="129"/>
      <c r="J57" s="129"/>
      <c r="K57" s="129"/>
      <c r="L57" s="129"/>
      <c r="M57" s="129"/>
      <c r="N57" s="129"/>
      <c r="O57" s="129"/>
      <c r="P57" s="129"/>
      <c r="Q57" s="129"/>
      <c r="R57" s="130"/>
    </row>
    <row r="58" spans="1:18" ht="15.5" x14ac:dyDescent="0.35">
      <c r="A58" s="121">
        <f>A56</f>
        <v>1</v>
      </c>
      <c r="B58" s="123">
        <v>12</v>
      </c>
      <c r="C58" s="127" cm="1">
        <f t="array" aca="1" ref="C58" ca="1">INDIRECT("R[40]C["&amp;$A$58&amp;"]",FALSE)</f>
        <v>0</v>
      </c>
      <c r="D58" s="124" cm="1">
        <f t="array" aca="1" ref="D58" ca="1">INDIRECT("R[40]C["&amp;$A$58&amp;"]",FALSE)</f>
        <v>0</v>
      </c>
      <c r="E58" s="124" cm="1">
        <f t="array" aca="1" ref="E58" ca="1">INDIRECT("R[40]C["&amp;$A$58&amp;"]",FALSE)</f>
        <v>0</v>
      </c>
      <c r="F58" s="124" cm="1">
        <f t="array" aca="1" ref="F58" ca="1">INDIRECT("R[40]C["&amp;$A$58&amp;"]",FALSE)</f>
        <v>0</v>
      </c>
      <c r="G58" s="124" cm="1">
        <f t="array" aca="1" ref="G58" ca="1">INDIRECT("R[40]C["&amp;$A$58&amp;"]",FALSE)</f>
        <v>0</v>
      </c>
      <c r="H58" s="124" cm="1">
        <f t="array" aca="1" ref="H58" ca="1">INDIRECT("R[40]C["&amp;$A$58&amp;"]",FALSE)</f>
        <v>0</v>
      </c>
      <c r="I58" s="124" cm="1">
        <f t="array" aca="1" ref="I58" ca="1">INDIRECT("R[40]C["&amp;$A$58&amp;"]",FALSE)</f>
        <v>0</v>
      </c>
      <c r="J58" s="124" cm="1">
        <f t="array" aca="1" ref="J58" ca="1">INDIRECT("R[40]C["&amp;$A$58&amp;"]",FALSE)</f>
        <v>0</v>
      </c>
      <c r="K58" s="124" cm="1">
        <f t="array" aca="1" ref="K58" ca="1">INDIRECT("R[40]C["&amp;$A$58&amp;"]",FALSE)</f>
        <v>0</v>
      </c>
      <c r="L58" s="124" cm="1">
        <f t="array" aca="1" ref="L58" ca="1">INDIRECT("R[40]C["&amp;$A$58&amp;"]",FALSE)</f>
        <v>0</v>
      </c>
      <c r="M58" s="124" cm="1">
        <f t="array" aca="1" ref="M58" ca="1">INDIRECT("R[40]C["&amp;$A$58&amp;"]",FALSE)</f>
        <v>0</v>
      </c>
      <c r="N58" s="124" cm="1">
        <f t="array" aca="1" ref="N58" ca="1">INDIRECT("R[40]C["&amp;$A$58&amp;"]",FALSE)</f>
        <v>0</v>
      </c>
      <c r="O58" s="124" cm="1">
        <f t="array" aca="1" ref="O58" ca="1">INDIRECT("R[40]C["&amp;$A$58&amp;"]",FALSE)</f>
        <v>0</v>
      </c>
      <c r="P58" s="124" cm="1">
        <f t="array" aca="1" ref="P58" ca="1">INDIRECT("R[40]C["&amp;$A$58&amp;"]",FALSE)</f>
        <v>0</v>
      </c>
      <c r="Q58" s="125"/>
      <c r="R58" s="128">
        <f ca="1">SUM(D58:P58)</f>
        <v>0</v>
      </c>
    </row>
    <row r="59" spans="1:18" ht="15.5" x14ac:dyDescent="0.35">
      <c r="A59" s="121">
        <f>A56</f>
        <v>1</v>
      </c>
      <c r="B59" s="123">
        <v>15</v>
      </c>
      <c r="C59" s="127" cm="1">
        <f t="array" aca="1" ref="C59" ca="1">INDIRECT("R[40]C["&amp;$A$58&amp;"]",FALSE)</f>
        <v>0</v>
      </c>
      <c r="D59" s="124" cm="1">
        <f t="array" aca="1" ref="D59" ca="1">INDIRECT("R[40]C["&amp;$A$58&amp;"]",FALSE)</f>
        <v>0</v>
      </c>
      <c r="E59" s="124" cm="1">
        <f t="array" aca="1" ref="E59" ca="1">INDIRECT("R[40]C["&amp;$A$58&amp;"]",FALSE)</f>
        <v>0</v>
      </c>
      <c r="F59" s="124" cm="1">
        <f t="array" aca="1" ref="F59" ca="1">INDIRECT("R[40]C["&amp;$A$58&amp;"]",FALSE)</f>
        <v>0</v>
      </c>
      <c r="G59" s="124" cm="1">
        <f t="array" aca="1" ref="G59" ca="1">INDIRECT("R[40]C["&amp;$A$58&amp;"]",FALSE)</f>
        <v>0</v>
      </c>
      <c r="H59" s="124" cm="1">
        <f t="array" aca="1" ref="H59" ca="1">INDIRECT("R[40]C["&amp;$A$58&amp;"]",FALSE)</f>
        <v>0</v>
      </c>
      <c r="I59" s="124" cm="1">
        <f t="array" aca="1" ref="I59" ca="1">INDIRECT("R[40]C["&amp;$A$58&amp;"]",FALSE)</f>
        <v>0</v>
      </c>
      <c r="J59" s="124" cm="1">
        <f t="array" aca="1" ref="J59" ca="1">INDIRECT("R[40]C["&amp;$A$58&amp;"]",FALSE)</f>
        <v>0</v>
      </c>
      <c r="K59" s="124" cm="1">
        <f t="array" aca="1" ref="K59" ca="1">INDIRECT("R[40]C["&amp;$A$58&amp;"]",FALSE)</f>
        <v>0</v>
      </c>
      <c r="L59" s="124" cm="1">
        <f t="array" aca="1" ref="L59" ca="1">INDIRECT("R[40]C["&amp;$A$58&amp;"]",FALSE)</f>
        <v>0</v>
      </c>
      <c r="M59" s="124" cm="1">
        <f t="array" aca="1" ref="M59" ca="1">INDIRECT("R[40]C["&amp;$A$58&amp;"]",FALSE)</f>
        <v>0</v>
      </c>
      <c r="N59" s="124" cm="1">
        <f t="array" aca="1" ref="N59" ca="1">INDIRECT("R[40]C["&amp;$A$58&amp;"]",FALSE)</f>
        <v>0</v>
      </c>
      <c r="O59" s="124" cm="1">
        <f t="array" aca="1" ref="O59" ca="1">INDIRECT("R[40]C["&amp;$A$58&amp;"]",FALSE)</f>
        <v>0</v>
      </c>
      <c r="P59" s="124" cm="1">
        <f t="array" aca="1" ref="P59" ca="1">INDIRECT("R[40]C["&amp;$A$58&amp;"]",FALSE)</f>
        <v>0</v>
      </c>
      <c r="Q59" s="125"/>
      <c r="R59" s="128">
        <f ca="1">SUM(D59:P59)</f>
        <v>0</v>
      </c>
    </row>
    <row r="60" spans="1:18" ht="15.5" x14ac:dyDescent="0.35">
      <c r="A60" s="121">
        <f>A56</f>
        <v>1</v>
      </c>
      <c r="B60" s="123">
        <v>18</v>
      </c>
      <c r="C60" s="127" cm="1">
        <f t="array" aca="1" ref="C60" ca="1">INDIRECT("R[40]C["&amp;$A$58&amp;"]",FALSE)</f>
        <v>0</v>
      </c>
      <c r="D60" s="124" cm="1">
        <f t="array" aca="1" ref="D60" ca="1">INDIRECT("R[40]C["&amp;$A$58&amp;"]",FALSE)</f>
        <v>0</v>
      </c>
      <c r="E60" s="124" cm="1">
        <f t="array" aca="1" ref="E60" ca="1">INDIRECT("R[40]C["&amp;$A$58&amp;"]",FALSE)</f>
        <v>0</v>
      </c>
      <c r="F60" s="124" cm="1">
        <f t="array" aca="1" ref="F60" ca="1">INDIRECT("R[40]C["&amp;$A$58&amp;"]",FALSE)</f>
        <v>0</v>
      </c>
      <c r="G60" s="124" cm="1">
        <f t="array" aca="1" ref="G60" ca="1">INDIRECT("R[40]C["&amp;$A$58&amp;"]",FALSE)</f>
        <v>0</v>
      </c>
      <c r="H60" s="124" cm="1">
        <f t="array" aca="1" ref="H60" ca="1">INDIRECT("R[40]C["&amp;$A$58&amp;"]",FALSE)</f>
        <v>0</v>
      </c>
      <c r="I60" s="124" cm="1">
        <f t="array" aca="1" ref="I60" ca="1">INDIRECT("R[40]C["&amp;$A$58&amp;"]",FALSE)</f>
        <v>0</v>
      </c>
      <c r="J60" s="124" cm="1">
        <f t="array" aca="1" ref="J60" ca="1">INDIRECT("R[40]C["&amp;$A$58&amp;"]",FALSE)</f>
        <v>0</v>
      </c>
      <c r="K60" s="124" cm="1">
        <f t="array" aca="1" ref="K60" ca="1">INDIRECT("R[40]C["&amp;$A$58&amp;"]",FALSE)</f>
        <v>0</v>
      </c>
      <c r="L60" s="124" cm="1">
        <f t="array" aca="1" ref="L60" ca="1">INDIRECT("R[40]C["&amp;$A$58&amp;"]",FALSE)</f>
        <v>91.333333333333329</v>
      </c>
      <c r="M60" s="124" cm="1">
        <f t="array" aca="1" ref="M60" ca="1">INDIRECT("R[40]C["&amp;$A$58&amp;"]",FALSE)</f>
        <v>27.777777777777779</v>
      </c>
      <c r="N60" s="124" cm="1">
        <f t="array" aca="1" ref="N60" ca="1">INDIRECT("R[40]C["&amp;$A$58&amp;"]",FALSE)</f>
        <v>177.77777777777777</v>
      </c>
      <c r="O60" s="124" cm="1">
        <f t="array" aca="1" ref="O60" ca="1">INDIRECT("R[40]C["&amp;$A$58&amp;"]",FALSE)</f>
        <v>138.88888888888889</v>
      </c>
      <c r="P60" s="124" cm="1">
        <f t="array" aca="1" ref="P60" ca="1">INDIRECT("R[40]C["&amp;$A$58&amp;"]",FALSE)</f>
        <v>250</v>
      </c>
      <c r="Q60" s="125"/>
      <c r="R60" s="128">
        <f ca="1">SUM(D60:P60)</f>
        <v>685.77777777777783</v>
      </c>
    </row>
    <row r="61" spans="1:18" ht="15.5" x14ac:dyDescent="0.35">
      <c r="A61" s="116"/>
      <c r="B61" s="129" t="s">
        <v>116</v>
      </c>
      <c r="C61" s="133"/>
      <c r="D61" s="129"/>
      <c r="E61" s="129"/>
      <c r="F61" s="129"/>
      <c r="G61" s="129"/>
      <c r="H61" s="129"/>
      <c r="I61" s="129"/>
      <c r="J61" s="129"/>
      <c r="K61" s="129"/>
      <c r="L61" s="129"/>
      <c r="M61" s="129"/>
      <c r="N61" s="129"/>
      <c r="O61" s="129"/>
      <c r="P61" s="129"/>
      <c r="Q61" s="129"/>
      <c r="R61" s="130"/>
    </row>
    <row r="62" spans="1:18" ht="15.5" x14ac:dyDescent="0.35">
      <c r="A62" s="121">
        <f>A60</f>
        <v>1</v>
      </c>
      <c r="B62" s="125" t="s">
        <v>257</v>
      </c>
      <c r="C62" s="127" cm="1">
        <f t="array" aca="1" ref="C62" ca="1">INDIRECT("R[40]C["&amp;$A$62&amp;"]",FALSE)</f>
        <v>0</v>
      </c>
      <c r="D62" s="124" cm="1">
        <f t="array" aca="1" ref="D62" ca="1">INDIRECT("R[40]C["&amp;$A$62&amp;"]",FALSE)</f>
        <v>0</v>
      </c>
      <c r="E62" s="124" cm="1">
        <f t="array" aca="1" ref="E62" ca="1">INDIRECT("R[40]C["&amp;$A$62&amp;"]",FALSE)</f>
        <v>0</v>
      </c>
      <c r="F62" s="124" cm="1">
        <f t="array" aca="1" ref="F62" ca="1">INDIRECT("R[40]C["&amp;$A$62&amp;"]",FALSE)</f>
        <v>0</v>
      </c>
      <c r="G62" s="124" cm="1">
        <f t="array" aca="1" ref="G62" ca="1">INDIRECT("R[40]C["&amp;$A$62&amp;"]",FALSE)</f>
        <v>0</v>
      </c>
      <c r="H62" s="124" cm="1">
        <f t="array" aca="1" ref="H62" ca="1">INDIRECT("R[40]C["&amp;$A$62&amp;"]",FALSE)</f>
        <v>0</v>
      </c>
      <c r="I62" s="124" cm="1">
        <f t="array" aca="1" ref="I62" ca="1">INDIRECT("R[40]C["&amp;$A$62&amp;"]",FALSE)</f>
        <v>0</v>
      </c>
      <c r="J62" s="124" cm="1">
        <f t="array" aca="1" ref="J62" ca="1">INDIRECT("R[40]C["&amp;$A$62&amp;"]",FALSE)</f>
        <v>0</v>
      </c>
      <c r="K62" s="124" cm="1">
        <f t="array" aca="1" ref="K62" ca="1">INDIRECT("R[40]C["&amp;$A$62&amp;"]",FALSE)</f>
        <v>0</v>
      </c>
      <c r="L62" s="124" cm="1">
        <f t="array" aca="1" ref="L62" ca="1">INDIRECT("R[40]C["&amp;$A$62&amp;"]",FALSE)</f>
        <v>0</v>
      </c>
      <c r="M62" s="124" cm="1">
        <f t="array" aca="1" ref="M62" ca="1">INDIRECT("R[40]C["&amp;$A$62&amp;"]",FALSE)</f>
        <v>0</v>
      </c>
      <c r="N62" s="124" cm="1">
        <f t="array" aca="1" ref="N62" ca="1">INDIRECT("R[40]C["&amp;$A$62&amp;"]",FALSE)</f>
        <v>0</v>
      </c>
      <c r="O62" s="124" cm="1">
        <f t="array" aca="1" ref="O62" ca="1">INDIRECT("R[40]C["&amp;$A$62&amp;"]",FALSE)</f>
        <v>0</v>
      </c>
      <c r="P62" s="124" cm="1">
        <f t="array" aca="1" ref="P62" ca="1">INDIRECT("R[40]C["&amp;$A$62&amp;"]",FALSE)</f>
        <v>0</v>
      </c>
      <c r="Q62" s="124"/>
      <c r="R62" s="128">
        <f t="shared" ref="R62" ca="1" si="7">SUM(D62:Q62)</f>
        <v>0</v>
      </c>
    </row>
    <row r="63" spans="1:18" ht="15.5" x14ac:dyDescent="0.35">
      <c r="A63" s="121">
        <f>A60</f>
        <v>1</v>
      </c>
      <c r="B63" s="125" t="s">
        <v>258</v>
      </c>
      <c r="C63" s="127" cm="1">
        <f t="array" aca="1" ref="C63" ca="1">INDIRECT("R[40]C["&amp;$A$62&amp;"]",FALSE)</f>
        <v>0</v>
      </c>
      <c r="D63" s="124" cm="1">
        <f t="array" aca="1" ref="D63" ca="1">INDIRECT("R[40]C["&amp;$A$62&amp;"]",FALSE)</f>
        <v>0</v>
      </c>
      <c r="E63" s="124" cm="1">
        <f t="array" aca="1" ref="E63" ca="1">INDIRECT("R[40]C["&amp;$A$62&amp;"]",FALSE)</f>
        <v>0</v>
      </c>
      <c r="F63" s="124" cm="1">
        <f t="array" aca="1" ref="F63" ca="1">INDIRECT("R[40]C["&amp;$A$62&amp;"]",FALSE)</f>
        <v>0</v>
      </c>
      <c r="G63" s="124" cm="1">
        <f t="array" aca="1" ref="G63" ca="1">INDIRECT("R[40]C["&amp;$A$62&amp;"]",FALSE)</f>
        <v>0</v>
      </c>
      <c r="H63" s="124" cm="1">
        <f t="array" aca="1" ref="H63" ca="1">INDIRECT("R[40]C["&amp;$A$62&amp;"]",FALSE)</f>
        <v>0</v>
      </c>
      <c r="I63" s="124" cm="1">
        <f t="array" aca="1" ref="I63" ca="1">INDIRECT("R[40]C["&amp;$A$62&amp;"]",FALSE)</f>
        <v>0</v>
      </c>
      <c r="J63" s="124" cm="1">
        <f t="array" aca="1" ref="J63" ca="1">INDIRECT("R[40]C["&amp;$A$62&amp;"]",FALSE)</f>
        <v>0</v>
      </c>
      <c r="K63" s="124" cm="1">
        <f t="array" aca="1" ref="K63" ca="1">INDIRECT("R[40]C["&amp;$A$62&amp;"]",FALSE)</f>
        <v>0</v>
      </c>
      <c r="L63" s="124" cm="1">
        <f t="array" aca="1" ref="L63" ca="1">INDIRECT("R[40]C["&amp;$A$62&amp;"]",FALSE)</f>
        <v>0</v>
      </c>
      <c r="M63" s="124" cm="1">
        <f t="array" aca="1" ref="M63" ca="1">INDIRECT("R[40]C["&amp;$A$62&amp;"]",FALSE)</f>
        <v>0</v>
      </c>
      <c r="N63" s="124" cm="1">
        <f t="array" aca="1" ref="N63" ca="1">INDIRECT("R[40]C["&amp;$A$62&amp;"]",FALSE)</f>
        <v>0</v>
      </c>
      <c r="O63" s="124" cm="1">
        <f t="array" aca="1" ref="O63" ca="1">INDIRECT("R[40]C["&amp;$A$62&amp;"]",FALSE)</f>
        <v>0</v>
      </c>
      <c r="P63" s="124" cm="1">
        <f t="array" aca="1" ref="P63" ca="1">INDIRECT("R[40]C["&amp;$A$62&amp;"]",FALSE)</f>
        <v>0</v>
      </c>
      <c r="Q63" s="124"/>
      <c r="R63" s="128"/>
    </row>
    <row r="64" spans="1:18" ht="15.5" x14ac:dyDescent="0.35">
      <c r="A64" s="121">
        <f>A60</f>
        <v>1</v>
      </c>
      <c r="B64" s="125" t="s">
        <v>353</v>
      </c>
      <c r="C64" s="127" cm="1">
        <f t="array" aca="1" ref="C64" ca="1">INDIRECT("R[40]C["&amp;$A$62&amp;"]",FALSE)</f>
        <v>0</v>
      </c>
      <c r="D64" s="124" cm="1">
        <f t="array" aca="1" ref="D64" ca="1">INDIRECT("R[40]C["&amp;$A$62&amp;"]",FALSE)</f>
        <v>0</v>
      </c>
      <c r="E64" s="124" cm="1">
        <f t="array" aca="1" ref="E64" ca="1">INDIRECT("R[40]C["&amp;$A$62&amp;"]",FALSE)</f>
        <v>0</v>
      </c>
      <c r="F64" s="124" cm="1">
        <f t="array" aca="1" ref="F64" ca="1">INDIRECT("R[40]C["&amp;$A$62&amp;"]",FALSE)</f>
        <v>0</v>
      </c>
      <c r="G64" s="124" cm="1">
        <f t="array" aca="1" ref="G64" ca="1">INDIRECT("R[40]C["&amp;$A$62&amp;"]",FALSE)</f>
        <v>0</v>
      </c>
      <c r="H64" s="124" cm="1">
        <f t="array" aca="1" ref="H64" ca="1">INDIRECT("R[40]C["&amp;$A$62&amp;"]",FALSE)</f>
        <v>0</v>
      </c>
      <c r="I64" s="124" cm="1">
        <f t="array" aca="1" ref="I64" ca="1">INDIRECT("R[40]C["&amp;$A$62&amp;"]",FALSE)</f>
        <v>0</v>
      </c>
      <c r="J64" s="124" cm="1">
        <f t="array" aca="1" ref="J64" ca="1">INDIRECT("R[40]C["&amp;$A$62&amp;"]",FALSE)</f>
        <v>0</v>
      </c>
      <c r="K64" s="124" cm="1">
        <f t="array" aca="1" ref="K64" ca="1">INDIRECT("R[40]C["&amp;$A$62&amp;"]",FALSE)</f>
        <v>0</v>
      </c>
      <c r="L64" s="124" cm="1">
        <f t="array" aca="1" ref="L64" ca="1">INDIRECT("R[40]C["&amp;$A$62&amp;"]",FALSE)</f>
        <v>0</v>
      </c>
      <c r="M64" s="124" cm="1">
        <f t="array" aca="1" ref="M64" ca="1">INDIRECT("R[40]C["&amp;$A$62&amp;"]",FALSE)</f>
        <v>0</v>
      </c>
      <c r="N64" s="124" cm="1">
        <f t="array" aca="1" ref="N64" ca="1">INDIRECT("R[40]C["&amp;$A$62&amp;"]",FALSE)</f>
        <v>0</v>
      </c>
      <c r="O64" s="124" cm="1">
        <f t="array" aca="1" ref="O64" ca="1">INDIRECT("R[40]C["&amp;$A$62&amp;"]",FALSE)</f>
        <v>0</v>
      </c>
      <c r="P64" s="124" cm="1">
        <f t="array" aca="1" ref="P64" ca="1">INDIRECT("R[40]C["&amp;$A$62&amp;"]",FALSE)</f>
        <v>0</v>
      </c>
      <c r="Q64" s="124"/>
      <c r="R64" s="128">
        <f t="shared" ref="R64:R66" ca="1" si="8">SUM(D64:Q64)</f>
        <v>0</v>
      </c>
    </row>
    <row r="65" spans="1:18" ht="15.5" x14ac:dyDescent="0.35">
      <c r="A65" s="121">
        <f>A60</f>
        <v>1</v>
      </c>
      <c r="B65" s="125" t="s">
        <v>117</v>
      </c>
      <c r="C65" s="127" cm="1">
        <f t="array" aca="1" ref="C65" ca="1">INDIRECT("R[40]C["&amp;$A$62&amp;"]",FALSE)</f>
        <v>0</v>
      </c>
      <c r="D65" s="124" cm="1">
        <f t="array" aca="1" ref="D65" ca="1">INDIRECT("R[40]C["&amp;$A$62&amp;"]",FALSE)</f>
        <v>0</v>
      </c>
      <c r="E65" s="124" cm="1">
        <f t="array" aca="1" ref="E65" ca="1">INDIRECT("R[40]C["&amp;$A$62&amp;"]",FALSE)</f>
        <v>0</v>
      </c>
      <c r="F65" s="124" cm="1">
        <f t="array" aca="1" ref="F65" ca="1">INDIRECT("R[40]C["&amp;$A$62&amp;"]",FALSE)</f>
        <v>0</v>
      </c>
      <c r="G65" s="124" cm="1">
        <f t="array" aca="1" ref="G65" ca="1">INDIRECT("R[40]C["&amp;$A$62&amp;"]",FALSE)</f>
        <v>0</v>
      </c>
      <c r="H65" s="124" cm="1">
        <f t="array" aca="1" ref="H65" ca="1">INDIRECT("R[40]C["&amp;$A$62&amp;"]",FALSE)</f>
        <v>0</v>
      </c>
      <c r="I65" s="124" cm="1">
        <f t="array" aca="1" ref="I65" ca="1">INDIRECT("R[40]C["&amp;$A$62&amp;"]",FALSE)</f>
        <v>0</v>
      </c>
      <c r="J65" s="124" cm="1">
        <f t="array" aca="1" ref="J65" ca="1">INDIRECT("R[40]C["&amp;$A$62&amp;"]",FALSE)</f>
        <v>0</v>
      </c>
      <c r="K65" s="124" cm="1">
        <f t="array" aca="1" ref="K65" ca="1">INDIRECT("R[40]C["&amp;$A$62&amp;"]",FALSE)</f>
        <v>0</v>
      </c>
      <c r="L65" s="124" cm="1">
        <f t="array" aca="1" ref="L65" ca="1">INDIRECT("R[40]C["&amp;$A$62&amp;"]",FALSE)</f>
        <v>91.333333333333329</v>
      </c>
      <c r="M65" s="124" cm="1">
        <f t="array" aca="1" ref="M65" ca="1">INDIRECT("R[40]C["&amp;$A$62&amp;"]",FALSE)</f>
        <v>27.777777777777779</v>
      </c>
      <c r="N65" s="124" cm="1">
        <f t="array" aca="1" ref="N65" ca="1">INDIRECT("R[40]C["&amp;$A$62&amp;"]",FALSE)</f>
        <v>177.77777777777777</v>
      </c>
      <c r="O65" s="124" cm="1">
        <f t="array" aca="1" ref="O65" ca="1">INDIRECT("R[40]C["&amp;$A$62&amp;"]",FALSE)</f>
        <v>138.88888888888889</v>
      </c>
      <c r="P65" s="124" cm="1">
        <f t="array" aca="1" ref="P65" ca="1">INDIRECT("R[40]C["&amp;$A$62&amp;"]",FALSE)</f>
        <v>250</v>
      </c>
      <c r="Q65" s="124"/>
      <c r="R65" s="128">
        <f t="shared" ca="1" si="8"/>
        <v>685.77777777777783</v>
      </c>
    </row>
    <row r="66" spans="1:18" ht="15.5" x14ac:dyDescent="0.35">
      <c r="A66" s="121">
        <f>A60</f>
        <v>1</v>
      </c>
      <c r="B66" s="125" t="s">
        <v>354</v>
      </c>
      <c r="C66" s="127" cm="1">
        <f t="array" aca="1" ref="C66" ca="1">INDIRECT("R[40]C["&amp;$A$62&amp;"]",FALSE)</f>
        <v>0</v>
      </c>
      <c r="D66" s="124" cm="1">
        <f t="array" aca="1" ref="D66" ca="1">INDIRECT("R[40]C["&amp;$A$62&amp;"]",FALSE)</f>
        <v>0</v>
      </c>
      <c r="E66" s="124" cm="1">
        <f t="array" aca="1" ref="E66" ca="1">INDIRECT("R[40]C["&amp;$A$62&amp;"]",FALSE)</f>
        <v>0</v>
      </c>
      <c r="F66" s="124" cm="1">
        <f t="array" aca="1" ref="F66" ca="1">INDIRECT("R[40]C["&amp;$A$62&amp;"]",FALSE)</f>
        <v>0</v>
      </c>
      <c r="G66" s="124" cm="1">
        <f t="array" aca="1" ref="G66" ca="1">INDIRECT("R[40]C["&amp;$A$62&amp;"]",FALSE)</f>
        <v>0</v>
      </c>
      <c r="H66" s="124" cm="1">
        <f t="array" aca="1" ref="H66" ca="1">INDIRECT("R[40]C["&amp;$A$62&amp;"]",FALSE)</f>
        <v>0</v>
      </c>
      <c r="I66" s="124" cm="1">
        <f t="array" aca="1" ref="I66" ca="1">INDIRECT("R[40]C["&amp;$A$62&amp;"]",FALSE)</f>
        <v>0</v>
      </c>
      <c r="J66" s="124" cm="1">
        <f t="array" aca="1" ref="J66" ca="1">INDIRECT("R[40]C["&amp;$A$62&amp;"]",FALSE)</f>
        <v>0</v>
      </c>
      <c r="K66" s="124" cm="1">
        <f t="array" aca="1" ref="K66" ca="1">INDIRECT("R[40]C["&amp;$A$62&amp;"]",FALSE)</f>
        <v>0</v>
      </c>
      <c r="L66" s="124" cm="1">
        <f t="array" aca="1" ref="L66" ca="1">INDIRECT("R[40]C["&amp;$A$62&amp;"]",FALSE)</f>
        <v>3</v>
      </c>
      <c r="M66" s="124" cm="1">
        <f t="array" aca="1" ref="M66" ca="1">INDIRECT("R[40]C["&amp;$A$62&amp;"]",FALSE)</f>
        <v>1</v>
      </c>
      <c r="N66" s="124" cm="1">
        <f t="array" aca="1" ref="N66" ca="1">INDIRECT("R[40]C["&amp;$A$62&amp;"]",FALSE)</f>
        <v>6</v>
      </c>
      <c r="O66" s="124" cm="1">
        <f t="array" aca="1" ref="O66" ca="1">INDIRECT("R[40]C["&amp;$A$62&amp;"]",FALSE)</f>
        <v>4</v>
      </c>
      <c r="P66" s="124" cm="1">
        <f t="array" aca="1" ref="P66" ca="1">INDIRECT("R[40]C["&amp;$A$62&amp;"]",FALSE)</f>
        <v>8</v>
      </c>
      <c r="Q66" s="124"/>
      <c r="R66" s="128">
        <f t="shared" ca="1" si="8"/>
        <v>22</v>
      </c>
    </row>
    <row r="67" spans="1:18" ht="15.5" x14ac:dyDescent="0.35">
      <c r="A67" s="116"/>
      <c r="B67" s="129" t="s">
        <v>119</v>
      </c>
      <c r="C67" s="134"/>
      <c r="D67" s="132"/>
      <c r="E67" s="132"/>
      <c r="F67" s="132"/>
      <c r="G67" s="132"/>
      <c r="H67" s="132"/>
      <c r="I67" s="132"/>
      <c r="J67" s="132"/>
      <c r="K67" s="132"/>
      <c r="L67" s="132"/>
      <c r="M67" s="132"/>
      <c r="N67" s="132"/>
      <c r="O67" s="132"/>
      <c r="P67" s="132"/>
      <c r="Q67" s="132"/>
      <c r="R67" s="130"/>
    </row>
    <row r="68" spans="1:18" ht="15.5" x14ac:dyDescent="0.35">
      <c r="A68" s="121">
        <f>A59</f>
        <v>1</v>
      </c>
      <c r="B68" s="125" t="s">
        <v>355</v>
      </c>
      <c r="C68" s="127" cm="1">
        <f t="array" aca="1" ref="C68" ca="1">INDIRECT("R[40]C["&amp;$A$68&amp;"]",FALSE)</f>
        <v>0</v>
      </c>
      <c r="D68" s="124" cm="1">
        <f t="array" aca="1" ref="D68" ca="1">INDIRECT("R[40]C["&amp;$A$68&amp;"]",FALSE)</f>
        <v>0</v>
      </c>
      <c r="E68" s="124" cm="1">
        <f t="array" aca="1" ref="E68" ca="1">INDIRECT("R[40]C["&amp;$A$68&amp;"]",FALSE)</f>
        <v>0</v>
      </c>
      <c r="F68" s="124" cm="1">
        <f t="array" aca="1" ref="F68" ca="1">INDIRECT("R[40]C["&amp;$A$68&amp;"]",FALSE)</f>
        <v>0</v>
      </c>
      <c r="G68" s="124" cm="1">
        <f t="array" aca="1" ref="G68" ca="1">INDIRECT("R[40]C["&amp;$A$68&amp;"]",FALSE)</f>
        <v>0</v>
      </c>
      <c r="H68" s="124" cm="1">
        <f t="array" aca="1" ref="H68" ca="1">INDIRECT("R[40]C["&amp;$A$68&amp;"]",FALSE)</f>
        <v>0</v>
      </c>
      <c r="I68" s="124" cm="1">
        <f t="array" aca="1" ref="I68" ca="1">INDIRECT("R[40]C["&amp;$A$68&amp;"]",FALSE)</f>
        <v>0</v>
      </c>
      <c r="J68" s="124" cm="1">
        <f t="array" aca="1" ref="J68" ca="1">INDIRECT("R[40]C["&amp;$A$68&amp;"]",FALSE)</f>
        <v>0</v>
      </c>
      <c r="K68" s="124" cm="1">
        <f t="array" aca="1" ref="K68" ca="1">INDIRECT("R[40]C["&amp;$A$68&amp;"]",FALSE)</f>
        <v>0</v>
      </c>
      <c r="L68" s="124" cm="1">
        <f t="array" aca="1" ref="L68" ca="1">INDIRECT("R[40]C["&amp;$A$68&amp;"]",FALSE)</f>
        <v>3</v>
      </c>
      <c r="M68" s="124" cm="1">
        <f t="array" aca="1" ref="M68" ca="1">INDIRECT("R[40]C["&amp;$A$68&amp;"]",FALSE)</f>
        <v>1</v>
      </c>
      <c r="N68" s="124" cm="1">
        <f t="array" aca="1" ref="N68" ca="1">INDIRECT("R[40]C["&amp;$A$68&amp;"]",FALSE)</f>
        <v>6</v>
      </c>
      <c r="O68" s="124" cm="1">
        <f t="array" aca="1" ref="O68" ca="1">INDIRECT("R[40]C["&amp;$A$68&amp;"]",FALSE)</f>
        <v>4</v>
      </c>
      <c r="P68" s="124" cm="1">
        <f t="array" aca="1" ref="P68" ca="1">INDIRECT("R[40]C["&amp;$A$68&amp;"]",FALSE)</f>
        <v>8</v>
      </c>
      <c r="Q68" s="124"/>
      <c r="R68" s="128">
        <f t="shared" ref="R68" ca="1" si="9">SUM(D68:Q68)</f>
        <v>22</v>
      </c>
    </row>
    <row r="69" spans="1:18" ht="15.5" x14ac:dyDescent="0.35">
      <c r="A69" s="116"/>
      <c r="B69" s="129" t="s">
        <v>356</v>
      </c>
      <c r="C69" s="134"/>
      <c r="D69" s="131"/>
      <c r="E69" s="131"/>
      <c r="F69" s="131"/>
      <c r="G69" s="131"/>
      <c r="H69" s="131"/>
      <c r="I69" s="131"/>
      <c r="J69" s="131"/>
      <c r="K69" s="131"/>
      <c r="L69" s="131"/>
      <c r="M69" s="131"/>
      <c r="N69" s="131"/>
      <c r="O69" s="131"/>
      <c r="P69" s="131"/>
      <c r="Q69" s="131"/>
      <c r="R69" s="130"/>
    </row>
    <row r="70" spans="1:18" ht="15.5" x14ac:dyDescent="0.35">
      <c r="A70" s="121">
        <f>A59</f>
        <v>1</v>
      </c>
      <c r="B70" s="125" t="s">
        <v>357</v>
      </c>
      <c r="C70" s="127" cm="1">
        <f t="array" aca="1" ref="C70" ca="1">INDIRECT("R[40]C["&amp;$A$70&amp;"]",FALSE)</f>
        <v>0</v>
      </c>
      <c r="D70" s="124" cm="1">
        <f t="array" aca="1" ref="D70" ca="1">INDIRECT("R[40]C["&amp;$A$70&amp;"]",FALSE)</f>
        <v>0</v>
      </c>
      <c r="E70" s="124" cm="1">
        <f t="array" aca="1" ref="E70" ca="1">INDIRECT("R[40]C["&amp;$A$70&amp;"]",FALSE)</f>
        <v>0</v>
      </c>
      <c r="F70" s="124" cm="1">
        <f t="array" aca="1" ref="F70" ca="1">INDIRECT("R[40]C["&amp;$A$70&amp;"]",FALSE)</f>
        <v>0</v>
      </c>
      <c r="G70" s="124" cm="1">
        <f t="array" aca="1" ref="G70" ca="1">INDIRECT("R[40]C["&amp;$A$70&amp;"]",FALSE)</f>
        <v>0</v>
      </c>
      <c r="H70" s="124" cm="1">
        <f t="array" aca="1" ref="H70" ca="1">INDIRECT("R[40]C["&amp;$A$70&amp;"]",FALSE)</f>
        <v>0</v>
      </c>
      <c r="I70" s="124" cm="1">
        <f t="array" aca="1" ref="I70" ca="1">INDIRECT("R[40]C["&amp;$A$70&amp;"]",FALSE)</f>
        <v>0</v>
      </c>
      <c r="J70" s="124" cm="1">
        <f t="array" aca="1" ref="J70" ca="1">INDIRECT("R[40]C["&amp;$A$70&amp;"]",FALSE)</f>
        <v>0</v>
      </c>
      <c r="K70" s="124" cm="1">
        <f t="array" aca="1" ref="K70" ca="1">INDIRECT("R[40]C["&amp;$A$70&amp;"]",FALSE)</f>
        <v>0</v>
      </c>
      <c r="L70" s="124" cm="1">
        <f t="array" aca="1" ref="L70" ca="1">INDIRECT("R[40]C["&amp;$A$70&amp;"]",FALSE)</f>
        <v>334.28</v>
      </c>
      <c r="M70" s="124" cm="1">
        <f t="array" aca="1" ref="M70" ca="1">INDIRECT("R[40]C["&amp;$A$70&amp;"]",FALSE)</f>
        <v>101.66666666666667</v>
      </c>
      <c r="N70" s="124" cm="1">
        <f t="array" aca="1" ref="N70" ca="1">INDIRECT("R[40]C["&amp;$A$70&amp;"]",FALSE)</f>
        <v>650.66666666666674</v>
      </c>
      <c r="O70" s="124" cm="1">
        <f t="array" aca="1" ref="O70" ca="1">INDIRECT("R[40]C["&amp;$A$70&amp;"]",FALSE)</f>
        <v>508.33333333333337</v>
      </c>
      <c r="P70" s="124" cm="1">
        <f t="array" aca="1" ref="P70" ca="1">INDIRECT("R[40]C["&amp;$A$70&amp;"]",FALSE)</f>
        <v>915.00000000000011</v>
      </c>
      <c r="Q70" s="124"/>
      <c r="R70" s="128">
        <f t="shared" ref="R70:R71" ca="1" si="10">SUM(D70:Q70)</f>
        <v>2509.9466666666667</v>
      </c>
    </row>
    <row r="71" spans="1:18" ht="15.5" x14ac:dyDescent="0.35">
      <c r="A71" s="121">
        <f>A59</f>
        <v>1</v>
      </c>
      <c r="B71" s="125" t="s">
        <v>358</v>
      </c>
      <c r="C71" s="127" cm="1">
        <f t="array" aca="1" ref="C71" ca="1">INDIRECT("R[40]C["&amp;$A$70&amp;"]",FALSE)</f>
        <v>0</v>
      </c>
      <c r="D71" s="124" cm="1">
        <f t="array" aca="1" ref="D71" ca="1">INDIRECT("R[40]C["&amp;$A$70&amp;"]",FALSE)</f>
        <v>0</v>
      </c>
      <c r="E71" s="124" cm="1">
        <f t="array" aca="1" ref="E71" ca="1">INDIRECT("R[40]C["&amp;$A$70&amp;"]",FALSE)</f>
        <v>0</v>
      </c>
      <c r="F71" s="124" cm="1">
        <f t="array" aca="1" ref="F71" ca="1">INDIRECT("R[40]C["&amp;$A$70&amp;"]",FALSE)</f>
        <v>0</v>
      </c>
      <c r="G71" s="124" cm="1">
        <f t="array" aca="1" ref="G71" ca="1">INDIRECT("R[40]C["&amp;$A$70&amp;"]",FALSE)</f>
        <v>0</v>
      </c>
      <c r="H71" s="124" cm="1">
        <f t="array" aca="1" ref="H71" ca="1">INDIRECT("R[40]C["&amp;$A$70&amp;"]",FALSE)</f>
        <v>0</v>
      </c>
      <c r="I71" s="124" cm="1">
        <f t="array" aca="1" ref="I71" ca="1">INDIRECT("R[40]C["&amp;$A$70&amp;"]",FALSE)</f>
        <v>0</v>
      </c>
      <c r="J71" s="124" cm="1">
        <f t="array" aca="1" ref="J71" ca="1">INDIRECT("R[40]C["&amp;$A$70&amp;"]",FALSE)</f>
        <v>0</v>
      </c>
      <c r="K71" s="124" cm="1">
        <f t="array" aca="1" ref="K71" ca="1">INDIRECT("R[40]C["&amp;$A$70&amp;"]",FALSE)</f>
        <v>0</v>
      </c>
      <c r="L71" s="124" cm="1">
        <f t="array" aca="1" ref="L71" ca="1">INDIRECT("R[40]C["&amp;$A$70&amp;"]",FALSE)</f>
        <v>320</v>
      </c>
      <c r="M71" s="124" cm="1">
        <f t="array" aca="1" ref="M71" ca="1">INDIRECT("R[40]C["&amp;$A$70&amp;"]",FALSE)</f>
        <v>105</v>
      </c>
      <c r="N71" s="124" cm="1">
        <f t="array" aca="1" ref="N71" ca="1">INDIRECT("R[40]C["&amp;$A$70&amp;"]",FALSE)</f>
        <v>640</v>
      </c>
      <c r="O71" s="124" cm="1">
        <f t="array" aca="1" ref="O71" ca="1">INDIRECT("R[40]C["&amp;$A$70&amp;"]",FALSE)</f>
        <v>440</v>
      </c>
      <c r="P71" s="124" cm="1">
        <f t="array" aca="1" ref="P71" ca="1">INDIRECT("R[40]C["&amp;$A$70&amp;"]",FALSE)</f>
        <v>830</v>
      </c>
      <c r="Q71" s="124"/>
      <c r="R71" s="128">
        <f t="shared" ca="1" si="10"/>
        <v>2335</v>
      </c>
    </row>
    <row r="72" spans="1:18" ht="15.5" x14ac:dyDescent="0.35">
      <c r="A72" s="116"/>
      <c r="B72" s="129"/>
      <c r="C72" s="133"/>
      <c r="D72" s="129"/>
      <c r="E72" s="129"/>
      <c r="F72" s="129"/>
      <c r="G72" s="129"/>
      <c r="H72" s="129"/>
      <c r="I72" s="129"/>
      <c r="J72" s="129"/>
      <c r="K72" s="129"/>
      <c r="L72" s="129"/>
      <c r="M72" s="129"/>
      <c r="N72" s="129"/>
      <c r="O72" s="129"/>
      <c r="P72" s="129"/>
      <c r="Q72" s="129"/>
      <c r="R72" s="130"/>
    </row>
    <row r="73" spans="1:18" ht="15.5" x14ac:dyDescent="0.35">
      <c r="A73" s="116"/>
      <c r="B73" s="116"/>
      <c r="C73" s="116"/>
      <c r="D73" s="116"/>
      <c r="E73" s="116"/>
      <c r="F73" s="116"/>
      <c r="G73" s="116"/>
      <c r="H73" s="116"/>
      <c r="I73" s="116"/>
      <c r="J73" s="116"/>
      <c r="K73" s="116"/>
      <c r="L73" s="116"/>
      <c r="M73" s="116"/>
      <c r="N73" s="116"/>
      <c r="O73" s="116"/>
      <c r="P73" s="116"/>
      <c r="Q73" s="116"/>
      <c r="R73" s="115"/>
    </row>
    <row r="74" spans="1:18" ht="15.5" x14ac:dyDescent="0.35">
      <c r="A74" s="116"/>
      <c r="B74" s="116"/>
      <c r="C74" s="116"/>
      <c r="D74" s="116"/>
      <c r="E74" s="116"/>
      <c r="F74" s="116"/>
      <c r="G74" s="116"/>
      <c r="H74" s="116"/>
      <c r="I74" s="116"/>
      <c r="J74" s="116"/>
      <c r="K74" s="116"/>
      <c r="L74" s="116"/>
      <c r="M74" s="116"/>
      <c r="N74" s="116"/>
      <c r="O74" s="116"/>
      <c r="P74" s="116"/>
      <c r="Q74" s="116"/>
      <c r="R74" s="115"/>
    </row>
    <row r="75" spans="1:18" ht="15.5" x14ac:dyDescent="0.35">
      <c r="A75" s="116"/>
      <c r="B75" s="116" t="s">
        <v>235</v>
      </c>
      <c r="C75" s="115">
        <f ca="1">SUM(C46:C48)</f>
        <v>0</v>
      </c>
      <c r="D75" s="115">
        <f ca="1">SUM(D46:D48)</f>
        <v>0</v>
      </c>
      <c r="E75" s="115">
        <f t="shared" ref="E75:Q75" ca="1" si="11">SUM(E46:E48)</f>
        <v>0</v>
      </c>
      <c r="F75" s="115">
        <f t="shared" ca="1" si="11"/>
        <v>0</v>
      </c>
      <c r="G75" s="115">
        <f t="shared" ca="1" si="11"/>
        <v>0</v>
      </c>
      <c r="H75" s="115">
        <f t="shared" ca="1" si="11"/>
        <v>0</v>
      </c>
      <c r="I75" s="115">
        <f t="shared" ca="1" si="11"/>
        <v>0</v>
      </c>
      <c r="J75" s="115">
        <f t="shared" ca="1" si="11"/>
        <v>0</v>
      </c>
      <c r="K75" s="115">
        <f t="shared" ca="1" si="11"/>
        <v>0</v>
      </c>
      <c r="L75" s="115">
        <f t="shared" ca="1" si="11"/>
        <v>91.333333333333329</v>
      </c>
      <c r="M75" s="115">
        <f t="shared" ca="1" si="11"/>
        <v>27.777777777777779</v>
      </c>
      <c r="N75" s="115">
        <f t="shared" ca="1" si="11"/>
        <v>177.77777777777777</v>
      </c>
      <c r="O75" s="115">
        <f t="shared" ca="1" si="11"/>
        <v>138.88888888888889</v>
      </c>
      <c r="P75" s="115">
        <f t="shared" ca="1" si="11"/>
        <v>250</v>
      </c>
      <c r="Q75" s="115">
        <f t="shared" si="11"/>
        <v>0</v>
      </c>
      <c r="R75" s="115">
        <f ca="1">SUM(R46:R48)</f>
        <v>685.77777777777783</v>
      </c>
    </row>
    <row r="77" spans="1:18" x14ac:dyDescent="0.35">
      <c r="R77" s="22"/>
    </row>
    <row r="78" spans="1:18" x14ac:dyDescent="0.35">
      <c r="R78" s="22"/>
    </row>
    <row r="79" spans="1:18" x14ac:dyDescent="0.35">
      <c r="R79" s="22"/>
    </row>
    <row r="80" spans="1:18" x14ac:dyDescent="0.35">
      <c r="B80" s="28" t="s">
        <v>276</v>
      </c>
      <c r="C80" s="28"/>
      <c r="D80" s="28"/>
      <c r="E80" s="28"/>
      <c r="F80" s="28"/>
      <c r="G80" s="28"/>
      <c r="H80" s="28"/>
      <c r="I80" s="28"/>
      <c r="J80" s="28"/>
      <c r="R80" s="22"/>
    </row>
    <row r="81" spans="1:26" x14ac:dyDescent="0.35">
      <c r="B81" s="7" t="s">
        <v>170</v>
      </c>
      <c r="C81" s="7"/>
      <c r="R81" s="22"/>
    </row>
    <row r="82" spans="1:26" ht="15.5" x14ac:dyDescent="0.35">
      <c r="B82" s="105" t="s">
        <v>110</v>
      </c>
      <c r="C82" s="105"/>
      <c r="D82" s="108">
        <f>D83</f>
        <v>0</v>
      </c>
      <c r="E82" s="108">
        <f>SUM($E83:E83)</f>
        <v>0</v>
      </c>
      <c r="F82" s="108">
        <f>SUM($E83:F83)</f>
        <v>0</v>
      </c>
      <c r="G82" s="108">
        <f>SUM($E83:G83)</f>
        <v>0</v>
      </c>
      <c r="H82" s="108">
        <f>SUM($E83:H83)</f>
        <v>0</v>
      </c>
      <c r="I82" s="108">
        <f>SUM($E83:I83)</f>
        <v>0</v>
      </c>
      <c r="J82" s="108">
        <f>SUM($E83:J83)</f>
        <v>0</v>
      </c>
      <c r="K82" s="108">
        <f>SUM($E83:K83)</f>
        <v>0</v>
      </c>
      <c r="L82" s="109">
        <f>SUM($E83:L83)</f>
        <v>0</v>
      </c>
      <c r="M82" s="108">
        <f>SUM($E83:M83)</f>
        <v>1644</v>
      </c>
      <c r="N82" s="108">
        <f>SUM($E83:N83)</f>
        <v>2144</v>
      </c>
      <c r="O82" s="108">
        <f>SUM($E83:O83)</f>
        <v>5344</v>
      </c>
      <c r="P82" s="108">
        <f>SUM($E83:P83)</f>
        <v>7844</v>
      </c>
      <c r="Q82" s="108">
        <f>SUM($E83:Q83)</f>
        <v>12344</v>
      </c>
      <c r="R82" s="113">
        <f>Q82</f>
        <v>12344</v>
      </c>
    </row>
    <row r="83" spans="1:26" ht="15.5" x14ac:dyDescent="0.35">
      <c r="B83" s="105" t="s">
        <v>363</v>
      </c>
      <c r="C83" s="105"/>
      <c r="D83" s="108">
        <f>SUMPRODUCT(D86:D88,$B$86:$B$88)</f>
        <v>0</v>
      </c>
      <c r="E83" s="108">
        <f>SUMPRODUCT(E86:E88,$B$86:$B$88)</f>
        <v>0</v>
      </c>
      <c r="F83" s="108">
        <f t="shared" ref="F83:Q83" si="12">SUMPRODUCT(F86:F88,$B$86:$B$88)</f>
        <v>0</v>
      </c>
      <c r="G83" s="108">
        <f t="shared" si="12"/>
        <v>0</v>
      </c>
      <c r="H83" s="108">
        <f t="shared" si="12"/>
        <v>0</v>
      </c>
      <c r="I83" s="108">
        <f>SUMPRODUCT(I86:I88,$B$86:$B$88)</f>
        <v>0</v>
      </c>
      <c r="J83" s="108">
        <f>SUMPRODUCT(J86:J88,$B$86:$B$88)</f>
        <v>0</v>
      </c>
      <c r="K83" s="108">
        <f t="shared" si="12"/>
        <v>0</v>
      </c>
      <c r="L83" s="109">
        <f t="shared" si="12"/>
        <v>0</v>
      </c>
      <c r="M83" s="108">
        <f t="shared" si="12"/>
        <v>1644</v>
      </c>
      <c r="N83" s="108">
        <f t="shared" si="12"/>
        <v>500</v>
      </c>
      <c r="O83" s="108">
        <f>SUMPRODUCT(O86:O88,$B$86:$B$88)</f>
        <v>3200</v>
      </c>
      <c r="P83" s="108">
        <f t="shared" si="12"/>
        <v>2500</v>
      </c>
      <c r="Q83" s="108">
        <f t="shared" si="12"/>
        <v>4500</v>
      </c>
      <c r="R83" s="113">
        <f>SUM(D83:Q83)</f>
        <v>12344</v>
      </c>
    </row>
    <row r="84" spans="1:26" ht="15.5" x14ac:dyDescent="0.35">
      <c r="B84" s="105" t="s">
        <v>236</v>
      </c>
      <c r="C84" s="105"/>
      <c r="D84" s="108"/>
      <c r="E84" s="108">
        <f>Aggregated!CJ7*$R$4</f>
        <v>0</v>
      </c>
      <c r="F84" s="108">
        <f>Aggregated!CK7*$R$4</f>
        <v>0</v>
      </c>
      <c r="G84" s="108">
        <f>Aggregated!CL7*$R$4</f>
        <v>0</v>
      </c>
      <c r="H84" s="108">
        <f>Aggregated!CM7*$R$4</f>
        <v>0</v>
      </c>
      <c r="I84" s="108">
        <f>Aggregated!CN7*$R$4</f>
        <v>0</v>
      </c>
      <c r="J84" s="108">
        <f>Aggregated!CO7*$R$4</f>
        <v>0</v>
      </c>
      <c r="K84" s="108">
        <f>Aggregated!CP7*$R$4</f>
        <v>0</v>
      </c>
      <c r="L84" s="108">
        <f>Aggregated!CQ7*$R$4</f>
        <v>0</v>
      </c>
      <c r="M84" s="108">
        <f>Aggregated!CR7*$R$4</f>
        <v>2</v>
      </c>
      <c r="N84" s="108">
        <f>Aggregated!CS7*$R$4</f>
        <v>1</v>
      </c>
      <c r="O84" s="108">
        <f>Aggregated!CT7*$R$4</f>
        <v>3</v>
      </c>
      <c r="P84" s="108">
        <f>Aggregated!CU7*$R$4</f>
        <v>2</v>
      </c>
      <c r="Q84" s="108">
        <f>Aggregated!CV7*$R$4</f>
        <v>4</v>
      </c>
      <c r="R84" s="113">
        <f>SUM(D84:Q84)</f>
        <v>12</v>
      </c>
    </row>
    <row r="85" spans="1:26" ht="15.5" x14ac:dyDescent="0.35">
      <c r="B85" s="135" t="s">
        <v>275</v>
      </c>
      <c r="C85" s="152">
        <v>0</v>
      </c>
      <c r="D85" s="131">
        <v>0</v>
      </c>
      <c r="E85" s="154">
        <f>SUM(E86:E88)</f>
        <v>0</v>
      </c>
      <c r="F85" s="154">
        <f t="shared" ref="F85:Q85" si="13">SUM(F86:F88)</f>
        <v>0</v>
      </c>
      <c r="G85" s="154">
        <f t="shared" si="13"/>
        <v>0</v>
      </c>
      <c r="H85" s="154">
        <f t="shared" si="13"/>
        <v>0</v>
      </c>
      <c r="I85" s="154">
        <f t="shared" si="13"/>
        <v>0</v>
      </c>
      <c r="J85" s="154">
        <f t="shared" si="13"/>
        <v>0</v>
      </c>
      <c r="K85" s="154">
        <f t="shared" si="13"/>
        <v>0</v>
      </c>
      <c r="L85" s="154">
        <f t="shared" si="13"/>
        <v>0</v>
      </c>
      <c r="M85" s="154">
        <f t="shared" si="13"/>
        <v>91.333333333333329</v>
      </c>
      <c r="N85" s="154">
        <f t="shared" si="13"/>
        <v>27.777777777777779</v>
      </c>
      <c r="O85" s="154">
        <f t="shared" si="13"/>
        <v>177.77777777777777</v>
      </c>
      <c r="P85" s="154">
        <f t="shared" si="13"/>
        <v>138.88888888888889</v>
      </c>
      <c r="Q85" s="154">
        <f t="shared" si="13"/>
        <v>250</v>
      </c>
      <c r="R85" s="130">
        <f>SUM(E85:Q85)</f>
        <v>685.77777777777783</v>
      </c>
    </row>
    <row r="86" spans="1:26" ht="15.5" x14ac:dyDescent="0.35">
      <c r="A86" s="29"/>
      <c r="B86" s="111">
        <f>Assumptions!F16</f>
        <v>12</v>
      </c>
      <c r="C86" s="111"/>
      <c r="D86" s="108">
        <f>Aggregated!CI9*$R$4</f>
        <v>0</v>
      </c>
      <c r="E86" s="108">
        <f>Aggregated!CJ9*$R$4</f>
        <v>0</v>
      </c>
      <c r="F86" s="108">
        <f>Aggregated!CK9*$R$4</f>
        <v>0</v>
      </c>
      <c r="G86" s="108">
        <f>Aggregated!CL9*$R$4</f>
        <v>0</v>
      </c>
      <c r="H86" s="108">
        <f>Aggregated!CM9*$R$4</f>
        <v>0</v>
      </c>
      <c r="I86" s="108">
        <f>Aggregated!CN9*$R$4</f>
        <v>0</v>
      </c>
      <c r="J86" s="108">
        <f>Aggregated!CO9*$R$4</f>
        <v>0</v>
      </c>
      <c r="K86" s="108">
        <f>Aggregated!CP9*$R$4</f>
        <v>0</v>
      </c>
      <c r="L86" s="108">
        <f>Aggregated!CQ9*$R$4</f>
        <v>0</v>
      </c>
      <c r="M86" s="108">
        <f>Aggregated!CR9*$R$4</f>
        <v>0</v>
      </c>
      <c r="N86" s="108">
        <f>Aggregated!CS9*$R$4</f>
        <v>0</v>
      </c>
      <c r="O86" s="108">
        <f>Aggregated!CT9*$R$4</f>
        <v>0</v>
      </c>
      <c r="P86" s="108">
        <f>Aggregated!CU9*$R$4</f>
        <v>0</v>
      </c>
      <c r="Q86" s="108">
        <f>Aggregated!CV9*$R$4</f>
        <v>0</v>
      </c>
      <c r="R86" s="113">
        <f>SUM(D86:Q86)</f>
        <v>0</v>
      </c>
      <c r="S86" s="44"/>
      <c r="T86" s="30"/>
      <c r="U86" s="30"/>
      <c r="V86" s="30"/>
      <c r="W86" s="30"/>
      <c r="X86" s="30"/>
      <c r="Y86" s="30"/>
      <c r="Z86" s="30"/>
    </row>
    <row r="87" spans="1:26" ht="15.5" x14ac:dyDescent="0.35">
      <c r="B87" s="111">
        <f>Assumptions!F17</f>
        <v>15</v>
      </c>
      <c r="C87" s="111"/>
      <c r="D87" s="108">
        <f>Aggregated!CI10*$R$4</f>
        <v>0</v>
      </c>
      <c r="E87" s="108">
        <f>Aggregated!CJ10*$R$4</f>
        <v>0</v>
      </c>
      <c r="F87" s="108">
        <f>Aggregated!CK10*$R$4</f>
        <v>0</v>
      </c>
      <c r="G87" s="108">
        <f>Aggregated!CL10*$R$4</f>
        <v>0</v>
      </c>
      <c r="H87" s="108">
        <f>Aggregated!CM10*$R$4</f>
        <v>0</v>
      </c>
      <c r="I87" s="108">
        <f>Aggregated!CN10*$R$4</f>
        <v>0</v>
      </c>
      <c r="J87" s="108">
        <f>Aggregated!CO10*$R$4</f>
        <v>0</v>
      </c>
      <c r="K87" s="108">
        <f>Aggregated!CP10*$R$4</f>
        <v>0</v>
      </c>
      <c r="L87" s="108">
        <f>Aggregated!CQ10*$R$4</f>
        <v>0</v>
      </c>
      <c r="M87" s="108">
        <f>Aggregated!CR10*$R$4</f>
        <v>0</v>
      </c>
      <c r="N87" s="108">
        <f>Aggregated!CS10*$R$4</f>
        <v>0</v>
      </c>
      <c r="O87" s="108">
        <f>Aggregated!CT10*$R$4</f>
        <v>0</v>
      </c>
      <c r="P87" s="108">
        <f>Aggregated!CU10*$R$4</f>
        <v>0</v>
      </c>
      <c r="Q87" s="108">
        <f>Aggregated!CV10*$R$4</f>
        <v>0</v>
      </c>
      <c r="R87" s="113">
        <f t="shared" ref="R87:R88" si="14">SUM(D87:Q87)</f>
        <v>0</v>
      </c>
      <c r="S87" s="22"/>
    </row>
    <row r="88" spans="1:26" ht="15.5" x14ac:dyDescent="0.35">
      <c r="B88" s="111">
        <f>Assumptions!F18</f>
        <v>18</v>
      </c>
      <c r="C88" s="111"/>
      <c r="D88" s="108">
        <f>Aggregated!CI11*$R$4</f>
        <v>0</v>
      </c>
      <c r="E88" s="108">
        <f>Aggregated!CJ11*$R$4</f>
        <v>0</v>
      </c>
      <c r="F88" s="108">
        <f>Aggregated!CK11*$R$4</f>
        <v>0</v>
      </c>
      <c r="G88" s="108">
        <f>Aggregated!CL11*$R$4</f>
        <v>0</v>
      </c>
      <c r="H88" s="108">
        <f>Aggregated!CM11*$R$4</f>
        <v>0</v>
      </c>
      <c r="I88" s="108">
        <f>Aggregated!CN11*$R$4</f>
        <v>0</v>
      </c>
      <c r="J88" s="108">
        <f>Aggregated!CO11*$R$4</f>
        <v>0</v>
      </c>
      <c r="K88" s="108">
        <f>Aggregated!CP11*$R$4</f>
        <v>0</v>
      </c>
      <c r="L88" s="108">
        <f>Aggregated!CQ11*$R$4</f>
        <v>0</v>
      </c>
      <c r="M88" s="108">
        <f>Aggregated!CR11*$R$4</f>
        <v>91.333333333333329</v>
      </c>
      <c r="N88" s="108">
        <f>Aggregated!CS11*$R$4</f>
        <v>27.777777777777779</v>
      </c>
      <c r="O88" s="108">
        <f>Aggregated!CT11*$R$4</f>
        <v>177.77777777777777</v>
      </c>
      <c r="P88" s="108">
        <f>Aggregated!CU11*$R$4</f>
        <v>138.88888888888889</v>
      </c>
      <c r="Q88" s="108">
        <f>Aggregated!CV11*$R$4</f>
        <v>250</v>
      </c>
      <c r="R88" s="113">
        <f t="shared" si="14"/>
        <v>685.77777777777783</v>
      </c>
      <c r="S88" s="22"/>
    </row>
    <row r="89" spans="1:26" ht="15.5" x14ac:dyDescent="0.35">
      <c r="B89" s="135" t="s">
        <v>239</v>
      </c>
      <c r="C89" s="129"/>
      <c r="D89" s="132"/>
      <c r="E89" s="132"/>
      <c r="F89" s="132"/>
      <c r="G89" s="132"/>
      <c r="H89" s="132"/>
      <c r="I89" s="132"/>
      <c r="J89" s="132"/>
      <c r="K89" s="132"/>
      <c r="L89" s="137"/>
      <c r="M89" s="132"/>
      <c r="N89" s="132"/>
      <c r="O89" s="132"/>
      <c r="P89" s="132"/>
      <c r="Q89" s="132"/>
      <c r="R89" s="130"/>
      <c r="S89" s="22"/>
    </row>
    <row r="90" spans="1:26" ht="15.5" x14ac:dyDescent="0.35">
      <c r="B90" s="111">
        <f>B86</f>
        <v>12</v>
      </c>
      <c r="C90" s="111"/>
      <c r="D90" s="108">
        <f>3*D86</f>
        <v>0</v>
      </c>
      <c r="E90" s="108">
        <f t="shared" ref="E90:Q90" si="15">3*E86</f>
        <v>0</v>
      </c>
      <c r="F90" s="108">
        <f t="shared" si="15"/>
        <v>0</v>
      </c>
      <c r="G90" s="108">
        <f t="shared" si="15"/>
        <v>0</v>
      </c>
      <c r="H90" s="108">
        <f t="shared" si="15"/>
        <v>0</v>
      </c>
      <c r="I90" s="108">
        <f t="shared" si="15"/>
        <v>0</v>
      </c>
      <c r="J90" s="108">
        <f t="shared" si="15"/>
        <v>0</v>
      </c>
      <c r="K90" s="108">
        <f t="shared" si="15"/>
        <v>0</v>
      </c>
      <c r="L90" s="109">
        <f t="shared" si="15"/>
        <v>0</v>
      </c>
      <c r="M90" s="108">
        <f t="shared" si="15"/>
        <v>0</v>
      </c>
      <c r="N90" s="108">
        <f t="shared" si="15"/>
        <v>0</v>
      </c>
      <c r="O90" s="108">
        <f t="shared" si="15"/>
        <v>0</v>
      </c>
      <c r="P90" s="108">
        <f t="shared" si="15"/>
        <v>0</v>
      </c>
      <c r="Q90" s="108">
        <f t="shared" si="15"/>
        <v>0</v>
      </c>
      <c r="R90" s="113">
        <f>SUM(D90:Q90)</f>
        <v>0</v>
      </c>
    </row>
    <row r="91" spans="1:26" ht="15.5" x14ac:dyDescent="0.35">
      <c r="B91" s="111">
        <f t="shared" ref="B91:B92" si="16">B87</f>
        <v>15</v>
      </c>
      <c r="C91" s="111"/>
      <c r="D91" s="108">
        <f t="shared" ref="D91:Q92" si="17">3*D87</f>
        <v>0</v>
      </c>
      <c r="E91" s="108">
        <f t="shared" si="17"/>
        <v>0</v>
      </c>
      <c r="F91" s="108">
        <f t="shared" si="17"/>
        <v>0</v>
      </c>
      <c r="G91" s="108">
        <f t="shared" si="17"/>
        <v>0</v>
      </c>
      <c r="H91" s="108">
        <f t="shared" si="17"/>
        <v>0</v>
      </c>
      <c r="I91" s="108">
        <f t="shared" si="17"/>
        <v>0</v>
      </c>
      <c r="J91" s="108">
        <f t="shared" si="17"/>
        <v>0</v>
      </c>
      <c r="K91" s="108">
        <f t="shared" si="17"/>
        <v>0</v>
      </c>
      <c r="L91" s="109">
        <f t="shared" si="17"/>
        <v>0</v>
      </c>
      <c r="M91" s="108">
        <f t="shared" si="17"/>
        <v>0</v>
      </c>
      <c r="N91" s="108">
        <f t="shared" si="17"/>
        <v>0</v>
      </c>
      <c r="O91" s="108">
        <f t="shared" si="17"/>
        <v>0</v>
      </c>
      <c r="P91" s="108">
        <f t="shared" si="17"/>
        <v>0</v>
      </c>
      <c r="Q91" s="108">
        <f t="shared" si="17"/>
        <v>0</v>
      </c>
      <c r="R91" s="113">
        <f t="shared" ref="R91:R92" si="18">SUM(D91:Q91)</f>
        <v>0</v>
      </c>
    </row>
    <row r="92" spans="1:26" ht="15.5" x14ac:dyDescent="0.35">
      <c r="B92" s="111">
        <f t="shared" si="16"/>
        <v>18</v>
      </c>
      <c r="C92" s="111"/>
      <c r="D92" s="108">
        <f t="shared" si="17"/>
        <v>0</v>
      </c>
      <c r="E92" s="108">
        <f t="shared" si="17"/>
        <v>0</v>
      </c>
      <c r="F92" s="108">
        <f t="shared" si="17"/>
        <v>0</v>
      </c>
      <c r="G92" s="108">
        <f t="shared" si="17"/>
        <v>0</v>
      </c>
      <c r="H92" s="108">
        <f t="shared" si="17"/>
        <v>0</v>
      </c>
      <c r="I92" s="108">
        <f t="shared" si="17"/>
        <v>0</v>
      </c>
      <c r="J92" s="108">
        <f t="shared" si="17"/>
        <v>0</v>
      </c>
      <c r="K92" s="108">
        <f t="shared" si="17"/>
        <v>0</v>
      </c>
      <c r="L92" s="109">
        <f t="shared" si="17"/>
        <v>0</v>
      </c>
      <c r="M92" s="108">
        <f t="shared" si="17"/>
        <v>274</v>
      </c>
      <c r="N92" s="108">
        <f t="shared" si="17"/>
        <v>83.333333333333343</v>
      </c>
      <c r="O92" s="108">
        <f t="shared" si="17"/>
        <v>533.33333333333326</v>
      </c>
      <c r="P92" s="108">
        <f t="shared" si="17"/>
        <v>416.66666666666663</v>
      </c>
      <c r="Q92" s="108">
        <f t="shared" si="17"/>
        <v>750</v>
      </c>
      <c r="R92" s="113">
        <f t="shared" si="18"/>
        <v>2057.333333333333</v>
      </c>
    </row>
    <row r="93" spans="1:26" ht="15.5" x14ac:dyDescent="0.35">
      <c r="B93" s="135" t="s">
        <v>240</v>
      </c>
      <c r="C93" s="129"/>
      <c r="D93" s="132"/>
      <c r="E93" s="132"/>
      <c r="F93" s="132"/>
      <c r="G93" s="132"/>
      <c r="H93" s="132"/>
      <c r="I93" s="132"/>
      <c r="J93" s="132"/>
      <c r="K93" s="132"/>
      <c r="L93" s="137"/>
      <c r="M93" s="132"/>
      <c r="N93" s="132"/>
      <c r="O93" s="132"/>
      <c r="P93" s="132"/>
      <c r="Q93" s="132"/>
      <c r="R93" s="130"/>
    </row>
    <row r="94" spans="1:26" ht="15.5" x14ac:dyDescent="0.35">
      <c r="B94" s="111">
        <f>B86</f>
        <v>12</v>
      </c>
      <c r="C94" s="111"/>
      <c r="D94" s="108">
        <f>D86</f>
        <v>0</v>
      </c>
      <c r="E94" s="108">
        <f t="shared" ref="E94:Q94" si="19">E86</f>
        <v>0</v>
      </c>
      <c r="F94" s="108">
        <f t="shared" si="19"/>
        <v>0</v>
      </c>
      <c r="G94" s="108">
        <f t="shared" si="19"/>
        <v>0</v>
      </c>
      <c r="H94" s="108">
        <f t="shared" si="19"/>
        <v>0</v>
      </c>
      <c r="I94" s="108">
        <f t="shared" si="19"/>
        <v>0</v>
      </c>
      <c r="J94" s="108">
        <f t="shared" si="19"/>
        <v>0</v>
      </c>
      <c r="K94" s="108">
        <f t="shared" si="19"/>
        <v>0</v>
      </c>
      <c r="L94" s="109">
        <f t="shared" si="19"/>
        <v>0</v>
      </c>
      <c r="M94" s="108">
        <f t="shared" si="19"/>
        <v>0</v>
      </c>
      <c r="N94" s="108">
        <f t="shared" si="19"/>
        <v>0</v>
      </c>
      <c r="O94" s="108">
        <f t="shared" si="19"/>
        <v>0</v>
      </c>
      <c r="P94" s="108">
        <f t="shared" si="19"/>
        <v>0</v>
      </c>
      <c r="Q94" s="108">
        <f t="shared" si="19"/>
        <v>0</v>
      </c>
      <c r="R94" s="113">
        <f>SUM(D94:Q94)</f>
        <v>0</v>
      </c>
    </row>
    <row r="95" spans="1:26" ht="15.5" x14ac:dyDescent="0.35">
      <c r="B95" s="111">
        <f t="shared" ref="B95:B96" si="20">B87</f>
        <v>15</v>
      </c>
      <c r="C95" s="111"/>
      <c r="D95" s="108">
        <f t="shared" ref="D95:Q96" si="21">D87</f>
        <v>0</v>
      </c>
      <c r="E95" s="108">
        <f t="shared" si="21"/>
        <v>0</v>
      </c>
      <c r="F95" s="108">
        <f t="shared" si="21"/>
        <v>0</v>
      </c>
      <c r="G95" s="108">
        <f t="shared" si="21"/>
        <v>0</v>
      </c>
      <c r="H95" s="108">
        <f t="shared" si="21"/>
        <v>0</v>
      </c>
      <c r="I95" s="108">
        <f t="shared" si="21"/>
        <v>0</v>
      </c>
      <c r="J95" s="108">
        <f t="shared" si="21"/>
        <v>0</v>
      </c>
      <c r="K95" s="108">
        <f t="shared" si="21"/>
        <v>0</v>
      </c>
      <c r="L95" s="109">
        <f t="shared" si="21"/>
        <v>0</v>
      </c>
      <c r="M95" s="108">
        <f t="shared" si="21"/>
        <v>0</v>
      </c>
      <c r="N95" s="108">
        <f t="shared" si="21"/>
        <v>0</v>
      </c>
      <c r="O95" s="108">
        <f t="shared" si="21"/>
        <v>0</v>
      </c>
      <c r="P95" s="108">
        <f t="shared" si="21"/>
        <v>0</v>
      </c>
      <c r="Q95" s="108">
        <f t="shared" si="21"/>
        <v>0</v>
      </c>
      <c r="R95" s="113">
        <f t="shared" ref="R95:R96" si="22">SUM(D95:Q95)</f>
        <v>0</v>
      </c>
    </row>
    <row r="96" spans="1:26" ht="15.5" x14ac:dyDescent="0.35">
      <c r="B96" s="111">
        <f t="shared" si="20"/>
        <v>18</v>
      </c>
      <c r="C96" s="111"/>
      <c r="D96" s="108">
        <f t="shared" si="21"/>
        <v>0</v>
      </c>
      <c r="E96" s="108">
        <f t="shared" si="21"/>
        <v>0</v>
      </c>
      <c r="F96" s="108">
        <f t="shared" si="21"/>
        <v>0</v>
      </c>
      <c r="G96" s="108">
        <f t="shared" si="21"/>
        <v>0</v>
      </c>
      <c r="H96" s="108">
        <f t="shared" si="21"/>
        <v>0</v>
      </c>
      <c r="I96" s="108">
        <f t="shared" si="21"/>
        <v>0</v>
      </c>
      <c r="J96" s="108">
        <f t="shared" si="21"/>
        <v>0</v>
      </c>
      <c r="K96" s="108">
        <f t="shared" si="21"/>
        <v>0</v>
      </c>
      <c r="L96" s="109">
        <f t="shared" si="21"/>
        <v>0</v>
      </c>
      <c r="M96" s="108">
        <f t="shared" si="21"/>
        <v>91.333333333333329</v>
      </c>
      <c r="N96" s="108">
        <f t="shared" si="21"/>
        <v>27.777777777777779</v>
      </c>
      <c r="O96" s="108">
        <f t="shared" si="21"/>
        <v>177.77777777777777</v>
      </c>
      <c r="P96" s="108">
        <f t="shared" si="21"/>
        <v>138.88888888888889</v>
      </c>
      <c r="Q96" s="108">
        <f t="shared" si="21"/>
        <v>250</v>
      </c>
      <c r="R96" s="113">
        <f t="shared" si="22"/>
        <v>685.77777777777783</v>
      </c>
    </row>
    <row r="97" spans="2:19" ht="15.5" x14ac:dyDescent="0.35">
      <c r="B97" s="135" t="s">
        <v>241</v>
      </c>
      <c r="C97" s="129"/>
      <c r="D97" s="132"/>
      <c r="E97" s="132"/>
      <c r="F97" s="132"/>
      <c r="G97" s="132"/>
      <c r="H97" s="132"/>
      <c r="I97" s="132"/>
      <c r="J97" s="132"/>
      <c r="K97" s="132"/>
      <c r="L97" s="137"/>
      <c r="M97" s="132"/>
      <c r="N97" s="132"/>
      <c r="O97" s="132"/>
      <c r="P97" s="132"/>
      <c r="Q97" s="132"/>
      <c r="R97" s="130"/>
    </row>
    <row r="98" spans="2:19" ht="15.5" x14ac:dyDescent="0.35">
      <c r="B98" s="111">
        <f>B86</f>
        <v>12</v>
      </c>
      <c r="C98" s="111"/>
      <c r="D98" s="108">
        <f>D86</f>
        <v>0</v>
      </c>
      <c r="E98" s="108">
        <f t="shared" ref="E98:Q98" si="23">E86</f>
        <v>0</v>
      </c>
      <c r="F98" s="108">
        <f t="shared" si="23"/>
        <v>0</v>
      </c>
      <c r="G98" s="108">
        <f t="shared" si="23"/>
        <v>0</v>
      </c>
      <c r="H98" s="108">
        <f t="shared" si="23"/>
        <v>0</v>
      </c>
      <c r="I98" s="108">
        <f t="shared" si="23"/>
        <v>0</v>
      </c>
      <c r="J98" s="108">
        <f t="shared" si="23"/>
        <v>0</v>
      </c>
      <c r="K98" s="108">
        <f t="shared" si="23"/>
        <v>0</v>
      </c>
      <c r="L98" s="109">
        <f t="shared" si="23"/>
        <v>0</v>
      </c>
      <c r="M98" s="108">
        <f t="shared" si="23"/>
        <v>0</v>
      </c>
      <c r="N98" s="108">
        <f t="shared" si="23"/>
        <v>0</v>
      </c>
      <c r="O98" s="108">
        <f t="shared" si="23"/>
        <v>0</v>
      </c>
      <c r="P98" s="108">
        <f t="shared" si="23"/>
        <v>0</v>
      </c>
      <c r="Q98" s="108">
        <f t="shared" si="23"/>
        <v>0</v>
      </c>
      <c r="R98" s="113">
        <f t="shared" ref="R98:R100" si="24">SUM(D98:Q98)</f>
        <v>0</v>
      </c>
    </row>
    <row r="99" spans="2:19" ht="15.5" x14ac:dyDescent="0.35">
      <c r="B99" s="111">
        <f t="shared" ref="B99:B100" si="25">B87</f>
        <v>15</v>
      </c>
      <c r="C99" s="111"/>
      <c r="D99" s="108">
        <f t="shared" ref="D99:Q100" si="26">D87</f>
        <v>0</v>
      </c>
      <c r="E99" s="108">
        <f t="shared" si="26"/>
        <v>0</v>
      </c>
      <c r="F99" s="108">
        <f t="shared" si="26"/>
        <v>0</v>
      </c>
      <c r="G99" s="108">
        <f t="shared" si="26"/>
        <v>0</v>
      </c>
      <c r="H99" s="108">
        <f t="shared" si="26"/>
        <v>0</v>
      </c>
      <c r="I99" s="108">
        <f t="shared" si="26"/>
        <v>0</v>
      </c>
      <c r="J99" s="108">
        <f t="shared" si="26"/>
        <v>0</v>
      </c>
      <c r="K99" s="108">
        <f t="shared" si="26"/>
        <v>0</v>
      </c>
      <c r="L99" s="109">
        <f t="shared" si="26"/>
        <v>0</v>
      </c>
      <c r="M99" s="108">
        <f t="shared" si="26"/>
        <v>0</v>
      </c>
      <c r="N99" s="108">
        <f t="shared" si="26"/>
        <v>0</v>
      </c>
      <c r="O99" s="108">
        <f t="shared" si="26"/>
        <v>0</v>
      </c>
      <c r="P99" s="108">
        <f t="shared" si="26"/>
        <v>0</v>
      </c>
      <c r="Q99" s="108">
        <f t="shared" si="26"/>
        <v>0</v>
      </c>
      <c r="R99" s="113">
        <f t="shared" si="24"/>
        <v>0</v>
      </c>
    </row>
    <row r="100" spans="2:19" ht="15.5" x14ac:dyDescent="0.35">
      <c r="B100" s="111">
        <f t="shared" si="25"/>
        <v>18</v>
      </c>
      <c r="C100" s="111"/>
      <c r="D100" s="108">
        <f t="shared" si="26"/>
        <v>0</v>
      </c>
      <c r="E100" s="108">
        <f t="shared" si="26"/>
        <v>0</v>
      </c>
      <c r="F100" s="108">
        <f t="shared" si="26"/>
        <v>0</v>
      </c>
      <c r="G100" s="108">
        <f t="shared" si="26"/>
        <v>0</v>
      </c>
      <c r="H100" s="108">
        <f t="shared" si="26"/>
        <v>0</v>
      </c>
      <c r="I100" s="108">
        <f t="shared" si="26"/>
        <v>0</v>
      </c>
      <c r="J100" s="108">
        <f t="shared" si="26"/>
        <v>0</v>
      </c>
      <c r="K100" s="108">
        <f t="shared" si="26"/>
        <v>0</v>
      </c>
      <c r="L100" s="109">
        <f t="shared" si="26"/>
        <v>0</v>
      </c>
      <c r="M100" s="108">
        <f t="shared" si="26"/>
        <v>91.333333333333329</v>
      </c>
      <c r="N100" s="108">
        <f t="shared" si="26"/>
        <v>27.777777777777779</v>
      </c>
      <c r="O100" s="108">
        <f t="shared" si="26"/>
        <v>177.77777777777777</v>
      </c>
      <c r="P100" s="108">
        <f t="shared" si="26"/>
        <v>138.88888888888889</v>
      </c>
      <c r="Q100" s="108">
        <f t="shared" si="26"/>
        <v>250</v>
      </c>
      <c r="R100" s="113">
        <f t="shared" si="24"/>
        <v>685.77777777777783</v>
      </c>
    </row>
    <row r="101" spans="2:19" ht="15.5" x14ac:dyDescent="0.35">
      <c r="B101" s="135" t="s">
        <v>116</v>
      </c>
      <c r="C101" s="139"/>
      <c r="D101" s="151">
        <f t="shared" ref="D101:Q101" si="27">SUM(D103:D103)</f>
        <v>0</v>
      </c>
      <c r="E101" s="151">
        <f t="shared" si="27"/>
        <v>0</v>
      </c>
      <c r="F101" s="151">
        <f t="shared" si="27"/>
        <v>0</v>
      </c>
      <c r="G101" s="151">
        <f t="shared" si="27"/>
        <v>0</v>
      </c>
      <c r="H101" s="151">
        <f t="shared" si="27"/>
        <v>0</v>
      </c>
      <c r="I101" s="151">
        <f t="shared" si="27"/>
        <v>0</v>
      </c>
      <c r="J101" s="151">
        <f t="shared" si="27"/>
        <v>0</v>
      </c>
      <c r="K101" s="151">
        <f t="shared" si="27"/>
        <v>0</v>
      </c>
      <c r="L101" s="151">
        <f t="shared" si="27"/>
        <v>0</v>
      </c>
      <c r="M101" s="151">
        <f t="shared" si="27"/>
        <v>0</v>
      </c>
      <c r="N101" s="151">
        <f t="shared" si="27"/>
        <v>0</v>
      </c>
      <c r="O101" s="151">
        <f t="shared" si="27"/>
        <v>0</v>
      </c>
      <c r="P101" s="151">
        <f t="shared" si="27"/>
        <v>0</v>
      </c>
      <c r="Q101" s="151">
        <f t="shared" si="27"/>
        <v>0</v>
      </c>
      <c r="R101" s="130">
        <f>SUM(C101:Q101)</f>
        <v>0</v>
      </c>
    </row>
    <row r="102" spans="2:19" ht="15.5" hidden="1" x14ac:dyDescent="0.35">
      <c r="B102" s="106"/>
      <c r="C102" s="106"/>
      <c r="D102" s="108"/>
      <c r="E102" s="108"/>
      <c r="F102" s="108"/>
      <c r="G102" s="108"/>
      <c r="H102" s="108"/>
      <c r="I102" s="108"/>
      <c r="J102" s="108"/>
      <c r="K102" s="108"/>
      <c r="L102" s="108"/>
      <c r="M102" s="108"/>
      <c r="N102" s="108"/>
      <c r="O102" s="108"/>
      <c r="P102" s="108"/>
      <c r="Q102" s="108"/>
      <c r="R102" s="113"/>
    </row>
    <row r="103" spans="2:19" ht="15.5" hidden="1" x14ac:dyDescent="0.35">
      <c r="B103" s="106"/>
      <c r="C103" s="106"/>
      <c r="D103" s="108"/>
      <c r="E103" s="108"/>
      <c r="F103" s="108"/>
      <c r="G103" s="108"/>
      <c r="H103" s="108"/>
      <c r="I103" s="108"/>
      <c r="J103" s="108"/>
      <c r="K103" s="108"/>
      <c r="L103" s="108"/>
      <c r="M103" s="108"/>
      <c r="N103" s="108"/>
      <c r="O103" s="108"/>
      <c r="P103" s="108"/>
      <c r="Q103" s="108"/>
      <c r="R103" s="113"/>
      <c r="S103" s="140"/>
    </row>
    <row r="104" spans="2:19" ht="15.5" hidden="1" x14ac:dyDescent="0.35">
      <c r="B104" s="106"/>
      <c r="C104" s="106"/>
      <c r="D104" s="108"/>
      <c r="E104" s="108"/>
      <c r="F104" s="108"/>
      <c r="G104" s="108"/>
      <c r="H104" s="108"/>
      <c r="I104" s="108"/>
      <c r="J104" s="108"/>
      <c r="K104" s="108"/>
      <c r="L104" s="108"/>
      <c r="M104" s="108"/>
      <c r="N104" s="108"/>
      <c r="O104" s="108"/>
      <c r="P104" s="108"/>
      <c r="Q104" s="108"/>
      <c r="R104" s="113"/>
    </row>
    <row r="105" spans="2:19" ht="15.5" x14ac:dyDescent="0.35">
      <c r="B105" s="106" t="s">
        <v>267</v>
      </c>
      <c r="C105" s="106"/>
      <c r="D105" s="108">
        <f>Aggregated!CI16*$R$4</f>
        <v>0</v>
      </c>
      <c r="E105" s="108">
        <f>Aggregated!CJ16*$R$4</f>
        <v>0</v>
      </c>
      <c r="F105" s="108">
        <f>Aggregated!CK16*$R$4</f>
        <v>0</v>
      </c>
      <c r="G105" s="108">
        <f>Aggregated!CL16*$R$4</f>
        <v>0</v>
      </c>
      <c r="H105" s="108">
        <f>Aggregated!CM16*$R$4</f>
        <v>0</v>
      </c>
      <c r="I105" s="108">
        <f>Aggregated!CN16*$R$4</f>
        <v>0</v>
      </c>
      <c r="J105" s="108">
        <f>Aggregated!CO16*$R$4</f>
        <v>0</v>
      </c>
      <c r="K105" s="108">
        <f>Aggregated!CP16*$R$4</f>
        <v>0</v>
      </c>
      <c r="L105" s="108">
        <f>Aggregated!CQ16*$R$4</f>
        <v>0</v>
      </c>
      <c r="M105" s="108">
        <f>Aggregated!CR16*$R$4</f>
        <v>91.333333333333329</v>
      </c>
      <c r="N105" s="108">
        <f>Aggregated!CS16*$R$4</f>
        <v>27.777777777777779</v>
      </c>
      <c r="O105" s="108">
        <f>Aggregated!CT16*$R$4</f>
        <v>177.77777777777777</v>
      </c>
      <c r="P105" s="108">
        <f>Aggregated!CU16*$R$4</f>
        <v>138.88888888888889</v>
      </c>
      <c r="Q105" s="108">
        <f>Aggregated!CV16*$R$4</f>
        <v>250</v>
      </c>
      <c r="R105" s="113">
        <f t="shared" ref="R105:R111" si="28">SUM(D105:Q105)</f>
        <v>685.77777777777783</v>
      </c>
    </row>
    <row r="106" spans="2:19" ht="15.5" x14ac:dyDescent="0.35">
      <c r="B106" s="106" t="s">
        <v>268</v>
      </c>
      <c r="C106" s="106"/>
      <c r="D106" s="108">
        <f>Aggregated!CI18*$R$4</f>
        <v>0</v>
      </c>
      <c r="E106" s="108">
        <f>Aggregated!CJ18*$R$4</f>
        <v>0</v>
      </c>
      <c r="F106" s="108">
        <f>Aggregated!CK18*$R$4</f>
        <v>0</v>
      </c>
      <c r="G106" s="108">
        <f>Aggregated!CL18*$R$4</f>
        <v>0</v>
      </c>
      <c r="H106" s="108">
        <f>Aggregated!CM18*$R$4</f>
        <v>0</v>
      </c>
      <c r="I106" s="108">
        <f>Aggregated!CN18*$R$4</f>
        <v>0</v>
      </c>
      <c r="J106" s="108">
        <f>Aggregated!CO18*$R$4</f>
        <v>0</v>
      </c>
      <c r="K106" s="108">
        <f>Aggregated!CP18*$R$4</f>
        <v>0</v>
      </c>
      <c r="L106" s="108">
        <f>Aggregated!CQ18*$R$4</f>
        <v>0</v>
      </c>
      <c r="M106" s="108">
        <f>Aggregated!CR18*$R$4</f>
        <v>3</v>
      </c>
      <c r="N106" s="108">
        <f>Aggregated!CS18*$R$4</f>
        <v>1</v>
      </c>
      <c r="O106" s="108">
        <f>Aggregated!CT18*$R$4</f>
        <v>6</v>
      </c>
      <c r="P106" s="108">
        <f>Aggregated!CU18*$R$4</f>
        <v>4</v>
      </c>
      <c r="Q106" s="108">
        <f>Aggregated!CV18*$R$4</f>
        <v>8</v>
      </c>
      <c r="R106" s="113">
        <f t="shared" si="28"/>
        <v>22</v>
      </c>
    </row>
    <row r="107" spans="2:19" ht="15.5" x14ac:dyDescent="0.35">
      <c r="B107" s="135" t="s">
        <v>119</v>
      </c>
      <c r="C107" s="129"/>
      <c r="D107" s="132"/>
      <c r="E107" s="132"/>
      <c r="F107" s="132"/>
      <c r="G107" s="132"/>
      <c r="H107" s="132"/>
      <c r="I107" s="132"/>
      <c r="J107" s="132"/>
      <c r="K107" s="132"/>
      <c r="L107" s="132"/>
      <c r="M107" s="132"/>
      <c r="N107" s="132"/>
      <c r="O107" s="132"/>
      <c r="P107" s="132"/>
      <c r="Q107" s="132"/>
      <c r="R107" s="130"/>
    </row>
    <row r="108" spans="2:19" ht="15.5" x14ac:dyDescent="0.35">
      <c r="B108" s="106" t="s">
        <v>304</v>
      </c>
      <c r="C108" s="106"/>
      <c r="D108" s="108">
        <f>Aggregated!CI19*$R$4</f>
        <v>0</v>
      </c>
      <c r="E108" s="108">
        <f>Aggregated!CJ19*$R$4</f>
        <v>0</v>
      </c>
      <c r="F108" s="108">
        <f>Aggregated!CK19*$R$4</f>
        <v>0</v>
      </c>
      <c r="G108" s="108">
        <f>Aggregated!CL19*$R$4</f>
        <v>0</v>
      </c>
      <c r="H108" s="108">
        <f>Aggregated!CM19*$R$4</f>
        <v>0</v>
      </c>
      <c r="I108" s="108">
        <f>Aggregated!CN19*$R$4</f>
        <v>0</v>
      </c>
      <c r="J108" s="108">
        <f>Aggregated!CO19*$R$4</f>
        <v>0</v>
      </c>
      <c r="K108" s="108">
        <f>Aggregated!CP19*$R$4</f>
        <v>0</v>
      </c>
      <c r="L108" s="108">
        <f>Aggregated!CQ19*$R$4</f>
        <v>0</v>
      </c>
      <c r="M108" s="108">
        <f>Aggregated!CR19*$R$4</f>
        <v>3</v>
      </c>
      <c r="N108" s="108">
        <f>Aggregated!CS19*$R$4</f>
        <v>1</v>
      </c>
      <c r="O108" s="108">
        <f>Aggregated!CT19*$R$4</f>
        <v>6</v>
      </c>
      <c r="P108" s="108">
        <f>Aggregated!CU19*$R$4</f>
        <v>4</v>
      </c>
      <c r="Q108" s="108">
        <f>Aggregated!CV19*$R$4</f>
        <v>8</v>
      </c>
      <c r="R108" s="113">
        <f t="shared" si="28"/>
        <v>22</v>
      </c>
    </row>
    <row r="109" spans="2:19" ht="15.5" x14ac:dyDescent="0.35">
      <c r="B109" s="135" t="s">
        <v>120</v>
      </c>
      <c r="C109" s="129"/>
      <c r="D109" s="132"/>
      <c r="E109" s="132"/>
      <c r="F109" s="132"/>
      <c r="G109" s="132"/>
      <c r="H109" s="132"/>
      <c r="I109" s="132"/>
      <c r="J109" s="132"/>
      <c r="K109" s="132"/>
      <c r="L109" s="132"/>
      <c r="M109" s="132"/>
      <c r="N109" s="132"/>
      <c r="O109" s="132"/>
      <c r="P109" s="132"/>
      <c r="Q109" s="132"/>
      <c r="R109" s="130"/>
    </row>
    <row r="110" spans="2:19" ht="15.5" x14ac:dyDescent="0.35">
      <c r="B110" s="106" t="s">
        <v>274</v>
      </c>
      <c r="C110" s="106"/>
      <c r="D110" s="108">
        <f>Aggregated!CI21*$R$4</f>
        <v>0</v>
      </c>
      <c r="E110" s="108">
        <f>Aggregated!CJ21*$R$4</f>
        <v>0</v>
      </c>
      <c r="F110" s="108">
        <f>Aggregated!CK21*$R$4</f>
        <v>0</v>
      </c>
      <c r="G110" s="108">
        <f>Aggregated!CL21*$R$4</f>
        <v>0</v>
      </c>
      <c r="H110" s="108">
        <f>Aggregated!CM21*$R$4</f>
        <v>0</v>
      </c>
      <c r="I110" s="108">
        <f>Aggregated!CN21*$R$4</f>
        <v>0</v>
      </c>
      <c r="J110" s="108">
        <f>Aggregated!CO21*$R$4</f>
        <v>0</v>
      </c>
      <c r="K110" s="108">
        <f>Aggregated!CP21*$R$4</f>
        <v>0</v>
      </c>
      <c r="L110" s="108">
        <f>Aggregated!CQ21*$R$4</f>
        <v>0</v>
      </c>
      <c r="M110" s="108">
        <f>Aggregated!CR21*$R$4</f>
        <v>334.28</v>
      </c>
      <c r="N110" s="108">
        <f>Aggregated!CS21*$R$4</f>
        <v>101.66666666666667</v>
      </c>
      <c r="O110" s="108">
        <f>Aggregated!CT21*$R$4</f>
        <v>650.66666666666674</v>
      </c>
      <c r="P110" s="108">
        <f>Aggregated!CU21*$R$4</f>
        <v>508.33333333333337</v>
      </c>
      <c r="Q110" s="108">
        <f>Aggregated!CV21*$R$4</f>
        <v>915.00000000000011</v>
      </c>
      <c r="R110" s="113">
        <f t="shared" si="28"/>
        <v>2509.9466666666667</v>
      </c>
    </row>
    <row r="111" spans="2:19" ht="15.5" x14ac:dyDescent="0.35">
      <c r="B111" s="106" t="s">
        <v>274</v>
      </c>
      <c r="C111" s="106"/>
      <c r="D111" s="108">
        <f>Aggregated!CI24*$R$4</f>
        <v>0</v>
      </c>
      <c r="E111" s="108">
        <f>Aggregated!CJ24*$R$4</f>
        <v>0</v>
      </c>
      <c r="F111" s="108">
        <f>Aggregated!CK24*$R$4</f>
        <v>0</v>
      </c>
      <c r="G111" s="108">
        <f>Aggregated!CL24*$R$4</f>
        <v>0</v>
      </c>
      <c r="H111" s="108">
        <f>Aggregated!CM24*$R$4</f>
        <v>0</v>
      </c>
      <c r="I111" s="108">
        <f>Aggregated!CN24*$R$4</f>
        <v>0</v>
      </c>
      <c r="J111" s="108">
        <f>Aggregated!CO24*$R$4</f>
        <v>0</v>
      </c>
      <c r="K111" s="108">
        <f>Aggregated!CP24*$R$4</f>
        <v>0</v>
      </c>
      <c r="L111" s="108">
        <f>Aggregated!CQ24*$R$4</f>
        <v>0</v>
      </c>
      <c r="M111" s="108">
        <f>Aggregated!CR24*$R$4</f>
        <v>320</v>
      </c>
      <c r="N111" s="108">
        <f>Aggregated!CS24*$R$4</f>
        <v>105</v>
      </c>
      <c r="O111" s="108">
        <f>Aggregated!CT24*$R$4</f>
        <v>640</v>
      </c>
      <c r="P111" s="108">
        <f>Aggregated!CU24*$R$4</f>
        <v>440</v>
      </c>
      <c r="Q111" s="108">
        <f>Aggregated!CV24*$R$4</f>
        <v>830</v>
      </c>
      <c r="R111" s="113">
        <f t="shared" si="28"/>
        <v>2335</v>
      </c>
    </row>
    <row r="112" spans="2:19" ht="15.5" x14ac:dyDescent="0.35">
      <c r="B112" s="135" t="s">
        <v>319</v>
      </c>
      <c r="C112" s="129"/>
      <c r="D112" s="136"/>
      <c r="E112" s="132"/>
      <c r="F112" s="132"/>
      <c r="G112" s="132"/>
      <c r="H112" s="132"/>
      <c r="I112" s="132"/>
      <c r="J112" s="132"/>
      <c r="K112" s="132"/>
      <c r="L112" s="137"/>
      <c r="M112" s="132"/>
      <c r="N112" s="132"/>
      <c r="O112" s="132"/>
      <c r="P112" s="132"/>
      <c r="Q112" s="132"/>
      <c r="R112" s="130"/>
    </row>
    <row r="113" spans="2:18" ht="15.5" x14ac:dyDescent="0.35">
      <c r="B113" s="106" t="s">
        <v>317</v>
      </c>
      <c r="C113" s="106"/>
      <c r="D113" s="108">
        <f>D105*Assumptions!$K$61/24*2</f>
        <v>0</v>
      </c>
      <c r="E113" s="108">
        <f>E105*Assumptions!$K$61/24*2</f>
        <v>0</v>
      </c>
      <c r="F113" s="108">
        <f>F105*Assumptions!$K$61/24*2</f>
        <v>0</v>
      </c>
      <c r="G113" s="108">
        <f>G105*Assumptions!$K$61/24*2</f>
        <v>0</v>
      </c>
      <c r="H113" s="108">
        <f>H105*Assumptions!$K$61/24*2</f>
        <v>0</v>
      </c>
      <c r="I113" s="108">
        <f>I105*Assumptions!$K$61/24*2</f>
        <v>0</v>
      </c>
      <c r="J113" s="108">
        <f>J105*Assumptions!$K$61/24*2</f>
        <v>0</v>
      </c>
      <c r="K113" s="108">
        <f>K105*Assumptions!$K$61/24*2</f>
        <v>0</v>
      </c>
      <c r="L113" s="108">
        <f>L105*Assumptions!$K$61/24*2</f>
        <v>0</v>
      </c>
      <c r="M113" s="108">
        <f>M105*Assumptions!$K$61/24*2</f>
        <v>992.77920962199312</v>
      </c>
      <c r="N113" s="108">
        <f>N105*Assumptions!$K$61/24*2</f>
        <v>301.94014891179842</v>
      </c>
      <c r="O113" s="108">
        <f>O105*Assumptions!$K$61/24*2</f>
        <v>1932.4169530355096</v>
      </c>
      <c r="P113" s="108">
        <f>P105*Assumptions!$K$61/24*2</f>
        <v>1509.7007445589923</v>
      </c>
      <c r="Q113" s="108">
        <f>Q105*Assumptions!$K$61/24*2</f>
        <v>2717.4613402061855</v>
      </c>
      <c r="R113" s="113"/>
    </row>
    <row r="114" spans="2:18" ht="15.5" x14ac:dyDescent="0.35">
      <c r="B114" s="106" t="s">
        <v>318</v>
      </c>
      <c r="C114" s="106"/>
      <c r="D114" s="108">
        <f>D105*Assumptions!$K$64/24*2</f>
        <v>0</v>
      </c>
      <c r="E114" s="108">
        <f>E105*Assumptions!$K$64/24</f>
        <v>0</v>
      </c>
      <c r="F114" s="108">
        <f>F105*Assumptions!$K$64/24</f>
        <v>0</v>
      </c>
      <c r="G114" s="108">
        <f>G105*Assumptions!$K$64/24</f>
        <v>0</v>
      </c>
      <c r="H114" s="108">
        <f>H105*Assumptions!$K$64/24</f>
        <v>0</v>
      </c>
      <c r="I114" s="108">
        <f>I105*Assumptions!$K$64/24</f>
        <v>0</v>
      </c>
      <c r="J114" s="108">
        <f>J105*Assumptions!$K$64/24</f>
        <v>0</v>
      </c>
      <c r="K114" s="108">
        <f>K105*Assumptions!$K$64/24</f>
        <v>0</v>
      </c>
      <c r="L114" s="108">
        <f>L105*Assumptions!$K$64/24</f>
        <v>0</v>
      </c>
      <c r="M114" s="108">
        <f>M105*Assumptions!$K$64/24</f>
        <v>440.12361588392514</v>
      </c>
      <c r="N114" s="108">
        <f>N105*Assumptions!$K$64/24</f>
        <v>133.8575474099529</v>
      </c>
      <c r="O114" s="108">
        <f>O105*Assumptions!$K$64/24</f>
        <v>856.68830342369858</v>
      </c>
      <c r="P114" s="108">
        <f>P105*Assumptions!$K$64/24</f>
        <v>669.28773704976459</v>
      </c>
      <c r="Q114" s="108">
        <f>Q105*Assumptions!$K$64/24</f>
        <v>1204.7179266895762</v>
      </c>
      <c r="R114" s="113"/>
    </row>
    <row r="115" spans="2:18" ht="15.5" x14ac:dyDescent="0.35">
      <c r="B115" s="106"/>
      <c r="C115" s="106"/>
      <c r="D115" s="108"/>
      <c r="E115" s="108"/>
      <c r="F115" s="108"/>
      <c r="G115" s="108"/>
      <c r="H115" s="108"/>
      <c r="I115" s="108"/>
      <c r="J115" s="108"/>
      <c r="K115" s="108"/>
      <c r="L115" s="108"/>
      <c r="M115" s="108"/>
      <c r="N115" s="108"/>
      <c r="O115" s="108"/>
      <c r="P115" s="108"/>
      <c r="Q115" s="108"/>
      <c r="R115" s="113"/>
    </row>
    <row r="116" spans="2:18" ht="15.5" x14ac:dyDescent="0.35">
      <c r="B116" s="106" t="s">
        <v>138</v>
      </c>
      <c r="C116" s="106"/>
      <c r="D116" s="108">
        <f>D108*Assumptions!$K$27/24</f>
        <v>0</v>
      </c>
      <c r="E116" s="108">
        <f>E108*Assumptions!$K$27/24</f>
        <v>0</v>
      </c>
      <c r="F116" s="108">
        <f>F108*Assumptions!$K$27/24</f>
        <v>0</v>
      </c>
      <c r="G116" s="108">
        <f>G108*Assumptions!$K$27/24</f>
        <v>0</v>
      </c>
      <c r="H116" s="108">
        <f>H108*Assumptions!$K$27/24</f>
        <v>0</v>
      </c>
      <c r="I116" s="108">
        <f>I108*Assumptions!$K$27/24</f>
        <v>0</v>
      </c>
      <c r="J116" s="108">
        <f>J108*Assumptions!$K$27/24</f>
        <v>0</v>
      </c>
      <c r="K116" s="108">
        <f>K108*Assumptions!$K$27/24</f>
        <v>0</v>
      </c>
      <c r="L116" s="109">
        <f>L108*Assumptions!$K$27/24</f>
        <v>0</v>
      </c>
      <c r="M116" s="108">
        <f>M108*Assumptions!$K$27/24</f>
        <v>30</v>
      </c>
      <c r="N116" s="108">
        <f>N108*Assumptions!$K$27/24</f>
        <v>10</v>
      </c>
      <c r="O116" s="108">
        <f>O108*Assumptions!$K$27/24</f>
        <v>60</v>
      </c>
      <c r="P116" s="108">
        <f>P108*Assumptions!$K$27/24</f>
        <v>40</v>
      </c>
      <c r="Q116" s="108">
        <f>Q108*Assumptions!$K$27/24</f>
        <v>80</v>
      </c>
      <c r="R116" s="113"/>
    </row>
    <row r="117" spans="2:18" ht="15.5" x14ac:dyDescent="0.35">
      <c r="B117" s="106" t="s">
        <v>195</v>
      </c>
      <c r="C117" s="106"/>
      <c r="D117" s="108">
        <f>(ROUNDUP(D83/400,1)+D84)*Assumptions!$K$45+SUM(D110:D111)/Assumptions!$K$44</f>
        <v>0</v>
      </c>
      <c r="E117" s="108">
        <f>(ROUNDUP(E83/400,1)+E84)*Assumptions!$K$45+SUM(E110:E111)/Assumptions!$K$44</f>
        <v>0</v>
      </c>
      <c r="F117" s="108">
        <f>(ROUNDUP(F83/400,1)+F84)*Assumptions!$K$45+SUM(F110:F111)/Assumptions!$K$44</f>
        <v>0</v>
      </c>
      <c r="G117" s="108">
        <f>(ROUNDUP(G83/400,1)+G84)*Assumptions!$K$45+SUM(G110:G111)/Assumptions!$K$44</f>
        <v>0</v>
      </c>
      <c r="H117" s="108">
        <f>(ROUNDUP(H83/400,1)+H84)*Assumptions!$K$45+SUM(H110:H111)/Assumptions!$K$44</f>
        <v>0</v>
      </c>
      <c r="I117" s="108">
        <f>(ROUNDUP(I83/400,1)+I84)*Assumptions!$K$45+SUM(I110:I111)/Assumptions!$K$44</f>
        <v>0</v>
      </c>
      <c r="J117" s="108">
        <f>(ROUNDUP(J83/400,1)+J84)*Assumptions!$K$45+SUM(J110:J111)/Assumptions!$K$44</f>
        <v>0</v>
      </c>
      <c r="K117" s="108">
        <f>(ROUNDUP(K83/400,1)+K84)*Assumptions!$K$45+SUM(K110:K111)/Assumptions!$K$44</f>
        <v>0</v>
      </c>
      <c r="L117" s="108">
        <f>(ROUNDUP(L83/400,1)+L84)*Assumptions!$K$45+SUM(L110:L111)/Assumptions!$K$44</f>
        <v>0</v>
      </c>
      <c r="M117" s="108">
        <f>(ROUNDUP(M83/400,1)+M84)*Assumptions!$K$45+SUM(M110:M111)/Assumptions!$K$44</f>
        <v>287.57</v>
      </c>
      <c r="N117" s="108">
        <f>(ROUNDUP(N83/400,1)+N84)*Assumptions!$K$45+SUM(N110:N111)/Assumptions!$K$44</f>
        <v>97.666666666666671</v>
      </c>
      <c r="O117" s="108">
        <f>(ROUNDUP(O83/400,1)+O84)*Assumptions!$K$45+SUM(O110:O111)/Assumptions!$K$44</f>
        <v>542.66666666666674</v>
      </c>
      <c r="P117" s="108">
        <f>(ROUNDUP(P83/400,1)+P84)*Assumptions!$K$45+SUM(P110:P111)/Assumptions!$K$44</f>
        <v>403.08333333333337</v>
      </c>
      <c r="Q117" s="108">
        <f>(ROUNDUP(Q83/400,1)+Q84)*Assumptions!$K$45+SUM(Q110:Q111)/Assumptions!$K$44</f>
        <v>742.25</v>
      </c>
      <c r="R117" s="113"/>
    </row>
    <row r="118" spans="2:18" ht="15.5" hidden="1" x14ac:dyDescent="0.35">
      <c r="B118" s="106"/>
      <c r="C118" s="106"/>
      <c r="D118" s="108"/>
      <c r="E118" s="108"/>
      <c r="F118" s="108"/>
      <c r="G118" s="108"/>
      <c r="H118" s="108"/>
      <c r="I118" s="108"/>
      <c r="J118" s="108"/>
      <c r="K118" s="108"/>
      <c r="L118" s="108"/>
      <c r="M118" s="108"/>
      <c r="N118" s="108"/>
      <c r="O118" s="108"/>
      <c r="P118" s="108"/>
      <c r="Q118" s="108"/>
      <c r="R118" s="113"/>
    </row>
    <row r="119" spans="2:18" ht="15.5" x14ac:dyDescent="0.35">
      <c r="B119" s="135" t="s">
        <v>243</v>
      </c>
      <c r="C119" s="129"/>
      <c r="D119" s="136"/>
      <c r="E119" s="132"/>
      <c r="F119" s="132"/>
      <c r="G119" s="132"/>
      <c r="H119" s="132"/>
      <c r="I119" s="132"/>
      <c r="J119" s="132"/>
      <c r="K119" s="132"/>
      <c r="L119" s="137"/>
      <c r="M119" s="132"/>
      <c r="N119" s="132"/>
      <c r="O119" s="132"/>
      <c r="P119" s="132"/>
      <c r="Q119" s="132"/>
      <c r="R119" s="130"/>
    </row>
    <row r="120" spans="2:18" ht="15.5" x14ac:dyDescent="0.35">
      <c r="B120" s="106" t="s">
        <v>322</v>
      </c>
      <c r="C120" s="106"/>
      <c r="D120" s="108">
        <f>ROUNDUP(D113/(Assumptions!$K$65*365),0)</f>
        <v>0</v>
      </c>
      <c r="E120" s="108">
        <f>ROUNDUP(E113/(Assumptions!$K$65*365),0)</f>
        <v>0</v>
      </c>
      <c r="F120" s="108">
        <f>ROUNDUP(F113/(Assumptions!$K$65*365),0)</f>
        <v>0</v>
      </c>
      <c r="G120" s="108">
        <f>ROUNDUP(G113/(Assumptions!$K$65*365),0)</f>
        <v>0</v>
      </c>
      <c r="H120" s="108">
        <f>ROUNDUP(H113/(Assumptions!$K$65*365),0)</f>
        <v>0</v>
      </c>
      <c r="I120" s="108">
        <f>ROUNDUP(I113/(Assumptions!$K$65*365),0)</f>
        <v>0</v>
      </c>
      <c r="J120" s="108">
        <f>ROUNDUP(J113/(Assumptions!$K$65*365),0)</f>
        <v>0</v>
      </c>
      <c r="K120" s="108">
        <f>ROUNDUP(K113/(Assumptions!$K$65*365),0)</f>
        <v>0</v>
      </c>
      <c r="L120" s="108">
        <f>ROUNDUP(L113/(Assumptions!$K$65*365),0)</f>
        <v>0</v>
      </c>
      <c r="M120" s="108">
        <f>ROUNDUP(M113/(Assumptions!$K$65*365),0)</f>
        <v>4</v>
      </c>
      <c r="N120" s="108">
        <f>ROUNDUP(N113/(Assumptions!$K$65*365),0)</f>
        <v>2</v>
      </c>
      <c r="O120" s="108">
        <f>ROUNDUP(O113/(Assumptions!$K$65*365),0)</f>
        <v>8</v>
      </c>
      <c r="P120" s="108">
        <f>ROUNDUP(P113/(Assumptions!$K$65*365),0)</f>
        <v>6</v>
      </c>
      <c r="Q120" s="108">
        <f>ROUNDUP(Q113/(Assumptions!$K$65*365),0)</f>
        <v>10</v>
      </c>
      <c r="R120" s="113"/>
    </row>
    <row r="121" spans="2:18" ht="15.5" x14ac:dyDescent="0.35">
      <c r="B121" s="106" t="s">
        <v>318</v>
      </c>
      <c r="C121" s="106"/>
      <c r="D121" s="108">
        <f>ROUNDUP(D114/(Assumptions!$K$65*365),0)</f>
        <v>0</v>
      </c>
      <c r="E121" s="108">
        <f>ROUNDUP(E114/(Assumptions!$K$65*365),0)</f>
        <v>0</v>
      </c>
      <c r="F121" s="108">
        <f>ROUNDUP(F114/(Assumptions!$K$65*365),0)</f>
        <v>0</v>
      </c>
      <c r="G121" s="108">
        <f>ROUNDUP(G114/(Assumptions!$K$65*365),0)</f>
        <v>0</v>
      </c>
      <c r="H121" s="108">
        <f>ROUNDUP(H114/(Assumptions!$K$65*365),0)</f>
        <v>0</v>
      </c>
      <c r="I121" s="108">
        <f>ROUNDUP(I114/(Assumptions!$K$65*365),0)</f>
        <v>0</v>
      </c>
      <c r="J121" s="108">
        <f>ROUNDUP(J114/(Assumptions!$K$65*365),0)</f>
        <v>0</v>
      </c>
      <c r="K121" s="108">
        <f>ROUNDUP(K114/(Assumptions!$K$65*365),0)</f>
        <v>0</v>
      </c>
      <c r="L121" s="108">
        <f>ROUNDUP(L114/(Assumptions!$K$65*365),0)</f>
        <v>0</v>
      </c>
      <c r="M121" s="108">
        <f>ROUNDUP(M114/(Assumptions!$K$65*365),0)</f>
        <v>2</v>
      </c>
      <c r="N121" s="108">
        <f>ROUNDUP(N114/(Assumptions!$K$65*365),0)</f>
        <v>1</v>
      </c>
      <c r="O121" s="108">
        <f>ROUNDUP(O114/(Assumptions!$K$65*365),0)</f>
        <v>4</v>
      </c>
      <c r="P121" s="108">
        <f>ROUNDUP(P114/(Assumptions!$K$65*365),0)</f>
        <v>3</v>
      </c>
      <c r="Q121" s="108"/>
      <c r="R121" s="113"/>
    </row>
    <row r="122" spans="2:18" ht="15.5" hidden="1" x14ac:dyDescent="0.35">
      <c r="B122" s="106"/>
      <c r="C122" s="106"/>
      <c r="D122" s="108"/>
      <c r="E122" s="108"/>
      <c r="F122" s="108"/>
      <c r="G122" s="108"/>
      <c r="H122" s="108"/>
      <c r="I122" s="108"/>
      <c r="J122" s="108"/>
      <c r="K122" s="108"/>
      <c r="L122" s="109"/>
      <c r="M122" s="108"/>
      <c r="N122" s="108"/>
      <c r="O122" s="108"/>
      <c r="P122" s="108"/>
      <c r="Q122" s="108"/>
      <c r="R122" s="113"/>
    </row>
    <row r="123" spans="2:18" ht="15.5" x14ac:dyDescent="0.35">
      <c r="B123" s="106" t="s">
        <v>179</v>
      </c>
      <c r="C123" s="106"/>
      <c r="D123" s="108">
        <v>0</v>
      </c>
      <c r="E123" s="108">
        <v>0</v>
      </c>
      <c r="F123" s="108">
        <f>IF(F82=0,0,F84*Assumptions!$K$35+E84*Assumptions!$K$36+SUM($C84:D84)*Assumptions!$K$37+Assumptions!$K$38)</f>
        <v>0</v>
      </c>
      <c r="G123" s="108">
        <f>IF(G82=0,0,G84*Assumptions!$K$35+F84*Assumptions!$K$36+SUM($C84:E84)*Assumptions!$K$37+Assumptions!$K$38)</f>
        <v>0</v>
      </c>
      <c r="H123" s="108">
        <f>IF(H82=0,0,H84*Assumptions!$K$35+G84*Assumptions!$K$36+SUM($C84:F84)*Assumptions!$K$37+Assumptions!$K$38)</f>
        <v>0</v>
      </c>
      <c r="I123" s="108">
        <f>IF(I82=0,0,I84*Assumptions!$K$35+H84*Assumptions!$K$36+SUM($C84:G84)*Assumptions!$K$37+Assumptions!$K$38)</f>
        <v>0</v>
      </c>
      <c r="J123" s="108">
        <f>IF(J82=0,0,J84*Assumptions!$K$35+I84*Assumptions!$K$36+SUM($C84:H84)*Assumptions!$K$37+Assumptions!$K$38)</f>
        <v>0</v>
      </c>
      <c r="K123" s="108">
        <f>IF(K82=0,0,K84*Assumptions!$K$35+J84*Assumptions!$K$36+SUM($C84:I84)*Assumptions!$K$37+Assumptions!$K$38)</f>
        <v>0</v>
      </c>
      <c r="L123" s="108">
        <f>IF(L82=0,0,L84*Assumptions!$K$35+K84*Assumptions!$K$36+SUM($C84:J84)*Assumptions!$K$37+Assumptions!$K$38)</f>
        <v>0</v>
      </c>
      <c r="M123" s="108">
        <f>IF(M82=0,0,M84*Assumptions!$K$35+L84*Assumptions!$K$36+SUM($C84:K84)*Assumptions!$K$37+Assumptions!$K$38)</f>
        <v>6</v>
      </c>
      <c r="N123" s="108">
        <f>IF(N82=0,0,N84*Assumptions!$K$35+M84*Assumptions!$K$36+SUM($C84:L84)*Assumptions!$K$37+Assumptions!$K$38)</f>
        <v>8</v>
      </c>
      <c r="O123" s="108">
        <f>IF(O82=0,0,O84*Assumptions!$K$35+N84*Assumptions!$K$36+SUM($C84:M84)*Assumptions!$K$37+Assumptions!$K$38)</f>
        <v>12</v>
      </c>
      <c r="P123" s="108">
        <f>IF(P82=0,0,P84*Assumptions!$K$35+O84*Assumptions!$K$36+SUM($C84:N84)*Assumptions!$K$37+Assumptions!$K$38)</f>
        <v>15</v>
      </c>
      <c r="Q123" s="108">
        <f>IF(Q82=0,0,Q84*Assumptions!$K$35+P84*Assumptions!$K$36+SUM($C84:O84)*Assumptions!$K$37+Assumptions!$K$38)</f>
        <v>20</v>
      </c>
      <c r="R123" s="113">
        <f>Q123</f>
        <v>20</v>
      </c>
    </row>
    <row r="124" spans="2:18" ht="15.5" x14ac:dyDescent="0.35">
      <c r="B124" s="106" t="s">
        <v>343</v>
      </c>
      <c r="C124" s="106"/>
      <c r="D124" s="108">
        <v>0</v>
      </c>
      <c r="E124" s="108">
        <f>ROUNDUP((SUM($E86:E88)+D124)/Assumptions!$K$41,0)</f>
        <v>0</v>
      </c>
      <c r="F124" s="108">
        <f>ROUNDUP((SUM($E86:F88)+E124)/Assumptions!$K$41,0)</f>
        <v>0</v>
      </c>
      <c r="G124" s="108">
        <f>ROUNDUP((SUM($E86:G88)+F124)/Assumptions!$K$41,0)</f>
        <v>0</v>
      </c>
      <c r="H124" s="108">
        <f>ROUNDUP((SUM($E86:H88)+G124)/Assumptions!$K$41,0)</f>
        <v>0</v>
      </c>
      <c r="I124" s="108">
        <f>ROUNDUP((SUM($E86:I88)+H124)/Assumptions!$K$41,0)</f>
        <v>0</v>
      </c>
      <c r="J124" s="108">
        <f>ROUNDUP((SUM($E86:J88)+I124)/Assumptions!$K$41,0)</f>
        <v>0</v>
      </c>
      <c r="K124" s="108">
        <f>ROUNDUP((SUM($E86:K88)+J124)/Assumptions!$K$41,0)</f>
        <v>0</v>
      </c>
      <c r="L124" s="108">
        <f>ROUNDUP((SUM($E86:L88)+K124)/Assumptions!$K$41,0)</f>
        <v>0</v>
      </c>
      <c r="M124" s="108">
        <f>ROUNDUP((SUM($E86:M88)+L124)/Assumptions!$K$41,0)</f>
        <v>1</v>
      </c>
      <c r="N124" s="108">
        <f>ROUNDUP((SUM($E86:N88)+M124)/Assumptions!$K$41,0)</f>
        <v>1</v>
      </c>
      <c r="O124" s="108">
        <f>ROUNDUP((SUM($E86:O88)+N124)/Assumptions!$K$41,0)</f>
        <v>2</v>
      </c>
      <c r="P124" s="108">
        <f>ROUNDUP((SUM($E86:P88)+O124)/Assumptions!$K$41,0)</f>
        <v>3</v>
      </c>
      <c r="Q124" s="108">
        <f>ROUNDUP((SUM($E86:Q88)+P124)/Assumptions!$K$41,0)</f>
        <v>4</v>
      </c>
      <c r="R124" s="113">
        <f>Q124</f>
        <v>4</v>
      </c>
    </row>
    <row r="125" spans="2:18" ht="15.5" x14ac:dyDescent="0.35">
      <c r="B125" s="106" t="s">
        <v>195</v>
      </c>
      <c r="C125" s="106"/>
      <c r="D125" s="108">
        <f>ROUNDUP(D117/(Assumptions!$C$36*365),0)</f>
        <v>0</v>
      </c>
      <c r="E125" s="108">
        <f>ROUNDUP(E117/(Assumptions!$C$36*365),0)</f>
        <v>0</v>
      </c>
      <c r="F125" s="108">
        <f>ROUNDUP(F117/(Assumptions!$C$36*365),0)</f>
        <v>0</v>
      </c>
      <c r="G125" s="108">
        <f>ROUNDUP(G117/(Assumptions!$C$36*365),0)</f>
        <v>0</v>
      </c>
      <c r="H125" s="108">
        <f>ROUNDUP(H117/(Assumptions!$C$36*365),0)</f>
        <v>0</v>
      </c>
      <c r="I125" s="108">
        <f>ROUNDUP(I117/(Assumptions!$C$36*365),0)</f>
        <v>0</v>
      </c>
      <c r="J125" s="108">
        <f>ROUNDUP(J117/(Assumptions!$C$36*365),0)</f>
        <v>0</v>
      </c>
      <c r="K125" s="108">
        <f>ROUNDUP(K117/(Assumptions!$C$36*365),0)</f>
        <v>0</v>
      </c>
      <c r="L125" s="109">
        <f>ROUNDUP(L117/(Assumptions!$C$36*365),0)</f>
        <v>0</v>
      </c>
      <c r="M125" s="108">
        <f>ROUNDUP(M117/(Assumptions!$C$36*365),0)</f>
        <v>2</v>
      </c>
      <c r="N125" s="108">
        <f>ROUNDUP(N117/(Assumptions!$C$36*365),0)</f>
        <v>1</v>
      </c>
      <c r="O125" s="108">
        <f>ROUNDUP(O117/(Assumptions!$C$36*365),0)</f>
        <v>3</v>
      </c>
      <c r="P125" s="108">
        <f>ROUNDUP(P117/(Assumptions!$C$36*365),0)</f>
        <v>2</v>
      </c>
      <c r="Q125" s="108">
        <f>ROUNDUP(Q117/(Assumptions!$C$36*365),0)</f>
        <v>4</v>
      </c>
      <c r="R125" s="114"/>
    </row>
    <row r="126" spans="2:18" ht="15.5" x14ac:dyDescent="0.35">
      <c r="B126" s="106"/>
      <c r="C126" s="106"/>
      <c r="D126" s="107"/>
      <c r="E126" s="108"/>
      <c r="F126" s="108"/>
      <c r="G126" s="108"/>
      <c r="H126" s="108"/>
      <c r="I126" s="108"/>
      <c r="J126" s="108"/>
      <c r="K126" s="108"/>
      <c r="L126" s="109"/>
      <c r="M126" s="108"/>
      <c r="N126" s="108"/>
      <c r="O126" s="108"/>
      <c r="P126" s="108"/>
      <c r="Q126" s="108"/>
      <c r="R126" s="114"/>
    </row>
    <row r="127" spans="2:18" ht="15.5" x14ac:dyDescent="0.35">
      <c r="B127" s="135" t="s">
        <v>253</v>
      </c>
      <c r="C127" s="143"/>
      <c r="D127" s="143"/>
      <c r="E127" s="143"/>
      <c r="F127" s="143"/>
      <c r="G127" s="143"/>
      <c r="H127" s="143"/>
      <c r="I127" s="143"/>
      <c r="J127" s="143"/>
      <c r="K127" s="143"/>
      <c r="L127" s="143"/>
      <c r="M127" s="143"/>
      <c r="N127" s="143"/>
      <c r="O127" s="143"/>
      <c r="P127" s="143"/>
      <c r="Q127" s="143"/>
      <c r="R127" s="143"/>
    </row>
    <row r="128" spans="2:18" ht="15.5" x14ac:dyDescent="0.35">
      <c r="B128" s="135"/>
      <c r="C128" s="143">
        <f t="shared" ref="C128:Q128" si="29">C6</f>
        <v>2021</v>
      </c>
      <c r="D128" s="143">
        <f t="shared" si="29"/>
        <v>2022</v>
      </c>
      <c r="E128" s="143">
        <f t="shared" si="29"/>
        <v>2023</v>
      </c>
      <c r="F128" s="143">
        <f t="shared" si="29"/>
        <v>2024</v>
      </c>
      <c r="G128" s="143">
        <f t="shared" si="29"/>
        <v>2025</v>
      </c>
      <c r="H128" s="143">
        <f t="shared" si="29"/>
        <v>2026</v>
      </c>
      <c r="I128" s="143">
        <f t="shared" si="29"/>
        <v>2027</v>
      </c>
      <c r="J128" s="143">
        <f t="shared" si="29"/>
        <v>2028</v>
      </c>
      <c r="K128" s="143">
        <f t="shared" si="29"/>
        <v>2029</v>
      </c>
      <c r="L128" s="143">
        <f t="shared" si="29"/>
        <v>2030</v>
      </c>
      <c r="M128" s="143">
        <f t="shared" si="29"/>
        <v>2031</v>
      </c>
      <c r="N128" s="143">
        <f t="shared" si="29"/>
        <v>2032</v>
      </c>
      <c r="O128" s="143">
        <f t="shared" si="29"/>
        <v>2033</v>
      </c>
      <c r="P128" s="143">
        <f t="shared" si="29"/>
        <v>2034</v>
      </c>
      <c r="Q128" s="143">
        <f t="shared" si="29"/>
        <v>2035</v>
      </c>
      <c r="R128" s="143"/>
    </row>
    <row r="129" spans="2:18" x14ac:dyDescent="0.35">
      <c r="B129" s="144" t="s">
        <v>332</v>
      </c>
      <c r="C129" s="144"/>
      <c r="D129" s="22">
        <f>D105*Assumptions!$L$77</f>
        <v>0</v>
      </c>
      <c r="E129" s="22">
        <f>E105*Assumptions!$L$77</f>
        <v>0</v>
      </c>
      <c r="F129" s="22">
        <f>F105*Assumptions!$L$77</f>
        <v>0</v>
      </c>
      <c r="G129" s="22">
        <f>G105*Assumptions!$L$77</f>
        <v>0</v>
      </c>
      <c r="H129" s="22">
        <f>H105*Assumptions!$L$77</f>
        <v>0</v>
      </c>
      <c r="I129" s="22">
        <f>I105*Assumptions!$L$77</f>
        <v>0</v>
      </c>
      <c r="J129" s="22">
        <f>J105*Assumptions!$L$77</f>
        <v>0</v>
      </c>
      <c r="K129" s="22">
        <f>K105*Assumptions!$L$77</f>
        <v>0</v>
      </c>
      <c r="L129" s="22">
        <f>L105*Assumptions!$L$77</f>
        <v>0</v>
      </c>
      <c r="M129" s="22">
        <f>M105*Assumptions!$L$77</f>
        <v>18.121693121693124</v>
      </c>
      <c r="N129" s="22">
        <f>N105*Assumptions!$L$77</f>
        <v>5.5114638447971789</v>
      </c>
      <c r="O129" s="22">
        <f>O105*Assumptions!$L$77</f>
        <v>35.273368606701943</v>
      </c>
      <c r="P129" s="22">
        <f>P105*Assumptions!$L$77</f>
        <v>27.557319223985893</v>
      </c>
      <c r="Q129" s="22">
        <f>Q105*Assumptions!$L$77</f>
        <v>49.603174603174608</v>
      </c>
      <c r="R129" s="144"/>
    </row>
    <row r="130" spans="2:18" x14ac:dyDescent="0.35">
      <c r="B130" s="59" t="s">
        <v>270</v>
      </c>
      <c r="C130" s="144"/>
      <c r="D130" s="145">
        <f>D105*Assumptions!$K$77</f>
        <v>0</v>
      </c>
      <c r="E130" s="145">
        <f>E105*Assumptions!$K$77</f>
        <v>0</v>
      </c>
      <c r="F130" s="145">
        <f>F105*Assumptions!$K$77</f>
        <v>0</v>
      </c>
      <c r="G130" s="145">
        <f>G105*Assumptions!$K$77</f>
        <v>0</v>
      </c>
      <c r="H130" s="145">
        <f>H105*Assumptions!$K$77</f>
        <v>0</v>
      </c>
      <c r="I130" s="145">
        <f>I105*Assumptions!$K$77</f>
        <v>0</v>
      </c>
      <c r="J130" s="145">
        <f>J105*Assumptions!$K$77</f>
        <v>0</v>
      </c>
      <c r="K130" s="145">
        <f>K105*Assumptions!$K$77</f>
        <v>0</v>
      </c>
      <c r="L130" s="145">
        <f>L105*Assumptions!$K$77</f>
        <v>0</v>
      </c>
      <c r="M130" s="145">
        <f>M105*Assumptions!$K$77</f>
        <v>182.66666666666666</v>
      </c>
      <c r="N130" s="145">
        <f>N105*Assumptions!$K$77</f>
        <v>55.555555555555557</v>
      </c>
      <c r="O130" s="145">
        <f>O105*Assumptions!$K$77</f>
        <v>355.55555555555554</v>
      </c>
      <c r="P130" s="145">
        <f>P105*Assumptions!$K$77</f>
        <v>277.77777777777777</v>
      </c>
      <c r="Q130" s="145">
        <f>Q105*Assumptions!$K$77</f>
        <v>500</v>
      </c>
    </row>
    <row r="132" spans="2:18" ht="15.5" x14ac:dyDescent="0.35">
      <c r="B132" t="s">
        <v>235</v>
      </c>
      <c r="D132" s="115">
        <f t="shared" ref="D132:R132" si="30">SUM(D86:D88)</f>
        <v>0</v>
      </c>
      <c r="E132" s="115">
        <f t="shared" si="30"/>
        <v>0</v>
      </c>
      <c r="F132" s="115">
        <f t="shared" si="30"/>
        <v>0</v>
      </c>
      <c r="G132" s="115">
        <f t="shared" si="30"/>
        <v>0</v>
      </c>
      <c r="H132" s="115">
        <f t="shared" si="30"/>
        <v>0</v>
      </c>
      <c r="I132" s="115">
        <f t="shared" si="30"/>
        <v>0</v>
      </c>
      <c r="J132" s="115">
        <f t="shared" si="30"/>
        <v>0</v>
      </c>
      <c r="K132" s="115">
        <f t="shared" si="30"/>
        <v>0</v>
      </c>
      <c r="L132" s="115">
        <f t="shared" si="30"/>
        <v>0</v>
      </c>
      <c r="M132" s="115">
        <f t="shared" si="30"/>
        <v>91.333333333333329</v>
      </c>
      <c r="N132" s="115">
        <f t="shared" si="30"/>
        <v>27.777777777777779</v>
      </c>
      <c r="O132" s="115">
        <f t="shared" si="30"/>
        <v>177.77777777777777</v>
      </c>
      <c r="P132" s="115">
        <f t="shared" si="30"/>
        <v>138.88888888888889</v>
      </c>
      <c r="Q132" s="115">
        <f t="shared" si="30"/>
        <v>250</v>
      </c>
      <c r="R132" s="115">
        <f t="shared" si="30"/>
        <v>685.77777777777783</v>
      </c>
    </row>
    <row r="136" spans="2:18" x14ac:dyDescent="0.35">
      <c r="F136" s="22"/>
      <c r="G136" s="22"/>
      <c r="H136" s="22"/>
      <c r="I136" s="22"/>
      <c r="J136" s="22"/>
      <c r="K136" s="22"/>
      <c r="L136" s="22"/>
      <c r="M136" s="22"/>
      <c r="N136" s="22"/>
      <c r="O136" s="22"/>
      <c r="P136" s="22"/>
      <c r="Q136" s="22"/>
    </row>
    <row r="137" spans="2:18" x14ac:dyDescent="0.35">
      <c r="F137" s="22"/>
      <c r="G137" s="22"/>
      <c r="H137" s="22"/>
      <c r="I137" s="22"/>
      <c r="J137" s="22"/>
      <c r="K137" s="22"/>
      <c r="L137" s="22"/>
      <c r="M137" s="22"/>
      <c r="N137" s="22"/>
      <c r="O137" s="22"/>
      <c r="P137" s="22"/>
      <c r="Q137" s="22"/>
    </row>
    <row r="138" spans="2:18" x14ac:dyDescent="0.35">
      <c r="F138" s="22"/>
      <c r="G138" s="22"/>
      <c r="H138" s="22"/>
      <c r="I138" s="22"/>
      <c r="J138" s="22"/>
      <c r="K138" s="22"/>
      <c r="L138" s="22"/>
      <c r="M138" s="22"/>
      <c r="N138" s="22"/>
      <c r="O138" s="22"/>
      <c r="P138" s="22"/>
      <c r="Q138" s="22"/>
    </row>
    <row r="140" spans="2:18" x14ac:dyDescent="0.35">
      <c r="F140" s="58"/>
      <c r="G140" s="58"/>
      <c r="H140" s="58"/>
      <c r="I140" s="58"/>
      <c r="J140" s="58"/>
      <c r="K140" s="58"/>
      <c r="L140" s="58"/>
      <c r="M140" s="58"/>
      <c r="N140" s="58"/>
      <c r="O140" s="58"/>
      <c r="P140" s="58"/>
      <c r="Q140" s="58"/>
    </row>
    <row r="141" spans="2:18" x14ac:dyDescent="0.35">
      <c r="F141" s="58"/>
      <c r="G141" s="58"/>
      <c r="H141" s="58"/>
      <c r="I141" s="58"/>
      <c r="J141" s="58"/>
      <c r="K141" s="58"/>
      <c r="L141" s="58"/>
      <c r="M141" s="58"/>
      <c r="N141" s="58"/>
      <c r="O141" s="58"/>
      <c r="P141" s="58"/>
      <c r="Q141" s="58"/>
    </row>
    <row r="142" spans="2:18" x14ac:dyDescent="0.35">
      <c r="F142" s="58"/>
      <c r="G142" s="58"/>
      <c r="H142" s="58"/>
      <c r="I142" s="58"/>
      <c r="J142" s="58"/>
      <c r="K142" s="58"/>
      <c r="L142" s="58"/>
      <c r="M142" s="58"/>
      <c r="N142" s="58"/>
      <c r="O142" s="58"/>
      <c r="P142" s="58"/>
      <c r="Q142" s="58"/>
    </row>
    <row r="143" spans="2:18" x14ac:dyDescent="0.35">
      <c r="F143" s="58"/>
      <c r="G143" s="58"/>
      <c r="H143" s="58"/>
      <c r="I143" s="58"/>
      <c r="J143" s="58"/>
      <c r="K143" s="58"/>
      <c r="L143" s="58"/>
      <c r="M143" s="58"/>
      <c r="N143" s="58"/>
      <c r="O143" s="58"/>
      <c r="P143" s="58"/>
      <c r="Q143" s="58"/>
    </row>
  </sheetData>
  <conditionalFormatting sqref="C10:Q12">
    <cfRule type="colorScale" priority="28">
      <colorScale>
        <cfvo type="min"/>
        <cfvo type="max"/>
        <color theme="0"/>
        <color rgb="FF5D9732"/>
      </colorScale>
    </cfRule>
  </conditionalFormatting>
  <conditionalFormatting sqref="C18:Q20">
    <cfRule type="colorScale" priority="27">
      <colorScale>
        <cfvo type="min"/>
        <cfvo type="max"/>
        <color theme="0"/>
        <color rgb="FF5D9732"/>
      </colorScale>
    </cfRule>
  </conditionalFormatting>
  <conditionalFormatting sqref="C30:Q32">
    <cfRule type="colorScale" priority="26">
      <colorScale>
        <cfvo type="min"/>
        <cfvo type="max"/>
        <color theme="0"/>
        <color rgb="FF5D9732"/>
      </colorScale>
    </cfRule>
  </conditionalFormatting>
  <conditionalFormatting sqref="C34:Q35">
    <cfRule type="colorScale" priority="25">
      <colorScale>
        <cfvo type="min"/>
        <cfvo type="max"/>
        <color theme="0"/>
        <color rgb="FF5D9732"/>
      </colorScale>
    </cfRule>
  </conditionalFormatting>
  <conditionalFormatting sqref="D67:Q67">
    <cfRule type="colorScale" priority="24">
      <colorScale>
        <cfvo type="min"/>
        <cfvo type="max"/>
        <color rgb="FFFCFCFF"/>
        <color rgb="FF00B050"/>
      </colorScale>
    </cfRule>
  </conditionalFormatting>
  <conditionalFormatting sqref="C50:Q52">
    <cfRule type="colorScale" priority="23">
      <colorScale>
        <cfvo type="min"/>
        <cfvo type="max"/>
        <color theme="0"/>
        <color rgb="FF5D9732"/>
      </colorScale>
    </cfRule>
  </conditionalFormatting>
  <conditionalFormatting sqref="Q58:Q60">
    <cfRule type="colorScale" priority="22">
      <colorScale>
        <cfvo type="min"/>
        <cfvo type="max"/>
        <color theme="0"/>
        <color rgb="FF00B050"/>
      </colorScale>
    </cfRule>
  </conditionalFormatting>
  <conditionalFormatting sqref="C68:Q68">
    <cfRule type="colorScale" priority="21">
      <colorScale>
        <cfvo type="min"/>
        <cfvo type="max"/>
        <color theme="0"/>
        <color rgb="FF5D9732"/>
      </colorScale>
    </cfRule>
  </conditionalFormatting>
  <conditionalFormatting sqref="C70:Q71">
    <cfRule type="colorScale" priority="20">
      <colorScale>
        <cfvo type="min"/>
        <cfvo type="max"/>
        <color theme="0"/>
        <color rgb="FF5D9732"/>
      </colorScale>
    </cfRule>
  </conditionalFormatting>
  <conditionalFormatting sqref="D86:Q88">
    <cfRule type="colorScale" priority="19">
      <colorScale>
        <cfvo type="min"/>
        <cfvo type="max"/>
        <color theme="0"/>
        <color rgb="FF5D9732"/>
      </colorScale>
    </cfRule>
  </conditionalFormatting>
  <conditionalFormatting sqref="D90:Q92">
    <cfRule type="colorScale" priority="18">
      <colorScale>
        <cfvo type="min"/>
        <cfvo type="max"/>
        <color theme="0"/>
        <color rgb="FF5D9732"/>
      </colorScale>
    </cfRule>
  </conditionalFormatting>
  <conditionalFormatting sqref="D94:Q96">
    <cfRule type="colorScale" priority="17">
      <colorScale>
        <cfvo type="min"/>
        <cfvo type="max"/>
        <color theme="0"/>
        <color rgb="FF5D9732"/>
      </colorScale>
    </cfRule>
  </conditionalFormatting>
  <conditionalFormatting sqref="D98:Q100">
    <cfRule type="colorScale" priority="16">
      <colorScale>
        <cfvo type="min"/>
        <cfvo type="max"/>
        <color theme="0"/>
        <color rgb="FF5D9732"/>
      </colorScale>
    </cfRule>
  </conditionalFormatting>
  <conditionalFormatting sqref="C14:Q16">
    <cfRule type="colorScale" priority="15">
      <colorScale>
        <cfvo type="min"/>
        <cfvo type="max"/>
        <color theme="0"/>
        <color rgb="FF5D9732"/>
      </colorScale>
    </cfRule>
  </conditionalFormatting>
  <conditionalFormatting sqref="C46:Q48">
    <cfRule type="colorScale" priority="14">
      <colorScale>
        <cfvo type="min"/>
        <cfvo type="max"/>
        <color theme="0"/>
        <color rgb="FF5D9732"/>
      </colorScale>
    </cfRule>
  </conditionalFormatting>
  <conditionalFormatting sqref="C54:Q60">
    <cfRule type="colorScale" priority="13">
      <colorScale>
        <cfvo type="min"/>
        <cfvo type="max"/>
        <color theme="0"/>
        <color rgb="FF5D9732"/>
      </colorScale>
    </cfRule>
  </conditionalFormatting>
  <conditionalFormatting sqref="D116:Q118 D113:Q114">
    <cfRule type="colorScale" priority="12">
      <colorScale>
        <cfvo type="min"/>
        <cfvo type="max"/>
        <color rgb="FFFCFCFF"/>
        <color rgb="FF5D9732"/>
      </colorScale>
    </cfRule>
  </conditionalFormatting>
  <conditionalFormatting sqref="D77:Q80">
    <cfRule type="colorScale" priority="29">
      <colorScale>
        <cfvo type="min"/>
        <cfvo type="max"/>
        <color rgb="FFFCFCFF"/>
        <color rgb="FF00B050"/>
      </colorScale>
    </cfRule>
  </conditionalFormatting>
  <conditionalFormatting sqref="D84:Q84">
    <cfRule type="colorScale" priority="8">
      <colorScale>
        <cfvo type="min"/>
        <cfvo type="max"/>
        <color rgb="FFFCFCFF"/>
        <color rgb="FF5D9732"/>
      </colorScale>
    </cfRule>
  </conditionalFormatting>
  <conditionalFormatting sqref="C62:Q65">
    <cfRule type="colorScale" priority="11">
      <colorScale>
        <cfvo type="min"/>
        <cfvo type="max"/>
        <color theme="0"/>
        <color rgb="FF5D9732"/>
      </colorScale>
    </cfRule>
  </conditionalFormatting>
  <conditionalFormatting sqref="C22:Q24">
    <cfRule type="colorScale" priority="10">
      <colorScale>
        <cfvo type="min"/>
        <cfvo type="max"/>
        <color theme="0"/>
        <color rgb="FF5D9732"/>
      </colorScale>
    </cfRule>
  </conditionalFormatting>
  <conditionalFormatting sqref="C26:Q29">
    <cfRule type="colorScale" priority="9">
      <colorScale>
        <cfvo type="min"/>
        <cfvo type="max"/>
        <color theme="0"/>
        <color rgb="FF5D9732"/>
      </colorScale>
    </cfRule>
  </conditionalFormatting>
  <conditionalFormatting sqref="C66:P66">
    <cfRule type="colorScale" priority="7">
      <colorScale>
        <cfvo type="min"/>
        <cfvo type="max"/>
        <color rgb="FFFCFCFF"/>
        <color rgb="FF5D9732"/>
      </colorScale>
    </cfRule>
  </conditionalFormatting>
  <conditionalFormatting sqref="D115:Q115">
    <cfRule type="colorScale" priority="6">
      <colorScale>
        <cfvo type="min"/>
        <cfvo type="max"/>
        <color rgb="FFFCFCFF"/>
        <color rgb="FF5D9732"/>
      </colorScale>
    </cfRule>
  </conditionalFormatting>
  <conditionalFormatting sqref="D106:Q108">
    <cfRule type="colorScale" priority="30">
      <colorScale>
        <cfvo type="min"/>
        <cfvo type="max"/>
        <color rgb="FFFCFCFF"/>
        <color rgb="FF5D9732"/>
      </colorScale>
    </cfRule>
  </conditionalFormatting>
  <conditionalFormatting sqref="D110:Q111">
    <cfRule type="colorScale" priority="31">
      <colorScale>
        <cfvo type="min"/>
        <cfvo type="max"/>
        <color theme="0"/>
        <color rgb="FF5D9732"/>
      </colorScale>
    </cfRule>
  </conditionalFormatting>
  <conditionalFormatting sqref="D102:Q105">
    <cfRule type="colorScale" priority="32">
      <colorScale>
        <cfvo type="min"/>
        <cfvo type="max"/>
        <color theme="0"/>
        <color rgb="FF5D9732"/>
      </colorScale>
    </cfRule>
  </conditionalFormatting>
  <conditionalFormatting sqref="E125:Q125">
    <cfRule type="colorScale" priority="33">
      <colorScale>
        <cfvo type="min"/>
        <cfvo type="max"/>
        <color theme="0"/>
        <color rgb="FF5D9732"/>
      </colorScale>
    </cfRule>
  </conditionalFormatting>
  <conditionalFormatting sqref="D122:Q122 Q121">
    <cfRule type="colorScale" priority="34">
      <colorScale>
        <cfvo type="min"/>
        <cfvo type="max"/>
        <color rgb="FFFCFCFF"/>
        <color rgb="FF5D9732"/>
      </colorScale>
    </cfRule>
  </conditionalFormatting>
  <conditionalFormatting sqref="E125:Q126 F123:Q123">
    <cfRule type="colorScale" priority="35">
      <colorScale>
        <cfvo type="min"/>
        <cfvo type="max"/>
        <color rgb="FFFCFCFF"/>
        <color rgb="FF5D9732"/>
      </colorScale>
    </cfRule>
  </conditionalFormatting>
  <conditionalFormatting sqref="D120:Q120 D121:P121">
    <cfRule type="colorScale" priority="4">
      <colorScale>
        <cfvo type="min"/>
        <cfvo type="max"/>
        <color theme="0"/>
        <color rgb="FF5D9732"/>
      </colorScale>
    </cfRule>
  </conditionalFormatting>
  <conditionalFormatting sqref="D120:Q120 D121:P121">
    <cfRule type="colorScale" priority="5">
      <colorScale>
        <cfvo type="min"/>
        <cfvo type="max"/>
        <color rgb="FFFCFCFF"/>
        <color rgb="FF5D9732"/>
      </colorScale>
    </cfRule>
  </conditionalFormatting>
  <conditionalFormatting sqref="D124:Q124">
    <cfRule type="colorScale" priority="1">
      <colorScale>
        <cfvo type="min"/>
        <cfvo type="max"/>
        <color theme="0"/>
        <color rgb="FF5D9732"/>
      </colorScale>
    </cfRule>
  </conditionalFormatting>
  <pageMargins left="0.7" right="0.7" top="0.75" bottom="0.75" header="0.3" footer="0.3"/>
  <pageSetup orientation="portrait" horizontalDpi="1200" verticalDpi="120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071F65-6835-4930-BE7E-920BD1DB31BA}">
  <sheetPr>
    <tabColor rgb="FF8CC63F"/>
  </sheetPr>
  <dimension ref="A1:Z153"/>
  <sheetViews>
    <sheetView workbookViewId="0">
      <pane ySplit="6" topLeftCell="A34" activePane="bottomLeft" state="frozen"/>
      <selection pane="bottomLeft" activeCell="E86" sqref="E86"/>
    </sheetView>
  </sheetViews>
  <sheetFormatPr defaultRowHeight="14.5" x14ac:dyDescent="0.35"/>
  <cols>
    <col min="1" max="1" width="5.08984375" customWidth="1"/>
    <col min="2" max="2" width="25.1796875" customWidth="1"/>
    <col min="3" max="3" width="7.1796875" bestFit="1" customWidth="1"/>
    <col min="6" max="16" width="9.36328125" bestFit="1" customWidth="1"/>
    <col min="17" max="17" width="10.08984375" customWidth="1"/>
  </cols>
  <sheetData>
    <row r="1" spans="1:20" x14ac:dyDescent="0.35">
      <c r="R1" t="s">
        <v>104</v>
      </c>
    </row>
    <row r="2" spans="1:20" x14ac:dyDescent="0.35">
      <c r="A2" s="30"/>
      <c r="B2" s="7" t="s">
        <v>299</v>
      </c>
      <c r="C2" s="30"/>
      <c r="D2" s="30"/>
      <c r="E2" s="30"/>
      <c r="F2" s="30"/>
      <c r="G2" s="30"/>
      <c r="Q2" s="4" t="s">
        <v>266</v>
      </c>
      <c r="R2" s="23">
        <v>1</v>
      </c>
    </row>
    <row r="3" spans="1:20" x14ac:dyDescent="0.35">
      <c r="C3" t="s">
        <v>373</v>
      </c>
      <c r="Q3" s="4" t="s">
        <v>255</v>
      </c>
      <c r="R3" s="23">
        <v>1</v>
      </c>
      <c r="T3" s="138" t="s">
        <v>133</v>
      </c>
    </row>
    <row r="4" spans="1:20" x14ac:dyDescent="0.35">
      <c r="Q4" s="20" t="s">
        <v>256</v>
      </c>
      <c r="R4" s="20"/>
      <c r="T4" s="138" t="s">
        <v>134</v>
      </c>
    </row>
    <row r="5" spans="1:20" x14ac:dyDescent="0.35">
      <c r="C5" t="s">
        <v>105</v>
      </c>
      <c r="T5" s="138" t="s">
        <v>135</v>
      </c>
    </row>
    <row r="6" spans="1:20" ht="21" x14ac:dyDescent="0.5">
      <c r="B6" s="102"/>
      <c r="C6" s="103">
        <v>2021</v>
      </c>
      <c r="D6" s="103">
        <v>2022</v>
      </c>
      <c r="E6" s="103">
        <f t="shared" ref="E6:Q6" si="0">D6+1</f>
        <v>2023</v>
      </c>
      <c r="F6" s="103">
        <f t="shared" si="0"/>
        <v>2024</v>
      </c>
      <c r="G6" s="103">
        <f t="shared" si="0"/>
        <v>2025</v>
      </c>
      <c r="H6" s="103">
        <f t="shared" si="0"/>
        <v>2026</v>
      </c>
      <c r="I6" s="103">
        <f t="shared" si="0"/>
        <v>2027</v>
      </c>
      <c r="J6" s="103">
        <f t="shared" si="0"/>
        <v>2028</v>
      </c>
      <c r="K6" s="103">
        <f t="shared" si="0"/>
        <v>2029</v>
      </c>
      <c r="L6" s="104">
        <f t="shared" si="0"/>
        <v>2030</v>
      </c>
      <c r="M6" s="103">
        <f t="shared" si="0"/>
        <v>2031</v>
      </c>
      <c r="N6" s="103">
        <f t="shared" si="0"/>
        <v>2032</v>
      </c>
      <c r="O6" s="103">
        <f t="shared" si="0"/>
        <v>2033</v>
      </c>
      <c r="P6" s="103">
        <f t="shared" si="0"/>
        <v>2034</v>
      </c>
      <c r="Q6" s="103">
        <f t="shared" si="0"/>
        <v>2035</v>
      </c>
      <c r="R6" s="112" t="s">
        <v>96</v>
      </c>
      <c r="T6" s="138" t="s">
        <v>136</v>
      </c>
    </row>
    <row r="7" spans="1:20" ht="15.5" x14ac:dyDescent="0.35">
      <c r="A7" s="116" t="s">
        <v>132</v>
      </c>
      <c r="B7" s="117" t="s">
        <v>107</v>
      </c>
      <c r="C7" s="117"/>
      <c r="D7" s="118"/>
      <c r="E7" s="118"/>
      <c r="F7" s="118"/>
      <c r="G7" s="118"/>
      <c r="H7" s="118"/>
      <c r="I7" s="118"/>
      <c r="J7" s="118"/>
      <c r="K7" s="118"/>
      <c r="L7" s="118"/>
      <c r="M7" s="118"/>
      <c r="N7" s="118"/>
      <c r="O7" s="118"/>
      <c r="P7" s="118"/>
      <c r="Q7" s="118"/>
      <c r="R7" s="119"/>
    </row>
    <row r="8" spans="1:20" ht="15.5" x14ac:dyDescent="0.35">
      <c r="A8" s="116"/>
      <c r="B8" s="120" t="s">
        <v>108</v>
      </c>
      <c r="C8" s="120"/>
      <c r="D8" s="116"/>
      <c r="E8" s="116"/>
      <c r="F8" s="116"/>
      <c r="G8" s="116"/>
      <c r="H8" s="116"/>
      <c r="I8" s="116"/>
      <c r="J8" s="116"/>
      <c r="K8" s="116"/>
      <c r="L8" s="116"/>
      <c r="M8" s="116"/>
      <c r="N8" s="116"/>
      <c r="O8" s="116"/>
      <c r="P8" s="116"/>
      <c r="Q8" s="116"/>
      <c r="R8" s="115"/>
    </row>
    <row r="9" spans="1:20" ht="15.5" x14ac:dyDescent="0.35">
      <c r="A9" s="116"/>
      <c r="B9" s="129" t="s">
        <v>350</v>
      </c>
      <c r="C9" s="129"/>
      <c r="D9" s="129"/>
      <c r="E9" s="129"/>
      <c r="F9" s="129"/>
      <c r="G9" s="129"/>
      <c r="H9" s="129"/>
      <c r="I9" s="129"/>
      <c r="J9" s="129"/>
      <c r="K9" s="129"/>
      <c r="L9" s="129"/>
      <c r="M9" s="129"/>
      <c r="N9" s="129"/>
      <c r="O9" s="129"/>
      <c r="P9" s="129"/>
      <c r="Q9" s="129"/>
      <c r="R9" s="130"/>
    </row>
    <row r="10" spans="1:20" ht="15.5" x14ac:dyDescent="0.35">
      <c r="A10" s="121">
        <f>MAX(Assumptions!C$45:C$47)</f>
        <v>1</v>
      </c>
      <c r="B10" s="111">
        <v>12</v>
      </c>
      <c r="C10" s="108" cm="1">
        <f t="array" aca="1" ref="C10" ca="1">INDIRECT("R[36]C["&amp;$A$10&amp;"]",FALSE)</f>
        <v>42.769230769230774</v>
      </c>
      <c r="D10" s="108" cm="1">
        <f t="array" aca="1" ref="D10" ca="1">INDIRECT("R[36]C["&amp;$A$10&amp;"]",FALSE)</f>
        <v>261.79487179487182</v>
      </c>
      <c r="E10" s="108" cm="1">
        <f t="array" aca="1" ref="E10" ca="1">INDIRECT("R[36]C["&amp;$A$10&amp;"]",FALSE)</f>
        <v>187.5128205128205</v>
      </c>
      <c r="F10" s="108" cm="1">
        <f t="array" aca="1" ref="F10" ca="1">INDIRECT("R[36]C["&amp;$A$10&amp;"]",FALSE)</f>
        <v>60.666666666666664</v>
      </c>
      <c r="G10" s="108" cm="1">
        <f t="array" aca="1" ref="G10" ca="1">INDIRECT("R[36]C["&amp;$A$10&amp;"]",FALSE)</f>
        <v>0</v>
      </c>
      <c r="H10" s="108" cm="1">
        <f t="array" aca="1" ref="H10" ca="1">INDIRECT("R[36]C["&amp;$A$10&amp;"]",FALSE)</f>
        <v>0</v>
      </c>
      <c r="I10" s="108" cm="1">
        <f t="array" aca="1" ref="I10" ca="1">INDIRECT("R[36]C["&amp;$A$10&amp;"]",FALSE)</f>
        <v>0</v>
      </c>
      <c r="J10" s="108" cm="1">
        <f t="array" aca="1" ref="J10" ca="1">INDIRECT("R[36]C["&amp;$A$10&amp;"]",FALSE)</f>
        <v>0</v>
      </c>
      <c r="K10" s="108" cm="1">
        <f t="array" aca="1" ref="K10" ca="1">INDIRECT("R[36]C["&amp;$A$10&amp;"]",FALSE)</f>
        <v>0</v>
      </c>
      <c r="L10" s="108" cm="1">
        <f t="array" aca="1" ref="L10" ca="1">INDIRECT("R[36]C["&amp;$A$10&amp;"]",FALSE)</f>
        <v>0</v>
      </c>
      <c r="M10" s="108" cm="1">
        <f t="array" aca="1" ref="M10" ca="1">INDIRECT("R[36]C["&amp;$A$10&amp;"]",FALSE)</f>
        <v>0</v>
      </c>
      <c r="N10" s="108" cm="1">
        <f t="array" aca="1" ref="N10" ca="1">INDIRECT("R[36]C["&amp;$A$10&amp;"]",FALSE)</f>
        <v>0</v>
      </c>
      <c r="O10" s="108" cm="1">
        <f t="array" aca="1" ref="O10" ca="1">INDIRECT("R[36]C["&amp;$A$10&amp;"]",FALSE)</f>
        <v>0</v>
      </c>
      <c r="P10" s="110"/>
      <c r="Q10" s="110"/>
      <c r="R10" s="113">
        <f ca="1">SUM(C10:P10)</f>
        <v>552.74358974358972</v>
      </c>
    </row>
    <row r="11" spans="1:20" ht="15.5" x14ac:dyDescent="0.35">
      <c r="A11" s="121">
        <f>MAX(Assumptions!C$45:C$47)</f>
        <v>1</v>
      </c>
      <c r="B11" s="111">
        <v>15</v>
      </c>
      <c r="C11" s="108" cm="1">
        <f t="array" aca="1" ref="C11" ca="1">INDIRECT("R[36]C["&amp;$A$11&amp;"]",FALSE)</f>
        <v>0</v>
      </c>
      <c r="D11" s="108" cm="1">
        <f t="array" aca="1" ref="D11" ca="1">INDIRECT("R[36]C["&amp;$A$11&amp;"]",FALSE)</f>
        <v>76.52100840336135</v>
      </c>
      <c r="E11" s="108" cm="1">
        <f t="array" aca="1" ref="E11" ca="1">INDIRECT("R[36]C["&amp;$A$11&amp;"]",FALSE)</f>
        <v>102.33333333333334</v>
      </c>
      <c r="F11" s="108" cm="1">
        <f t="array" aca="1" ref="F11" ca="1">INDIRECT("R[36]C["&amp;$A$11&amp;"]",FALSE)</f>
        <v>183.06666666666666</v>
      </c>
      <c r="G11" s="108" cm="1">
        <f t="array" aca="1" ref="G11" ca="1">INDIRECT("R[36]C["&amp;$A$11&amp;"]",FALSE)</f>
        <v>193.64</v>
      </c>
      <c r="H11" s="108" cm="1">
        <f t="array" aca="1" ref="H11" ca="1">INDIRECT("R[36]C["&amp;$A$11&amp;"]",FALSE)</f>
        <v>375.06625590388217</v>
      </c>
      <c r="I11" s="108" cm="1">
        <f t="array" aca="1" ref="I11" ca="1">INDIRECT("R[36]C["&amp;$A$11&amp;"]",FALSE)</f>
        <v>152.93333333333334</v>
      </c>
      <c r="J11" s="108" cm="1">
        <f t="array" aca="1" ref="J11" ca="1">INDIRECT("R[36]C["&amp;$A$11&amp;"]",FALSE)</f>
        <v>315.26251267836159</v>
      </c>
      <c r="K11" s="108" cm="1">
        <f t="array" aca="1" ref="K11" ca="1">INDIRECT("R[36]C["&amp;$A$11&amp;"]",FALSE)</f>
        <v>0</v>
      </c>
      <c r="L11" s="108" cm="1">
        <f t="array" aca="1" ref="L11" ca="1">INDIRECT("R[36]C["&amp;$A$11&amp;"]",FALSE)</f>
        <v>0</v>
      </c>
      <c r="M11" s="108" cm="1">
        <f t="array" aca="1" ref="M11" ca="1">INDIRECT("R[36]C["&amp;$A$11&amp;"]",FALSE)</f>
        <v>0</v>
      </c>
      <c r="N11" s="108" cm="1">
        <f t="array" aca="1" ref="N11" ca="1">INDIRECT("R[36]C["&amp;$A$11&amp;"]",FALSE)</f>
        <v>0</v>
      </c>
      <c r="O11" s="108" cm="1">
        <f t="array" aca="1" ref="O11" ca="1">INDIRECT("R[36]C["&amp;$A$11&amp;"]",FALSE)</f>
        <v>0</v>
      </c>
      <c r="P11" s="110"/>
      <c r="Q11" s="110"/>
      <c r="R11" s="113">
        <f t="shared" ref="R11:R12" ca="1" si="1">SUM(C11:P11)</f>
        <v>1398.8231103189385</v>
      </c>
    </row>
    <row r="12" spans="1:20" ht="15.5" x14ac:dyDescent="0.35">
      <c r="A12" s="121">
        <f>MAX(Assumptions!C$45:C$47)</f>
        <v>1</v>
      </c>
      <c r="B12" s="111">
        <v>18</v>
      </c>
      <c r="C12" s="108" cm="1">
        <f t="array" aca="1" ref="C12" ca="1">INDIRECT("R[36]C["&amp;$A$12&amp;"]",FALSE)</f>
        <v>0</v>
      </c>
      <c r="D12" s="108" cm="1">
        <f t="array" aca="1" ref="D12" ca="1">INDIRECT("R[36]C["&amp;$A$12&amp;"]",FALSE)</f>
        <v>0</v>
      </c>
      <c r="E12" s="108" cm="1">
        <f t="array" aca="1" ref="E12" ca="1">INDIRECT("R[36]C["&amp;$A$12&amp;"]",FALSE)</f>
        <v>0</v>
      </c>
      <c r="F12" s="108" cm="1">
        <f t="array" aca="1" ref="F12" ca="1">INDIRECT("R[36]C["&amp;$A$12&amp;"]",FALSE)</f>
        <v>0</v>
      </c>
      <c r="G12" s="108" cm="1">
        <f t="array" aca="1" ref="G12" ca="1">INDIRECT("R[36]C["&amp;$A$12&amp;"]",FALSE)</f>
        <v>0</v>
      </c>
      <c r="H12" s="108" cm="1">
        <f t="array" aca="1" ref="H12" ca="1">INDIRECT("R[36]C["&amp;$A$12&amp;"]",FALSE)</f>
        <v>0</v>
      </c>
      <c r="I12" s="108" cm="1">
        <f t="array" aca="1" ref="I12" ca="1">INDIRECT("R[36]C["&amp;$A$12&amp;"]",FALSE)</f>
        <v>0</v>
      </c>
      <c r="J12" s="108" cm="1">
        <f t="array" aca="1" ref="J12" ca="1">INDIRECT("R[36]C["&amp;$A$12&amp;"]",FALSE)</f>
        <v>0</v>
      </c>
      <c r="K12" s="108" cm="1">
        <f t="array" aca="1" ref="K12" ca="1">INDIRECT("R[36]C["&amp;$A$12&amp;"]",FALSE)</f>
        <v>166.78543772010551</v>
      </c>
      <c r="L12" s="108" cm="1">
        <f t="array" aca="1" ref="L12" ca="1">INDIRECT("R[36]C["&amp;$A$12&amp;"]",FALSE)</f>
        <v>300.62599050437262</v>
      </c>
      <c r="M12" s="108" cm="1">
        <f t="array" aca="1" ref="M12" ca="1">INDIRECT("R[36]C["&amp;$A$12&amp;"]",FALSE)</f>
        <v>198.16666666666666</v>
      </c>
      <c r="N12" s="108" cm="1">
        <f t="array" aca="1" ref="N12" ca="1">INDIRECT("R[36]C["&amp;$A$12&amp;"]",FALSE)</f>
        <v>135.63842336953189</v>
      </c>
      <c r="O12" s="108" cm="1">
        <f t="array" aca="1" ref="O12" ca="1">INDIRECT("R[36]C["&amp;$A$12&amp;"]",FALSE)</f>
        <v>51.333333333333336</v>
      </c>
      <c r="P12" s="110"/>
      <c r="Q12" s="110"/>
      <c r="R12" s="113">
        <f t="shared" ca="1" si="1"/>
        <v>852.54985159401008</v>
      </c>
      <c r="S12" t="s">
        <v>91</v>
      </c>
    </row>
    <row r="13" spans="1:20" ht="15.5" x14ac:dyDescent="0.35">
      <c r="A13" s="116"/>
      <c r="B13" s="129" t="s">
        <v>351</v>
      </c>
      <c r="C13" s="129"/>
      <c r="D13" s="129"/>
      <c r="E13" s="129"/>
      <c r="F13" s="129"/>
      <c r="G13" s="129"/>
      <c r="H13" s="129"/>
      <c r="I13" s="129"/>
      <c r="J13" s="129"/>
      <c r="K13" s="129"/>
      <c r="L13" s="129"/>
      <c r="M13" s="129"/>
      <c r="N13" s="129"/>
      <c r="O13" s="129"/>
      <c r="P13" s="129"/>
      <c r="Q13" s="129"/>
      <c r="R13" s="130"/>
    </row>
    <row r="14" spans="1:20" ht="15.5" x14ac:dyDescent="0.35">
      <c r="A14" s="121">
        <f>Assumptions!C$45</f>
        <v>1</v>
      </c>
      <c r="B14" s="111">
        <v>12</v>
      </c>
      <c r="C14" s="108" cm="1">
        <f t="array" aca="1" ref="C14" ca="1">INDIRECT("R[36]C["&amp;$A$14&amp;"]",FALSE)</f>
        <v>128.30769230769232</v>
      </c>
      <c r="D14" s="108" cm="1">
        <f t="array" aca="1" ref="D14" ca="1">INDIRECT("R[36]C["&amp;$A$14&amp;"]",FALSE)</f>
        <v>785.38461538461547</v>
      </c>
      <c r="E14" s="108" cm="1">
        <f t="array" aca="1" ref="E14" ca="1">INDIRECT("R[36]C["&amp;$A$14&amp;"]",FALSE)</f>
        <v>562.53846153846143</v>
      </c>
      <c r="F14" s="108" cm="1">
        <f t="array" aca="1" ref="F14" ca="1">INDIRECT("R[36]C["&amp;$A$14&amp;"]",FALSE)</f>
        <v>182</v>
      </c>
      <c r="G14" s="108" cm="1">
        <f t="array" aca="1" ref="G14" ca="1">INDIRECT("R[36]C["&amp;$A$14&amp;"]",FALSE)</f>
        <v>0</v>
      </c>
      <c r="H14" s="108" cm="1">
        <f t="array" aca="1" ref="H14" ca="1">INDIRECT("R[36]C["&amp;$A$14&amp;"]",FALSE)</f>
        <v>0</v>
      </c>
      <c r="I14" s="108" cm="1">
        <f t="array" aca="1" ref="I14" ca="1">INDIRECT("R[36]C["&amp;$A$14&amp;"]",FALSE)</f>
        <v>0</v>
      </c>
      <c r="J14" s="108" cm="1">
        <f t="array" aca="1" ref="J14" ca="1">INDIRECT("R[36]C["&amp;$A$14&amp;"]",FALSE)</f>
        <v>0</v>
      </c>
      <c r="K14" s="108" cm="1">
        <f t="array" aca="1" ref="K14" ca="1">INDIRECT("R[36]C["&amp;$A$14&amp;"]",FALSE)</f>
        <v>0</v>
      </c>
      <c r="L14" s="108" cm="1">
        <f t="array" aca="1" ref="L14" ca="1">INDIRECT("R[36]C["&amp;$A$14&amp;"]",FALSE)</f>
        <v>0</v>
      </c>
      <c r="M14" s="108" cm="1">
        <f t="array" aca="1" ref="M14" ca="1">INDIRECT("R[36]C["&amp;$A$14&amp;"]",FALSE)</f>
        <v>0</v>
      </c>
      <c r="N14" s="108" cm="1">
        <f t="array" aca="1" ref="N14" ca="1">INDIRECT("R[36]C["&amp;$A$14&amp;"]",FALSE)</f>
        <v>0</v>
      </c>
      <c r="O14" s="108" cm="1">
        <f t="array" aca="1" ref="O14" ca="1">INDIRECT("R[36]C["&amp;$A$14&amp;"]",FALSE)</f>
        <v>0</v>
      </c>
      <c r="P14" s="106"/>
      <c r="Q14" s="106"/>
      <c r="R14" s="113">
        <f ca="1">SUM(C14:P14)</f>
        <v>1658.2307692307693</v>
      </c>
    </row>
    <row r="15" spans="1:20" ht="15.5" x14ac:dyDescent="0.35">
      <c r="A15" s="121">
        <f>Assumptions!C$45</f>
        <v>1</v>
      </c>
      <c r="B15" s="111">
        <v>15</v>
      </c>
      <c r="C15" s="108" cm="1">
        <f t="array" aca="1" ref="C15" ca="1">INDIRECT("R[36]C["&amp;$A$15&amp;"]",FALSE)</f>
        <v>0</v>
      </c>
      <c r="D15" s="108" cm="1">
        <f t="array" aca="1" ref="D15" ca="1">INDIRECT("R[36]C["&amp;$A$15&amp;"]",FALSE)</f>
        <v>229.56302521008405</v>
      </c>
      <c r="E15" s="108" cm="1">
        <f t="array" aca="1" ref="E15" ca="1">INDIRECT("R[36]C["&amp;$A$15&amp;"]",FALSE)</f>
        <v>307</v>
      </c>
      <c r="F15" s="108" cm="1">
        <f t="array" aca="1" ref="F15" ca="1">INDIRECT("R[36]C["&amp;$A$15&amp;"]",FALSE)</f>
        <v>549.20000000000005</v>
      </c>
      <c r="G15" s="108" cm="1">
        <f t="array" aca="1" ref="G15" ca="1">INDIRECT("R[36]C["&amp;$A$15&amp;"]",FALSE)</f>
        <v>580.91999999999996</v>
      </c>
      <c r="H15" s="108" cm="1">
        <f t="array" aca="1" ref="H15" ca="1">INDIRECT("R[36]C["&amp;$A$15&amp;"]",FALSE)</f>
        <v>1125.1987677116465</v>
      </c>
      <c r="I15" s="108" cm="1">
        <f t="array" aca="1" ref="I15" ca="1">INDIRECT("R[36]C["&amp;$A$15&amp;"]",FALSE)</f>
        <v>458.8</v>
      </c>
      <c r="J15" s="108" cm="1">
        <f t="array" aca="1" ref="J15" ca="1">INDIRECT("R[36]C["&amp;$A$15&amp;"]",FALSE)</f>
        <v>945.78753803508471</v>
      </c>
      <c r="K15" s="108" cm="1">
        <f t="array" aca="1" ref="K15" ca="1">INDIRECT("R[36]C["&amp;$A$15&amp;"]",FALSE)</f>
        <v>0</v>
      </c>
      <c r="L15" s="108" cm="1">
        <f t="array" aca="1" ref="L15" ca="1">INDIRECT("R[36]C["&amp;$A$15&amp;"]",FALSE)</f>
        <v>0</v>
      </c>
      <c r="M15" s="108" cm="1">
        <f t="array" aca="1" ref="M15" ca="1">INDIRECT("R[36]C["&amp;$A$15&amp;"]",FALSE)</f>
        <v>0</v>
      </c>
      <c r="N15" s="108" cm="1">
        <f t="array" aca="1" ref="N15" ca="1">INDIRECT("R[36]C["&amp;$A$15&amp;"]",FALSE)</f>
        <v>0</v>
      </c>
      <c r="O15" s="108" cm="1">
        <f t="array" aca="1" ref="O15" ca="1">INDIRECT("R[36]C["&amp;$A$15&amp;"]",FALSE)</f>
        <v>0</v>
      </c>
      <c r="P15" s="106"/>
      <c r="Q15" s="106"/>
      <c r="R15" s="113">
        <f t="shared" ref="R15:R16" ca="1" si="2">SUM(C15:P15)</f>
        <v>4196.4693309568156</v>
      </c>
    </row>
    <row r="16" spans="1:20" ht="15.5" x14ac:dyDescent="0.35">
      <c r="A16" s="121">
        <f>Assumptions!C$45</f>
        <v>1</v>
      </c>
      <c r="B16" s="111">
        <v>18</v>
      </c>
      <c r="C16" s="108" cm="1">
        <f t="array" aca="1" ref="C16" ca="1">INDIRECT("R[36]C["&amp;$A$16&amp;"]",FALSE)</f>
        <v>0</v>
      </c>
      <c r="D16" s="108" cm="1">
        <f t="array" aca="1" ref="D16" ca="1">INDIRECT("R[36]C["&amp;$A$16&amp;"]",FALSE)</f>
        <v>0</v>
      </c>
      <c r="E16" s="108" cm="1">
        <f t="array" aca="1" ref="E16" ca="1">INDIRECT("R[36]C["&amp;$A$16&amp;"]",FALSE)</f>
        <v>0</v>
      </c>
      <c r="F16" s="108" cm="1">
        <f t="array" aca="1" ref="F16" ca="1">INDIRECT("R[36]C["&amp;$A$16&amp;"]",FALSE)</f>
        <v>0</v>
      </c>
      <c r="G16" s="108" cm="1">
        <f t="array" aca="1" ref="G16" ca="1">INDIRECT("R[36]C["&amp;$A$16&amp;"]",FALSE)</f>
        <v>0</v>
      </c>
      <c r="H16" s="108" cm="1">
        <f t="array" aca="1" ref="H16" ca="1">INDIRECT("R[36]C["&amp;$A$16&amp;"]",FALSE)</f>
        <v>0</v>
      </c>
      <c r="I16" s="108" cm="1">
        <f t="array" aca="1" ref="I16" ca="1">INDIRECT("R[36]C["&amp;$A$16&amp;"]",FALSE)</f>
        <v>0</v>
      </c>
      <c r="J16" s="108" cm="1">
        <f t="array" aca="1" ref="J16" ca="1">INDIRECT("R[36]C["&amp;$A$16&amp;"]",FALSE)</f>
        <v>0</v>
      </c>
      <c r="K16" s="108" cm="1">
        <f t="array" aca="1" ref="K16" ca="1">INDIRECT("R[36]C["&amp;$A$16&amp;"]",FALSE)</f>
        <v>500.35631316031652</v>
      </c>
      <c r="L16" s="108" cm="1">
        <f t="array" aca="1" ref="L16" ca="1">INDIRECT("R[36]C["&amp;$A$16&amp;"]",FALSE)</f>
        <v>901.87797151311793</v>
      </c>
      <c r="M16" s="108" cm="1">
        <f t="array" aca="1" ref="M16" ca="1">INDIRECT("R[36]C["&amp;$A$16&amp;"]",FALSE)</f>
        <v>594.5</v>
      </c>
      <c r="N16" s="108" cm="1">
        <f t="array" aca="1" ref="N16" ca="1">INDIRECT("R[36]C["&amp;$A$16&amp;"]",FALSE)</f>
        <v>406.91527010859568</v>
      </c>
      <c r="O16" s="108" cm="1">
        <f t="array" aca="1" ref="O16" ca="1">INDIRECT("R[36]C["&amp;$A$16&amp;"]",FALSE)</f>
        <v>154</v>
      </c>
      <c r="P16" s="106"/>
      <c r="Q16" s="106"/>
      <c r="R16" s="113">
        <f t="shared" ca="1" si="2"/>
        <v>2557.6495547820305</v>
      </c>
    </row>
    <row r="17" spans="1:18" ht="15.5" x14ac:dyDescent="0.35">
      <c r="A17" s="116"/>
      <c r="B17" s="129" t="s">
        <v>114</v>
      </c>
      <c r="C17" s="129"/>
      <c r="D17" s="129"/>
      <c r="E17" s="129"/>
      <c r="F17" s="129"/>
      <c r="G17" s="129"/>
      <c r="H17" s="129"/>
      <c r="I17" s="129"/>
      <c r="J17" s="129"/>
      <c r="K17" s="129"/>
      <c r="L17" s="129"/>
      <c r="M17" s="129"/>
      <c r="N17" s="129"/>
      <c r="O17" s="129"/>
      <c r="P17" s="129"/>
      <c r="Q17" s="129"/>
      <c r="R17" s="130"/>
    </row>
    <row r="18" spans="1:18" ht="15.5" x14ac:dyDescent="0.35">
      <c r="A18" s="121">
        <f>Assumptions!C46</f>
        <v>1</v>
      </c>
      <c r="B18" s="111">
        <v>12</v>
      </c>
      <c r="C18" s="108" cm="1">
        <f t="array" aca="1" ref="C18" ca="1">INDIRECT("R[36]C["&amp;$A$18&amp;"]",FALSE)</f>
        <v>42.769230769230774</v>
      </c>
      <c r="D18" s="108" cm="1">
        <f t="array" aca="1" ref="D18" ca="1">INDIRECT("R[36]C["&amp;$A$18&amp;"]",FALSE)</f>
        <v>261.79487179487182</v>
      </c>
      <c r="E18" s="108" cm="1">
        <f t="array" aca="1" ref="E18" ca="1">INDIRECT("R[36]C["&amp;$A$18&amp;"]",FALSE)</f>
        <v>187.5128205128205</v>
      </c>
      <c r="F18" s="108" cm="1">
        <f t="array" aca="1" ref="F18" ca="1">INDIRECT("R[36]C["&amp;$A$18&amp;"]",FALSE)</f>
        <v>60.666666666666664</v>
      </c>
      <c r="G18" s="108" cm="1">
        <f t="array" aca="1" ref="G18" ca="1">INDIRECT("R[36]C["&amp;$A$18&amp;"]",FALSE)</f>
        <v>0</v>
      </c>
      <c r="H18" s="108" cm="1">
        <f t="array" aca="1" ref="H18" ca="1">INDIRECT("R[36]C["&amp;$A$18&amp;"]",FALSE)</f>
        <v>0</v>
      </c>
      <c r="I18" s="108" cm="1">
        <f t="array" aca="1" ref="I18" ca="1">INDIRECT("R[36]C["&amp;$A$18&amp;"]",FALSE)</f>
        <v>0</v>
      </c>
      <c r="J18" s="108" cm="1">
        <f t="array" aca="1" ref="J18" ca="1">INDIRECT("R[36]C["&amp;$A$18&amp;"]",FALSE)</f>
        <v>0</v>
      </c>
      <c r="K18" s="108" cm="1">
        <f t="array" aca="1" ref="K18" ca="1">INDIRECT("R[36]C["&amp;$A$18&amp;"]",FALSE)</f>
        <v>0</v>
      </c>
      <c r="L18" s="108" cm="1">
        <f t="array" aca="1" ref="L18" ca="1">INDIRECT("R[36]C["&amp;$A$18&amp;"]",FALSE)</f>
        <v>0</v>
      </c>
      <c r="M18" s="108" cm="1">
        <f t="array" aca="1" ref="M18" ca="1">INDIRECT("R[36]C["&amp;$A$18&amp;"]",FALSE)</f>
        <v>0</v>
      </c>
      <c r="N18" s="108" cm="1">
        <f t="array" aca="1" ref="N18" ca="1">INDIRECT("R[36]C["&amp;$A$18&amp;"]",FALSE)</f>
        <v>0</v>
      </c>
      <c r="O18" s="108" cm="1">
        <f t="array" aca="1" ref="O18" ca="1">INDIRECT("R[36]C["&amp;$A$18&amp;"]",FALSE)</f>
        <v>0</v>
      </c>
      <c r="P18" s="106"/>
      <c r="Q18" s="106"/>
      <c r="R18" s="113">
        <f ca="1">SUM(C18:P18)</f>
        <v>552.74358974358972</v>
      </c>
    </row>
    <row r="19" spans="1:18" ht="15.5" x14ac:dyDescent="0.35">
      <c r="A19" s="121">
        <f>A18</f>
        <v>1</v>
      </c>
      <c r="B19" s="111">
        <v>15</v>
      </c>
      <c r="C19" s="108" cm="1">
        <f t="array" aca="1" ref="C19" ca="1">INDIRECT("R[36]C["&amp;$A$19&amp;"]",FALSE)</f>
        <v>0</v>
      </c>
      <c r="D19" s="108" cm="1">
        <f t="array" aca="1" ref="D19" ca="1">INDIRECT("R[36]C["&amp;$A$19&amp;"]",FALSE)</f>
        <v>76.52100840336135</v>
      </c>
      <c r="E19" s="108" cm="1">
        <f t="array" aca="1" ref="E19" ca="1">INDIRECT("R[36]C["&amp;$A$19&amp;"]",FALSE)</f>
        <v>102.33333333333334</v>
      </c>
      <c r="F19" s="108" cm="1">
        <f t="array" aca="1" ref="F19" ca="1">INDIRECT("R[36]C["&amp;$A$19&amp;"]",FALSE)</f>
        <v>183.06666666666666</v>
      </c>
      <c r="G19" s="108" cm="1">
        <f t="array" aca="1" ref="G19" ca="1">INDIRECT("R[36]C["&amp;$A$19&amp;"]",FALSE)</f>
        <v>193.64</v>
      </c>
      <c r="H19" s="108" cm="1">
        <f t="array" aca="1" ref="H19" ca="1">INDIRECT("R[36]C["&amp;$A$19&amp;"]",FALSE)</f>
        <v>375.06625590388217</v>
      </c>
      <c r="I19" s="108" cm="1">
        <f t="array" aca="1" ref="I19" ca="1">INDIRECT("R[36]C["&amp;$A$19&amp;"]",FALSE)</f>
        <v>152.93333333333334</v>
      </c>
      <c r="J19" s="108" cm="1">
        <f t="array" aca="1" ref="J19" ca="1">INDIRECT("R[36]C["&amp;$A$19&amp;"]",FALSE)</f>
        <v>315.26251267836159</v>
      </c>
      <c r="K19" s="108" cm="1">
        <f t="array" aca="1" ref="K19" ca="1">INDIRECT("R[36]C["&amp;$A$19&amp;"]",FALSE)</f>
        <v>0</v>
      </c>
      <c r="L19" s="108" cm="1">
        <f t="array" aca="1" ref="L19" ca="1">INDIRECT("R[36]C["&amp;$A$19&amp;"]",FALSE)</f>
        <v>0</v>
      </c>
      <c r="M19" s="108" cm="1">
        <f t="array" aca="1" ref="M19" ca="1">INDIRECT("R[36]C["&amp;$A$19&amp;"]",FALSE)</f>
        <v>0</v>
      </c>
      <c r="N19" s="108" cm="1">
        <f t="array" aca="1" ref="N19" ca="1">INDIRECT("R[36]C["&amp;$A$19&amp;"]",FALSE)</f>
        <v>0</v>
      </c>
      <c r="O19" s="108" cm="1">
        <f t="array" aca="1" ref="O19" ca="1">INDIRECT("R[36]C["&amp;$A$19&amp;"]",FALSE)</f>
        <v>0</v>
      </c>
      <c r="P19" s="106"/>
      <c r="Q19" s="106"/>
      <c r="R19" s="113">
        <f t="shared" ref="R19:R20" ca="1" si="3">SUM(C19:P19)</f>
        <v>1398.8231103189385</v>
      </c>
    </row>
    <row r="20" spans="1:18" ht="15.5" x14ac:dyDescent="0.35">
      <c r="A20" s="121">
        <f>A18</f>
        <v>1</v>
      </c>
      <c r="B20" s="111">
        <v>18</v>
      </c>
      <c r="C20" s="108" cm="1">
        <f t="array" aca="1" ref="C20" ca="1">INDIRECT("R[36]C["&amp;$A$20&amp;"]",FALSE)</f>
        <v>0</v>
      </c>
      <c r="D20" s="108" cm="1">
        <f t="array" aca="1" ref="D20" ca="1">INDIRECT("R[36]C["&amp;$A$20&amp;"]",FALSE)</f>
        <v>0</v>
      </c>
      <c r="E20" s="108" cm="1">
        <f t="array" aca="1" ref="E20" ca="1">INDIRECT("R[36]C["&amp;$A$20&amp;"]",FALSE)</f>
        <v>0</v>
      </c>
      <c r="F20" s="108" cm="1">
        <f t="array" aca="1" ref="F20" ca="1">INDIRECT("R[36]C["&amp;$A$20&amp;"]",FALSE)</f>
        <v>0</v>
      </c>
      <c r="G20" s="108" cm="1">
        <f t="array" aca="1" ref="G20" ca="1">INDIRECT("R[36]C["&amp;$A$20&amp;"]",FALSE)</f>
        <v>0</v>
      </c>
      <c r="H20" s="108" cm="1">
        <f t="array" aca="1" ref="H20" ca="1">INDIRECT("R[36]C["&amp;$A$20&amp;"]",FALSE)</f>
        <v>0</v>
      </c>
      <c r="I20" s="108" cm="1">
        <f t="array" aca="1" ref="I20" ca="1">INDIRECT("R[36]C["&amp;$A$20&amp;"]",FALSE)</f>
        <v>0</v>
      </c>
      <c r="J20" s="108" cm="1">
        <f t="array" aca="1" ref="J20" ca="1">INDIRECT("R[36]C["&amp;$A$20&amp;"]",FALSE)</f>
        <v>0</v>
      </c>
      <c r="K20" s="108" cm="1">
        <f t="array" aca="1" ref="K20" ca="1">INDIRECT("R[36]C["&amp;$A$20&amp;"]",FALSE)</f>
        <v>166.78543772010551</v>
      </c>
      <c r="L20" s="108" cm="1">
        <f t="array" aca="1" ref="L20" ca="1">INDIRECT("R[36]C["&amp;$A$20&amp;"]",FALSE)</f>
        <v>300.62599050437262</v>
      </c>
      <c r="M20" s="108" cm="1">
        <f t="array" aca="1" ref="M20" ca="1">INDIRECT("R[36]C["&amp;$A$20&amp;"]",FALSE)</f>
        <v>198.16666666666666</v>
      </c>
      <c r="N20" s="108" cm="1">
        <f t="array" aca="1" ref="N20" ca="1">INDIRECT("R[36]C["&amp;$A$20&amp;"]",FALSE)</f>
        <v>135.63842336953189</v>
      </c>
      <c r="O20" s="108" cm="1">
        <f t="array" aca="1" ref="O20" ca="1">INDIRECT("R[36]C["&amp;$A$20&amp;"]",FALSE)</f>
        <v>51.333333333333336</v>
      </c>
      <c r="P20" s="106"/>
      <c r="Q20" s="106"/>
      <c r="R20" s="113">
        <f t="shared" ca="1" si="3"/>
        <v>852.54985159401008</v>
      </c>
    </row>
    <row r="21" spans="1:18" ht="15.5" x14ac:dyDescent="0.35">
      <c r="A21" s="116"/>
      <c r="B21" s="129" t="s">
        <v>352</v>
      </c>
      <c r="C21" s="129"/>
      <c r="D21" s="129"/>
      <c r="E21" s="129"/>
      <c r="F21" s="129"/>
      <c r="G21" s="129"/>
      <c r="H21" s="129"/>
      <c r="I21" s="129"/>
      <c r="J21" s="129"/>
      <c r="K21" s="129"/>
      <c r="L21" s="129"/>
      <c r="M21" s="129"/>
      <c r="N21" s="129"/>
      <c r="O21" s="129"/>
      <c r="P21" s="129"/>
      <c r="Q21" s="129"/>
      <c r="R21" s="130"/>
    </row>
    <row r="22" spans="1:18" ht="15.5" x14ac:dyDescent="0.35">
      <c r="A22" s="121">
        <f>Assumptions!C47</f>
        <v>1</v>
      </c>
      <c r="B22" s="111">
        <v>12</v>
      </c>
      <c r="C22" s="108" cm="1">
        <f t="array" aca="1" ref="C22" ca="1">INDIRECT("R[36]C["&amp;$A$22&amp;"]",FALSE)</f>
        <v>42.769230769230774</v>
      </c>
      <c r="D22" s="108" cm="1">
        <f t="array" aca="1" ref="D22" ca="1">INDIRECT("R[36]C["&amp;$A$18&amp;"]",FALSE)</f>
        <v>261.79487179487182</v>
      </c>
      <c r="E22" s="108" cm="1">
        <f t="array" aca="1" ref="E22" ca="1">INDIRECT("R[36]C["&amp;$A$18&amp;"]",FALSE)</f>
        <v>187.5128205128205</v>
      </c>
      <c r="F22" s="108" cm="1">
        <f t="array" aca="1" ref="F22" ca="1">INDIRECT("R[36]C["&amp;$A$18&amp;"]",FALSE)</f>
        <v>60.666666666666664</v>
      </c>
      <c r="G22" s="108" cm="1">
        <f t="array" aca="1" ref="G22" ca="1">INDIRECT("R[36]C["&amp;$A$18&amp;"]",FALSE)</f>
        <v>0</v>
      </c>
      <c r="H22" s="108" cm="1">
        <f t="array" aca="1" ref="H22" ca="1">INDIRECT("R[36]C["&amp;$A$18&amp;"]",FALSE)</f>
        <v>0</v>
      </c>
      <c r="I22" s="108" cm="1">
        <f t="array" aca="1" ref="I22" ca="1">INDIRECT("R[36]C["&amp;$A$18&amp;"]",FALSE)</f>
        <v>0</v>
      </c>
      <c r="J22" s="108" cm="1">
        <f t="array" aca="1" ref="J22" ca="1">INDIRECT("R[36]C["&amp;$A$18&amp;"]",FALSE)</f>
        <v>0</v>
      </c>
      <c r="K22" s="108" cm="1">
        <f t="array" aca="1" ref="K22" ca="1">INDIRECT("R[36]C["&amp;$A$18&amp;"]",FALSE)</f>
        <v>0</v>
      </c>
      <c r="L22" s="108" cm="1">
        <f t="array" aca="1" ref="L22" ca="1">INDIRECT("R[36]C["&amp;$A$18&amp;"]",FALSE)</f>
        <v>0</v>
      </c>
      <c r="M22" s="108" cm="1">
        <f t="array" aca="1" ref="M22" ca="1">INDIRECT("R[36]C["&amp;$A$18&amp;"]",FALSE)</f>
        <v>0</v>
      </c>
      <c r="N22" s="108" cm="1">
        <f t="array" aca="1" ref="N22" ca="1">INDIRECT("R[36]C["&amp;$A$18&amp;"]",FALSE)</f>
        <v>0</v>
      </c>
      <c r="O22" s="108" cm="1">
        <f t="array" aca="1" ref="O22" ca="1">INDIRECT("R[36]C["&amp;$A$18&amp;"]",FALSE)</f>
        <v>0</v>
      </c>
      <c r="P22" s="111"/>
      <c r="Q22" s="111"/>
      <c r="R22" s="113">
        <f ca="1">SUM(C22:P22)</f>
        <v>552.74358974358972</v>
      </c>
    </row>
    <row r="23" spans="1:18" ht="15.5" x14ac:dyDescent="0.35">
      <c r="A23" s="121">
        <f>A22</f>
        <v>1</v>
      </c>
      <c r="B23" s="111">
        <v>15</v>
      </c>
      <c r="C23" s="108" cm="1">
        <f t="array" aca="1" ref="C23" ca="1">INDIRECT("R[36]C["&amp;$A$23&amp;"]",FALSE)</f>
        <v>0</v>
      </c>
      <c r="D23" s="108" cm="1">
        <f t="array" aca="1" ref="D23" ca="1">INDIRECT("R[36]C["&amp;$A$19&amp;"]",FALSE)</f>
        <v>76.52100840336135</v>
      </c>
      <c r="E23" s="108" cm="1">
        <f t="array" aca="1" ref="E23" ca="1">INDIRECT("R[36]C["&amp;$A$19&amp;"]",FALSE)</f>
        <v>102.33333333333334</v>
      </c>
      <c r="F23" s="108" cm="1">
        <f t="array" aca="1" ref="F23" ca="1">INDIRECT("R[36]C["&amp;$A$19&amp;"]",FALSE)</f>
        <v>183.06666666666666</v>
      </c>
      <c r="G23" s="108" cm="1">
        <f t="array" aca="1" ref="G23" ca="1">INDIRECT("R[36]C["&amp;$A$19&amp;"]",FALSE)</f>
        <v>193.64</v>
      </c>
      <c r="H23" s="108" cm="1">
        <f t="array" aca="1" ref="H23" ca="1">INDIRECT("R[36]C["&amp;$A$19&amp;"]",FALSE)</f>
        <v>375.06625590388217</v>
      </c>
      <c r="I23" s="108" cm="1">
        <f t="array" aca="1" ref="I23" ca="1">INDIRECT("R[36]C["&amp;$A$19&amp;"]",FALSE)</f>
        <v>152.93333333333334</v>
      </c>
      <c r="J23" s="108" cm="1">
        <f t="array" aca="1" ref="J23" ca="1">INDIRECT("R[36]C["&amp;$A$19&amp;"]",FALSE)</f>
        <v>315.26251267836159</v>
      </c>
      <c r="K23" s="108" cm="1">
        <f t="array" aca="1" ref="K23" ca="1">INDIRECT("R[36]C["&amp;$A$19&amp;"]",FALSE)</f>
        <v>0</v>
      </c>
      <c r="L23" s="108" cm="1">
        <f t="array" aca="1" ref="L23" ca="1">INDIRECT("R[36]C["&amp;$A$19&amp;"]",FALSE)</f>
        <v>0</v>
      </c>
      <c r="M23" s="108" cm="1">
        <f t="array" aca="1" ref="M23" ca="1">INDIRECT("R[36]C["&amp;$A$19&amp;"]",FALSE)</f>
        <v>0</v>
      </c>
      <c r="N23" s="108" cm="1">
        <f t="array" aca="1" ref="N23" ca="1">INDIRECT("R[36]C["&amp;$A$19&amp;"]",FALSE)</f>
        <v>0</v>
      </c>
      <c r="O23" s="108" cm="1">
        <f t="array" aca="1" ref="O23" ca="1">INDIRECT("R[36]C["&amp;$A$19&amp;"]",FALSE)</f>
        <v>0</v>
      </c>
      <c r="P23" s="111"/>
      <c r="Q23" s="111"/>
      <c r="R23" s="113">
        <f t="shared" ref="R23:R24" ca="1" si="4">SUM(C23:P23)</f>
        <v>1398.8231103189385</v>
      </c>
    </row>
    <row r="24" spans="1:18" ht="15.5" x14ac:dyDescent="0.35">
      <c r="A24" s="121">
        <f>A22</f>
        <v>1</v>
      </c>
      <c r="B24" s="111">
        <v>18</v>
      </c>
      <c r="C24" s="108" cm="1">
        <f t="array" aca="1" ref="C24" ca="1">INDIRECT("R[36]C["&amp;$A$24&amp;"]",FALSE)</f>
        <v>0</v>
      </c>
      <c r="D24" s="108" cm="1">
        <f t="array" aca="1" ref="D24" ca="1">INDIRECT("R[36]C["&amp;$A$20&amp;"]",FALSE)</f>
        <v>0</v>
      </c>
      <c r="E24" s="108" cm="1">
        <f t="array" aca="1" ref="E24" ca="1">INDIRECT("R[36]C["&amp;$A$20&amp;"]",FALSE)</f>
        <v>0</v>
      </c>
      <c r="F24" s="108" cm="1">
        <f t="array" aca="1" ref="F24" ca="1">INDIRECT("R[36]C["&amp;$A$20&amp;"]",FALSE)</f>
        <v>0</v>
      </c>
      <c r="G24" s="108" cm="1">
        <f t="array" aca="1" ref="G24" ca="1">INDIRECT("R[36]C["&amp;$A$20&amp;"]",FALSE)</f>
        <v>0</v>
      </c>
      <c r="H24" s="108" cm="1">
        <f t="array" aca="1" ref="H24" ca="1">INDIRECT("R[36]C["&amp;$A$20&amp;"]",FALSE)</f>
        <v>0</v>
      </c>
      <c r="I24" s="108" cm="1">
        <f t="array" aca="1" ref="I24" ca="1">INDIRECT("R[36]C["&amp;$A$20&amp;"]",FALSE)</f>
        <v>0</v>
      </c>
      <c r="J24" s="108" cm="1">
        <f t="array" aca="1" ref="J24" ca="1">INDIRECT("R[36]C["&amp;$A$20&amp;"]",FALSE)</f>
        <v>0</v>
      </c>
      <c r="K24" s="108" cm="1">
        <f t="array" aca="1" ref="K24" ca="1">INDIRECT("R[36]C["&amp;$A$20&amp;"]",FALSE)</f>
        <v>166.78543772010551</v>
      </c>
      <c r="L24" s="108" cm="1">
        <f t="array" aca="1" ref="L24" ca="1">INDIRECT("R[36]C["&amp;$A$20&amp;"]",FALSE)</f>
        <v>300.62599050437262</v>
      </c>
      <c r="M24" s="108" cm="1">
        <f t="array" aca="1" ref="M24" ca="1">INDIRECT("R[36]C["&amp;$A$20&amp;"]",FALSE)</f>
        <v>198.16666666666666</v>
      </c>
      <c r="N24" s="108" cm="1">
        <f t="array" aca="1" ref="N24" ca="1">INDIRECT("R[36]C["&amp;$A$20&amp;"]",FALSE)</f>
        <v>135.63842336953189</v>
      </c>
      <c r="O24" s="108" cm="1">
        <f t="array" aca="1" ref="O24" ca="1">INDIRECT("R[36]C["&amp;$A$20&amp;"]",FALSE)</f>
        <v>51.333333333333336</v>
      </c>
      <c r="P24" s="111"/>
      <c r="Q24" s="111"/>
      <c r="R24" s="113">
        <f t="shared" ca="1" si="4"/>
        <v>852.54985159401008</v>
      </c>
    </row>
    <row r="25" spans="1:18" ht="15.5" x14ac:dyDescent="0.35">
      <c r="A25" s="116"/>
      <c r="B25" s="129" t="s">
        <v>116</v>
      </c>
      <c r="C25" s="131"/>
      <c r="D25" s="131"/>
      <c r="E25" s="131"/>
      <c r="F25" s="131"/>
      <c r="G25" s="131"/>
      <c r="H25" s="131"/>
      <c r="I25" s="131"/>
      <c r="J25" s="131"/>
      <c r="K25" s="131"/>
      <c r="L25" s="131"/>
      <c r="M25" s="131"/>
      <c r="N25" s="131"/>
      <c r="O25" s="131"/>
      <c r="P25" s="131"/>
      <c r="Q25" s="131"/>
      <c r="R25" s="130"/>
    </row>
    <row r="26" spans="1:18" ht="15.5" x14ac:dyDescent="0.35">
      <c r="A26" s="121">
        <f>Assumptions!C51</f>
        <v>1</v>
      </c>
      <c r="B26" s="106" t="s">
        <v>257</v>
      </c>
      <c r="C26" s="108" cm="1">
        <f t="array" aca="1" ref="C26" ca="1">INDIRECT("R[36]C["&amp;$A$26&amp;"]",FALSE)</f>
        <v>32.769230769230774</v>
      </c>
      <c r="D26" s="108" cm="1">
        <f t="array" aca="1" ref="D26" ca="1">INDIRECT("R[36]C["&amp;$A$18&amp;"]",FALSE)</f>
        <v>229.49353587588882</v>
      </c>
      <c r="E26" s="108" cm="1">
        <f t="array" aca="1" ref="E26" ca="1">INDIRECT("R[36]C["&amp;$A$18&amp;"]",FALSE)</f>
        <v>179.50641025641025</v>
      </c>
      <c r="F26" s="108" cm="1">
        <f t="array" aca="1" ref="F26" ca="1">INDIRECT("R[36]C["&amp;$A$18&amp;"]",FALSE)</f>
        <v>160.73333333333332</v>
      </c>
      <c r="G26" s="108" cm="1">
        <f t="array" aca="1" ref="G26" ca="1">INDIRECT("R[36]C["&amp;$A$18&amp;"]",FALSE)</f>
        <v>97.213333333333338</v>
      </c>
      <c r="H26" s="108" cm="1">
        <f t="array" aca="1" ref="H26" ca="1">INDIRECT("R[36]C["&amp;$A$18&amp;"]",FALSE)</f>
        <v>226.77599949362576</v>
      </c>
      <c r="I26" s="108" cm="1">
        <f t="array" aca="1" ref="I26" ca="1">INDIRECT("R[36]C["&amp;$A$18&amp;"]",FALSE)</f>
        <v>150.25333333333333</v>
      </c>
      <c r="J26" s="108" cm="1">
        <f t="array" aca="1" ref="J26" ca="1">INDIRECT("R[36]C["&amp;$A$18&amp;"]",FALSE)</f>
        <v>262.03917934502823</v>
      </c>
      <c r="K26" s="108" cm="1">
        <f t="array" aca="1" ref="K26" ca="1">INDIRECT("R[36]C["&amp;$A$18&amp;"]",FALSE)</f>
        <v>97.219478977945784</v>
      </c>
      <c r="L26" s="108" cm="1">
        <f t="array" aca="1" ref="L26" ca="1">INDIRECT("R[36]C["&amp;$A$18&amp;"]",FALSE)</f>
        <v>193.57152668639415</v>
      </c>
      <c r="M26" s="108" cm="1">
        <f t="array" aca="1" ref="M26" ca="1">INDIRECT("R[36]C["&amp;$A$18&amp;"]",FALSE)</f>
        <v>138.71666666666664</v>
      </c>
      <c r="N26" s="108" cm="1">
        <f t="array" aca="1" ref="N26" ca="1">INDIRECT("R[36]C["&amp;$A$18&amp;"]",FALSE)</f>
        <v>101.62175670286521</v>
      </c>
      <c r="O26" s="108" cm="1">
        <f t="array" aca="1" ref="O26" ca="1">INDIRECT("R[36]C["&amp;$A$18&amp;"]",FALSE)</f>
        <v>35.93333333333333</v>
      </c>
      <c r="P26" s="108"/>
      <c r="Q26" s="108"/>
      <c r="R26" s="113">
        <f ca="1">SUM(C26:Q26)</f>
        <v>1905.8471181073892</v>
      </c>
    </row>
    <row r="27" spans="1:18" ht="15.5" x14ac:dyDescent="0.35">
      <c r="A27" s="121">
        <f>A26</f>
        <v>1</v>
      </c>
      <c r="B27" s="106" t="s">
        <v>258</v>
      </c>
      <c r="C27" s="108" cm="1">
        <f t="array" aca="1" ref="C27" ca="1">INDIRECT("R[36]C["&amp;$A$27&amp;"]",FALSE)</f>
        <v>32.769230769230774</v>
      </c>
      <c r="D27" s="108" cm="1">
        <f t="array" aca="1" ref="D27" ca="1">INDIRECT("R[36]C["&amp;$A$19&amp;"]",FALSE)</f>
        <v>229.49353587588882</v>
      </c>
      <c r="E27" s="108" cm="1">
        <f t="array" aca="1" ref="E27" ca="1">INDIRECT("R[36]C["&amp;$A$19&amp;"]",FALSE)</f>
        <v>179.50641025641025</v>
      </c>
      <c r="F27" s="108" cm="1">
        <f t="array" aca="1" ref="F27" ca="1">INDIRECT("R[36]C["&amp;$A$19&amp;"]",FALSE)</f>
        <v>160.73333333333332</v>
      </c>
      <c r="G27" s="108" cm="1">
        <f t="array" aca="1" ref="G27" ca="1">INDIRECT("R[36]C["&amp;$A$19&amp;"]",FALSE)</f>
        <v>97.213333333333338</v>
      </c>
      <c r="H27" s="108" cm="1">
        <f t="array" aca="1" ref="H27" ca="1">INDIRECT("R[36]C["&amp;$A$19&amp;"]",FALSE)</f>
        <v>226.77599949362576</v>
      </c>
      <c r="I27" s="108" cm="1">
        <f t="array" aca="1" ref="I27" ca="1">INDIRECT("R[36]C["&amp;$A$19&amp;"]",FALSE)</f>
        <v>150.25333333333333</v>
      </c>
      <c r="J27" s="108" cm="1">
        <f t="array" aca="1" ref="J27" ca="1">INDIRECT("R[36]C["&amp;$A$19&amp;"]",FALSE)</f>
        <v>262.03917934502823</v>
      </c>
      <c r="K27" s="108" cm="1">
        <f t="array" aca="1" ref="K27" ca="1">INDIRECT("R[36]C["&amp;$A$19&amp;"]",FALSE)</f>
        <v>97.219478977945784</v>
      </c>
      <c r="L27" s="108" cm="1">
        <f t="array" aca="1" ref="L27" ca="1">INDIRECT("R[36]C["&amp;$A$19&amp;"]",FALSE)</f>
        <v>193.57152668639415</v>
      </c>
      <c r="M27" s="108" cm="1">
        <f t="array" aca="1" ref="M27" ca="1">INDIRECT("R[36]C["&amp;$A$19&amp;"]",FALSE)</f>
        <v>138.71666666666664</v>
      </c>
      <c r="N27" s="108" cm="1">
        <f t="array" aca="1" ref="N27" ca="1">INDIRECT("R[36]C["&amp;$A$19&amp;"]",FALSE)</f>
        <v>101.62175670286521</v>
      </c>
      <c r="O27" s="108" cm="1">
        <f t="array" aca="1" ref="O27" ca="1">INDIRECT("R[36]C["&amp;$A$19&amp;"]",FALSE)</f>
        <v>35.93333333333333</v>
      </c>
      <c r="P27" s="108"/>
      <c r="Q27" s="108"/>
      <c r="R27" s="113">
        <f t="shared" ref="R27:R30" ca="1" si="5">SUM(C27:Q27)</f>
        <v>1905.8471181073892</v>
      </c>
    </row>
    <row r="28" spans="1:18" ht="15.5" x14ac:dyDescent="0.35">
      <c r="A28" s="121">
        <f>Assumptions!C53</f>
        <v>1</v>
      </c>
      <c r="B28" s="106" t="s">
        <v>353</v>
      </c>
      <c r="C28" s="108" cm="1">
        <f t="array" aca="1" ref="C28" ca="1">INDIRECT("R[36]C["&amp;$A$28&amp;"]",FALSE)</f>
        <v>0</v>
      </c>
      <c r="D28" s="108" cm="1">
        <f t="array" aca="1" ref="D28" ca="1">INDIRECT("R[36]C["&amp;$A$28&amp;"]",FALSE)</f>
        <v>29.142857142857142</v>
      </c>
      <c r="E28" s="108" cm="1">
        <f t="array" aca="1" ref="E28" ca="1">INDIRECT("R[36]C["&amp;$A$28&amp;"]",FALSE)</f>
        <v>12</v>
      </c>
      <c r="F28" s="108" cm="1">
        <f t="array" aca="1" ref="F28" ca="1">INDIRECT("R[36]C["&amp;$A$28&amp;"]",FALSE)</f>
        <v>11</v>
      </c>
      <c r="G28" s="108" cm="1">
        <f t="array" aca="1" ref="G28" ca="1">INDIRECT("R[36]C["&amp;$A$28&amp;"]",FALSE)</f>
        <v>5.36</v>
      </c>
      <c r="H28" s="108" cm="1">
        <f t="array" aca="1" ref="H28" ca="1">INDIRECT("R[36]C["&amp;$A$28&amp;"]",FALSE)</f>
        <v>46.23</v>
      </c>
      <c r="I28" s="108" cm="1">
        <f t="array" aca="1" ref="I28" ca="1">INDIRECT("R[36]C["&amp;$A$28&amp;"]",FALSE)</f>
        <v>10.24</v>
      </c>
      <c r="J28" s="108" cm="1">
        <f t="array" aca="1" ref="J28" ca="1">INDIRECT("R[36]C["&amp;$A$28&amp;"]",FALSE)</f>
        <v>9.7199999999999989</v>
      </c>
      <c r="K28" s="108" cm="1">
        <f t="array" aca="1" ref="K28" ca="1">INDIRECT("R[36]C["&amp;$A$28&amp;"]",FALSE)</f>
        <v>12.499999999999998</v>
      </c>
      <c r="L28" s="108" cm="1">
        <f t="array" aca="1" ref="L28" ca="1">INDIRECT("R[36]C["&amp;$A$28&amp;"]",FALSE)</f>
        <v>38.768898575655896</v>
      </c>
      <c r="M28" s="108" cm="1">
        <f t="array" aca="1" ref="M28" ca="1">INDIRECT("R[36]C["&amp;$A$28&amp;"]",FALSE)</f>
        <v>29.724999999999998</v>
      </c>
      <c r="N28" s="108" cm="1">
        <f t="array" aca="1" ref="N28" ca="1">INDIRECT("R[36]C["&amp;$A$28&amp;"]",FALSE)</f>
        <v>17.008333333333333</v>
      </c>
      <c r="O28" s="108" cm="1">
        <f t="array" aca="1" ref="O28" ca="1">INDIRECT("R[36]C["&amp;$A$28&amp;"]",FALSE)</f>
        <v>7.7</v>
      </c>
      <c r="P28" s="108"/>
      <c r="Q28" s="108"/>
      <c r="R28" s="113">
        <f t="shared" ca="1" si="5"/>
        <v>229.39508905184633</v>
      </c>
    </row>
    <row r="29" spans="1:18" ht="15.5" x14ac:dyDescent="0.35">
      <c r="A29" s="121">
        <f>Assumptions!C52</f>
        <v>1</v>
      </c>
      <c r="B29" s="106" t="s">
        <v>117</v>
      </c>
      <c r="C29" s="108" cm="1">
        <f t="array" aca="1" ref="C29" ca="1">INDIRECT("R[36]C["&amp;$A$29&amp;"]",FALSE)</f>
        <v>10</v>
      </c>
      <c r="D29" s="108" cm="1">
        <f t="array" aca="1" ref="D29" ca="1">INDIRECT("R[36]C["&amp;$A$29&amp;"]",FALSE)</f>
        <v>79.679487179487182</v>
      </c>
      <c r="E29" s="108" cm="1">
        <f t="array" aca="1" ref="E29" ca="1">INDIRECT("R[36]C["&amp;$A$29&amp;"]",FALSE)</f>
        <v>76.339743589743591</v>
      </c>
      <c r="F29" s="108" cm="1">
        <f t="array" aca="1" ref="F29" ca="1">INDIRECT("R[36]C["&amp;$A$29&amp;"]",FALSE)</f>
        <v>50</v>
      </c>
      <c r="G29" s="108" cm="1">
        <f t="array" aca="1" ref="G29" ca="1">INDIRECT("R[36]C["&amp;$A$29&amp;"]",FALSE)</f>
        <v>91.066666666666677</v>
      </c>
      <c r="H29" s="108" cm="1">
        <f t="array" aca="1" ref="H29" ca="1">INDIRECT("R[36]C["&amp;$A$29&amp;"]",FALSE)</f>
        <v>81.650000000000006</v>
      </c>
      <c r="I29" s="108" cm="1">
        <f t="array" aca="1" ref="I29" ca="1">INDIRECT("R[36]C["&amp;$A$29&amp;"]",FALSE)</f>
        <v>10.24</v>
      </c>
      <c r="J29" s="108" cm="1">
        <f t="array" aca="1" ref="J29" ca="1">INDIRECT("R[36]C["&amp;$A$29&amp;"]",FALSE)</f>
        <v>22.17</v>
      </c>
      <c r="K29" s="108" cm="1">
        <f t="array" aca="1" ref="K29" ca="1">INDIRECT("R[36]C["&amp;$A$29&amp;"]",FALSE)</f>
        <v>12.499999999999998</v>
      </c>
      <c r="L29" s="108" cm="1">
        <f t="array" aca="1" ref="L29" ca="1">INDIRECT("R[36]C["&amp;$A$29&amp;"]",FALSE)</f>
        <v>68.285565242322562</v>
      </c>
      <c r="M29" s="108" cm="1">
        <f t="array" aca="1" ref="M29" ca="1">INDIRECT("R[36]C["&amp;$A$29&amp;"]",FALSE)</f>
        <v>29.724999999999998</v>
      </c>
      <c r="N29" s="108" cm="1">
        <f t="array" aca="1" ref="N29" ca="1">INDIRECT("R[36]C["&amp;$A$29&amp;"]",FALSE)</f>
        <v>17.008333333333333</v>
      </c>
      <c r="O29" s="108" cm="1">
        <f t="array" aca="1" ref="O29" ca="1">INDIRECT("R[36]C["&amp;$A$29&amp;"]",FALSE)</f>
        <v>7.7</v>
      </c>
      <c r="P29" s="108"/>
      <c r="Q29" s="108"/>
      <c r="R29" s="113">
        <f t="shared" ca="1" si="5"/>
        <v>556.36479601155338</v>
      </c>
    </row>
    <row r="30" spans="1:18" ht="15.5" x14ac:dyDescent="0.35">
      <c r="A30" s="121">
        <f>Assumptions!C54</f>
        <v>1</v>
      </c>
      <c r="B30" s="106" t="s">
        <v>354</v>
      </c>
      <c r="C30" s="108" cm="1">
        <f t="array" aca="1" ref="C30" ca="1">INDIRECT("R[36]C["&amp;$A$30&amp;"]",FALSE)</f>
        <v>2</v>
      </c>
      <c r="D30" s="108" cm="1">
        <f t="array" aca="1" ref="D30" ca="1">INDIRECT("R[36]C["&amp;$A$30&amp;"]",FALSE)</f>
        <v>10</v>
      </c>
      <c r="E30" s="108" cm="1">
        <f t="array" aca="1" ref="E30" ca="1">INDIRECT("R[36]C["&amp;$A$30&amp;"]",FALSE)</f>
        <v>9</v>
      </c>
      <c r="F30" s="108" cm="1">
        <f t="array" aca="1" ref="F30" ca="1">INDIRECT("R[36]C["&amp;$A$30&amp;"]",FALSE)</f>
        <v>7</v>
      </c>
      <c r="G30" s="108" cm="1">
        <f t="array" aca="1" ref="G30" ca="1">INDIRECT("R[36]C["&amp;$A$30&amp;"]",FALSE)</f>
        <v>5</v>
      </c>
      <c r="H30" s="108" cm="1">
        <f t="array" aca="1" ref="H30" ca="1">INDIRECT("R[36]C["&amp;$A$30&amp;"]",FALSE)</f>
        <v>8</v>
      </c>
      <c r="I30" s="108" cm="1">
        <f t="array" aca="1" ref="I30" ca="1">INDIRECT("R[36]C["&amp;$A$30&amp;"]",FALSE)</f>
        <v>5</v>
      </c>
      <c r="J30" s="108" cm="1">
        <f t="array" aca="1" ref="J30" ca="1">INDIRECT("R[36]C["&amp;$A$30&amp;"]",FALSE)</f>
        <v>11</v>
      </c>
      <c r="K30" s="108" cm="1">
        <f t="array" aca="1" ref="K30" ca="1">INDIRECT("R[36]C["&amp;$A$30&amp;"]",FALSE)</f>
        <v>3</v>
      </c>
      <c r="L30" s="108" cm="1">
        <f t="array" aca="1" ref="L30" ca="1">INDIRECT("R[36]C["&amp;$A$30&amp;"]",FALSE)</f>
        <v>10</v>
      </c>
      <c r="M30" s="108" cm="1">
        <f t="array" aca="1" ref="M30" ca="1">INDIRECT("R[36]C["&amp;$A$30&amp;"]",FALSE)</f>
        <v>6</v>
      </c>
      <c r="N30" s="108" cm="1">
        <f t="array" aca="1" ref="N30" ca="1">INDIRECT("R[36]C["&amp;$A$30&amp;"]",FALSE)</f>
        <v>5</v>
      </c>
      <c r="O30" s="108" cm="1">
        <f t="array" aca="1" ref="O30" ca="1">INDIRECT("R[36]C["&amp;$A$30&amp;"]",FALSE)</f>
        <v>2</v>
      </c>
      <c r="P30" s="108"/>
      <c r="Q30" s="108"/>
      <c r="R30" s="113">
        <f t="shared" ca="1" si="5"/>
        <v>83</v>
      </c>
    </row>
    <row r="31" spans="1:18" ht="15.5" x14ac:dyDescent="0.35">
      <c r="A31" s="116"/>
      <c r="B31" s="129" t="s">
        <v>119</v>
      </c>
      <c r="C31" s="131"/>
      <c r="D31" s="132"/>
      <c r="E31" s="132"/>
      <c r="F31" s="132"/>
      <c r="G31" s="132"/>
      <c r="H31" s="132"/>
      <c r="I31" s="132"/>
      <c r="J31" s="132"/>
      <c r="K31" s="132"/>
      <c r="L31" s="132"/>
      <c r="M31" s="132"/>
      <c r="N31" s="132"/>
      <c r="O31" s="132"/>
      <c r="P31" s="132"/>
      <c r="Q31" s="132"/>
      <c r="R31" s="130"/>
    </row>
    <row r="32" spans="1:18" ht="15.5" x14ac:dyDescent="0.35">
      <c r="A32" s="121">
        <f>Assumptions!C48</f>
        <v>2</v>
      </c>
      <c r="B32" s="106" t="s">
        <v>355</v>
      </c>
      <c r="C32" s="108" cm="1">
        <f t="array" aca="1" ref="C32" ca="1">INDIRECT("R[36]C["&amp;$A$32&amp;"]",FALSE)</f>
        <v>10</v>
      </c>
      <c r="D32" s="108" cm="1">
        <f t="array" aca="1" ref="D32" ca="1">INDIRECT("R[36]C["&amp;$A$32&amp;"]",FALSE)</f>
        <v>6</v>
      </c>
      <c r="E32" s="108" cm="1">
        <f t="array" aca="1" ref="E32" ca="1">INDIRECT("R[36]C["&amp;$A$32&amp;"]",FALSE)</f>
        <v>7</v>
      </c>
      <c r="F32" s="108" cm="1">
        <f t="array" aca="1" ref="F32" ca="1">INDIRECT("R[36]C["&amp;$A$32&amp;"]",FALSE)</f>
        <v>5</v>
      </c>
      <c r="G32" s="108" cm="1">
        <f t="array" aca="1" ref="G32" ca="1">INDIRECT("R[36]C["&amp;$A$32&amp;"]",FALSE)</f>
        <v>8</v>
      </c>
      <c r="H32" s="108" cm="1">
        <f t="array" aca="1" ref="H32" ca="1">INDIRECT("R[36]C["&amp;$A$32&amp;"]",FALSE)</f>
        <v>5</v>
      </c>
      <c r="I32" s="108" cm="1">
        <f t="array" aca="1" ref="I32" ca="1">INDIRECT("R[36]C["&amp;$A$32&amp;"]",FALSE)</f>
        <v>8</v>
      </c>
      <c r="J32" s="108" cm="1">
        <f t="array" aca="1" ref="J32" ca="1">INDIRECT("R[36]C["&amp;$A$32&amp;"]",FALSE)</f>
        <v>3</v>
      </c>
      <c r="K32" s="108" cm="1">
        <f t="array" aca="1" ref="K32" ca="1">INDIRECT("R[36]C["&amp;$A$32&amp;"]",FALSE)</f>
        <v>10</v>
      </c>
      <c r="L32" s="108" cm="1">
        <f t="array" aca="1" ref="L32" ca="1">INDIRECT("R[36]C["&amp;$A$32&amp;"]",FALSE)</f>
        <v>6</v>
      </c>
      <c r="M32" s="108" cm="1">
        <f t="array" aca="1" ref="M32" ca="1">INDIRECT("R[36]C["&amp;$A$32&amp;"]",FALSE)</f>
        <v>5</v>
      </c>
      <c r="N32" s="108" cm="1">
        <f t="array" aca="1" ref="N32" ca="1">INDIRECT("R[36]C["&amp;$A$32&amp;"]",FALSE)</f>
        <v>2</v>
      </c>
      <c r="O32" s="108" cm="1">
        <f t="array" aca="1" ref="O32" ca="1">INDIRECT("R[36]C["&amp;$A$32&amp;"]",FALSE)</f>
        <v>0</v>
      </c>
      <c r="P32" s="108"/>
      <c r="Q32" s="108"/>
      <c r="R32" s="113">
        <f ca="1">SUM(C32:Q32)</f>
        <v>75</v>
      </c>
    </row>
    <row r="33" spans="1:19" ht="15.5" x14ac:dyDescent="0.35">
      <c r="A33" s="116"/>
      <c r="B33" s="129" t="s">
        <v>356</v>
      </c>
      <c r="C33" s="131"/>
      <c r="D33" s="131"/>
      <c r="E33" s="131"/>
      <c r="F33" s="131"/>
      <c r="G33" s="131"/>
      <c r="H33" s="131"/>
      <c r="I33" s="131"/>
      <c r="J33" s="131"/>
      <c r="K33" s="131"/>
      <c r="L33" s="131"/>
      <c r="M33" s="131"/>
      <c r="N33" s="131"/>
      <c r="O33" s="131"/>
      <c r="P33" s="131"/>
      <c r="Q33" s="131"/>
      <c r="R33" s="130"/>
    </row>
    <row r="34" spans="1:19" ht="15.5" x14ac:dyDescent="0.35">
      <c r="A34" s="121">
        <f>Assumptions!C49</f>
        <v>1</v>
      </c>
      <c r="B34" s="106" t="s">
        <v>357</v>
      </c>
      <c r="C34" s="108" cm="1">
        <f t="array" aca="1" ref="C34" ca="1">INDIRECT("R[36]C["&amp;$A$34&amp;"]",FALSE)</f>
        <v>125.50240000000001</v>
      </c>
      <c r="D34" s="108" cm="1">
        <f t="array" aca="1" ref="D34" ca="1">INDIRECT("R[36]C["&amp;$A$34&amp;"]",FALSE)</f>
        <v>862.25390096961871</v>
      </c>
      <c r="E34" s="108" cm="1">
        <f t="array" aca="1" ref="E34" ca="1">INDIRECT("R[36]C["&amp;$A$34&amp;"]",FALSE)</f>
        <v>725.58714358974362</v>
      </c>
      <c r="F34" s="108" cm="1">
        <f t="array" aca="1" ref="F34" ca="1">INDIRECT("R[36]C["&amp;$A$34&amp;"]",FALSE)</f>
        <v>520.27304000000004</v>
      </c>
      <c r="G34" s="108" cm="1">
        <f t="array" aca="1" ref="G34" ca="1">INDIRECT("R[36]C["&amp;$A$34&amp;"]",FALSE)</f>
        <v>417.65050133333341</v>
      </c>
      <c r="H34" s="108" cm="1">
        <f t="array" aca="1" ref="H34" ca="1">INDIRECT("R[36]C["&amp;$A$34&amp;"]",FALSE)</f>
        <v>1004.9766712982587</v>
      </c>
      <c r="I34" s="108" cm="1">
        <f t="array" aca="1" ref="I34" ca="1">INDIRECT("R[36]C["&amp;$A$34&amp;"]",FALSE)</f>
        <v>335.84160000000003</v>
      </c>
      <c r="J34" s="108" cm="1">
        <f t="array" aca="1" ref="J34" ca="1">INDIRECT("R[36]C["&amp;$A$34&amp;"]",FALSE)</f>
        <v>954.2356778416821</v>
      </c>
      <c r="K34" s="108" cm="1">
        <f t="array" aca="1" ref="K34" ca="1">INDIRECT("R[36]C["&amp;$A$34&amp;"]",FALSE)</f>
        <v>268.39397583556899</v>
      </c>
      <c r="L34" s="108" cm="1">
        <f t="array" aca="1" ref="L34" ca="1">INDIRECT("R[36]C["&amp;$A$34&amp;"]",FALSE)</f>
        <v>866.85067514760226</v>
      </c>
      <c r="M34" s="108" cm="1">
        <f t="array" aca="1" ref="M34" ca="1">INDIRECT("R[36]C["&amp;$A$34&amp;"]",FALSE)</f>
        <v>435.17399999999998</v>
      </c>
      <c r="N34" s="108" cm="1">
        <f t="array" aca="1" ref="N34" ca="1">INDIRECT("R[36]C["&amp;$A$34&amp;"]",FALSE)</f>
        <v>297.86197771949202</v>
      </c>
      <c r="O34" s="108" cm="1">
        <f t="array" aca="1" ref="O34" ca="1">INDIRECT("R[36]C["&amp;$A$34&amp;"]",FALSE)</f>
        <v>112.72800000000001</v>
      </c>
      <c r="P34" s="108"/>
      <c r="Q34" s="108"/>
      <c r="R34" s="113">
        <f ca="1">SUM(C34:Q34)</f>
        <v>6927.3295637353003</v>
      </c>
    </row>
    <row r="35" spans="1:19" ht="15.5" x14ac:dyDescent="0.35">
      <c r="A35" s="121">
        <f>Assumptions!C50</f>
        <v>1</v>
      </c>
      <c r="B35" s="106" t="s">
        <v>358</v>
      </c>
      <c r="C35" s="108" cm="1">
        <f t="array" aca="1" ref="C35" ca="1">INDIRECT("R[36]C["&amp;$A$35&amp;"]",FALSE)</f>
        <v>256</v>
      </c>
      <c r="D35" s="108" cm="1">
        <f t="array" aca="1" ref="D35" ca="1">INDIRECT("R[36]C["&amp;$A$35&amp;"]",FALSE)</f>
        <v>926.41359999999997</v>
      </c>
      <c r="E35" s="108" cm="1">
        <f t="array" aca="1" ref="E35" ca="1">INDIRECT("R[36]C["&amp;$A$35&amp;"]",FALSE)</f>
        <v>505.5</v>
      </c>
      <c r="F35" s="108" cm="1">
        <f t="array" aca="1" ref="F35" ca="1">INDIRECT("R[36]C["&amp;$A$35&amp;"]",FALSE)</f>
        <v>498.67899999999997</v>
      </c>
      <c r="G35" s="108" cm="1">
        <f t="array" aca="1" ref="G35" ca="1">INDIRECT("R[36]C["&amp;$A$35&amp;"]",FALSE)</f>
        <v>526</v>
      </c>
      <c r="H35" s="108" cm="1">
        <f t="array" aca="1" ref="H35" ca="1">INDIRECT("R[36]C["&amp;$A$35&amp;"]",FALSE)</f>
        <v>658.6653</v>
      </c>
      <c r="I35" s="108" cm="1">
        <f t="array" aca="1" ref="I35" ca="1">INDIRECT("R[36]C["&amp;$A$35&amp;"]",FALSE)</f>
        <v>690.26030000000003</v>
      </c>
      <c r="J35" s="108" cm="1">
        <f t="array" aca="1" ref="J35" ca="1">INDIRECT("R[36]C["&amp;$A$35&amp;"]",FALSE)</f>
        <v>679.90499999999997</v>
      </c>
      <c r="K35" s="108" cm="1">
        <f t="array" aca="1" ref="K35" ca="1">INDIRECT("R[36]C["&amp;$A$35&amp;"]",FALSE)</f>
        <v>363</v>
      </c>
      <c r="L35" s="108" cm="1">
        <f t="array" aca="1" ref="L35" ca="1">INDIRECT("R[36]C["&amp;$A$35&amp;"]",FALSE)</f>
        <v>1402.405</v>
      </c>
      <c r="M35" s="108" cm="1">
        <f t="array" aca="1" ref="M35" ca="1">INDIRECT("R[36]C["&amp;$A$35&amp;"]",FALSE)</f>
        <v>900</v>
      </c>
      <c r="N35" s="108" cm="1">
        <f t="array" aca="1" ref="N35" ca="1">INDIRECT("R[36]C["&amp;$A$35&amp;"]",FALSE)</f>
        <v>672.40499999999997</v>
      </c>
      <c r="O35" s="108" cm="1">
        <f t="array" aca="1" ref="O35" ca="1">INDIRECT("R[36]C["&amp;$A$35&amp;"]",FALSE)</f>
        <v>280</v>
      </c>
      <c r="P35" s="108"/>
      <c r="Q35" s="108"/>
      <c r="R35" s="113">
        <f ca="1">SUM(C35:Q35)</f>
        <v>8359.2331999999988</v>
      </c>
    </row>
    <row r="36" spans="1:19" ht="15.5" x14ac:dyDescent="0.35">
      <c r="A36" s="116"/>
      <c r="B36" s="129"/>
      <c r="C36" s="129"/>
      <c r="D36" s="129"/>
      <c r="E36" s="129"/>
      <c r="F36" s="129"/>
      <c r="G36" s="129"/>
      <c r="H36" s="129"/>
      <c r="I36" s="129"/>
      <c r="J36" s="129"/>
      <c r="K36" s="129"/>
      <c r="L36" s="129"/>
      <c r="M36" s="129"/>
      <c r="N36" s="129"/>
      <c r="O36" s="129"/>
      <c r="P36" s="129"/>
      <c r="Q36" s="129"/>
      <c r="R36" s="130"/>
    </row>
    <row r="37" spans="1:19" ht="15.5" x14ac:dyDescent="0.35">
      <c r="A37" s="116"/>
      <c r="B37" s="116"/>
      <c r="C37" s="116"/>
      <c r="D37" s="115"/>
      <c r="E37" s="115"/>
      <c r="F37" s="115"/>
      <c r="G37" s="115"/>
      <c r="H37" s="115"/>
      <c r="I37" s="115"/>
      <c r="J37" s="115"/>
      <c r="K37" s="115"/>
      <c r="L37" s="115"/>
      <c r="M37" s="115"/>
      <c r="N37" s="115"/>
      <c r="O37" s="115"/>
      <c r="P37" s="115"/>
      <c r="Q37" s="115"/>
      <c r="R37" s="115"/>
    </row>
    <row r="38" spans="1:19" ht="15.5" x14ac:dyDescent="0.35">
      <c r="A38" s="116"/>
      <c r="B38" s="116"/>
      <c r="C38" s="116"/>
      <c r="D38" s="115"/>
      <c r="E38" s="115"/>
      <c r="F38" s="115"/>
      <c r="G38" s="115"/>
      <c r="H38" s="115"/>
      <c r="I38" s="115"/>
      <c r="J38" s="115"/>
      <c r="K38" s="115"/>
      <c r="L38" s="115"/>
      <c r="M38" s="115"/>
      <c r="N38" s="115"/>
      <c r="O38" s="115"/>
      <c r="P38" s="115"/>
      <c r="Q38" s="115"/>
      <c r="R38" s="115"/>
    </row>
    <row r="39" spans="1:19" ht="15.5" x14ac:dyDescent="0.35">
      <c r="A39" s="116"/>
      <c r="B39" s="116" t="s">
        <v>235</v>
      </c>
      <c r="C39" s="115">
        <f ca="1">SUM(C10:C12)</f>
        <v>42.769230769230774</v>
      </c>
      <c r="D39" s="115">
        <f ca="1">SUM(D10:D12)</f>
        <v>338.31588019823317</v>
      </c>
      <c r="E39" s="115">
        <f t="shared" ref="E39:Q39" ca="1" si="6">SUM(E10:E12)</f>
        <v>289.84615384615381</v>
      </c>
      <c r="F39" s="115">
        <f t="shared" ca="1" si="6"/>
        <v>243.73333333333332</v>
      </c>
      <c r="G39" s="115">
        <f t="shared" ca="1" si="6"/>
        <v>193.64</v>
      </c>
      <c r="H39" s="115">
        <f t="shared" ca="1" si="6"/>
        <v>375.06625590388217</v>
      </c>
      <c r="I39" s="115">
        <f t="shared" ca="1" si="6"/>
        <v>152.93333333333334</v>
      </c>
      <c r="J39" s="115">
        <f t="shared" ca="1" si="6"/>
        <v>315.26251267836159</v>
      </c>
      <c r="K39" s="115">
        <f t="shared" ca="1" si="6"/>
        <v>166.78543772010551</v>
      </c>
      <c r="L39" s="115">
        <f t="shared" ca="1" si="6"/>
        <v>300.62599050437262</v>
      </c>
      <c r="M39" s="115">
        <f t="shared" ca="1" si="6"/>
        <v>198.16666666666666</v>
      </c>
      <c r="N39" s="115">
        <f t="shared" ca="1" si="6"/>
        <v>135.63842336953189</v>
      </c>
      <c r="O39" s="115">
        <f t="shared" ca="1" si="6"/>
        <v>51.333333333333336</v>
      </c>
      <c r="P39" s="115">
        <f t="shared" si="6"/>
        <v>0</v>
      </c>
      <c r="Q39" s="115">
        <f t="shared" si="6"/>
        <v>0</v>
      </c>
      <c r="R39" s="115">
        <f ca="1">SUM(R10:R12)</f>
        <v>2804.1165516565379</v>
      </c>
    </row>
    <row r="40" spans="1:19" ht="15.5" x14ac:dyDescent="0.35">
      <c r="A40" s="116"/>
      <c r="B40" s="116"/>
      <c r="C40" s="116"/>
      <c r="D40" s="115"/>
      <c r="E40" s="115"/>
      <c r="F40" s="115"/>
      <c r="G40" s="115"/>
      <c r="H40" s="115"/>
      <c r="I40" s="115"/>
      <c r="J40" s="115"/>
      <c r="K40" s="115"/>
      <c r="L40" s="115"/>
      <c r="M40" s="115"/>
      <c r="N40" s="115"/>
      <c r="O40" s="115"/>
      <c r="P40" s="115"/>
      <c r="Q40" s="115"/>
      <c r="R40" s="115"/>
    </row>
    <row r="41" spans="1:19" ht="15.5" x14ac:dyDescent="0.35">
      <c r="A41" s="116"/>
      <c r="B41" s="116"/>
      <c r="C41" s="116"/>
      <c r="D41" s="115"/>
      <c r="E41" s="115"/>
      <c r="F41" s="115"/>
      <c r="G41" s="115"/>
      <c r="H41" s="115"/>
      <c r="I41" s="115"/>
      <c r="J41" s="115"/>
      <c r="K41" s="115"/>
      <c r="L41" s="115"/>
      <c r="M41" s="115"/>
      <c r="N41" s="115"/>
      <c r="O41" s="115"/>
      <c r="P41" s="115"/>
      <c r="Q41" s="115"/>
      <c r="R41" s="115"/>
    </row>
    <row r="42" spans="1:19" ht="15.5" x14ac:dyDescent="0.35">
      <c r="A42" s="116"/>
      <c r="B42" s="116"/>
      <c r="C42" s="116"/>
      <c r="D42" s="116"/>
      <c r="E42" s="116"/>
      <c r="F42" s="116"/>
      <c r="G42" s="116"/>
      <c r="H42" s="116"/>
      <c r="I42" s="116"/>
      <c r="J42" s="116"/>
      <c r="K42" s="116"/>
      <c r="L42" s="116"/>
      <c r="M42" s="116"/>
      <c r="N42" s="116"/>
      <c r="O42" s="116"/>
      <c r="P42" s="116"/>
      <c r="Q42" s="116"/>
      <c r="R42" s="115"/>
    </row>
    <row r="43" spans="1:19" ht="15.5" x14ac:dyDescent="0.35">
      <c r="A43" s="116"/>
      <c r="B43" s="116"/>
      <c r="C43" s="116"/>
      <c r="D43" s="116"/>
      <c r="E43" s="116"/>
      <c r="F43" s="116"/>
      <c r="G43" s="116"/>
      <c r="H43" s="116"/>
      <c r="I43" s="116"/>
      <c r="J43" s="116"/>
      <c r="K43" s="116"/>
      <c r="L43" s="116"/>
      <c r="M43" s="116"/>
      <c r="N43" s="116"/>
      <c r="O43" s="116"/>
      <c r="P43" s="116"/>
      <c r="Q43" s="116"/>
      <c r="R43" s="115"/>
    </row>
    <row r="44" spans="1:19" ht="15.5" x14ac:dyDescent="0.35">
      <c r="A44" s="116"/>
      <c r="B44" s="120" t="s">
        <v>193</v>
      </c>
      <c r="C44" s="120"/>
      <c r="D44" s="116"/>
      <c r="E44" s="116"/>
      <c r="F44" s="116"/>
      <c r="G44" s="116"/>
      <c r="H44" s="116"/>
      <c r="I44" s="116"/>
      <c r="J44" s="116"/>
      <c r="K44" s="116"/>
      <c r="L44" s="116"/>
      <c r="M44" s="116"/>
      <c r="N44" s="116"/>
      <c r="O44" s="116"/>
      <c r="P44" s="116"/>
      <c r="Q44" s="116"/>
      <c r="R44" s="115"/>
    </row>
    <row r="45" spans="1:19" ht="15.5" x14ac:dyDescent="0.35">
      <c r="A45" s="116"/>
      <c r="B45" s="129" t="s">
        <v>112</v>
      </c>
      <c r="C45" s="129"/>
      <c r="D45" s="129"/>
      <c r="E45" s="129"/>
      <c r="F45" s="129"/>
      <c r="G45" s="129"/>
      <c r="H45" s="129"/>
      <c r="I45" s="129"/>
      <c r="J45" s="129"/>
      <c r="K45" s="129"/>
      <c r="L45" s="129"/>
      <c r="M45" s="129"/>
      <c r="N45" s="129"/>
      <c r="O45" s="129"/>
      <c r="P45" s="129"/>
      <c r="Q45" s="129"/>
      <c r="R45" s="130"/>
    </row>
    <row r="46" spans="1:19" ht="15.5" x14ac:dyDescent="0.35">
      <c r="A46" s="122">
        <f>Assumptions!C55</f>
        <v>1</v>
      </c>
      <c r="B46" s="123">
        <v>12</v>
      </c>
      <c r="C46" s="127" cm="1">
        <f t="array" aca="1" ref="C46" ca="1">INDIRECT("R[40]C["&amp;$A$46&amp;"]",FALSE)</f>
        <v>0</v>
      </c>
      <c r="D46" s="124" cm="1">
        <f t="array" aca="1" ref="D46" ca="1">INDIRECT("R[40]C["&amp;$A$46&amp;"]",FALSE)</f>
        <v>42.769230769230774</v>
      </c>
      <c r="E46" s="124" cm="1">
        <f t="array" aca="1" ref="E46" ca="1">INDIRECT("R[40]C["&amp;$A$46&amp;"]",FALSE)</f>
        <v>261.79487179487182</v>
      </c>
      <c r="F46" s="124" cm="1">
        <f t="array" aca="1" ref="F46" ca="1">INDIRECT("R[40]C["&amp;$A$46&amp;"]",FALSE)</f>
        <v>187.5128205128205</v>
      </c>
      <c r="G46" s="124" cm="1">
        <f t="array" aca="1" ref="G46" ca="1">INDIRECT("R[40]C["&amp;$A$46&amp;"]",FALSE)</f>
        <v>60.666666666666664</v>
      </c>
      <c r="H46" s="124" cm="1">
        <f t="array" aca="1" ref="H46" ca="1">INDIRECT("R[40]C["&amp;$A$46&amp;"]",FALSE)</f>
        <v>0</v>
      </c>
      <c r="I46" s="124" cm="1">
        <f t="array" aca="1" ref="I46" ca="1">INDIRECT("R[40]C["&amp;$A$46&amp;"]",FALSE)</f>
        <v>0</v>
      </c>
      <c r="J46" s="124" cm="1">
        <f t="array" aca="1" ref="J46" ca="1">INDIRECT("R[40]C["&amp;$A$46&amp;"]",FALSE)</f>
        <v>0</v>
      </c>
      <c r="K46" s="124" cm="1">
        <f t="array" aca="1" ref="K46" ca="1">INDIRECT("R[40]C["&amp;$A$46&amp;"]",FALSE)</f>
        <v>0</v>
      </c>
      <c r="L46" s="124" cm="1">
        <f t="array" aca="1" ref="L46" ca="1">INDIRECT("R[40]C["&amp;$A$46&amp;"]",FALSE)</f>
        <v>0</v>
      </c>
      <c r="M46" s="124" cm="1">
        <f t="array" aca="1" ref="M46" ca="1">INDIRECT("R[40]C["&amp;$A$46&amp;"]",FALSE)</f>
        <v>0</v>
      </c>
      <c r="N46" s="124" cm="1">
        <f t="array" aca="1" ref="N46" ca="1">INDIRECT("R[40]C["&amp;$A$46&amp;"]",FALSE)</f>
        <v>0</v>
      </c>
      <c r="O46" s="124" cm="1">
        <f t="array" aca="1" ref="O46" ca="1">INDIRECT("R[40]C["&amp;$A$46&amp;"]",FALSE)</f>
        <v>0</v>
      </c>
      <c r="P46" s="124" cm="1">
        <f t="array" aca="1" ref="P46" ca="1">INDIRECT("R[40]C["&amp;$A$46&amp;"]",FALSE)</f>
        <v>0</v>
      </c>
      <c r="Q46" s="125"/>
      <c r="R46" s="128">
        <f ca="1">SUM(D46:P46)</f>
        <v>552.74358974358972</v>
      </c>
    </row>
    <row r="47" spans="1:19" ht="15.5" x14ac:dyDescent="0.35">
      <c r="A47" s="121">
        <f>A46</f>
        <v>1</v>
      </c>
      <c r="B47" s="123">
        <v>15</v>
      </c>
      <c r="C47" s="127" cm="1">
        <f t="array" aca="1" ref="C47" ca="1">INDIRECT("R[40]C["&amp;$A$46&amp;"]",FALSE)</f>
        <v>0</v>
      </c>
      <c r="D47" s="124" cm="1">
        <f t="array" aca="1" ref="D47" ca="1">INDIRECT("R[40]C["&amp;$A$46&amp;"]",FALSE)</f>
        <v>0</v>
      </c>
      <c r="E47" s="124" cm="1">
        <f t="array" aca="1" ref="E47" ca="1">INDIRECT("R[40]C["&amp;$A$46&amp;"]",FALSE)</f>
        <v>76.52100840336135</v>
      </c>
      <c r="F47" s="124" cm="1">
        <f t="array" aca="1" ref="F47" ca="1">INDIRECT("R[40]C["&amp;$A$46&amp;"]",FALSE)</f>
        <v>102.33333333333334</v>
      </c>
      <c r="G47" s="124" cm="1">
        <f t="array" aca="1" ref="G47" ca="1">INDIRECT("R[40]C["&amp;$A$46&amp;"]",FALSE)</f>
        <v>183.06666666666666</v>
      </c>
      <c r="H47" s="124" cm="1">
        <f t="array" aca="1" ref="H47" ca="1">INDIRECT("R[40]C["&amp;$A$46&amp;"]",FALSE)</f>
        <v>193.64</v>
      </c>
      <c r="I47" s="124" cm="1">
        <f t="array" aca="1" ref="I47" ca="1">INDIRECT("R[40]C["&amp;$A$46&amp;"]",FALSE)</f>
        <v>375.06625590388217</v>
      </c>
      <c r="J47" s="124" cm="1">
        <f t="array" aca="1" ref="J47" ca="1">INDIRECT("R[40]C["&amp;$A$46&amp;"]",FALSE)</f>
        <v>152.93333333333334</v>
      </c>
      <c r="K47" s="124" cm="1">
        <f t="array" aca="1" ref="K47" ca="1">INDIRECT("R[40]C["&amp;$A$46&amp;"]",FALSE)</f>
        <v>315.26251267836159</v>
      </c>
      <c r="L47" s="124" cm="1">
        <f t="array" aca="1" ref="L47" ca="1">INDIRECT("R[40]C["&amp;$A$46&amp;"]",FALSE)</f>
        <v>0</v>
      </c>
      <c r="M47" s="124" cm="1">
        <f t="array" aca="1" ref="M47" ca="1">INDIRECT("R[40]C["&amp;$A$46&amp;"]",FALSE)</f>
        <v>0</v>
      </c>
      <c r="N47" s="124" cm="1">
        <f t="array" aca="1" ref="N47" ca="1">INDIRECT("R[40]C["&amp;$A$46&amp;"]",FALSE)</f>
        <v>0</v>
      </c>
      <c r="O47" s="124" cm="1">
        <f t="array" aca="1" ref="O47" ca="1">INDIRECT("R[40]C["&amp;$A$46&amp;"]",FALSE)</f>
        <v>0</v>
      </c>
      <c r="P47" s="124" cm="1">
        <f t="array" aca="1" ref="P47" ca="1">INDIRECT("R[40]C["&amp;$A$46&amp;"]",FALSE)</f>
        <v>0</v>
      </c>
      <c r="Q47" s="125"/>
      <c r="R47" s="128">
        <f ca="1">SUM(D47:P47)</f>
        <v>1398.8231103189385</v>
      </c>
    </row>
    <row r="48" spans="1:19" ht="15.5" x14ac:dyDescent="0.35">
      <c r="A48" s="121">
        <f>A47</f>
        <v>1</v>
      </c>
      <c r="B48" s="123">
        <v>18</v>
      </c>
      <c r="C48" s="127" cm="1">
        <f t="array" aca="1" ref="C48" ca="1">INDIRECT("R[40]C["&amp;$A$46&amp;"]",FALSE)</f>
        <v>0</v>
      </c>
      <c r="D48" s="124" cm="1">
        <f t="array" aca="1" ref="D48" ca="1">INDIRECT("R[40]C["&amp;$A$46&amp;"]",FALSE)</f>
        <v>0</v>
      </c>
      <c r="E48" s="124" cm="1">
        <f t="array" aca="1" ref="E48" ca="1">INDIRECT("R[40]C["&amp;$A$46&amp;"]",FALSE)</f>
        <v>0</v>
      </c>
      <c r="F48" s="124" cm="1">
        <f t="array" aca="1" ref="F48" ca="1">INDIRECT("R[40]C["&amp;$A$46&amp;"]",FALSE)</f>
        <v>0</v>
      </c>
      <c r="G48" s="124" cm="1">
        <f t="array" aca="1" ref="G48" ca="1">INDIRECT("R[40]C["&amp;$A$46&amp;"]",FALSE)</f>
        <v>0</v>
      </c>
      <c r="H48" s="124" cm="1">
        <f t="array" aca="1" ref="H48" ca="1">INDIRECT("R[40]C["&amp;$A$46&amp;"]",FALSE)</f>
        <v>0</v>
      </c>
      <c r="I48" s="124" cm="1">
        <f t="array" aca="1" ref="I48" ca="1">INDIRECT("R[40]C["&amp;$A$46&amp;"]",FALSE)</f>
        <v>0</v>
      </c>
      <c r="J48" s="124" cm="1">
        <f t="array" aca="1" ref="J48" ca="1">INDIRECT("R[40]C["&amp;$A$46&amp;"]",FALSE)</f>
        <v>0</v>
      </c>
      <c r="K48" s="124" cm="1">
        <f t="array" aca="1" ref="K48" ca="1">INDIRECT("R[40]C["&amp;$A$46&amp;"]",FALSE)</f>
        <v>0</v>
      </c>
      <c r="L48" s="124" cm="1">
        <f t="array" aca="1" ref="L48" ca="1">INDIRECT("R[40]C["&amp;$A$46&amp;"]",FALSE)</f>
        <v>166.78543772010551</v>
      </c>
      <c r="M48" s="124" cm="1">
        <f t="array" aca="1" ref="M48" ca="1">INDIRECT("R[40]C["&amp;$A$46&amp;"]",FALSE)</f>
        <v>300.62599050437262</v>
      </c>
      <c r="N48" s="124" cm="1">
        <f t="array" aca="1" ref="N48" ca="1">INDIRECT("R[40]C["&amp;$A$46&amp;"]",FALSE)</f>
        <v>198.16666666666666</v>
      </c>
      <c r="O48" s="124" cm="1">
        <f t="array" aca="1" ref="O48" ca="1">INDIRECT("R[40]C["&amp;$A$46&amp;"]",FALSE)</f>
        <v>135.63842336953189</v>
      </c>
      <c r="P48" s="124" cm="1">
        <f t="array" aca="1" ref="P48" ca="1">INDIRECT("R[40]C["&amp;$A$46&amp;"]",FALSE)</f>
        <v>51.333333333333336</v>
      </c>
      <c r="Q48" s="125"/>
      <c r="R48" s="128">
        <f ca="1">SUM(D48:P48)</f>
        <v>852.54985159401008</v>
      </c>
      <c r="S48" t="s">
        <v>91</v>
      </c>
    </row>
    <row r="49" spans="1:18" ht="15.5" x14ac:dyDescent="0.35">
      <c r="A49" s="116"/>
      <c r="B49" s="129" t="s">
        <v>351</v>
      </c>
      <c r="C49" s="133"/>
      <c r="D49" s="129"/>
      <c r="E49" s="129"/>
      <c r="F49" s="129"/>
      <c r="G49" s="129"/>
      <c r="H49" s="129"/>
      <c r="I49" s="129"/>
      <c r="J49" s="129"/>
      <c r="K49" s="129"/>
      <c r="L49" s="129"/>
      <c r="M49" s="129"/>
      <c r="N49" s="129"/>
      <c r="O49" s="129"/>
      <c r="P49" s="129"/>
      <c r="Q49" s="129"/>
      <c r="R49" s="130"/>
    </row>
    <row r="50" spans="1:18" ht="15.5" x14ac:dyDescent="0.35">
      <c r="A50" s="121">
        <f>A48</f>
        <v>1</v>
      </c>
      <c r="B50" s="123">
        <v>12</v>
      </c>
      <c r="C50" s="127" cm="1">
        <f t="array" aca="1" ref="C50" ca="1">INDIRECT("R[40]C["&amp;$A$50&amp;"]",FALSE)</f>
        <v>0</v>
      </c>
      <c r="D50" s="124" cm="1">
        <f t="array" aca="1" ref="D50" ca="1">INDIRECT("R[40]C["&amp;$A$50&amp;"]",FALSE)</f>
        <v>128.30769230769232</v>
      </c>
      <c r="E50" s="124" cm="1">
        <f t="array" aca="1" ref="E50" ca="1">INDIRECT("R[40]C["&amp;$A$50&amp;"]",FALSE)</f>
        <v>785.38461538461547</v>
      </c>
      <c r="F50" s="124" cm="1">
        <f t="array" aca="1" ref="F50" ca="1">INDIRECT("R[40]C["&amp;$A$50&amp;"]",FALSE)</f>
        <v>562.53846153846143</v>
      </c>
      <c r="G50" s="124" cm="1">
        <f t="array" aca="1" ref="G50" ca="1">INDIRECT("R[40]C["&amp;$A$50&amp;"]",FALSE)</f>
        <v>182</v>
      </c>
      <c r="H50" s="124" cm="1">
        <f t="array" aca="1" ref="H50" ca="1">INDIRECT("R[40]C["&amp;$A$50&amp;"]",FALSE)</f>
        <v>0</v>
      </c>
      <c r="I50" s="124" cm="1">
        <f t="array" aca="1" ref="I50" ca="1">INDIRECT("R[40]C["&amp;$A$50&amp;"]",FALSE)</f>
        <v>0</v>
      </c>
      <c r="J50" s="124" cm="1">
        <f t="array" aca="1" ref="J50" ca="1">INDIRECT("R[40]C["&amp;$A$50&amp;"]",FALSE)</f>
        <v>0</v>
      </c>
      <c r="K50" s="124" cm="1">
        <f t="array" aca="1" ref="K50" ca="1">INDIRECT("R[40]C["&amp;$A$50&amp;"]",FALSE)</f>
        <v>0</v>
      </c>
      <c r="L50" s="124" cm="1">
        <f t="array" aca="1" ref="L50" ca="1">INDIRECT("R[40]C["&amp;$A$50&amp;"]",FALSE)</f>
        <v>0</v>
      </c>
      <c r="M50" s="124" cm="1">
        <f t="array" aca="1" ref="M50" ca="1">INDIRECT("R[40]C["&amp;$A$50&amp;"]",FALSE)</f>
        <v>0</v>
      </c>
      <c r="N50" s="124" cm="1">
        <f t="array" aca="1" ref="N50" ca="1">INDIRECT("R[40]C["&amp;$A$50&amp;"]",FALSE)</f>
        <v>0</v>
      </c>
      <c r="O50" s="124" cm="1">
        <f t="array" aca="1" ref="O50" ca="1">INDIRECT("R[40]C["&amp;$A$50&amp;"]",FALSE)</f>
        <v>0</v>
      </c>
      <c r="P50" s="124" cm="1">
        <f t="array" aca="1" ref="P50" ca="1">INDIRECT("R[40]C["&amp;$A$50&amp;"]",FALSE)</f>
        <v>0</v>
      </c>
      <c r="Q50" s="126"/>
      <c r="R50" s="128">
        <f ca="1">SUM(D50:P50)</f>
        <v>1658.2307692307693</v>
      </c>
    </row>
    <row r="51" spans="1:18" ht="15.5" x14ac:dyDescent="0.35">
      <c r="A51" s="121">
        <f>A50</f>
        <v>1</v>
      </c>
      <c r="B51" s="123">
        <v>15</v>
      </c>
      <c r="C51" s="127" cm="1">
        <f t="array" aca="1" ref="C51" ca="1">INDIRECT("R[40]C["&amp;$A$50&amp;"]",FALSE)</f>
        <v>0</v>
      </c>
      <c r="D51" s="124" cm="1">
        <f t="array" aca="1" ref="D51" ca="1">INDIRECT("R[40]C["&amp;$A$50&amp;"]",FALSE)</f>
        <v>0</v>
      </c>
      <c r="E51" s="124" cm="1">
        <f t="array" aca="1" ref="E51" ca="1">INDIRECT("R[40]C["&amp;$A$50&amp;"]",FALSE)</f>
        <v>229.56302521008405</v>
      </c>
      <c r="F51" s="124" cm="1">
        <f t="array" aca="1" ref="F51" ca="1">INDIRECT("R[40]C["&amp;$A$50&amp;"]",FALSE)</f>
        <v>307</v>
      </c>
      <c r="G51" s="124" cm="1">
        <f t="array" aca="1" ref="G51" ca="1">INDIRECT("R[40]C["&amp;$A$50&amp;"]",FALSE)</f>
        <v>549.20000000000005</v>
      </c>
      <c r="H51" s="124" cm="1">
        <f t="array" aca="1" ref="H51" ca="1">INDIRECT("R[40]C["&amp;$A$50&amp;"]",FALSE)</f>
        <v>580.91999999999996</v>
      </c>
      <c r="I51" s="124" cm="1">
        <f t="array" aca="1" ref="I51" ca="1">INDIRECT("R[40]C["&amp;$A$50&amp;"]",FALSE)</f>
        <v>1125.1987677116465</v>
      </c>
      <c r="J51" s="124" cm="1">
        <f t="array" aca="1" ref="J51" ca="1">INDIRECT("R[40]C["&amp;$A$50&amp;"]",FALSE)</f>
        <v>458.8</v>
      </c>
      <c r="K51" s="124" cm="1">
        <f t="array" aca="1" ref="K51" ca="1">INDIRECT("R[40]C["&amp;$A$50&amp;"]",FALSE)</f>
        <v>945.78753803508471</v>
      </c>
      <c r="L51" s="124" cm="1">
        <f t="array" aca="1" ref="L51" ca="1">INDIRECT("R[40]C["&amp;$A$50&amp;"]",FALSE)</f>
        <v>0</v>
      </c>
      <c r="M51" s="124" cm="1">
        <f t="array" aca="1" ref="M51" ca="1">INDIRECT("R[40]C["&amp;$A$50&amp;"]",FALSE)</f>
        <v>0</v>
      </c>
      <c r="N51" s="124" cm="1">
        <f t="array" aca="1" ref="N51" ca="1">INDIRECT("R[40]C["&amp;$A$50&amp;"]",FALSE)</f>
        <v>0</v>
      </c>
      <c r="O51" s="124" cm="1">
        <f t="array" aca="1" ref="O51" ca="1">INDIRECT("R[40]C["&amp;$A$50&amp;"]",FALSE)</f>
        <v>0</v>
      </c>
      <c r="P51" s="124" cm="1">
        <f t="array" aca="1" ref="P51" ca="1">INDIRECT("R[40]C["&amp;$A$50&amp;"]",FALSE)</f>
        <v>0</v>
      </c>
      <c r="Q51" s="126"/>
      <c r="R51" s="128">
        <f ca="1">SUM(D51:P51)</f>
        <v>4196.4693309568156</v>
      </c>
    </row>
    <row r="52" spans="1:18" ht="15.5" x14ac:dyDescent="0.35">
      <c r="A52" s="121">
        <f>A51</f>
        <v>1</v>
      </c>
      <c r="B52" s="123">
        <v>18</v>
      </c>
      <c r="C52" s="127" cm="1">
        <f t="array" aca="1" ref="C52" ca="1">INDIRECT("R[40]C["&amp;$A$50&amp;"]",FALSE)</f>
        <v>0</v>
      </c>
      <c r="D52" s="124" cm="1">
        <f t="array" aca="1" ref="D52" ca="1">INDIRECT("R[40]C["&amp;$A$50&amp;"]",FALSE)</f>
        <v>0</v>
      </c>
      <c r="E52" s="124" cm="1">
        <f t="array" aca="1" ref="E52" ca="1">INDIRECT("R[40]C["&amp;$A$50&amp;"]",FALSE)</f>
        <v>0</v>
      </c>
      <c r="F52" s="124" cm="1">
        <f t="array" aca="1" ref="F52" ca="1">INDIRECT("R[40]C["&amp;$A$50&amp;"]",FALSE)</f>
        <v>0</v>
      </c>
      <c r="G52" s="124" cm="1">
        <f t="array" aca="1" ref="G52" ca="1">INDIRECT("R[40]C["&amp;$A$50&amp;"]",FALSE)</f>
        <v>0</v>
      </c>
      <c r="H52" s="124" cm="1">
        <f t="array" aca="1" ref="H52" ca="1">INDIRECT("R[40]C["&amp;$A$50&amp;"]",FALSE)</f>
        <v>0</v>
      </c>
      <c r="I52" s="124" cm="1">
        <f t="array" aca="1" ref="I52" ca="1">INDIRECT("R[40]C["&amp;$A$50&amp;"]",FALSE)</f>
        <v>0</v>
      </c>
      <c r="J52" s="124" cm="1">
        <f t="array" aca="1" ref="J52" ca="1">INDIRECT("R[40]C["&amp;$A$50&amp;"]",FALSE)</f>
        <v>0</v>
      </c>
      <c r="K52" s="124" cm="1">
        <f t="array" aca="1" ref="K52" ca="1">INDIRECT("R[40]C["&amp;$A$50&amp;"]",FALSE)</f>
        <v>0</v>
      </c>
      <c r="L52" s="124" cm="1">
        <f t="array" aca="1" ref="L52" ca="1">INDIRECT("R[40]C["&amp;$A$50&amp;"]",FALSE)</f>
        <v>500.35631316031652</v>
      </c>
      <c r="M52" s="124" cm="1">
        <f t="array" aca="1" ref="M52" ca="1">INDIRECT("R[40]C["&amp;$A$50&amp;"]",FALSE)</f>
        <v>901.87797151311793</v>
      </c>
      <c r="N52" s="124" cm="1">
        <f t="array" aca="1" ref="N52" ca="1">INDIRECT("R[40]C["&amp;$A$50&amp;"]",FALSE)</f>
        <v>594.5</v>
      </c>
      <c r="O52" s="124" cm="1">
        <f t="array" aca="1" ref="O52" ca="1">INDIRECT("R[40]C["&amp;$A$50&amp;"]",FALSE)</f>
        <v>406.91527010859568</v>
      </c>
      <c r="P52" s="124" cm="1">
        <f t="array" aca="1" ref="P52" ca="1">INDIRECT("R[40]C["&amp;$A$50&amp;"]",FALSE)</f>
        <v>154</v>
      </c>
      <c r="Q52" s="126"/>
      <c r="R52" s="128">
        <f ca="1">SUM(D52:P52)</f>
        <v>2557.6495547820305</v>
      </c>
    </row>
    <row r="53" spans="1:18" ht="15.5" x14ac:dyDescent="0.35">
      <c r="A53" s="116"/>
      <c r="B53" s="129" t="s">
        <v>114</v>
      </c>
      <c r="C53" s="133"/>
      <c r="D53" s="129"/>
      <c r="E53" s="129"/>
      <c r="F53" s="129"/>
      <c r="G53" s="129"/>
      <c r="H53" s="129"/>
      <c r="I53" s="129"/>
      <c r="J53" s="129"/>
      <c r="K53" s="129"/>
      <c r="L53" s="129"/>
      <c r="M53" s="129"/>
      <c r="N53" s="129"/>
      <c r="O53" s="129"/>
      <c r="P53" s="129"/>
      <c r="Q53" s="129"/>
      <c r="R53" s="130"/>
    </row>
    <row r="54" spans="1:18" ht="15.5" x14ac:dyDescent="0.35">
      <c r="A54" s="121">
        <f>A52</f>
        <v>1</v>
      </c>
      <c r="B54" s="123">
        <v>12</v>
      </c>
      <c r="C54" s="127" cm="1">
        <f t="array" aca="1" ref="C54" ca="1">INDIRECT("R[40]C["&amp;$A$46&amp;"]",FALSE)</f>
        <v>0</v>
      </c>
      <c r="D54" s="124" cm="1">
        <f t="array" aca="1" ref="D54" ca="1">INDIRECT("R[40]C["&amp;$A$46&amp;"]",FALSE)</f>
        <v>42.769230769230774</v>
      </c>
      <c r="E54" s="124" cm="1">
        <f t="array" aca="1" ref="E54" ca="1">INDIRECT("R[40]C["&amp;$A$46&amp;"]",FALSE)</f>
        <v>261.79487179487182</v>
      </c>
      <c r="F54" s="124" cm="1">
        <f t="array" aca="1" ref="F54" ca="1">INDIRECT("R[40]C["&amp;$A$46&amp;"]",FALSE)</f>
        <v>187.5128205128205</v>
      </c>
      <c r="G54" s="124" cm="1">
        <f t="array" aca="1" ref="G54" ca="1">INDIRECT("R[40]C["&amp;$A$46&amp;"]",FALSE)</f>
        <v>60.666666666666664</v>
      </c>
      <c r="H54" s="124" cm="1">
        <f t="array" aca="1" ref="H54" ca="1">INDIRECT("R[40]C["&amp;$A$46&amp;"]",FALSE)</f>
        <v>0</v>
      </c>
      <c r="I54" s="124" cm="1">
        <f t="array" aca="1" ref="I54" ca="1">INDIRECT("R[40]C["&amp;$A$46&amp;"]",FALSE)</f>
        <v>0</v>
      </c>
      <c r="J54" s="124" cm="1">
        <f t="array" aca="1" ref="J54" ca="1">INDIRECT("R[40]C["&amp;$A$46&amp;"]",FALSE)</f>
        <v>0</v>
      </c>
      <c r="K54" s="124" cm="1">
        <f t="array" aca="1" ref="K54" ca="1">INDIRECT("R[40]C["&amp;$A$46&amp;"]",FALSE)</f>
        <v>0</v>
      </c>
      <c r="L54" s="124" cm="1">
        <f t="array" aca="1" ref="L54" ca="1">INDIRECT("R[40]C["&amp;$A$46&amp;"]",FALSE)</f>
        <v>0</v>
      </c>
      <c r="M54" s="124" cm="1">
        <f t="array" aca="1" ref="M54" ca="1">INDIRECT("R[40]C["&amp;$A$46&amp;"]",FALSE)</f>
        <v>0</v>
      </c>
      <c r="N54" s="124" cm="1">
        <f t="array" aca="1" ref="N54" ca="1">INDIRECT("R[40]C["&amp;$A$46&amp;"]",FALSE)</f>
        <v>0</v>
      </c>
      <c r="O54" s="124" cm="1">
        <f t="array" aca="1" ref="O54" ca="1">INDIRECT("R[40]C["&amp;$A$46&amp;"]",FALSE)</f>
        <v>0</v>
      </c>
      <c r="P54" s="124" cm="1">
        <f t="array" aca="1" ref="P54" ca="1">INDIRECT("R[40]C["&amp;$A$46&amp;"]",FALSE)</f>
        <v>0</v>
      </c>
      <c r="Q54" s="123"/>
      <c r="R54" s="128">
        <f ca="1">SUM(D54:P54)</f>
        <v>552.74358974358972</v>
      </c>
    </row>
    <row r="55" spans="1:18" ht="15.5" x14ac:dyDescent="0.35">
      <c r="A55" s="121">
        <f>A54</f>
        <v>1</v>
      </c>
      <c r="B55" s="123">
        <v>15</v>
      </c>
      <c r="C55" s="127" cm="1">
        <f t="array" aca="1" ref="C55" ca="1">INDIRECT("R[40]C["&amp;$A$46&amp;"]",FALSE)</f>
        <v>0</v>
      </c>
      <c r="D55" s="124" cm="1">
        <f t="array" aca="1" ref="D55" ca="1">INDIRECT("R[40]C["&amp;$A$46&amp;"]",FALSE)</f>
        <v>0</v>
      </c>
      <c r="E55" s="124" cm="1">
        <f t="array" aca="1" ref="E55" ca="1">INDIRECT("R[40]C["&amp;$A$46&amp;"]",FALSE)</f>
        <v>76.52100840336135</v>
      </c>
      <c r="F55" s="124" cm="1">
        <f t="array" aca="1" ref="F55" ca="1">INDIRECT("R[40]C["&amp;$A$46&amp;"]",FALSE)</f>
        <v>102.33333333333334</v>
      </c>
      <c r="G55" s="124" cm="1">
        <f t="array" aca="1" ref="G55" ca="1">INDIRECT("R[40]C["&amp;$A$46&amp;"]",FALSE)</f>
        <v>183.06666666666666</v>
      </c>
      <c r="H55" s="124" cm="1">
        <f t="array" aca="1" ref="H55" ca="1">INDIRECT("R[40]C["&amp;$A$46&amp;"]",FALSE)</f>
        <v>193.64</v>
      </c>
      <c r="I55" s="124" cm="1">
        <f t="array" aca="1" ref="I55" ca="1">INDIRECT("R[40]C["&amp;$A$46&amp;"]",FALSE)</f>
        <v>375.06625590388217</v>
      </c>
      <c r="J55" s="124" cm="1">
        <f t="array" aca="1" ref="J55" ca="1">INDIRECT("R[40]C["&amp;$A$46&amp;"]",FALSE)</f>
        <v>152.93333333333334</v>
      </c>
      <c r="K55" s="124" cm="1">
        <f t="array" aca="1" ref="K55" ca="1">INDIRECT("R[40]C["&amp;$A$46&amp;"]",FALSE)</f>
        <v>315.26251267836159</v>
      </c>
      <c r="L55" s="124" cm="1">
        <f t="array" aca="1" ref="L55" ca="1">INDIRECT("R[40]C["&amp;$A$46&amp;"]",FALSE)</f>
        <v>0</v>
      </c>
      <c r="M55" s="124" cm="1">
        <f t="array" aca="1" ref="M55" ca="1">INDIRECT("R[40]C["&amp;$A$46&amp;"]",FALSE)</f>
        <v>0</v>
      </c>
      <c r="N55" s="124" cm="1">
        <f t="array" aca="1" ref="N55" ca="1">INDIRECT("R[40]C["&amp;$A$46&amp;"]",FALSE)</f>
        <v>0</v>
      </c>
      <c r="O55" s="124" cm="1">
        <f t="array" aca="1" ref="O55" ca="1">INDIRECT("R[40]C["&amp;$A$46&amp;"]",FALSE)</f>
        <v>0</v>
      </c>
      <c r="P55" s="124" cm="1">
        <f t="array" aca="1" ref="P55" ca="1">INDIRECT("R[40]C["&amp;$A$46&amp;"]",FALSE)</f>
        <v>0</v>
      </c>
      <c r="Q55" s="123"/>
      <c r="R55" s="128">
        <f ca="1">SUM(D55:P55)</f>
        <v>1398.8231103189385</v>
      </c>
    </row>
    <row r="56" spans="1:18" ht="15.5" x14ac:dyDescent="0.35">
      <c r="A56" s="121">
        <f>A55</f>
        <v>1</v>
      </c>
      <c r="B56" s="123">
        <v>18</v>
      </c>
      <c r="C56" s="127" cm="1">
        <f t="array" aca="1" ref="C56" ca="1">INDIRECT("R[40]C["&amp;$A$46&amp;"]",FALSE)</f>
        <v>0</v>
      </c>
      <c r="D56" s="124" cm="1">
        <f t="array" aca="1" ref="D56" ca="1">INDIRECT("R[40]C["&amp;$A$46&amp;"]",FALSE)</f>
        <v>0</v>
      </c>
      <c r="E56" s="124" cm="1">
        <f t="array" aca="1" ref="E56" ca="1">INDIRECT("R[40]C["&amp;$A$46&amp;"]",FALSE)</f>
        <v>0</v>
      </c>
      <c r="F56" s="124" cm="1">
        <f t="array" aca="1" ref="F56" ca="1">INDIRECT("R[40]C["&amp;$A$46&amp;"]",FALSE)</f>
        <v>0</v>
      </c>
      <c r="G56" s="124" cm="1">
        <f t="array" aca="1" ref="G56" ca="1">INDIRECT("R[40]C["&amp;$A$46&amp;"]",FALSE)</f>
        <v>0</v>
      </c>
      <c r="H56" s="124" cm="1">
        <f t="array" aca="1" ref="H56" ca="1">INDIRECT("R[40]C["&amp;$A$46&amp;"]",FALSE)</f>
        <v>0</v>
      </c>
      <c r="I56" s="124" cm="1">
        <f t="array" aca="1" ref="I56" ca="1">INDIRECT("R[40]C["&amp;$A$46&amp;"]",FALSE)</f>
        <v>0</v>
      </c>
      <c r="J56" s="124" cm="1">
        <f t="array" aca="1" ref="J56" ca="1">INDIRECT("R[40]C["&amp;$A$46&amp;"]",FALSE)</f>
        <v>0</v>
      </c>
      <c r="K56" s="124" cm="1">
        <f t="array" aca="1" ref="K56" ca="1">INDIRECT("R[40]C["&amp;$A$46&amp;"]",FALSE)</f>
        <v>0</v>
      </c>
      <c r="L56" s="124" cm="1">
        <f t="array" aca="1" ref="L56" ca="1">INDIRECT("R[40]C["&amp;$A$46&amp;"]",FALSE)</f>
        <v>166.78543772010551</v>
      </c>
      <c r="M56" s="124" cm="1">
        <f t="array" aca="1" ref="M56" ca="1">INDIRECT("R[40]C["&amp;$A$46&amp;"]",FALSE)</f>
        <v>300.62599050437262</v>
      </c>
      <c r="N56" s="124" cm="1">
        <f t="array" aca="1" ref="N56" ca="1">INDIRECT("R[40]C["&amp;$A$46&amp;"]",FALSE)</f>
        <v>198.16666666666666</v>
      </c>
      <c r="O56" s="124" cm="1">
        <f t="array" aca="1" ref="O56" ca="1">INDIRECT("R[40]C["&amp;$A$46&amp;"]",FALSE)</f>
        <v>135.63842336953189</v>
      </c>
      <c r="P56" s="124" cm="1">
        <f t="array" aca="1" ref="P56" ca="1">INDIRECT("R[40]C["&amp;$A$46&amp;"]",FALSE)</f>
        <v>51.333333333333336</v>
      </c>
      <c r="Q56" s="123"/>
      <c r="R56" s="128">
        <f ca="1">SUM(D56:P56)</f>
        <v>852.54985159401008</v>
      </c>
    </row>
    <row r="57" spans="1:18" ht="15.5" x14ac:dyDescent="0.35">
      <c r="A57" s="116"/>
      <c r="B57" s="129" t="s">
        <v>352</v>
      </c>
      <c r="C57" s="133"/>
      <c r="D57" s="129"/>
      <c r="E57" s="129"/>
      <c r="F57" s="129"/>
      <c r="G57" s="129"/>
      <c r="H57" s="129"/>
      <c r="I57" s="129"/>
      <c r="J57" s="129"/>
      <c r="K57" s="129"/>
      <c r="L57" s="129"/>
      <c r="M57" s="129"/>
      <c r="N57" s="129"/>
      <c r="O57" s="129"/>
      <c r="P57" s="129"/>
      <c r="Q57" s="129"/>
      <c r="R57" s="130"/>
    </row>
    <row r="58" spans="1:18" ht="15.5" x14ac:dyDescent="0.35">
      <c r="A58" s="121">
        <f>A56</f>
        <v>1</v>
      </c>
      <c r="B58" s="123">
        <v>12</v>
      </c>
      <c r="C58" s="127" cm="1">
        <f t="array" aca="1" ref="C58" ca="1">INDIRECT("R[40]C["&amp;$A$58&amp;"]",FALSE)</f>
        <v>0</v>
      </c>
      <c r="D58" s="124" cm="1">
        <f t="array" aca="1" ref="D58" ca="1">INDIRECT("R[40]C["&amp;$A$58&amp;"]",FALSE)</f>
        <v>42.769230769230774</v>
      </c>
      <c r="E58" s="124" cm="1">
        <f t="array" aca="1" ref="E58" ca="1">INDIRECT("R[40]C["&amp;$A$58&amp;"]",FALSE)</f>
        <v>261.79487179487182</v>
      </c>
      <c r="F58" s="124" cm="1">
        <f t="array" aca="1" ref="F58" ca="1">INDIRECT("R[40]C["&amp;$A$58&amp;"]",FALSE)</f>
        <v>187.5128205128205</v>
      </c>
      <c r="G58" s="124" cm="1">
        <f t="array" aca="1" ref="G58" ca="1">INDIRECT("R[40]C["&amp;$A$58&amp;"]",FALSE)</f>
        <v>60.666666666666664</v>
      </c>
      <c r="H58" s="124" cm="1">
        <f t="array" aca="1" ref="H58" ca="1">INDIRECT("R[40]C["&amp;$A$58&amp;"]",FALSE)</f>
        <v>0</v>
      </c>
      <c r="I58" s="124" cm="1">
        <f t="array" aca="1" ref="I58" ca="1">INDIRECT("R[40]C["&amp;$A$58&amp;"]",FALSE)</f>
        <v>0</v>
      </c>
      <c r="J58" s="124" cm="1">
        <f t="array" aca="1" ref="J58" ca="1">INDIRECT("R[40]C["&amp;$A$58&amp;"]",FALSE)</f>
        <v>0</v>
      </c>
      <c r="K58" s="124" cm="1">
        <f t="array" aca="1" ref="K58" ca="1">INDIRECT("R[40]C["&amp;$A$58&amp;"]",FALSE)</f>
        <v>0</v>
      </c>
      <c r="L58" s="124" cm="1">
        <f t="array" aca="1" ref="L58" ca="1">INDIRECT("R[40]C["&amp;$A$58&amp;"]",FALSE)</f>
        <v>0</v>
      </c>
      <c r="M58" s="124" cm="1">
        <f t="array" aca="1" ref="M58" ca="1">INDIRECT("R[40]C["&amp;$A$58&amp;"]",FALSE)</f>
        <v>0</v>
      </c>
      <c r="N58" s="124" cm="1">
        <f t="array" aca="1" ref="N58" ca="1">INDIRECT("R[40]C["&amp;$A$58&amp;"]",FALSE)</f>
        <v>0</v>
      </c>
      <c r="O58" s="124" cm="1">
        <f t="array" aca="1" ref="O58" ca="1">INDIRECT("R[40]C["&amp;$A$58&amp;"]",FALSE)</f>
        <v>0</v>
      </c>
      <c r="P58" s="124" cm="1">
        <f t="array" aca="1" ref="P58" ca="1">INDIRECT("R[40]C["&amp;$A$58&amp;"]",FALSE)</f>
        <v>0</v>
      </c>
      <c r="Q58" s="125"/>
      <c r="R58" s="128">
        <f ca="1">SUM(D58:P58)</f>
        <v>552.74358974358972</v>
      </c>
    </row>
    <row r="59" spans="1:18" ht="15.5" x14ac:dyDescent="0.35">
      <c r="A59" s="121">
        <f>A56</f>
        <v>1</v>
      </c>
      <c r="B59" s="123">
        <v>15</v>
      </c>
      <c r="C59" s="127" cm="1">
        <f t="array" aca="1" ref="C59" ca="1">INDIRECT("R[40]C["&amp;$A$58&amp;"]",FALSE)</f>
        <v>0</v>
      </c>
      <c r="D59" s="124" cm="1">
        <f t="array" aca="1" ref="D59" ca="1">INDIRECT("R[40]C["&amp;$A$58&amp;"]",FALSE)</f>
        <v>0</v>
      </c>
      <c r="E59" s="124" cm="1">
        <f t="array" aca="1" ref="E59" ca="1">INDIRECT("R[40]C["&amp;$A$58&amp;"]",FALSE)</f>
        <v>76.52100840336135</v>
      </c>
      <c r="F59" s="124" cm="1">
        <f t="array" aca="1" ref="F59" ca="1">INDIRECT("R[40]C["&amp;$A$58&amp;"]",FALSE)</f>
        <v>102.33333333333334</v>
      </c>
      <c r="G59" s="124" cm="1">
        <f t="array" aca="1" ref="G59" ca="1">INDIRECT("R[40]C["&amp;$A$58&amp;"]",FALSE)</f>
        <v>183.06666666666666</v>
      </c>
      <c r="H59" s="124" cm="1">
        <f t="array" aca="1" ref="H59" ca="1">INDIRECT("R[40]C["&amp;$A$58&amp;"]",FALSE)</f>
        <v>193.64</v>
      </c>
      <c r="I59" s="124" cm="1">
        <f t="array" aca="1" ref="I59" ca="1">INDIRECT("R[40]C["&amp;$A$58&amp;"]",FALSE)</f>
        <v>375.06625590388217</v>
      </c>
      <c r="J59" s="124" cm="1">
        <f t="array" aca="1" ref="J59" ca="1">INDIRECT("R[40]C["&amp;$A$58&amp;"]",FALSE)</f>
        <v>152.93333333333334</v>
      </c>
      <c r="K59" s="124" cm="1">
        <f t="array" aca="1" ref="K59" ca="1">INDIRECT("R[40]C["&amp;$A$58&amp;"]",FALSE)</f>
        <v>315.26251267836159</v>
      </c>
      <c r="L59" s="124" cm="1">
        <f t="array" aca="1" ref="L59" ca="1">INDIRECT("R[40]C["&amp;$A$58&amp;"]",FALSE)</f>
        <v>0</v>
      </c>
      <c r="M59" s="124" cm="1">
        <f t="array" aca="1" ref="M59" ca="1">INDIRECT("R[40]C["&amp;$A$58&amp;"]",FALSE)</f>
        <v>0</v>
      </c>
      <c r="N59" s="124" cm="1">
        <f t="array" aca="1" ref="N59" ca="1">INDIRECT("R[40]C["&amp;$A$58&amp;"]",FALSE)</f>
        <v>0</v>
      </c>
      <c r="O59" s="124" cm="1">
        <f t="array" aca="1" ref="O59" ca="1">INDIRECT("R[40]C["&amp;$A$58&amp;"]",FALSE)</f>
        <v>0</v>
      </c>
      <c r="P59" s="124" cm="1">
        <f t="array" aca="1" ref="P59" ca="1">INDIRECT("R[40]C["&amp;$A$58&amp;"]",FALSE)</f>
        <v>0</v>
      </c>
      <c r="Q59" s="125"/>
      <c r="R59" s="128">
        <f ca="1">SUM(D59:P59)</f>
        <v>1398.8231103189385</v>
      </c>
    </row>
    <row r="60" spans="1:18" ht="15.5" x14ac:dyDescent="0.35">
      <c r="A60" s="121">
        <f>A56</f>
        <v>1</v>
      </c>
      <c r="B60" s="123">
        <v>18</v>
      </c>
      <c r="C60" s="127" cm="1">
        <f t="array" aca="1" ref="C60" ca="1">INDIRECT("R[40]C["&amp;$A$58&amp;"]",FALSE)</f>
        <v>0</v>
      </c>
      <c r="D60" s="124" cm="1">
        <f t="array" aca="1" ref="D60" ca="1">INDIRECT("R[40]C["&amp;$A$58&amp;"]",FALSE)</f>
        <v>0</v>
      </c>
      <c r="E60" s="124" cm="1">
        <f t="array" aca="1" ref="E60" ca="1">INDIRECT("R[40]C["&amp;$A$58&amp;"]",FALSE)</f>
        <v>0</v>
      </c>
      <c r="F60" s="124" cm="1">
        <f t="array" aca="1" ref="F60" ca="1">INDIRECT("R[40]C["&amp;$A$58&amp;"]",FALSE)</f>
        <v>0</v>
      </c>
      <c r="G60" s="124" cm="1">
        <f t="array" aca="1" ref="G60" ca="1">INDIRECT("R[40]C["&amp;$A$58&amp;"]",FALSE)</f>
        <v>0</v>
      </c>
      <c r="H60" s="124" cm="1">
        <f t="array" aca="1" ref="H60" ca="1">INDIRECT("R[40]C["&amp;$A$58&amp;"]",FALSE)</f>
        <v>0</v>
      </c>
      <c r="I60" s="124" cm="1">
        <f t="array" aca="1" ref="I60" ca="1">INDIRECT("R[40]C["&amp;$A$58&amp;"]",FALSE)</f>
        <v>0</v>
      </c>
      <c r="J60" s="124" cm="1">
        <f t="array" aca="1" ref="J60" ca="1">INDIRECT("R[40]C["&amp;$A$58&amp;"]",FALSE)</f>
        <v>0</v>
      </c>
      <c r="K60" s="124" cm="1">
        <f t="array" aca="1" ref="K60" ca="1">INDIRECT("R[40]C["&amp;$A$58&amp;"]",FALSE)</f>
        <v>0</v>
      </c>
      <c r="L60" s="124" cm="1">
        <f t="array" aca="1" ref="L60" ca="1">INDIRECT("R[40]C["&amp;$A$58&amp;"]",FALSE)</f>
        <v>166.78543772010551</v>
      </c>
      <c r="M60" s="124" cm="1">
        <f t="array" aca="1" ref="M60" ca="1">INDIRECT("R[40]C["&amp;$A$58&amp;"]",FALSE)</f>
        <v>300.62599050437262</v>
      </c>
      <c r="N60" s="124" cm="1">
        <f t="array" aca="1" ref="N60" ca="1">INDIRECT("R[40]C["&amp;$A$58&amp;"]",FALSE)</f>
        <v>198.16666666666666</v>
      </c>
      <c r="O60" s="124" cm="1">
        <f t="array" aca="1" ref="O60" ca="1">INDIRECT("R[40]C["&amp;$A$58&amp;"]",FALSE)</f>
        <v>135.63842336953189</v>
      </c>
      <c r="P60" s="124" cm="1">
        <f t="array" aca="1" ref="P60" ca="1">INDIRECT("R[40]C["&amp;$A$58&amp;"]",FALSE)</f>
        <v>51.333333333333336</v>
      </c>
      <c r="Q60" s="125"/>
      <c r="R60" s="128">
        <f ca="1">SUM(D60:P60)</f>
        <v>852.54985159401008</v>
      </c>
    </row>
    <row r="61" spans="1:18" ht="15.5" x14ac:dyDescent="0.35">
      <c r="A61" s="116"/>
      <c r="B61" s="129" t="s">
        <v>116</v>
      </c>
      <c r="C61" s="133"/>
      <c r="D61" s="129"/>
      <c r="E61" s="129"/>
      <c r="F61" s="129"/>
      <c r="G61" s="129"/>
      <c r="H61" s="129"/>
      <c r="I61" s="129"/>
      <c r="J61" s="129"/>
      <c r="K61" s="129"/>
      <c r="L61" s="129"/>
      <c r="M61" s="129"/>
      <c r="N61" s="129"/>
      <c r="O61" s="129"/>
      <c r="P61" s="129"/>
      <c r="Q61" s="129"/>
      <c r="R61" s="130"/>
    </row>
    <row r="62" spans="1:18" ht="15.5" x14ac:dyDescent="0.35">
      <c r="A62" s="121">
        <f>A60</f>
        <v>1</v>
      </c>
      <c r="B62" s="125" t="s">
        <v>257</v>
      </c>
      <c r="C62" s="127" cm="1">
        <f t="array" aca="1" ref="C62" ca="1">INDIRECT("R[40]C["&amp;$A$62&amp;"]",FALSE)</f>
        <v>0</v>
      </c>
      <c r="D62" s="124" cm="1">
        <f t="array" aca="1" ref="D62" ca="1">INDIRECT("R[40]C["&amp;$A$62&amp;"]",FALSE)</f>
        <v>32.769230769230774</v>
      </c>
      <c r="E62" s="124" cm="1">
        <f t="array" aca="1" ref="E62" ca="1">INDIRECT("R[40]C["&amp;$A$62&amp;"]",FALSE)</f>
        <v>229.49353587588882</v>
      </c>
      <c r="F62" s="124" cm="1">
        <f t="array" aca="1" ref="F62" ca="1">INDIRECT("R[40]C["&amp;$A$62&amp;"]",FALSE)</f>
        <v>179.50641025641025</v>
      </c>
      <c r="G62" s="124" cm="1">
        <f t="array" aca="1" ref="G62" ca="1">INDIRECT("R[40]C["&amp;$A$62&amp;"]",FALSE)</f>
        <v>160.73333333333332</v>
      </c>
      <c r="H62" s="124" cm="1">
        <f t="array" aca="1" ref="H62" ca="1">INDIRECT("R[40]C["&amp;$A$62&amp;"]",FALSE)</f>
        <v>97.213333333333338</v>
      </c>
      <c r="I62" s="124" cm="1">
        <f t="array" aca="1" ref="I62" ca="1">INDIRECT("R[40]C["&amp;$A$62&amp;"]",FALSE)</f>
        <v>226.77599949362576</v>
      </c>
      <c r="J62" s="124" cm="1">
        <f t="array" aca="1" ref="J62" ca="1">INDIRECT("R[40]C["&amp;$A$62&amp;"]",FALSE)</f>
        <v>150.25333333333333</v>
      </c>
      <c r="K62" s="124" cm="1">
        <f t="array" aca="1" ref="K62" ca="1">INDIRECT("R[40]C["&amp;$A$62&amp;"]",FALSE)</f>
        <v>262.03917934502823</v>
      </c>
      <c r="L62" s="124" cm="1">
        <f t="array" aca="1" ref="L62" ca="1">INDIRECT("R[40]C["&amp;$A$62&amp;"]",FALSE)</f>
        <v>97.219478977945784</v>
      </c>
      <c r="M62" s="124" cm="1">
        <f t="array" aca="1" ref="M62" ca="1">INDIRECT("R[40]C["&amp;$A$62&amp;"]",FALSE)</f>
        <v>193.57152668639415</v>
      </c>
      <c r="N62" s="124" cm="1">
        <f t="array" aca="1" ref="N62" ca="1">INDIRECT("R[40]C["&amp;$A$62&amp;"]",FALSE)</f>
        <v>138.71666666666664</v>
      </c>
      <c r="O62" s="124" cm="1">
        <f t="array" aca="1" ref="O62" ca="1">INDIRECT("R[40]C["&amp;$A$62&amp;"]",FALSE)</f>
        <v>101.62175670286521</v>
      </c>
      <c r="P62" s="124" cm="1">
        <f t="array" aca="1" ref="P62" ca="1">INDIRECT("R[40]C["&amp;$A$62&amp;"]",FALSE)</f>
        <v>35.93333333333333</v>
      </c>
      <c r="Q62" s="124"/>
      <c r="R62" s="128">
        <f t="shared" ref="R62" ca="1" si="7">SUM(D62:Q62)</f>
        <v>1905.8471181073892</v>
      </c>
    </row>
    <row r="63" spans="1:18" ht="15.5" x14ac:dyDescent="0.35">
      <c r="A63" s="121">
        <f>A60</f>
        <v>1</v>
      </c>
      <c r="B63" s="125" t="s">
        <v>258</v>
      </c>
      <c r="C63" s="127" cm="1">
        <f t="array" aca="1" ref="C63" ca="1">INDIRECT("R[40]C["&amp;$A$62&amp;"]",FALSE)</f>
        <v>0</v>
      </c>
      <c r="D63" s="124" cm="1">
        <f t="array" aca="1" ref="D63" ca="1">INDIRECT("R[40]C["&amp;$A$62&amp;"]",FALSE)</f>
        <v>32.769230769230774</v>
      </c>
      <c r="E63" s="124" cm="1">
        <f t="array" aca="1" ref="E63" ca="1">INDIRECT("R[40]C["&amp;$A$62&amp;"]",FALSE)</f>
        <v>229.49353587588882</v>
      </c>
      <c r="F63" s="124" cm="1">
        <f t="array" aca="1" ref="F63" ca="1">INDIRECT("R[40]C["&amp;$A$62&amp;"]",FALSE)</f>
        <v>179.50641025641025</v>
      </c>
      <c r="G63" s="124" cm="1">
        <f t="array" aca="1" ref="G63" ca="1">INDIRECT("R[40]C["&amp;$A$62&amp;"]",FALSE)</f>
        <v>160.73333333333332</v>
      </c>
      <c r="H63" s="124" cm="1">
        <f t="array" aca="1" ref="H63" ca="1">INDIRECT("R[40]C["&amp;$A$62&amp;"]",FALSE)</f>
        <v>97.213333333333338</v>
      </c>
      <c r="I63" s="124" cm="1">
        <f t="array" aca="1" ref="I63" ca="1">INDIRECT("R[40]C["&amp;$A$62&amp;"]",FALSE)</f>
        <v>226.77599949362576</v>
      </c>
      <c r="J63" s="124" cm="1">
        <f t="array" aca="1" ref="J63" ca="1">INDIRECT("R[40]C["&amp;$A$62&amp;"]",FALSE)</f>
        <v>150.25333333333333</v>
      </c>
      <c r="K63" s="124" cm="1">
        <f t="array" aca="1" ref="K63" ca="1">INDIRECT("R[40]C["&amp;$A$62&amp;"]",FALSE)</f>
        <v>262.03917934502823</v>
      </c>
      <c r="L63" s="124" cm="1">
        <f t="array" aca="1" ref="L63" ca="1">INDIRECT("R[40]C["&amp;$A$62&amp;"]",FALSE)</f>
        <v>97.219478977945784</v>
      </c>
      <c r="M63" s="124" cm="1">
        <f t="array" aca="1" ref="M63" ca="1">INDIRECT("R[40]C["&amp;$A$62&amp;"]",FALSE)</f>
        <v>193.57152668639415</v>
      </c>
      <c r="N63" s="124" cm="1">
        <f t="array" aca="1" ref="N63" ca="1">INDIRECT("R[40]C["&amp;$A$62&amp;"]",FALSE)</f>
        <v>138.71666666666664</v>
      </c>
      <c r="O63" s="124" cm="1">
        <f t="array" aca="1" ref="O63" ca="1">INDIRECT("R[40]C["&amp;$A$62&amp;"]",FALSE)</f>
        <v>101.62175670286521</v>
      </c>
      <c r="P63" s="124" cm="1">
        <f t="array" aca="1" ref="P63" ca="1">INDIRECT("R[40]C["&amp;$A$62&amp;"]",FALSE)</f>
        <v>35.93333333333333</v>
      </c>
      <c r="Q63" s="124"/>
      <c r="R63" s="128"/>
    </row>
    <row r="64" spans="1:18" ht="15.5" x14ac:dyDescent="0.35">
      <c r="A64" s="121">
        <f>A60</f>
        <v>1</v>
      </c>
      <c r="B64" s="125" t="s">
        <v>353</v>
      </c>
      <c r="C64" s="127" cm="1">
        <f t="array" aca="1" ref="C64" ca="1">INDIRECT("R[40]C["&amp;$A$62&amp;"]",FALSE)</f>
        <v>0</v>
      </c>
      <c r="D64" s="124" cm="1">
        <f t="array" aca="1" ref="D64" ca="1">INDIRECT("R[40]C["&amp;$A$62&amp;"]",FALSE)</f>
        <v>0</v>
      </c>
      <c r="E64" s="124" cm="1">
        <f t="array" aca="1" ref="E64" ca="1">INDIRECT("R[40]C["&amp;$A$62&amp;"]",FALSE)</f>
        <v>29.142857142857142</v>
      </c>
      <c r="F64" s="124" cm="1">
        <f t="array" aca="1" ref="F64" ca="1">INDIRECT("R[40]C["&amp;$A$62&amp;"]",FALSE)</f>
        <v>12</v>
      </c>
      <c r="G64" s="124" cm="1">
        <f t="array" aca="1" ref="G64" ca="1">INDIRECT("R[40]C["&amp;$A$62&amp;"]",FALSE)</f>
        <v>11</v>
      </c>
      <c r="H64" s="124" cm="1">
        <f t="array" aca="1" ref="H64" ca="1">INDIRECT("R[40]C["&amp;$A$62&amp;"]",FALSE)</f>
        <v>5.36</v>
      </c>
      <c r="I64" s="124" cm="1">
        <f t="array" aca="1" ref="I64" ca="1">INDIRECT("R[40]C["&amp;$A$62&amp;"]",FALSE)</f>
        <v>46.23</v>
      </c>
      <c r="J64" s="124" cm="1">
        <f t="array" aca="1" ref="J64" ca="1">INDIRECT("R[40]C["&amp;$A$62&amp;"]",FALSE)</f>
        <v>10.24</v>
      </c>
      <c r="K64" s="124" cm="1">
        <f t="array" aca="1" ref="K64" ca="1">INDIRECT("R[40]C["&amp;$A$62&amp;"]",FALSE)</f>
        <v>9.7199999999999989</v>
      </c>
      <c r="L64" s="124" cm="1">
        <f t="array" aca="1" ref="L64" ca="1">INDIRECT("R[40]C["&amp;$A$62&amp;"]",FALSE)</f>
        <v>12.499999999999998</v>
      </c>
      <c r="M64" s="124" cm="1">
        <f t="array" aca="1" ref="M64" ca="1">INDIRECT("R[40]C["&amp;$A$62&amp;"]",FALSE)</f>
        <v>38.768898575655896</v>
      </c>
      <c r="N64" s="124" cm="1">
        <f t="array" aca="1" ref="N64" ca="1">INDIRECT("R[40]C["&amp;$A$62&amp;"]",FALSE)</f>
        <v>29.724999999999998</v>
      </c>
      <c r="O64" s="124" cm="1">
        <f t="array" aca="1" ref="O64" ca="1">INDIRECT("R[40]C["&amp;$A$62&amp;"]",FALSE)</f>
        <v>17.008333333333333</v>
      </c>
      <c r="P64" s="124" cm="1">
        <f t="array" aca="1" ref="P64" ca="1">INDIRECT("R[40]C["&amp;$A$62&amp;"]",FALSE)</f>
        <v>7.7</v>
      </c>
      <c r="Q64" s="124"/>
      <c r="R64" s="128">
        <f t="shared" ref="R64:R66" ca="1" si="8">SUM(D64:Q64)</f>
        <v>229.39508905184633</v>
      </c>
    </row>
    <row r="65" spans="1:18" ht="15.5" x14ac:dyDescent="0.35">
      <c r="A65" s="121">
        <f>A60</f>
        <v>1</v>
      </c>
      <c r="B65" s="125" t="s">
        <v>117</v>
      </c>
      <c r="C65" s="127" cm="1">
        <f t="array" aca="1" ref="C65" ca="1">INDIRECT("R[40]C["&amp;$A$62&amp;"]",FALSE)</f>
        <v>0</v>
      </c>
      <c r="D65" s="124" cm="1">
        <f t="array" aca="1" ref="D65" ca="1">INDIRECT("R[40]C["&amp;$A$62&amp;"]",FALSE)</f>
        <v>10</v>
      </c>
      <c r="E65" s="124" cm="1">
        <f t="array" aca="1" ref="E65" ca="1">INDIRECT("R[40]C["&amp;$A$62&amp;"]",FALSE)</f>
        <v>79.679487179487182</v>
      </c>
      <c r="F65" s="124" cm="1">
        <f t="array" aca="1" ref="F65" ca="1">INDIRECT("R[40]C["&amp;$A$62&amp;"]",FALSE)</f>
        <v>76.339743589743591</v>
      </c>
      <c r="G65" s="124" cm="1">
        <f t="array" aca="1" ref="G65" ca="1">INDIRECT("R[40]C["&amp;$A$62&amp;"]",FALSE)</f>
        <v>50</v>
      </c>
      <c r="H65" s="124" cm="1">
        <f t="array" aca="1" ref="H65" ca="1">INDIRECT("R[40]C["&amp;$A$62&amp;"]",FALSE)</f>
        <v>91.066666666666677</v>
      </c>
      <c r="I65" s="124" cm="1">
        <f t="array" aca="1" ref="I65" ca="1">INDIRECT("R[40]C["&amp;$A$62&amp;"]",FALSE)</f>
        <v>81.650000000000006</v>
      </c>
      <c r="J65" s="124" cm="1">
        <f t="array" aca="1" ref="J65" ca="1">INDIRECT("R[40]C["&amp;$A$62&amp;"]",FALSE)</f>
        <v>10.24</v>
      </c>
      <c r="K65" s="124" cm="1">
        <f t="array" aca="1" ref="K65" ca="1">INDIRECT("R[40]C["&amp;$A$62&amp;"]",FALSE)</f>
        <v>22.17</v>
      </c>
      <c r="L65" s="124" cm="1">
        <f t="array" aca="1" ref="L65" ca="1">INDIRECT("R[40]C["&amp;$A$62&amp;"]",FALSE)</f>
        <v>12.499999999999998</v>
      </c>
      <c r="M65" s="124" cm="1">
        <f t="array" aca="1" ref="M65" ca="1">INDIRECT("R[40]C["&amp;$A$62&amp;"]",FALSE)</f>
        <v>68.285565242322562</v>
      </c>
      <c r="N65" s="124" cm="1">
        <f t="array" aca="1" ref="N65" ca="1">INDIRECT("R[40]C["&amp;$A$62&amp;"]",FALSE)</f>
        <v>29.724999999999998</v>
      </c>
      <c r="O65" s="124" cm="1">
        <f t="array" aca="1" ref="O65" ca="1">INDIRECT("R[40]C["&amp;$A$62&amp;"]",FALSE)</f>
        <v>17.008333333333333</v>
      </c>
      <c r="P65" s="124" cm="1">
        <f t="array" aca="1" ref="P65" ca="1">INDIRECT("R[40]C["&amp;$A$62&amp;"]",FALSE)</f>
        <v>7.7</v>
      </c>
      <c r="Q65" s="124"/>
      <c r="R65" s="128">
        <f t="shared" ca="1" si="8"/>
        <v>556.36479601155338</v>
      </c>
    </row>
    <row r="66" spans="1:18" ht="15.5" x14ac:dyDescent="0.35">
      <c r="A66" s="121">
        <f>A60</f>
        <v>1</v>
      </c>
      <c r="B66" s="125" t="s">
        <v>354</v>
      </c>
      <c r="C66" s="127" cm="1">
        <f t="array" aca="1" ref="C66" ca="1">INDIRECT("R[40]C["&amp;$A$62&amp;"]",FALSE)</f>
        <v>0</v>
      </c>
      <c r="D66" s="124" cm="1">
        <f t="array" aca="1" ref="D66" ca="1">INDIRECT("R[40]C["&amp;$A$62&amp;"]",FALSE)</f>
        <v>2</v>
      </c>
      <c r="E66" s="124" cm="1">
        <f t="array" aca="1" ref="E66" ca="1">INDIRECT("R[40]C["&amp;$A$62&amp;"]",FALSE)</f>
        <v>10</v>
      </c>
      <c r="F66" s="124" cm="1">
        <f t="array" aca="1" ref="F66" ca="1">INDIRECT("R[40]C["&amp;$A$62&amp;"]",FALSE)</f>
        <v>9</v>
      </c>
      <c r="G66" s="124" cm="1">
        <f t="array" aca="1" ref="G66" ca="1">INDIRECT("R[40]C["&amp;$A$62&amp;"]",FALSE)</f>
        <v>7</v>
      </c>
      <c r="H66" s="124" cm="1">
        <f t="array" aca="1" ref="H66" ca="1">INDIRECT("R[40]C["&amp;$A$62&amp;"]",FALSE)</f>
        <v>5</v>
      </c>
      <c r="I66" s="124" cm="1">
        <f t="array" aca="1" ref="I66" ca="1">INDIRECT("R[40]C["&amp;$A$62&amp;"]",FALSE)</f>
        <v>8</v>
      </c>
      <c r="J66" s="124" cm="1">
        <f t="array" aca="1" ref="J66" ca="1">INDIRECT("R[40]C["&amp;$A$62&amp;"]",FALSE)</f>
        <v>5</v>
      </c>
      <c r="K66" s="124" cm="1">
        <f t="array" aca="1" ref="K66" ca="1">INDIRECT("R[40]C["&amp;$A$62&amp;"]",FALSE)</f>
        <v>11</v>
      </c>
      <c r="L66" s="124" cm="1">
        <f t="array" aca="1" ref="L66" ca="1">INDIRECT("R[40]C["&amp;$A$62&amp;"]",FALSE)</f>
        <v>3</v>
      </c>
      <c r="M66" s="124" cm="1">
        <f t="array" aca="1" ref="M66" ca="1">INDIRECT("R[40]C["&amp;$A$62&amp;"]",FALSE)</f>
        <v>10</v>
      </c>
      <c r="N66" s="124" cm="1">
        <f t="array" aca="1" ref="N66" ca="1">INDIRECT("R[40]C["&amp;$A$62&amp;"]",FALSE)</f>
        <v>6</v>
      </c>
      <c r="O66" s="124" cm="1">
        <f t="array" aca="1" ref="O66" ca="1">INDIRECT("R[40]C["&amp;$A$62&amp;"]",FALSE)</f>
        <v>5</v>
      </c>
      <c r="P66" s="124" cm="1">
        <f t="array" aca="1" ref="P66" ca="1">INDIRECT("R[40]C["&amp;$A$62&amp;"]",FALSE)</f>
        <v>2</v>
      </c>
      <c r="Q66" s="124"/>
      <c r="R66" s="128">
        <f t="shared" ca="1" si="8"/>
        <v>83</v>
      </c>
    </row>
    <row r="67" spans="1:18" ht="15.5" x14ac:dyDescent="0.35">
      <c r="A67" s="116"/>
      <c r="B67" s="129" t="s">
        <v>119</v>
      </c>
      <c r="C67" s="134"/>
      <c r="D67" s="132"/>
      <c r="E67" s="132"/>
      <c r="F67" s="132"/>
      <c r="G67" s="132"/>
      <c r="H67" s="132"/>
      <c r="I67" s="132"/>
      <c r="J67" s="132"/>
      <c r="K67" s="132"/>
      <c r="L67" s="132"/>
      <c r="M67" s="132"/>
      <c r="N67" s="132"/>
      <c r="O67" s="132"/>
      <c r="P67" s="132"/>
      <c r="Q67" s="132"/>
      <c r="R67" s="130"/>
    </row>
    <row r="68" spans="1:18" ht="15.5" x14ac:dyDescent="0.35">
      <c r="A68" s="121">
        <f>A59</f>
        <v>1</v>
      </c>
      <c r="B68" s="125" t="s">
        <v>355</v>
      </c>
      <c r="C68" s="127" cm="1">
        <f t="array" aca="1" ref="C68" ca="1">INDIRECT("R[40]C["&amp;$A$68&amp;"]",FALSE)</f>
        <v>0</v>
      </c>
      <c r="D68" s="124" cm="1">
        <f t="array" aca="1" ref="D68" ca="1">INDIRECT("R[40]C["&amp;$A$68&amp;"]",FALSE)</f>
        <v>2</v>
      </c>
      <c r="E68" s="124" cm="1">
        <f t="array" aca="1" ref="E68" ca="1">INDIRECT("R[40]C["&amp;$A$68&amp;"]",FALSE)</f>
        <v>10</v>
      </c>
      <c r="F68" s="124" cm="1">
        <f t="array" aca="1" ref="F68" ca="1">INDIRECT("R[40]C["&amp;$A$68&amp;"]",FALSE)</f>
        <v>6</v>
      </c>
      <c r="G68" s="124" cm="1">
        <f t="array" aca="1" ref="G68" ca="1">INDIRECT("R[40]C["&amp;$A$68&amp;"]",FALSE)</f>
        <v>7</v>
      </c>
      <c r="H68" s="124" cm="1">
        <f t="array" aca="1" ref="H68" ca="1">INDIRECT("R[40]C["&amp;$A$68&amp;"]",FALSE)</f>
        <v>5</v>
      </c>
      <c r="I68" s="124" cm="1">
        <f t="array" aca="1" ref="I68" ca="1">INDIRECT("R[40]C["&amp;$A$68&amp;"]",FALSE)</f>
        <v>8</v>
      </c>
      <c r="J68" s="124" cm="1">
        <f t="array" aca="1" ref="J68" ca="1">INDIRECT("R[40]C["&amp;$A$68&amp;"]",FALSE)</f>
        <v>5</v>
      </c>
      <c r="K68" s="124" cm="1">
        <f t="array" aca="1" ref="K68" ca="1">INDIRECT("R[40]C["&amp;$A$68&amp;"]",FALSE)</f>
        <v>8</v>
      </c>
      <c r="L68" s="124" cm="1">
        <f t="array" aca="1" ref="L68" ca="1">INDIRECT("R[40]C["&amp;$A$68&amp;"]",FALSE)</f>
        <v>3</v>
      </c>
      <c r="M68" s="124" cm="1">
        <f t="array" aca="1" ref="M68" ca="1">INDIRECT("R[40]C["&amp;$A$68&amp;"]",FALSE)</f>
        <v>10</v>
      </c>
      <c r="N68" s="124" cm="1">
        <f t="array" aca="1" ref="N68" ca="1">INDIRECT("R[40]C["&amp;$A$68&amp;"]",FALSE)</f>
        <v>6</v>
      </c>
      <c r="O68" s="124" cm="1">
        <f t="array" aca="1" ref="O68" ca="1">INDIRECT("R[40]C["&amp;$A$68&amp;"]",FALSE)</f>
        <v>5</v>
      </c>
      <c r="P68" s="124" cm="1">
        <f t="array" aca="1" ref="P68" ca="1">INDIRECT("R[40]C["&amp;$A$68&amp;"]",FALSE)</f>
        <v>2</v>
      </c>
      <c r="Q68" s="124"/>
      <c r="R68" s="128">
        <f t="shared" ref="R68" ca="1" si="9">SUM(D68:Q68)</f>
        <v>77</v>
      </c>
    </row>
    <row r="69" spans="1:18" ht="15.5" x14ac:dyDescent="0.35">
      <c r="A69" s="116"/>
      <c r="B69" s="129" t="s">
        <v>356</v>
      </c>
      <c r="C69" s="134"/>
      <c r="D69" s="131"/>
      <c r="E69" s="131"/>
      <c r="F69" s="131"/>
      <c r="G69" s="131"/>
      <c r="H69" s="131"/>
      <c r="I69" s="131"/>
      <c r="J69" s="131"/>
      <c r="K69" s="131"/>
      <c r="L69" s="131"/>
      <c r="M69" s="131"/>
      <c r="N69" s="131"/>
      <c r="O69" s="131"/>
      <c r="P69" s="131"/>
      <c r="Q69" s="131"/>
      <c r="R69" s="130"/>
    </row>
    <row r="70" spans="1:18" ht="15.5" x14ac:dyDescent="0.35">
      <c r="A70" s="121">
        <f>A59</f>
        <v>1</v>
      </c>
      <c r="B70" s="125" t="s">
        <v>357</v>
      </c>
      <c r="C70" s="127" cm="1">
        <f t="array" aca="1" ref="C70" ca="1">INDIRECT("R[40]C["&amp;$A$70&amp;"]",FALSE)</f>
        <v>0</v>
      </c>
      <c r="D70" s="124" cm="1">
        <f t="array" aca="1" ref="D70" ca="1">INDIRECT("R[40]C["&amp;$A$70&amp;"]",FALSE)</f>
        <v>125.50240000000001</v>
      </c>
      <c r="E70" s="124" cm="1">
        <f t="array" aca="1" ref="E70" ca="1">INDIRECT("R[40]C["&amp;$A$70&amp;"]",FALSE)</f>
        <v>862.25390096961871</v>
      </c>
      <c r="F70" s="124" cm="1">
        <f t="array" aca="1" ref="F70" ca="1">INDIRECT("R[40]C["&amp;$A$70&amp;"]",FALSE)</f>
        <v>725.58714358974362</v>
      </c>
      <c r="G70" s="124" cm="1">
        <f t="array" aca="1" ref="G70" ca="1">INDIRECT("R[40]C["&amp;$A$70&amp;"]",FALSE)</f>
        <v>520.27304000000004</v>
      </c>
      <c r="H70" s="124" cm="1">
        <f t="array" aca="1" ref="H70" ca="1">INDIRECT("R[40]C["&amp;$A$70&amp;"]",FALSE)</f>
        <v>417.65050133333341</v>
      </c>
      <c r="I70" s="124" cm="1">
        <f t="array" aca="1" ref="I70" ca="1">INDIRECT("R[40]C["&amp;$A$70&amp;"]",FALSE)</f>
        <v>1004.9766712982587</v>
      </c>
      <c r="J70" s="124" cm="1">
        <f t="array" aca="1" ref="J70" ca="1">INDIRECT("R[40]C["&amp;$A$70&amp;"]",FALSE)</f>
        <v>335.84160000000003</v>
      </c>
      <c r="K70" s="124" cm="1">
        <f t="array" aca="1" ref="K70" ca="1">INDIRECT("R[40]C["&amp;$A$70&amp;"]",FALSE)</f>
        <v>954.2356778416821</v>
      </c>
      <c r="L70" s="124" cm="1">
        <f t="array" aca="1" ref="L70" ca="1">INDIRECT("R[40]C["&amp;$A$70&amp;"]",FALSE)</f>
        <v>268.39397583556899</v>
      </c>
      <c r="M70" s="124" cm="1">
        <f t="array" aca="1" ref="M70" ca="1">INDIRECT("R[40]C["&amp;$A$70&amp;"]",FALSE)</f>
        <v>866.85067514760226</v>
      </c>
      <c r="N70" s="124" cm="1">
        <f t="array" aca="1" ref="N70" ca="1">INDIRECT("R[40]C["&amp;$A$70&amp;"]",FALSE)</f>
        <v>435.17399999999998</v>
      </c>
      <c r="O70" s="124" cm="1">
        <f t="array" aca="1" ref="O70" ca="1">INDIRECT("R[40]C["&amp;$A$70&amp;"]",FALSE)</f>
        <v>297.86197771949202</v>
      </c>
      <c r="P70" s="124" cm="1">
        <f t="array" aca="1" ref="P70" ca="1">INDIRECT("R[40]C["&amp;$A$70&amp;"]",FALSE)</f>
        <v>112.72800000000001</v>
      </c>
      <c r="Q70" s="124"/>
      <c r="R70" s="128">
        <f t="shared" ref="R70:R71" ca="1" si="10">SUM(D70:Q70)</f>
        <v>6927.3295637353003</v>
      </c>
    </row>
    <row r="71" spans="1:18" ht="15.5" x14ac:dyDescent="0.35">
      <c r="A71" s="121">
        <f>A59</f>
        <v>1</v>
      </c>
      <c r="B71" s="125" t="s">
        <v>358</v>
      </c>
      <c r="C71" s="127" cm="1">
        <f t="array" aca="1" ref="C71" ca="1">INDIRECT("R[40]C["&amp;$A$70&amp;"]",FALSE)</f>
        <v>0</v>
      </c>
      <c r="D71" s="124" cm="1">
        <f t="array" aca="1" ref="D71" ca="1">INDIRECT("R[40]C["&amp;$A$70&amp;"]",FALSE)</f>
        <v>256</v>
      </c>
      <c r="E71" s="124" cm="1">
        <f t="array" aca="1" ref="E71" ca="1">INDIRECT("R[40]C["&amp;$A$70&amp;"]",FALSE)</f>
        <v>926.41359999999997</v>
      </c>
      <c r="F71" s="124" cm="1">
        <f t="array" aca="1" ref="F71" ca="1">INDIRECT("R[40]C["&amp;$A$70&amp;"]",FALSE)</f>
        <v>505.5</v>
      </c>
      <c r="G71" s="124" cm="1">
        <f t="array" aca="1" ref="G71" ca="1">INDIRECT("R[40]C["&amp;$A$70&amp;"]",FALSE)</f>
        <v>498.67899999999997</v>
      </c>
      <c r="H71" s="124" cm="1">
        <f t="array" aca="1" ref="H71" ca="1">INDIRECT("R[40]C["&amp;$A$70&amp;"]",FALSE)</f>
        <v>526</v>
      </c>
      <c r="I71" s="124" cm="1">
        <f t="array" aca="1" ref="I71" ca="1">INDIRECT("R[40]C["&amp;$A$70&amp;"]",FALSE)</f>
        <v>658.6653</v>
      </c>
      <c r="J71" s="124" cm="1">
        <f t="array" aca="1" ref="J71" ca="1">INDIRECT("R[40]C["&amp;$A$70&amp;"]",FALSE)</f>
        <v>690.26030000000003</v>
      </c>
      <c r="K71" s="124" cm="1">
        <f t="array" aca="1" ref="K71" ca="1">INDIRECT("R[40]C["&amp;$A$70&amp;"]",FALSE)</f>
        <v>679.90499999999997</v>
      </c>
      <c r="L71" s="124" cm="1">
        <f t="array" aca="1" ref="L71" ca="1">INDIRECT("R[40]C["&amp;$A$70&amp;"]",FALSE)</f>
        <v>363</v>
      </c>
      <c r="M71" s="124" cm="1">
        <f t="array" aca="1" ref="M71" ca="1">INDIRECT("R[40]C["&amp;$A$70&amp;"]",FALSE)</f>
        <v>1402.405</v>
      </c>
      <c r="N71" s="124" cm="1">
        <f t="array" aca="1" ref="N71" ca="1">INDIRECT("R[40]C["&amp;$A$70&amp;"]",FALSE)</f>
        <v>900</v>
      </c>
      <c r="O71" s="124" cm="1">
        <f t="array" aca="1" ref="O71" ca="1">INDIRECT("R[40]C["&amp;$A$70&amp;"]",FALSE)</f>
        <v>672.40499999999997</v>
      </c>
      <c r="P71" s="124" cm="1">
        <f t="array" aca="1" ref="P71" ca="1">INDIRECT("R[40]C["&amp;$A$70&amp;"]",FALSE)</f>
        <v>280</v>
      </c>
      <c r="Q71" s="124"/>
      <c r="R71" s="128">
        <f t="shared" ca="1" si="10"/>
        <v>8359.2331999999988</v>
      </c>
    </row>
    <row r="72" spans="1:18" ht="15.5" x14ac:dyDescent="0.35">
      <c r="A72" s="116"/>
      <c r="B72" s="129"/>
      <c r="C72" s="133"/>
      <c r="D72" s="129"/>
      <c r="E72" s="129"/>
      <c r="F72" s="129"/>
      <c r="G72" s="129"/>
      <c r="H72" s="129"/>
      <c r="I72" s="129"/>
      <c r="J72" s="129"/>
      <c r="K72" s="129"/>
      <c r="L72" s="129"/>
      <c r="M72" s="129"/>
      <c r="N72" s="129"/>
      <c r="O72" s="129"/>
      <c r="P72" s="129"/>
      <c r="Q72" s="129"/>
      <c r="R72" s="130"/>
    </row>
    <row r="73" spans="1:18" ht="15.5" x14ac:dyDescent="0.35">
      <c r="A73" s="116"/>
      <c r="B73" s="116"/>
      <c r="C73" s="116"/>
      <c r="D73" s="116"/>
      <c r="E73" s="116"/>
      <c r="F73" s="116"/>
      <c r="G73" s="116"/>
      <c r="H73" s="116"/>
      <c r="I73" s="116"/>
      <c r="J73" s="116"/>
      <c r="K73" s="116"/>
      <c r="L73" s="116"/>
      <c r="M73" s="116"/>
      <c r="N73" s="116"/>
      <c r="O73" s="116"/>
      <c r="P73" s="116"/>
      <c r="Q73" s="116"/>
      <c r="R73" s="115"/>
    </row>
    <row r="74" spans="1:18" ht="15.5" x14ac:dyDescent="0.35">
      <c r="A74" s="116"/>
      <c r="B74" s="116"/>
      <c r="C74" s="116"/>
      <c r="D74" s="116"/>
      <c r="E74" s="116"/>
      <c r="F74" s="116"/>
      <c r="G74" s="116"/>
      <c r="H74" s="116"/>
      <c r="I74" s="116"/>
      <c r="J74" s="116"/>
      <c r="K74" s="116"/>
      <c r="L74" s="116"/>
      <c r="M74" s="116"/>
      <c r="N74" s="116"/>
      <c r="O74" s="116"/>
      <c r="P74" s="116"/>
      <c r="Q74" s="116"/>
      <c r="R74" s="115"/>
    </row>
    <row r="75" spans="1:18" ht="15.5" x14ac:dyDescent="0.35">
      <c r="A75" s="116"/>
      <c r="B75" s="116" t="s">
        <v>235</v>
      </c>
      <c r="C75" s="115">
        <f ca="1">SUM(C46:C48)</f>
        <v>0</v>
      </c>
      <c r="D75" s="115">
        <f ca="1">SUM(D46:D48)</f>
        <v>42.769230769230774</v>
      </c>
      <c r="E75" s="115">
        <f t="shared" ref="E75:Q75" ca="1" si="11">SUM(E46:E48)</f>
        <v>338.31588019823317</v>
      </c>
      <c r="F75" s="115">
        <f t="shared" ca="1" si="11"/>
        <v>289.84615384615381</v>
      </c>
      <c r="G75" s="115">
        <f t="shared" ca="1" si="11"/>
        <v>243.73333333333332</v>
      </c>
      <c r="H75" s="115">
        <f t="shared" ca="1" si="11"/>
        <v>193.64</v>
      </c>
      <c r="I75" s="115">
        <f t="shared" ca="1" si="11"/>
        <v>375.06625590388217</v>
      </c>
      <c r="J75" s="115">
        <f t="shared" ca="1" si="11"/>
        <v>152.93333333333334</v>
      </c>
      <c r="K75" s="115">
        <f t="shared" ca="1" si="11"/>
        <v>315.26251267836159</v>
      </c>
      <c r="L75" s="115">
        <f t="shared" ca="1" si="11"/>
        <v>166.78543772010551</v>
      </c>
      <c r="M75" s="115">
        <f t="shared" ca="1" si="11"/>
        <v>300.62599050437262</v>
      </c>
      <c r="N75" s="115">
        <f t="shared" ca="1" si="11"/>
        <v>198.16666666666666</v>
      </c>
      <c r="O75" s="115">
        <f t="shared" ca="1" si="11"/>
        <v>135.63842336953189</v>
      </c>
      <c r="P75" s="115">
        <f t="shared" ca="1" si="11"/>
        <v>51.333333333333336</v>
      </c>
      <c r="Q75" s="115">
        <f t="shared" si="11"/>
        <v>0</v>
      </c>
      <c r="R75" s="115">
        <f ca="1">SUM(R46:R48)</f>
        <v>2804.1165516565379</v>
      </c>
    </row>
    <row r="77" spans="1:18" x14ac:dyDescent="0.35">
      <c r="R77" s="22"/>
    </row>
    <row r="78" spans="1:18" x14ac:dyDescent="0.35">
      <c r="R78" s="22"/>
    </row>
    <row r="79" spans="1:18" x14ac:dyDescent="0.35">
      <c r="R79" s="22"/>
    </row>
    <row r="80" spans="1:18" x14ac:dyDescent="0.35">
      <c r="B80" s="28" t="s">
        <v>276</v>
      </c>
      <c r="C80" s="28"/>
      <c r="D80" s="28"/>
      <c r="E80" s="28"/>
      <c r="F80" s="28"/>
      <c r="G80" s="28"/>
      <c r="H80" s="28"/>
      <c r="I80" s="28"/>
      <c r="J80" s="28"/>
      <c r="R80" s="22"/>
    </row>
    <row r="81" spans="1:26" x14ac:dyDescent="0.35">
      <c r="B81" s="7" t="s">
        <v>170</v>
      </c>
      <c r="C81" s="7"/>
      <c r="R81" s="22"/>
    </row>
    <row r="82" spans="1:26" ht="15.5" x14ac:dyDescent="0.35">
      <c r="B82" s="105" t="s">
        <v>110</v>
      </c>
      <c r="C82" s="105"/>
      <c r="D82" s="107">
        <f>D83</f>
        <v>0</v>
      </c>
      <c r="E82" s="108">
        <f>SUM($E83:E83)</f>
        <v>513.23076923076928</v>
      </c>
      <c r="F82" s="108">
        <f>SUM($E83:F83)</f>
        <v>4802.5843568196515</v>
      </c>
      <c r="G82" s="108">
        <f>SUM($E83:G83)</f>
        <v>8587.7382029734981</v>
      </c>
      <c r="H82" s="108">
        <f>SUM($E83:H83)</f>
        <v>12061.738202973498</v>
      </c>
      <c r="I82" s="108">
        <f>SUM($E83:I83)</f>
        <v>14966.338202973498</v>
      </c>
      <c r="J82" s="108">
        <f>SUM($E83:J83)</f>
        <v>20592.332041531732</v>
      </c>
      <c r="K82" s="108">
        <f>SUM($E83:K83)</f>
        <v>22886.332041531732</v>
      </c>
      <c r="L82" s="109">
        <f>SUM($E83:L83)</f>
        <v>27615.269731707158</v>
      </c>
      <c r="M82" s="108">
        <f>SUM($E83:M83)</f>
        <v>30617.407610669055</v>
      </c>
      <c r="N82" s="108">
        <f>SUM($E83:N83)</f>
        <v>36028.675439747763</v>
      </c>
      <c r="O82" s="108">
        <f>SUM($E83:O83)</f>
        <v>39595.675439747763</v>
      </c>
      <c r="P82" s="108">
        <f>SUM($E83:P83)</f>
        <v>42037.167060399341</v>
      </c>
      <c r="Q82" s="108">
        <f>SUM($E83:Q83)</f>
        <v>42961.167060399341</v>
      </c>
      <c r="R82" s="113">
        <f>Q82</f>
        <v>42961.167060399341</v>
      </c>
    </row>
    <row r="83" spans="1:26" ht="15.5" x14ac:dyDescent="0.35">
      <c r="B83" s="105" t="s">
        <v>360</v>
      </c>
      <c r="C83" s="105"/>
      <c r="D83" s="107">
        <f>SUMPRODUCT(D86:D88,$B$86:$B$88)</f>
        <v>0</v>
      </c>
      <c r="E83" s="108">
        <f>SUMPRODUCT(E86:E88,$B$86:$B$88)</f>
        <v>513.23076923076928</v>
      </c>
      <c r="F83" s="108">
        <f t="shared" ref="F83:Q83" si="12">SUMPRODUCT(F86:F88,$B$86:$B$88)</f>
        <v>4289.353587588882</v>
      </c>
      <c r="G83" s="108">
        <f t="shared" si="12"/>
        <v>3785.1538461538457</v>
      </c>
      <c r="H83" s="108">
        <f t="shared" si="12"/>
        <v>3474</v>
      </c>
      <c r="I83" s="108">
        <f>SUMPRODUCT(I86:I88,$B$86:$B$88)</f>
        <v>2904.6</v>
      </c>
      <c r="J83" s="108">
        <f>SUMPRODUCT(J86:J88,$B$86:$B$88)</f>
        <v>5625.9938385582327</v>
      </c>
      <c r="K83" s="108">
        <f t="shared" si="12"/>
        <v>2294</v>
      </c>
      <c r="L83" s="109">
        <f t="shared" si="12"/>
        <v>4728.937690175424</v>
      </c>
      <c r="M83" s="108">
        <f>SUMPRODUCT(M86:M88,$B$86:$B$88)</f>
        <v>3002.1378789618993</v>
      </c>
      <c r="N83" s="108">
        <f t="shared" si="12"/>
        <v>5411.2678290787071</v>
      </c>
      <c r="O83" s="108">
        <f>SUMPRODUCT(O86:O88,$B$86:$B$88)</f>
        <v>3567</v>
      </c>
      <c r="P83" s="108">
        <f t="shared" si="12"/>
        <v>2441.4916206515741</v>
      </c>
      <c r="Q83" s="108">
        <f t="shared" si="12"/>
        <v>924</v>
      </c>
      <c r="R83" s="113">
        <f>SUM(D83:Q83)</f>
        <v>42961.167060399341</v>
      </c>
    </row>
    <row r="84" spans="1:26" ht="15.5" x14ac:dyDescent="0.35">
      <c r="B84" s="105" t="s">
        <v>236</v>
      </c>
      <c r="C84" s="105"/>
      <c r="D84" s="107">
        <f>Aggregated!AA7*$R$2+Aggregated!AP7*$R$3</f>
        <v>0</v>
      </c>
      <c r="E84" s="108">
        <f>Aggregated!AB7*$R$2+Aggregated!AQ7*$R$3</f>
        <v>2</v>
      </c>
      <c r="F84" s="108">
        <f>Aggregated!AC7*$R$2+Aggregated!AR7*$R$3</f>
        <v>6</v>
      </c>
      <c r="G84" s="108">
        <f>Aggregated!AD7*$R$2+Aggregated!AS7*$R$3</f>
        <v>5</v>
      </c>
      <c r="H84" s="108">
        <f>Aggregated!AE7*$R$2+Aggregated!AT7*$R$3</f>
        <v>6</v>
      </c>
      <c r="I84" s="108">
        <f>Aggregated!AF7*$R$2+Aggregated!AU7*$R$3</f>
        <v>3</v>
      </c>
      <c r="J84" s="108">
        <f>Aggregated!AG7*$R$2+Aggregated!AV7*$R$3</f>
        <v>7</v>
      </c>
      <c r="K84" s="108">
        <f>Aggregated!AH7*$R$2+Aggregated!AW7*$R$3</f>
        <v>3</v>
      </c>
      <c r="L84" s="108">
        <f>Aggregated!AI7*$R$2+Aggregated!AX7*$R$3</f>
        <v>6</v>
      </c>
      <c r="M84" s="108">
        <f>Aggregated!AJ7*$R$2+Aggregated!AY7*$R$3</f>
        <v>2</v>
      </c>
      <c r="N84" s="108">
        <f>Aggregated!AK7*$R$2+Aggregated!AZ7*$R$3</f>
        <v>3</v>
      </c>
      <c r="O84" s="108">
        <f>Aggregated!AL7*$R$2+Aggregated!BA7*$R$3</f>
        <v>1</v>
      </c>
      <c r="P84" s="108">
        <f>Aggregated!AM7*$R$2+Aggregated!BB7*$R$3</f>
        <v>2</v>
      </c>
      <c r="Q84" s="108">
        <f>Aggregated!AN7*$R$2+Aggregated!BC7*$R$3</f>
        <v>1</v>
      </c>
      <c r="R84" s="113">
        <f>SUM(D84:Q84)</f>
        <v>47</v>
      </c>
    </row>
    <row r="85" spans="1:26" ht="15.5" x14ac:dyDescent="0.35">
      <c r="B85" s="135" t="s">
        <v>275</v>
      </c>
      <c r="C85" s="152">
        <v>0</v>
      </c>
      <c r="D85" s="153">
        <v>0</v>
      </c>
      <c r="E85" s="154">
        <f>SUM(E86:E88)</f>
        <v>42.769230769230774</v>
      </c>
      <c r="F85" s="154">
        <f t="shared" ref="F85:Q85" si="13">SUM(F86:F88)</f>
        <v>338.31588019823317</v>
      </c>
      <c r="G85" s="154">
        <f t="shared" si="13"/>
        <v>289.84615384615381</v>
      </c>
      <c r="H85" s="154">
        <f t="shared" si="13"/>
        <v>243.73333333333332</v>
      </c>
      <c r="I85" s="154">
        <f t="shared" si="13"/>
        <v>193.64</v>
      </c>
      <c r="J85" s="154">
        <f t="shared" si="13"/>
        <v>375.06625590388217</v>
      </c>
      <c r="K85" s="154">
        <f t="shared" si="13"/>
        <v>152.93333333333334</v>
      </c>
      <c r="L85" s="154">
        <f t="shared" si="13"/>
        <v>315.26251267836159</v>
      </c>
      <c r="M85" s="154">
        <f t="shared" si="13"/>
        <v>166.78543772010551</v>
      </c>
      <c r="N85" s="154">
        <f t="shared" si="13"/>
        <v>300.62599050437262</v>
      </c>
      <c r="O85" s="154">
        <f t="shared" si="13"/>
        <v>198.16666666666666</v>
      </c>
      <c r="P85" s="154">
        <f t="shared" si="13"/>
        <v>135.63842336953189</v>
      </c>
      <c r="Q85" s="154">
        <f t="shared" si="13"/>
        <v>51.333333333333336</v>
      </c>
      <c r="R85" s="130">
        <f>SUM(E85:Q85)</f>
        <v>2804.1165516565384</v>
      </c>
    </row>
    <row r="86" spans="1:26" ht="15.5" x14ac:dyDescent="0.35">
      <c r="A86" s="29"/>
      <c r="B86" s="111">
        <f>Assumptions!F16</f>
        <v>12</v>
      </c>
      <c r="C86" s="111"/>
      <c r="D86" s="107">
        <f>Aggregated!AA9*$R$2+Aggregated!AP9*$R$3</f>
        <v>0</v>
      </c>
      <c r="E86" s="108">
        <f>Aggregated!AB9*$R$2+Aggregated!AQ9*$R$3+Aggregated!BU9</f>
        <v>42.769230769230774</v>
      </c>
      <c r="F86" s="108">
        <f>Aggregated!AC9*$R$2+Aggregated!AR9*$R$3+Aggregated!BV9</f>
        <v>261.79487179487182</v>
      </c>
      <c r="G86" s="108">
        <f>Aggregated!AD9*$R$2+Aggregated!AS9*$R$3+Aggregated!BW9</f>
        <v>187.5128205128205</v>
      </c>
      <c r="H86" s="108">
        <f>Aggregated!AE9*$R$2+Aggregated!AT9*$R$3+Aggregated!BX9</f>
        <v>60.666666666666664</v>
      </c>
      <c r="I86" s="108">
        <f>Aggregated!AF9*$R$2+Aggregated!AU9*$R$3+Aggregated!BY9</f>
        <v>0</v>
      </c>
      <c r="J86" s="108">
        <f>Aggregated!AG9*$R$2+Aggregated!AV9*$R$3+Aggregated!BZ9</f>
        <v>0</v>
      </c>
      <c r="K86" s="108">
        <f>Aggregated!AH9*$R$2+Aggregated!AW9*$R$3+Aggregated!CA9</f>
        <v>0</v>
      </c>
      <c r="L86" s="108">
        <f>Aggregated!AI9*$R$2+Aggregated!AX9*$R$3+Aggregated!CB9</f>
        <v>0</v>
      </c>
      <c r="M86" s="108">
        <f>Aggregated!AJ9*$R$2+Aggregated!AY9*$R$3+Aggregated!CC9</f>
        <v>0</v>
      </c>
      <c r="N86" s="108">
        <f>Aggregated!AK9*$R$2+Aggregated!AZ9*$R$3+Aggregated!CD9</f>
        <v>0</v>
      </c>
      <c r="O86" s="108">
        <f>Aggregated!AL9*$R$2+Aggregated!BA9*$R$3+Aggregated!CE9</f>
        <v>0</v>
      </c>
      <c r="P86" s="108">
        <f>Aggregated!AM9*$R$2+Aggregated!BB9*$R$3+Aggregated!CF9</f>
        <v>0</v>
      </c>
      <c r="Q86" s="108">
        <f>Aggregated!AN9*$R$2+Aggregated!BC9*$R$3+Aggregated!CG9</f>
        <v>0</v>
      </c>
      <c r="R86" s="113">
        <f>SUM(D86:Q86)</f>
        <v>552.74358974358972</v>
      </c>
      <c r="S86" s="44"/>
      <c r="T86" s="30"/>
      <c r="U86" s="30"/>
      <c r="V86" s="30"/>
      <c r="W86" s="30"/>
      <c r="X86" s="30"/>
      <c r="Y86" s="30"/>
      <c r="Z86" s="30"/>
    </row>
    <row r="87" spans="1:26" ht="15.5" x14ac:dyDescent="0.35">
      <c r="B87" s="111">
        <f>Assumptions!F17</f>
        <v>15</v>
      </c>
      <c r="C87" s="111"/>
      <c r="D87" s="107">
        <f>Aggregated!AA10*$R$2+Aggregated!AP10*$R$3</f>
        <v>0</v>
      </c>
      <c r="E87" s="108">
        <f>Aggregated!AB10*$R$2+Aggregated!AQ10*$R$3+Aggregated!BU10</f>
        <v>0</v>
      </c>
      <c r="F87" s="108">
        <f>Aggregated!AC10*$R$2+Aggregated!AR10*$R$3+Aggregated!BV10</f>
        <v>76.52100840336135</v>
      </c>
      <c r="G87" s="108">
        <f>Aggregated!AD10*$R$2+Aggregated!AS10*$R$3+Aggregated!BW10</f>
        <v>102.33333333333334</v>
      </c>
      <c r="H87" s="108">
        <f>Aggregated!AE10*$R$2+Aggregated!AT10*$R$3+Aggregated!BX10</f>
        <v>183.06666666666666</v>
      </c>
      <c r="I87" s="108">
        <f>Aggregated!AF10*$R$2+Aggregated!AU10*$R$3+Aggregated!BY10</f>
        <v>193.64</v>
      </c>
      <c r="J87" s="108">
        <f>Aggregated!AG10*$R$2+Aggregated!AV10*$R$3+Aggregated!BZ10</f>
        <v>375.06625590388217</v>
      </c>
      <c r="K87" s="108">
        <f>Aggregated!AH10*$R$2+Aggregated!AW10*$R$3+Aggregated!CA10</f>
        <v>152.93333333333334</v>
      </c>
      <c r="L87" s="108">
        <f>Aggregated!AI10*$R$2+Aggregated!AX10*$R$3+Aggregated!CB10</f>
        <v>315.26251267836159</v>
      </c>
      <c r="M87" s="108">
        <f>Aggregated!AJ10*$R$2+Aggregated!AY10*$R$3+Aggregated!CC10</f>
        <v>0</v>
      </c>
      <c r="N87" s="108">
        <f>Aggregated!AK10*$R$2+Aggregated!AZ10*$R$3+Aggregated!CD10</f>
        <v>0</v>
      </c>
      <c r="O87" s="108">
        <f>Aggregated!AL10*$R$2+Aggregated!BA10*$R$3+Aggregated!CE10</f>
        <v>0</v>
      </c>
      <c r="P87" s="108">
        <f>Aggregated!AM10*$R$2+Aggregated!BB10*$R$3+Aggregated!CF10</f>
        <v>0</v>
      </c>
      <c r="Q87" s="108">
        <f>Aggregated!AN10*$R$2+Aggregated!BC10*$R$3+Aggregated!CG10</f>
        <v>0</v>
      </c>
      <c r="R87" s="113">
        <f t="shared" ref="R87:R88" si="14">SUM(D87:Q87)</f>
        <v>1398.8231103189385</v>
      </c>
      <c r="S87" s="22"/>
    </row>
    <row r="88" spans="1:26" ht="15.5" x14ac:dyDescent="0.35">
      <c r="B88" s="111">
        <f>Assumptions!F18</f>
        <v>18</v>
      </c>
      <c r="C88" s="111"/>
      <c r="D88" s="107">
        <f>Aggregated!AA11*$R$2+Aggregated!AP11*$R$3</f>
        <v>0</v>
      </c>
      <c r="E88" s="108">
        <f>Aggregated!AB11*$R$2+Aggregated!AQ11*$R$3+Aggregated!BU11</f>
        <v>0</v>
      </c>
      <c r="F88" s="108">
        <f>Aggregated!AC11*$R$2+Aggregated!AR11*$R$3+Aggregated!BV11</f>
        <v>0</v>
      </c>
      <c r="G88" s="108">
        <f>Aggregated!AD11*$R$2+Aggregated!AS11*$R$3+Aggregated!BW11</f>
        <v>0</v>
      </c>
      <c r="H88" s="108">
        <f>Aggregated!AE11*$R$2+Aggregated!AT11*$R$3+Aggregated!BX11</f>
        <v>0</v>
      </c>
      <c r="I88" s="108">
        <f>Aggregated!AF11*$R$2+Aggregated!AU11*$R$3+Aggregated!BY11</f>
        <v>0</v>
      </c>
      <c r="J88" s="108">
        <f>Aggregated!AG11*$R$2+Aggregated!AV11*$R$3+Aggregated!BZ11</f>
        <v>0</v>
      </c>
      <c r="K88" s="108">
        <f>Aggregated!AH11*$R$2+Aggregated!AW11*$R$3+Aggregated!CA11</f>
        <v>0</v>
      </c>
      <c r="L88" s="108">
        <f>Aggregated!AI11*$R$2+Aggregated!AX11*$R$3+Aggregated!CB11</f>
        <v>0</v>
      </c>
      <c r="M88" s="108">
        <f>Aggregated!AJ11*$R$2+Aggregated!AY11*$R$3+Aggregated!CC11</f>
        <v>166.78543772010551</v>
      </c>
      <c r="N88" s="108">
        <f>Aggregated!AK11*$R$2+Aggregated!AZ11*$R$3+Aggregated!CD11</f>
        <v>300.62599050437262</v>
      </c>
      <c r="O88" s="108">
        <f>Aggregated!AL11*$R$2+Aggregated!BA11*$R$3+Aggregated!CE11</f>
        <v>198.16666666666666</v>
      </c>
      <c r="P88" s="108">
        <f>Aggregated!AM11*$R$2+Aggregated!BB11*$R$3+Aggregated!CF11</f>
        <v>135.63842336953189</v>
      </c>
      <c r="Q88" s="108">
        <f>Aggregated!AN11*$R$2+Aggregated!BC11*$R$3+Aggregated!CG11</f>
        <v>51.333333333333336</v>
      </c>
      <c r="R88" s="113">
        <f t="shared" si="14"/>
        <v>852.54985159401008</v>
      </c>
      <c r="S88" s="22"/>
    </row>
    <row r="89" spans="1:26" ht="15.5" x14ac:dyDescent="0.35">
      <c r="B89" s="135" t="s">
        <v>239</v>
      </c>
      <c r="C89" s="129"/>
      <c r="D89" s="136"/>
      <c r="E89" s="132"/>
      <c r="F89" s="132"/>
      <c r="G89" s="132"/>
      <c r="H89" s="132"/>
      <c r="I89" s="132"/>
      <c r="J89" s="132"/>
      <c r="K89" s="132"/>
      <c r="L89" s="137"/>
      <c r="M89" s="132"/>
      <c r="N89" s="132"/>
      <c r="O89" s="132"/>
      <c r="P89" s="132"/>
      <c r="Q89" s="132"/>
      <c r="R89" s="130"/>
      <c r="S89" s="22"/>
    </row>
    <row r="90" spans="1:26" ht="15.5" x14ac:dyDescent="0.35">
      <c r="B90" s="111">
        <f>B86</f>
        <v>12</v>
      </c>
      <c r="C90" s="111"/>
      <c r="D90" s="107">
        <f>3*D86</f>
        <v>0</v>
      </c>
      <c r="E90" s="108">
        <f t="shared" ref="E90:Q90" si="15">3*E86</f>
        <v>128.30769230769232</v>
      </c>
      <c r="F90" s="108">
        <f t="shared" si="15"/>
        <v>785.38461538461547</v>
      </c>
      <c r="G90" s="108">
        <f t="shared" si="15"/>
        <v>562.53846153846143</v>
      </c>
      <c r="H90" s="108">
        <f t="shared" si="15"/>
        <v>182</v>
      </c>
      <c r="I90" s="108">
        <f t="shared" si="15"/>
        <v>0</v>
      </c>
      <c r="J90" s="108">
        <f t="shared" si="15"/>
        <v>0</v>
      </c>
      <c r="K90" s="108">
        <f t="shared" si="15"/>
        <v>0</v>
      </c>
      <c r="L90" s="109">
        <f t="shared" si="15"/>
        <v>0</v>
      </c>
      <c r="M90" s="108">
        <f t="shared" si="15"/>
        <v>0</v>
      </c>
      <c r="N90" s="108">
        <f t="shared" si="15"/>
        <v>0</v>
      </c>
      <c r="O90" s="108">
        <f t="shared" si="15"/>
        <v>0</v>
      </c>
      <c r="P90" s="108">
        <f t="shared" si="15"/>
        <v>0</v>
      </c>
      <c r="Q90" s="108">
        <f t="shared" si="15"/>
        <v>0</v>
      </c>
      <c r="R90" s="113">
        <f>SUM(D90:Q90)</f>
        <v>1658.2307692307693</v>
      </c>
    </row>
    <row r="91" spans="1:26" ht="15.5" x14ac:dyDescent="0.35">
      <c r="B91" s="111">
        <f t="shared" ref="B91:B92" si="16">B87</f>
        <v>15</v>
      </c>
      <c r="C91" s="111"/>
      <c r="D91" s="107">
        <f t="shared" ref="D91:Q92" si="17">3*D87</f>
        <v>0</v>
      </c>
      <c r="E91" s="108">
        <f t="shared" si="17"/>
        <v>0</v>
      </c>
      <c r="F91" s="108">
        <f t="shared" si="17"/>
        <v>229.56302521008405</v>
      </c>
      <c r="G91" s="108">
        <f t="shared" si="17"/>
        <v>307</v>
      </c>
      <c r="H91" s="108">
        <f t="shared" si="17"/>
        <v>549.20000000000005</v>
      </c>
      <c r="I91" s="108">
        <f t="shared" si="17"/>
        <v>580.91999999999996</v>
      </c>
      <c r="J91" s="108">
        <f t="shared" si="17"/>
        <v>1125.1987677116465</v>
      </c>
      <c r="K91" s="108">
        <f t="shared" si="17"/>
        <v>458.8</v>
      </c>
      <c r="L91" s="109">
        <f t="shared" si="17"/>
        <v>945.78753803508471</v>
      </c>
      <c r="M91" s="108">
        <f t="shared" si="17"/>
        <v>0</v>
      </c>
      <c r="N91" s="108">
        <f t="shared" si="17"/>
        <v>0</v>
      </c>
      <c r="O91" s="108">
        <f t="shared" si="17"/>
        <v>0</v>
      </c>
      <c r="P91" s="108">
        <f t="shared" si="17"/>
        <v>0</v>
      </c>
      <c r="Q91" s="108">
        <f t="shared" si="17"/>
        <v>0</v>
      </c>
      <c r="R91" s="113">
        <f t="shared" ref="R91:R92" si="18">SUM(D91:Q91)</f>
        <v>4196.4693309568156</v>
      </c>
    </row>
    <row r="92" spans="1:26" ht="15.5" x14ac:dyDescent="0.35">
      <c r="B92" s="111">
        <f t="shared" si="16"/>
        <v>18</v>
      </c>
      <c r="C92" s="111"/>
      <c r="D92" s="107">
        <f t="shared" si="17"/>
        <v>0</v>
      </c>
      <c r="E92" s="108">
        <f t="shared" si="17"/>
        <v>0</v>
      </c>
      <c r="F92" s="108">
        <f t="shared" si="17"/>
        <v>0</v>
      </c>
      <c r="G92" s="108">
        <f t="shared" si="17"/>
        <v>0</v>
      </c>
      <c r="H92" s="108">
        <f t="shared" si="17"/>
        <v>0</v>
      </c>
      <c r="I92" s="108">
        <f t="shared" si="17"/>
        <v>0</v>
      </c>
      <c r="J92" s="108">
        <f t="shared" si="17"/>
        <v>0</v>
      </c>
      <c r="K92" s="108">
        <f t="shared" si="17"/>
        <v>0</v>
      </c>
      <c r="L92" s="109">
        <f t="shared" si="17"/>
        <v>0</v>
      </c>
      <c r="M92" s="108">
        <f t="shared" si="17"/>
        <v>500.35631316031652</v>
      </c>
      <c r="N92" s="108">
        <f t="shared" si="17"/>
        <v>901.87797151311793</v>
      </c>
      <c r="O92" s="108">
        <f t="shared" si="17"/>
        <v>594.5</v>
      </c>
      <c r="P92" s="108">
        <f t="shared" si="17"/>
        <v>406.91527010859568</v>
      </c>
      <c r="Q92" s="108">
        <f t="shared" si="17"/>
        <v>154</v>
      </c>
      <c r="R92" s="113">
        <f t="shared" si="18"/>
        <v>2557.6495547820305</v>
      </c>
    </row>
    <row r="93" spans="1:26" ht="15.5" x14ac:dyDescent="0.35">
      <c r="B93" s="135" t="s">
        <v>240</v>
      </c>
      <c r="C93" s="129"/>
      <c r="D93" s="136"/>
      <c r="E93" s="132"/>
      <c r="F93" s="132"/>
      <c r="G93" s="132"/>
      <c r="H93" s="132"/>
      <c r="I93" s="132"/>
      <c r="J93" s="132"/>
      <c r="K93" s="132"/>
      <c r="L93" s="137"/>
      <c r="M93" s="132"/>
      <c r="N93" s="132"/>
      <c r="O93" s="132"/>
      <c r="P93" s="132"/>
      <c r="Q93" s="132"/>
      <c r="R93" s="130"/>
    </row>
    <row r="94" spans="1:26" ht="15.5" x14ac:dyDescent="0.35">
      <c r="B94" s="111">
        <f>B86</f>
        <v>12</v>
      </c>
      <c r="C94" s="111"/>
      <c r="D94" s="107">
        <f>D86</f>
        <v>0</v>
      </c>
      <c r="E94" s="108">
        <f t="shared" ref="E94:Q94" si="19">E86</f>
        <v>42.769230769230774</v>
      </c>
      <c r="F94" s="108">
        <f t="shared" si="19"/>
        <v>261.79487179487182</v>
      </c>
      <c r="G94" s="108">
        <f t="shared" si="19"/>
        <v>187.5128205128205</v>
      </c>
      <c r="H94" s="108">
        <f t="shared" si="19"/>
        <v>60.666666666666664</v>
      </c>
      <c r="I94" s="108">
        <f t="shared" si="19"/>
        <v>0</v>
      </c>
      <c r="J94" s="108">
        <f t="shared" si="19"/>
        <v>0</v>
      </c>
      <c r="K94" s="108">
        <f t="shared" si="19"/>
        <v>0</v>
      </c>
      <c r="L94" s="109">
        <f t="shared" si="19"/>
        <v>0</v>
      </c>
      <c r="M94" s="108">
        <f t="shared" si="19"/>
        <v>0</v>
      </c>
      <c r="N94" s="108">
        <f t="shared" si="19"/>
        <v>0</v>
      </c>
      <c r="O94" s="108">
        <f t="shared" si="19"/>
        <v>0</v>
      </c>
      <c r="P94" s="108">
        <f t="shared" si="19"/>
        <v>0</v>
      </c>
      <c r="Q94" s="108">
        <f t="shared" si="19"/>
        <v>0</v>
      </c>
      <c r="R94" s="113">
        <f>SUM(D94:Q94)</f>
        <v>552.74358974358972</v>
      </c>
    </row>
    <row r="95" spans="1:26" ht="15.5" x14ac:dyDescent="0.35">
      <c r="B95" s="111">
        <f t="shared" ref="B95:B96" si="20">B87</f>
        <v>15</v>
      </c>
      <c r="C95" s="111"/>
      <c r="D95" s="107">
        <f t="shared" ref="D95:Q96" si="21">D87</f>
        <v>0</v>
      </c>
      <c r="E95" s="108">
        <f t="shared" si="21"/>
        <v>0</v>
      </c>
      <c r="F95" s="108">
        <f t="shared" si="21"/>
        <v>76.52100840336135</v>
      </c>
      <c r="G95" s="108">
        <f t="shared" si="21"/>
        <v>102.33333333333334</v>
      </c>
      <c r="H95" s="108">
        <f t="shared" si="21"/>
        <v>183.06666666666666</v>
      </c>
      <c r="I95" s="108">
        <f t="shared" si="21"/>
        <v>193.64</v>
      </c>
      <c r="J95" s="108">
        <f t="shared" si="21"/>
        <v>375.06625590388217</v>
      </c>
      <c r="K95" s="108">
        <f t="shared" si="21"/>
        <v>152.93333333333334</v>
      </c>
      <c r="L95" s="109">
        <f t="shared" si="21"/>
        <v>315.26251267836159</v>
      </c>
      <c r="M95" s="108">
        <f t="shared" si="21"/>
        <v>0</v>
      </c>
      <c r="N95" s="108">
        <f t="shared" si="21"/>
        <v>0</v>
      </c>
      <c r="O95" s="108">
        <f t="shared" si="21"/>
        <v>0</v>
      </c>
      <c r="P95" s="108">
        <f t="shared" si="21"/>
        <v>0</v>
      </c>
      <c r="Q95" s="108">
        <f t="shared" si="21"/>
        <v>0</v>
      </c>
      <c r="R95" s="113">
        <f t="shared" ref="R95:R96" si="22">SUM(D95:Q95)</f>
        <v>1398.8231103189385</v>
      </c>
    </row>
    <row r="96" spans="1:26" ht="15.5" x14ac:dyDescent="0.35">
      <c r="B96" s="111">
        <f t="shared" si="20"/>
        <v>18</v>
      </c>
      <c r="C96" s="111"/>
      <c r="D96" s="107">
        <f t="shared" si="21"/>
        <v>0</v>
      </c>
      <c r="E96" s="108">
        <f t="shared" si="21"/>
        <v>0</v>
      </c>
      <c r="F96" s="108">
        <f t="shared" si="21"/>
        <v>0</v>
      </c>
      <c r="G96" s="108">
        <f t="shared" si="21"/>
        <v>0</v>
      </c>
      <c r="H96" s="108">
        <f t="shared" si="21"/>
        <v>0</v>
      </c>
      <c r="I96" s="108">
        <f t="shared" si="21"/>
        <v>0</v>
      </c>
      <c r="J96" s="108">
        <f t="shared" si="21"/>
        <v>0</v>
      </c>
      <c r="K96" s="108">
        <f t="shared" si="21"/>
        <v>0</v>
      </c>
      <c r="L96" s="109">
        <f t="shared" si="21"/>
        <v>0</v>
      </c>
      <c r="M96" s="108">
        <f t="shared" si="21"/>
        <v>166.78543772010551</v>
      </c>
      <c r="N96" s="108">
        <f t="shared" si="21"/>
        <v>300.62599050437262</v>
      </c>
      <c r="O96" s="108">
        <f t="shared" si="21"/>
        <v>198.16666666666666</v>
      </c>
      <c r="P96" s="108">
        <f t="shared" si="21"/>
        <v>135.63842336953189</v>
      </c>
      <c r="Q96" s="108">
        <f t="shared" si="21"/>
        <v>51.333333333333336</v>
      </c>
      <c r="R96" s="113">
        <f t="shared" si="22"/>
        <v>852.54985159401008</v>
      </c>
    </row>
    <row r="97" spans="2:19" ht="15.5" x14ac:dyDescent="0.35">
      <c r="B97" s="135" t="s">
        <v>241</v>
      </c>
      <c r="C97" s="129"/>
      <c r="D97" s="136"/>
      <c r="E97" s="132"/>
      <c r="F97" s="132"/>
      <c r="G97" s="132"/>
      <c r="H97" s="132"/>
      <c r="I97" s="132"/>
      <c r="J97" s="132"/>
      <c r="K97" s="132"/>
      <c r="L97" s="137"/>
      <c r="M97" s="132"/>
      <c r="N97" s="132"/>
      <c r="O97" s="132"/>
      <c r="P97" s="132"/>
      <c r="Q97" s="132"/>
      <c r="R97" s="130"/>
    </row>
    <row r="98" spans="2:19" ht="15.5" x14ac:dyDescent="0.35">
      <c r="B98" s="111">
        <f>B86</f>
        <v>12</v>
      </c>
      <c r="C98" s="111"/>
      <c r="D98" s="107">
        <f>D86</f>
        <v>0</v>
      </c>
      <c r="E98" s="108">
        <f t="shared" ref="E98:Q98" si="23">E86</f>
        <v>42.769230769230774</v>
      </c>
      <c r="F98" s="108">
        <f t="shared" si="23"/>
        <v>261.79487179487182</v>
      </c>
      <c r="G98" s="108">
        <f t="shared" si="23"/>
        <v>187.5128205128205</v>
      </c>
      <c r="H98" s="108">
        <f t="shared" si="23"/>
        <v>60.666666666666664</v>
      </c>
      <c r="I98" s="108">
        <f t="shared" si="23"/>
        <v>0</v>
      </c>
      <c r="J98" s="108">
        <f t="shared" si="23"/>
        <v>0</v>
      </c>
      <c r="K98" s="108">
        <f t="shared" si="23"/>
        <v>0</v>
      </c>
      <c r="L98" s="109">
        <f t="shared" si="23"/>
        <v>0</v>
      </c>
      <c r="M98" s="108">
        <f t="shared" si="23"/>
        <v>0</v>
      </c>
      <c r="N98" s="108">
        <f t="shared" si="23"/>
        <v>0</v>
      </c>
      <c r="O98" s="108">
        <f t="shared" si="23"/>
        <v>0</v>
      </c>
      <c r="P98" s="108">
        <f t="shared" si="23"/>
        <v>0</v>
      </c>
      <c r="Q98" s="108">
        <f t="shared" si="23"/>
        <v>0</v>
      </c>
      <c r="R98" s="113">
        <f t="shared" ref="R98:R100" si="24">SUM(D98:Q98)</f>
        <v>552.74358974358972</v>
      </c>
    </row>
    <row r="99" spans="2:19" ht="15.5" x14ac:dyDescent="0.35">
      <c r="B99" s="111">
        <f t="shared" ref="B99:B100" si="25">B87</f>
        <v>15</v>
      </c>
      <c r="C99" s="111"/>
      <c r="D99" s="107">
        <f t="shared" ref="D99:Q100" si="26">D87</f>
        <v>0</v>
      </c>
      <c r="E99" s="108">
        <f t="shared" si="26"/>
        <v>0</v>
      </c>
      <c r="F99" s="108">
        <f t="shared" si="26"/>
        <v>76.52100840336135</v>
      </c>
      <c r="G99" s="108">
        <f t="shared" si="26"/>
        <v>102.33333333333334</v>
      </c>
      <c r="H99" s="108">
        <f t="shared" si="26"/>
        <v>183.06666666666666</v>
      </c>
      <c r="I99" s="108">
        <f t="shared" si="26"/>
        <v>193.64</v>
      </c>
      <c r="J99" s="108">
        <f t="shared" si="26"/>
        <v>375.06625590388217</v>
      </c>
      <c r="K99" s="108">
        <f t="shared" si="26"/>
        <v>152.93333333333334</v>
      </c>
      <c r="L99" s="109">
        <f t="shared" si="26"/>
        <v>315.26251267836159</v>
      </c>
      <c r="M99" s="108">
        <f t="shared" si="26"/>
        <v>0</v>
      </c>
      <c r="N99" s="108">
        <f t="shared" si="26"/>
        <v>0</v>
      </c>
      <c r="O99" s="108">
        <f t="shared" si="26"/>
        <v>0</v>
      </c>
      <c r="P99" s="108">
        <f t="shared" si="26"/>
        <v>0</v>
      </c>
      <c r="Q99" s="108">
        <f t="shared" si="26"/>
        <v>0</v>
      </c>
      <c r="R99" s="113">
        <f t="shared" si="24"/>
        <v>1398.8231103189385</v>
      </c>
    </row>
    <row r="100" spans="2:19" ht="15.5" x14ac:dyDescent="0.35">
      <c r="B100" s="111">
        <f t="shared" si="25"/>
        <v>18</v>
      </c>
      <c r="C100" s="111"/>
      <c r="D100" s="107">
        <f t="shared" si="26"/>
        <v>0</v>
      </c>
      <c r="E100" s="108">
        <f t="shared" si="26"/>
        <v>0</v>
      </c>
      <c r="F100" s="108">
        <f t="shared" si="26"/>
        <v>0</v>
      </c>
      <c r="G100" s="108">
        <f t="shared" si="26"/>
        <v>0</v>
      </c>
      <c r="H100" s="108">
        <f t="shared" si="26"/>
        <v>0</v>
      </c>
      <c r="I100" s="108">
        <f t="shared" si="26"/>
        <v>0</v>
      </c>
      <c r="J100" s="108">
        <f t="shared" si="26"/>
        <v>0</v>
      </c>
      <c r="K100" s="108">
        <f t="shared" si="26"/>
        <v>0</v>
      </c>
      <c r="L100" s="109">
        <f t="shared" si="26"/>
        <v>0</v>
      </c>
      <c r="M100" s="108">
        <f t="shared" si="26"/>
        <v>166.78543772010551</v>
      </c>
      <c r="N100" s="108">
        <f t="shared" si="26"/>
        <v>300.62599050437262</v>
      </c>
      <c r="O100" s="108">
        <f t="shared" si="26"/>
        <v>198.16666666666666</v>
      </c>
      <c r="P100" s="108">
        <f t="shared" si="26"/>
        <v>135.63842336953189</v>
      </c>
      <c r="Q100" s="108">
        <f t="shared" si="26"/>
        <v>51.333333333333336</v>
      </c>
      <c r="R100" s="113">
        <f t="shared" si="24"/>
        <v>852.54985159401008</v>
      </c>
    </row>
    <row r="101" spans="2:19" ht="15.5" x14ac:dyDescent="0.35">
      <c r="B101" s="135" t="s">
        <v>116</v>
      </c>
      <c r="C101" s="139"/>
      <c r="D101" s="151">
        <f>SUM(D103:D105)</f>
        <v>0</v>
      </c>
      <c r="E101" s="151">
        <f t="shared" ref="E101:Q101" si="27">SUM(E103:E105)</f>
        <v>42.769230769230774</v>
      </c>
      <c r="F101" s="151">
        <f t="shared" si="27"/>
        <v>338.31588019823317</v>
      </c>
      <c r="G101" s="151">
        <f t="shared" si="27"/>
        <v>267.84615384615381</v>
      </c>
      <c r="H101" s="151">
        <f t="shared" si="27"/>
        <v>221.73333333333332</v>
      </c>
      <c r="I101" s="151">
        <f t="shared" si="27"/>
        <v>193.64000000000001</v>
      </c>
      <c r="J101" s="151">
        <f t="shared" si="27"/>
        <v>354.65599949362581</v>
      </c>
      <c r="K101" s="151">
        <f t="shared" si="27"/>
        <v>170.73333333333335</v>
      </c>
      <c r="L101" s="151">
        <f t="shared" si="27"/>
        <v>293.92917934502822</v>
      </c>
      <c r="M101" s="151">
        <f t="shared" si="27"/>
        <v>122.21947897794578</v>
      </c>
      <c r="N101" s="151">
        <f t="shared" si="27"/>
        <v>300.62599050437262</v>
      </c>
      <c r="O101" s="151">
        <f t="shared" si="27"/>
        <v>198.16666666666663</v>
      </c>
      <c r="P101" s="151">
        <f t="shared" si="27"/>
        <v>135.63842336953186</v>
      </c>
      <c r="Q101" s="151">
        <f t="shared" si="27"/>
        <v>51.333333333333336</v>
      </c>
      <c r="R101" s="130">
        <f>SUM(C101:Q101)</f>
        <v>2691.6070031707886</v>
      </c>
    </row>
    <row r="102" spans="2:19" ht="15.5" x14ac:dyDescent="0.35">
      <c r="B102" s="106" t="s">
        <v>257</v>
      </c>
      <c r="C102" s="106"/>
      <c r="D102" s="108">
        <f>Aggregated!AA15*$R$2+Aggregated!AP15*$R$3+Aggregated!BT15</f>
        <v>0</v>
      </c>
      <c r="E102" s="108">
        <f>Aggregated!AB15*$R$2+Aggregated!AQ15*$R$3+Aggregated!BU15</f>
        <v>32.769230769230774</v>
      </c>
      <c r="F102" s="108">
        <f>Aggregated!AC15*$R$2+Aggregated!AR15*$R$3+Aggregated!BV15</f>
        <v>229.49353587588882</v>
      </c>
      <c r="G102" s="108">
        <f>Aggregated!AD15*$R$2+Aggregated!AS15*$R$3+Aggregated!BW15</f>
        <v>179.50641025641025</v>
      </c>
      <c r="H102" s="108">
        <f>Aggregated!AE15*$R$2+Aggregated!AT15*$R$3+Aggregated!BX15</f>
        <v>160.73333333333332</v>
      </c>
      <c r="I102" s="108">
        <f>Aggregated!AF15*$R$2+Aggregated!AU15*$R$3+Aggregated!BY15</f>
        <v>97.213333333333338</v>
      </c>
      <c r="J102" s="108">
        <f>Aggregated!AG15*$R$2+Aggregated!AV15*$R$3+Aggregated!BZ15</f>
        <v>226.77599949362576</v>
      </c>
      <c r="K102" s="108">
        <f>Aggregated!AH15*$R$2+Aggregated!AW15*$R$3+Aggregated!CA15</f>
        <v>150.25333333333333</v>
      </c>
      <c r="L102" s="108">
        <f>Aggregated!AI15*$R$2+Aggregated!AX15*$R$3+Aggregated!CB15</f>
        <v>262.03917934502823</v>
      </c>
      <c r="M102" s="108">
        <f>Aggregated!AJ15*$R$2+Aggregated!AY15*$R$3+Aggregated!CC15</f>
        <v>97.219478977945784</v>
      </c>
      <c r="N102" s="108">
        <f>Aggregated!AK15*$R$2+Aggregated!AZ15*$R$3+Aggregated!CD15</f>
        <v>193.57152668639415</v>
      </c>
      <c r="O102" s="108">
        <f>Aggregated!AL15*$R$2+Aggregated!BA15*$R$3+Aggregated!CE15</f>
        <v>138.71666666666664</v>
      </c>
      <c r="P102" s="108">
        <f>Aggregated!AM15*$R$2+Aggregated!BB15*$R$3+Aggregated!CF15</f>
        <v>101.62175670286521</v>
      </c>
      <c r="Q102" s="108">
        <f>Aggregated!AN15*$R$2+Aggregated!BC15*$R$3+Aggregated!CG15</f>
        <v>35.93333333333333</v>
      </c>
      <c r="R102" s="113">
        <f t="shared" ref="R102:R111" si="28">SUM(D102:Q102)</f>
        <v>1905.8471181073892</v>
      </c>
    </row>
    <row r="103" spans="2:19" ht="15.5" x14ac:dyDescent="0.35">
      <c r="B103" s="106" t="s">
        <v>258</v>
      </c>
      <c r="C103" s="106"/>
      <c r="D103" s="108">
        <f t="shared" ref="D103:Q103" si="29">D102</f>
        <v>0</v>
      </c>
      <c r="E103" s="108">
        <f t="shared" si="29"/>
        <v>32.769230769230774</v>
      </c>
      <c r="F103" s="108">
        <f t="shared" si="29"/>
        <v>229.49353587588882</v>
      </c>
      <c r="G103" s="108">
        <f t="shared" si="29"/>
        <v>179.50641025641025</v>
      </c>
      <c r="H103" s="108">
        <f t="shared" si="29"/>
        <v>160.73333333333332</v>
      </c>
      <c r="I103" s="108">
        <f t="shared" si="29"/>
        <v>97.213333333333338</v>
      </c>
      <c r="J103" s="108">
        <f t="shared" si="29"/>
        <v>226.77599949362576</v>
      </c>
      <c r="K103" s="108">
        <f t="shared" si="29"/>
        <v>150.25333333333333</v>
      </c>
      <c r="L103" s="108">
        <f t="shared" si="29"/>
        <v>262.03917934502823</v>
      </c>
      <c r="M103" s="108">
        <f t="shared" si="29"/>
        <v>97.219478977945784</v>
      </c>
      <c r="N103" s="108">
        <f t="shared" si="29"/>
        <v>193.57152668639415</v>
      </c>
      <c r="O103" s="108">
        <f t="shared" si="29"/>
        <v>138.71666666666664</v>
      </c>
      <c r="P103" s="108">
        <f t="shared" si="29"/>
        <v>101.62175670286521</v>
      </c>
      <c r="Q103" s="108">
        <f t="shared" si="29"/>
        <v>35.93333333333333</v>
      </c>
      <c r="R103" s="113">
        <f t="shared" si="28"/>
        <v>1905.8471181073892</v>
      </c>
      <c r="S103" s="140"/>
    </row>
    <row r="104" spans="2:19" ht="15.5" x14ac:dyDescent="0.35">
      <c r="B104" s="106" t="s">
        <v>117</v>
      </c>
      <c r="C104" s="106"/>
      <c r="D104" s="108">
        <f>Aggregated!AA16*$R$2+Aggregated!AP16*$R$3+Aggregated!BT16</f>
        <v>0</v>
      </c>
      <c r="E104" s="108">
        <f>Aggregated!AB16*$R$2+Aggregated!AQ16*$R$3+Aggregated!BU16</f>
        <v>0</v>
      </c>
      <c r="F104" s="108">
        <f>Aggregated!AC16*$R$2+Aggregated!AR16*$R$3+Aggregated!BV16</f>
        <v>29.142857142857142</v>
      </c>
      <c r="G104" s="108">
        <f>Aggregated!AD16*$R$2+Aggregated!AS16*$R$3+Aggregated!BW16</f>
        <v>12</v>
      </c>
      <c r="H104" s="108">
        <f>Aggregated!AE16*$R$2+Aggregated!AT16*$R$3+Aggregated!BX16</f>
        <v>11</v>
      </c>
      <c r="I104" s="108">
        <f>Aggregated!AF16*$R$2+Aggregated!AU16*$R$3+Aggregated!BY16</f>
        <v>5.36</v>
      </c>
      <c r="J104" s="108">
        <f>Aggregated!AG16*$R$2+Aggregated!AV16*$R$3+Aggregated!BZ16</f>
        <v>46.23</v>
      </c>
      <c r="K104" s="108">
        <f>Aggregated!AH16*$R$2+Aggregated!AW16*$R$3+Aggregated!CA16</f>
        <v>10.24</v>
      </c>
      <c r="L104" s="108">
        <f>Aggregated!AI16*$R$2+Aggregated!AX16*$R$3+Aggregated!CB16</f>
        <v>9.7199999999999989</v>
      </c>
      <c r="M104" s="108">
        <f>Aggregated!AJ16*$R$2+Aggregated!AY16*$R$3+Aggregated!CC16</f>
        <v>12.499999999999998</v>
      </c>
      <c r="N104" s="108">
        <f>Aggregated!AK16*$R$2+Aggregated!AZ16*$R$3+Aggregated!CD16</f>
        <v>38.768898575655896</v>
      </c>
      <c r="O104" s="108">
        <f>Aggregated!AL16*$R$2+Aggregated!BA16*$R$3+Aggregated!CE16</f>
        <v>29.724999999999998</v>
      </c>
      <c r="P104" s="108">
        <f>Aggregated!AM16*$R$2+Aggregated!BB16*$R$3+Aggregated!CF16</f>
        <v>17.008333333333333</v>
      </c>
      <c r="Q104" s="108">
        <f>Aggregated!AN16*$R$2+Aggregated!BC16*$R$3+Aggregated!CG16</f>
        <v>7.7</v>
      </c>
      <c r="R104" s="113">
        <f t="shared" si="28"/>
        <v>229.39508905184633</v>
      </c>
      <c r="S104" s="140"/>
    </row>
    <row r="105" spans="2:19" ht="15.5" x14ac:dyDescent="0.35">
      <c r="B105" s="106" t="s">
        <v>118</v>
      </c>
      <c r="C105" s="106"/>
      <c r="D105" s="108">
        <f>Aggregated!AA17*$R$2+Aggregated!AP17*$R$3+Aggregated!BT17</f>
        <v>0</v>
      </c>
      <c r="E105" s="108">
        <f>Aggregated!AB17*$R$2+Aggregated!AQ17*$R$3+Aggregated!BU17</f>
        <v>10</v>
      </c>
      <c r="F105" s="108">
        <f>Aggregated!AC17*$R$2+Aggregated!AR17*$R$3+Aggregated!BV17</f>
        <v>79.679487179487182</v>
      </c>
      <c r="G105" s="108">
        <f>Aggregated!AD17*$R$2+Aggregated!AS17*$R$3+Aggregated!BW17</f>
        <v>76.339743589743591</v>
      </c>
      <c r="H105" s="108">
        <f>Aggregated!AE17*$R$2+Aggregated!AT17*$R$3+Aggregated!BX17</f>
        <v>50</v>
      </c>
      <c r="I105" s="108">
        <f>Aggregated!AF17*$R$2+Aggregated!AU17*$R$3+Aggregated!BY17</f>
        <v>91.066666666666677</v>
      </c>
      <c r="J105" s="108">
        <f>Aggregated!AG17*$R$2+Aggregated!AV17*$R$3+Aggregated!BZ17</f>
        <v>81.650000000000006</v>
      </c>
      <c r="K105" s="108">
        <f>Aggregated!AH17*$R$2+Aggregated!AW17*$R$3+Aggregated!CA17</f>
        <v>10.24</v>
      </c>
      <c r="L105" s="108">
        <f>Aggregated!AI17*$R$2+Aggregated!AX17*$R$3+Aggregated!CB17</f>
        <v>22.17</v>
      </c>
      <c r="M105" s="108">
        <f>Aggregated!AJ17*$R$2+Aggregated!AY17*$R$3+Aggregated!CC17</f>
        <v>12.499999999999998</v>
      </c>
      <c r="N105" s="108">
        <f>Aggregated!AK17*$R$2+Aggregated!AZ17*$R$3+Aggregated!CD17</f>
        <v>68.285565242322562</v>
      </c>
      <c r="O105" s="108">
        <f>Aggregated!AL17*$R$2+Aggregated!BA17*$R$3+Aggregated!CE17</f>
        <v>29.724999999999998</v>
      </c>
      <c r="P105" s="108">
        <f>Aggregated!AM17*$R$2+Aggregated!BB17*$R$3+Aggregated!CF17</f>
        <v>17.008333333333333</v>
      </c>
      <c r="Q105" s="108">
        <f>Aggregated!AN17*$R$2+Aggregated!BC17*$R$3+Aggregated!CG17</f>
        <v>7.7</v>
      </c>
      <c r="R105" s="113">
        <f t="shared" si="28"/>
        <v>556.36479601155338</v>
      </c>
      <c r="S105" s="140"/>
    </row>
    <row r="106" spans="2:19" ht="15.5" x14ac:dyDescent="0.35">
      <c r="B106" s="106" t="s">
        <v>259</v>
      </c>
      <c r="C106" s="106"/>
      <c r="D106" s="108">
        <f>Aggregated!AA18*$R$2+Aggregated!AP18*$R$3+Aggregated!BT18</f>
        <v>0</v>
      </c>
      <c r="E106" s="108">
        <f>Aggregated!AB18*$R$2+Aggregated!AQ18*$R$3+Aggregated!BU18</f>
        <v>2</v>
      </c>
      <c r="F106" s="108">
        <f>Aggregated!AC18*$R$2+Aggregated!AR18*$R$3+Aggregated!BV18</f>
        <v>10</v>
      </c>
      <c r="G106" s="108">
        <f>Aggregated!AD18*$R$2+Aggregated!AS18*$R$3+Aggregated!BW18</f>
        <v>9</v>
      </c>
      <c r="H106" s="108">
        <f>Aggregated!AE18*$R$2+Aggregated!AT18*$R$3+Aggregated!BX18</f>
        <v>7</v>
      </c>
      <c r="I106" s="108">
        <f>Aggregated!AF18*$R$2+Aggregated!AU18*$R$3+Aggregated!BY18</f>
        <v>5</v>
      </c>
      <c r="J106" s="108">
        <f>Aggregated!AG18*$R$2+Aggregated!AV18*$R$3+Aggregated!BZ18</f>
        <v>8</v>
      </c>
      <c r="K106" s="108">
        <f>Aggregated!AH18*$R$2+Aggregated!AW18*$R$3+Aggregated!CA18</f>
        <v>5</v>
      </c>
      <c r="L106" s="108">
        <f>Aggregated!AI18*$R$2+Aggregated!AX18*$R$3+Aggregated!CB18</f>
        <v>11</v>
      </c>
      <c r="M106" s="108">
        <f>Aggregated!AJ18*$R$2+Aggregated!AY18*$R$3+Aggregated!CC18</f>
        <v>3</v>
      </c>
      <c r="N106" s="108">
        <f>Aggregated!AK18*$R$2+Aggregated!AZ18*$R$3+Aggregated!CD18</f>
        <v>10</v>
      </c>
      <c r="O106" s="108">
        <f>Aggregated!AL18*$R$2+Aggregated!BA18*$R$3+Aggregated!CE18</f>
        <v>6</v>
      </c>
      <c r="P106" s="108">
        <f>Aggregated!AM18*$R$2+Aggregated!BB18*$R$3+Aggregated!CF18</f>
        <v>5</v>
      </c>
      <c r="Q106" s="108">
        <f>Aggregated!AN18*$R$2+Aggregated!BC18*$R$3+Aggregated!CG18</f>
        <v>2</v>
      </c>
      <c r="R106" s="113">
        <f t="shared" si="28"/>
        <v>83</v>
      </c>
    </row>
    <row r="107" spans="2:19" ht="15.5" x14ac:dyDescent="0.35">
      <c r="B107" s="135" t="s">
        <v>119</v>
      </c>
      <c r="C107" s="129"/>
      <c r="D107" s="132"/>
      <c r="E107" s="132"/>
      <c r="F107" s="132"/>
      <c r="G107" s="132"/>
      <c r="H107" s="132"/>
      <c r="I107" s="132"/>
      <c r="J107" s="132"/>
      <c r="K107" s="132"/>
      <c r="L107" s="132"/>
      <c r="M107" s="132"/>
      <c r="N107" s="132"/>
      <c r="O107" s="132"/>
      <c r="P107" s="132"/>
      <c r="Q107" s="132"/>
      <c r="R107" s="130"/>
    </row>
    <row r="108" spans="2:19" ht="15.5" x14ac:dyDescent="0.35">
      <c r="B108" s="106" t="s">
        <v>271</v>
      </c>
      <c r="C108" s="106"/>
      <c r="D108" s="108">
        <f>Aggregated!AA19*$R$2+Aggregated!AP19*$R$3+Aggregated!BT19</f>
        <v>0</v>
      </c>
      <c r="E108" s="108">
        <f>Aggregated!AB19*$R$2+Aggregated!AQ19*$R$3+Aggregated!BU19</f>
        <v>2</v>
      </c>
      <c r="F108" s="108">
        <f>Aggregated!AC19*$R$2+Aggregated!AR19*$R$3+Aggregated!BV19</f>
        <v>10</v>
      </c>
      <c r="G108" s="108">
        <f>Aggregated!AD19*$R$2+Aggregated!AS19*$R$3+Aggregated!BW19</f>
        <v>6</v>
      </c>
      <c r="H108" s="108">
        <f>Aggregated!AE19*$R$2+Aggregated!AT19*$R$3+Aggregated!BX19</f>
        <v>7</v>
      </c>
      <c r="I108" s="108">
        <f>Aggregated!AF19*$R$2+Aggregated!AU19*$R$3+Aggregated!BY19</f>
        <v>5</v>
      </c>
      <c r="J108" s="108">
        <f>Aggregated!AG19*$R$2+Aggregated!AV19*$R$3+Aggregated!BZ19</f>
        <v>8</v>
      </c>
      <c r="K108" s="108">
        <f>Aggregated!AH19*$R$2+Aggregated!AW19*$R$3+Aggregated!CA19</f>
        <v>5</v>
      </c>
      <c r="L108" s="108">
        <f>Aggregated!AI19*$R$2+Aggregated!AX19*$R$3+Aggregated!CB19</f>
        <v>8</v>
      </c>
      <c r="M108" s="108">
        <f>Aggregated!AJ19*$R$2+Aggregated!AY19*$R$3+Aggregated!CC19</f>
        <v>3</v>
      </c>
      <c r="N108" s="108">
        <f>Aggregated!AK19*$R$2+Aggregated!AZ19*$R$3+Aggregated!CD19</f>
        <v>10</v>
      </c>
      <c r="O108" s="108">
        <f>Aggregated!AL19*$R$2+Aggregated!BA19*$R$3+Aggregated!CE19</f>
        <v>6</v>
      </c>
      <c r="P108" s="108">
        <f>Aggregated!AM19*$R$2+Aggregated!BB19*$R$3+Aggregated!CF19</f>
        <v>5</v>
      </c>
      <c r="Q108" s="108">
        <f>Aggregated!AN19*$R$2+Aggregated!BC19*$R$3+Aggregated!CG19</f>
        <v>2</v>
      </c>
      <c r="R108" s="113">
        <f t="shared" si="28"/>
        <v>77</v>
      </c>
    </row>
    <row r="109" spans="2:19" ht="15.5" x14ac:dyDescent="0.35">
      <c r="B109" s="135" t="s">
        <v>120</v>
      </c>
      <c r="C109" s="129"/>
      <c r="D109" s="132"/>
      <c r="E109" s="132"/>
      <c r="F109" s="132"/>
      <c r="G109" s="132"/>
      <c r="H109" s="132"/>
      <c r="I109" s="132"/>
      <c r="J109" s="132"/>
      <c r="K109" s="132"/>
      <c r="L109" s="132"/>
      <c r="M109" s="132"/>
      <c r="N109" s="132"/>
      <c r="O109" s="132"/>
      <c r="P109" s="132"/>
      <c r="Q109" s="132"/>
      <c r="R109" s="130"/>
    </row>
    <row r="110" spans="2:19" ht="15.5" x14ac:dyDescent="0.35">
      <c r="B110" s="106" t="s">
        <v>272</v>
      </c>
      <c r="C110" s="106"/>
      <c r="D110" s="108">
        <f>Aggregated!AA21*$R$2+Aggregated!AP21*$R$3+Aggregated!BT21</f>
        <v>0</v>
      </c>
      <c r="E110" s="108">
        <f>Aggregated!AB21*$R$2+Aggregated!AQ21*$R$3+Aggregated!BU21</f>
        <v>125.50240000000001</v>
      </c>
      <c r="F110" s="108">
        <f>Aggregated!AC21*$R$2+Aggregated!AR21*$R$3+Aggregated!BV21</f>
        <v>862.25390096961871</v>
      </c>
      <c r="G110" s="108">
        <f>Aggregated!AD21*$R$2+Aggregated!AS21*$R$3+Aggregated!BW21</f>
        <v>725.58714358974362</v>
      </c>
      <c r="H110" s="108">
        <f>Aggregated!AE21*$R$2+Aggregated!AT21*$R$3+Aggregated!BX21</f>
        <v>520.27304000000004</v>
      </c>
      <c r="I110" s="108">
        <f>Aggregated!AF21*$R$2+Aggregated!AU21*$R$3+Aggregated!BY21</f>
        <v>417.65050133333341</v>
      </c>
      <c r="J110" s="108">
        <f>Aggregated!AG21*$R$2+Aggregated!AV21*$R$3+Aggregated!BZ21</f>
        <v>1004.9766712982587</v>
      </c>
      <c r="K110" s="108">
        <f>Aggregated!AH21*$R$2+Aggregated!AW21*$R$3+Aggregated!CA21</f>
        <v>335.84160000000003</v>
      </c>
      <c r="L110" s="108">
        <f>Aggregated!AI21*$R$2+Aggregated!AX21*$R$3+Aggregated!CB21</f>
        <v>954.2356778416821</v>
      </c>
      <c r="M110" s="108">
        <f>Aggregated!AJ21*$R$2+Aggregated!AY21*$R$3+Aggregated!CC21</f>
        <v>268.39397583556899</v>
      </c>
      <c r="N110" s="108">
        <f>Aggregated!AK21*$R$2+Aggregated!AZ21*$R$3+Aggregated!CD21</f>
        <v>866.85067514760226</v>
      </c>
      <c r="O110" s="108">
        <f>Aggregated!AL21*$R$2+Aggregated!BA21*$R$3+Aggregated!CE21</f>
        <v>435.17399999999998</v>
      </c>
      <c r="P110" s="108">
        <f>Aggregated!AM21*$R$2+Aggregated!BB21*$R$3+Aggregated!CF21</f>
        <v>297.86197771949202</v>
      </c>
      <c r="Q110" s="108">
        <f>Aggregated!AN21*$R$2+Aggregated!BC21*$R$3+Aggregated!CG21</f>
        <v>112.72800000000001</v>
      </c>
      <c r="R110" s="113">
        <f t="shared" si="28"/>
        <v>6927.3295637353003</v>
      </c>
    </row>
    <row r="111" spans="2:19" ht="15.5" x14ac:dyDescent="0.35">
      <c r="B111" s="106" t="s">
        <v>273</v>
      </c>
      <c r="C111" s="106"/>
      <c r="D111" s="108">
        <f>Aggregated!AA24*$R$2+Aggregated!AP24*$R$3+Aggregated!BT24</f>
        <v>0</v>
      </c>
      <c r="E111" s="108">
        <f>Aggregated!AB24*$R$2+Aggregated!AQ24*$R$3+Aggregated!BU24</f>
        <v>256</v>
      </c>
      <c r="F111" s="108">
        <f>Aggregated!AC24*$R$2+Aggregated!AR24*$R$3+Aggregated!BV24</f>
        <v>926.41359999999997</v>
      </c>
      <c r="G111" s="108">
        <f>Aggregated!AD24*$R$2+Aggregated!AS24*$R$3+Aggregated!BW24</f>
        <v>505.5</v>
      </c>
      <c r="H111" s="108">
        <f>Aggregated!AE24*$R$2+Aggregated!AT24*$R$3+Aggregated!BX24</f>
        <v>498.67899999999997</v>
      </c>
      <c r="I111" s="108">
        <f>Aggregated!AF24*$R$2+Aggregated!AU24*$R$3+Aggregated!BY24</f>
        <v>526</v>
      </c>
      <c r="J111" s="108">
        <f>Aggregated!AG24*$R$2+Aggregated!AV24*$R$3+Aggregated!BZ24</f>
        <v>658.6653</v>
      </c>
      <c r="K111" s="108">
        <f>Aggregated!AH24*$R$2+Aggregated!AW24*$R$3+Aggregated!CA24</f>
        <v>690.26030000000003</v>
      </c>
      <c r="L111" s="108">
        <f>Aggregated!AI24*$R$2+Aggregated!AX24*$R$3+Aggregated!CB24</f>
        <v>679.90499999999997</v>
      </c>
      <c r="M111" s="108">
        <f>Aggregated!AJ24*$R$2+Aggregated!AY24*$R$3+Aggregated!CC24</f>
        <v>363</v>
      </c>
      <c r="N111" s="108">
        <f>Aggregated!AK24*$R$2+Aggregated!AZ24*$R$3+Aggregated!CD24</f>
        <v>1402.405</v>
      </c>
      <c r="O111" s="108">
        <f>Aggregated!AL24*$R$2+Aggregated!BA24*$R$3+Aggregated!CE24</f>
        <v>900</v>
      </c>
      <c r="P111" s="108">
        <f>Aggregated!AM24*$R$2+Aggregated!BB24*$R$3+Aggregated!CF24</f>
        <v>672.40499999999997</v>
      </c>
      <c r="Q111" s="108">
        <f>Aggregated!AN24*$R$2+Aggregated!BC24*$R$3+Aggregated!CG24</f>
        <v>280</v>
      </c>
      <c r="R111" s="113">
        <f t="shared" si="28"/>
        <v>8359.2331999999988</v>
      </c>
    </row>
    <row r="112" spans="2:19" ht="15.5" x14ac:dyDescent="0.35">
      <c r="B112" s="135" t="s">
        <v>244</v>
      </c>
      <c r="C112" s="129"/>
      <c r="D112" s="136"/>
      <c r="E112" s="132"/>
      <c r="F112" s="132"/>
      <c r="G112" s="132"/>
      <c r="H112" s="132"/>
      <c r="I112" s="132"/>
      <c r="J112" s="132"/>
      <c r="K112" s="132"/>
      <c r="L112" s="137"/>
      <c r="M112" s="132"/>
      <c r="N112" s="132"/>
      <c r="O112" s="132"/>
      <c r="P112" s="132"/>
      <c r="Q112" s="132"/>
      <c r="R112" s="130"/>
    </row>
    <row r="113" spans="2:21" ht="15.5" x14ac:dyDescent="0.35">
      <c r="B113" s="106" t="s">
        <v>121</v>
      </c>
      <c r="C113" s="106"/>
      <c r="D113" s="108">
        <f>D86*Assumptions!$K$25/24</f>
        <v>0</v>
      </c>
      <c r="E113" s="108">
        <f>E86*Assumptions!$K$25/24</f>
        <v>64.15384615384616</v>
      </c>
      <c r="F113" s="108">
        <f>F86*Assumptions!$K$25/24</f>
        <v>392.69230769230779</v>
      </c>
      <c r="G113" s="108">
        <f>G86*Assumptions!$K$25/24</f>
        <v>281.26923076923077</v>
      </c>
      <c r="H113" s="108">
        <f>H86*Assumptions!$K$25/24</f>
        <v>91</v>
      </c>
      <c r="I113" s="108">
        <f>I86*Assumptions!$K$25/24</f>
        <v>0</v>
      </c>
      <c r="J113" s="108">
        <f>J86*Assumptions!$K$25/24</f>
        <v>0</v>
      </c>
      <c r="K113" s="108">
        <f>K86*Assumptions!$K$25/24</f>
        <v>0</v>
      </c>
      <c r="L113" s="109">
        <f>L86*Assumptions!$K$25/24</f>
        <v>0</v>
      </c>
      <c r="M113" s="108">
        <f>M86*Assumptions!$K$25/24</f>
        <v>0</v>
      </c>
      <c r="N113" s="108">
        <f>N86*Assumptions!$K$25/24</f>
        <v>0</v>
      </c>
      <c r="O113" s="108">
        <f>O86*Assumptions!$K$25/24</f>
        <v>0</v>
      </c>
      <c r="P113" s="108">
        <f>P86*Assumptions!$K$25/24</f>
        <v>0</v>
      </c>
      <c r="Q113" s="108">
        <f>Q86*Assumptions!$K$25/24</f>
        <v>0</v>
      </c>
      <c r="R113" s="113"/>
      <c r="T113" t="s">
        <v>139</v>
      </c>
    </row>
    <row r="114" spans="2:21" ht="15.5" x14ac:dyDescent="0.35">
      <c r="B114" s="106" t="s">
        <v>122</v>
      </c>
      <c r="C114" s="106"/>
      <c r="D114" s="108">
        <f>D87*Assumptions!$K$25/24</f>
        <v>0</v>
      </c>
      <c r="E114" s="108">
        <f>E87*Assumptions!$K$25/24</f>
        <v>0</v>
      </c>
      <c r="F114" s="108">
        <f>F87*Assumptions!$K$25/24</f>
        <v>114.78151260504201</v>
      </c>
      <c r="G114" s="108">
        <f>G87*Assumptions!$K$25/24</f>
        <v>153.50000000000003</v>
      </c>
      <c r="H114" s="108">
        <f>H87*Assumptions!$K$25/24</f>
        <v>274.59999999999997</v>
      </c>
      <c r="I114" s="108">
        <f>I87*Assumptions!$K$25/24</f>
        <v>290.45999999999998</v>
      </c>
      <c r="J114" s="108">
        <f>J87*Assumptions!$K$25/24</f>
        <v>562.59938385582325</v>
      </c>
      <c r="K114" s="108">
        <f>K87*Assumptions!$K$25/24</f>
        <v>229.4</v>
      </c>
      <c r="L114" s="109">
        <f>L87*Assumptions!$K$25/24</f>
        <v>472.89376901754235</v>
      </c>
      <c r="M114" s="108">
        <f>M87*Assumptions!$K$25/24</f>
        <v>0</v>
      </c>
      <c r="N114" s="108">
        <f>N87*Assumptions!$K$25/24</f>
        <v>0</v>
      </c>
      <c r="O114" s="108">
        <f>O87*Assumptions!$K$25/24</f>
        <v>0</v>
      </c>
      <c r="P114" s="108">
        <f>P87*Assumptions!$K$25/24</f>
        <v>0</v>
      </c>
      <c r="Q114" s="108">
        <f>Q87*Assumptions!$K$25/24</f>
        <v>0</v>
      </c>
      <c r="R114" s="113"/>
      <c r="T114" t="s">
        <v>148</v>
      </c>
    </row>
    <row r="115" spans="2:21" ht="15.5" x14ac:dyDescent="0.35">
      <c r="B115" s="106" t="s">
        <v>123</v>
      </c>
      <c r="C115" s="106"/>
      <c r="D115" s="108">
        <f>D88*Assumptions!$K$25/24</f>
        <v>0</v>
      </c>
      <c r="E115" s="108">
        <f>E88*Assumptions!$K$25/24</f>
        <v>0</v>
      </c>
      <c r="F115" s="108">
        <f>F88*Assumptions!$K$25/24</f>
        <v>0</v>
      </c>
      <c r="G115" s="108">
        <f>G88*Assumptions!$K$25/24</f>
        <v>0</v>
      </c>
      <c r="H115" s="108">
        <f>H88*Assumptions!$K$25/24</f>
        <v>0</v>
      </c>
      <c r="I115" s="108">
        <f>I88*Assumptions!$K$25/24</f>
        <v>0</v>
      </c>
      <c r="J115" s="108">
        <f>J88*Assumptions!$K$25/24</f>
        <v>0</v>
      </c>
      <c r="K115" s="108">
        <f>K88*Assumptions!$K$25/24</f>
        <v>0</v>
      </c>
      <c r="L115" s="109">
        <f>L88*Assumptions!$K$25/24</f>
        <v>0</v>
      </c>
      <c r="M115" s="108">
        <f>M88*Assumptions!$K$25/24</f>
        <v>250.17815658015829</v>
      </c>
      <c r="N115" s="108">
        <f>N88*Assumptions!$K$25/24</f>
        <v>450.93898575655891</v>
      </c>
      <c r="O115" s="108">
        <f>O88*Assumptions!$K$25/24</f>
        <v>297.25</v>
      </c>
      <c r="P115" s="108">
        <f>P88*Assumptions!$K$25/24</f>
        <v>203.45763505429784</v>
      </c>
      <c r="Q115" s="108">
        <f>Q88*Assumptions!$K$25/24</f>
        <v>77</v>
      </c>
      <c r="R115" s="113"/>
      <c r="U115" t="s">
        <v>150</v>
      </c>
    </row>
    <row r="116" spans="2:21" ht="15.5" x14ac:dyDescent="0.35">
      <c r="B116" s="106" t="s">
        <v>140</v>
      </c>
      <c r="C116" s="106"/>
      <c r="D116" s="108">
        <f>(D102+D105)*Assumptions!$K$26/24</f>
        <v>0</v>
      </c>
      <c r="E116" s="108">
        <f>(E102+E105)*Assumptions!$K$26/24</f>
        <v>64.15384615384616</v>
      </c>
      <c r="F116" s="108">
        <f>(F102+F105)*Assumptions!$K$26/24</f>
        <v>463.75953458306395</v>
      </c>
      <c r="G116" s="108">
        <f>(G102+G105)*Assumptions!$K$26/24</f>
        <v>383.76923076923077</v>
      </c>
      <c r="H116" s="108">
        <f>(H102+H105)*Assumptions!$K$26/24</f>
        <v>316.09999999999997</v>
      </c>
      <c r="I116" s="108">
        <f>(I102+I105)*Assumptions!$K$26/24</f>
        <v>282.42</v>
      </c>
      <c r="J116" s="108">
        <f>(J102+J105)*Assumptions!$K$26/24</f>
        <v>462.63899924043864</v>
      </c>
      <c r="K116" s="108">
        <f>(K102+K105)*Assumptions!$K$26/24</f>
        <v>240.74</v>
      </c>
      <c r="L116" s="109">
        <f>(L102+L105)*Assumptions!$K$26/24</f>
        <v>426.31376901754237</v>
      </c>
      <c r="M116" s="108">
        <f>(M102+M105)*Assumptions!$K$26/24</f>
        <v>164.57921846691866</v>
      </c>
      <c r="N116" s="108">
        <f>(N102+N105)*Assumptions!$K$26/24</f>
        <v>392.78563789307509</v>
      </c>
      <c r="O116" s="108">
        <f>(O102+O105)*Assumptions!$K$26/24</f>
        <v>252.66249999999994</v>
      </c>
      <c r="P116" s="108">
        <f>(P102+P105)*Assumptions!$K$26/24</f>
        <v>177.94513505429779</v>
      </c>
      <c r="Q116" s="108">
        <f>(Q102+Q105)*Assumptions!$K$26/24</f>
        <v>65.45</v>
      </c>
      <c r="R116" s="113"/>
    </row>
    <row r="117" spans="2:21" ht="15.5" x14ac:dyDescent="0.35">
      <c r="B117" s="106" t="s">
        <v>252</v>
      </c>
      <c r="C117" s="106"/>
      <c r="D117" s="108"/>
      <c r="E117" s="108">
        <f>SUM(E113:E116)</f>
        <v>128.30769230769232</v>
      </c>
      <c r="F117" s="108">
        <f t="shared" ref="F117:Q117" si="30">SUM(F113:F116)</f>
        <v>971.2333548804138</v>
      </c>
      <c r="G117" s="108">
        <f t="shared" si="30"/>
        <v>818.53846153846166</v>
      </c>
      <c r="H117" s="108">
        <f t="shared" si="30"/>
        <v>681.69999999999993</v>
      </c>
      <c r="I117" s="108">
        <f t="shared" si="30"/>
        <v>572.88</v>
      </c>
      <c r="J117" s="108">
        <f t="shared" si="30"/>
        <v>1025.2383830962619</v>
      </c>
      <c r="K117" s="108">
        <f>SUM(K113:K116)</f>
        <v>470.14</v>
      </c>
      <c r="L117" s="108">
        <f t="shared" si="30"/>
        <v>899.20753803508478</v>
      </c>
      <c r="M117" s="108">
        <f t="shared" si="30"/>
        <v>414.75737504707695</v>
      </c>
      <c r="N117" s="108">
        <f t="shared" si="30"/>
        <v>843.72462364963394</v>
      </c>
      <c r="O117" s="108">
        <f t="shared" si="30"/>
        <v>549.91249999999991</v>
      </c>
      <c r="P117" s="108">
        <f t="shared" si="30"/>
        <v>381.40277010859563</v>
      </c>
      <c r="Q117" s="108">
        <f t="shared" si="30"/>
        <v>142.44999999999999</v>
      </c>
      <c r="R117" s="113"/>
    </row>
    <row r="118" spans="2:21" ht="15.5" x14ac:dyDescent="0.35">
      <c r="B118" s="106" t="s">
        <v>138</v>
      </c>
      <c r="C118" s="106"/>
      <c r="D118" s="108">
        <f>D108*Assumptions!$K$27/24</f>
        <v>0</v>
      </c>
      <c r="E118" s="108">
        <f>E108*Assumptions!$K$27/24</f>
        <v>20</v>
      </c>
      <c r="F118" s="108">
        <f>F108*Assumptions!$K$27/24</f>
        <v>100</v>
      </c>
      <c r="G118" s="108">
        <f>G108*Assumptions!$K$27/24</f>
        <v>60</v>
      </c>
      <c r="H118" s="108">
        <f>H108*Assumptions!$K$27/24</f>
        <v>70</v>
      </c>
      <c r="I118" s="108">
        <f>I108*Assumptions!$K$27/24</f>
        <v>50</v>
      </c>
      <c r="J118" s="108">
        <f>J108*Assumptions!$K$27/24</f>
        <v>80</v>
      </c>
      <c r="K118" s="108">
        <f>K108*Assumptions!$K$27/24</f>
        <v>50</v>
      </c>
      <c r="L118" s="109">
        <f>L108*Assumptions!$K$27/24</f>
        <v>80</v>
      </c>
      <c r="M118" s="108">
        <f>M108*Assumptions!$K$27/24</f>
        <v>30</v>
      </c>
      <c r="N118" s="108">
        <f>N108*Assumptions!$K$27/24</f>
        <v>100</v>
      </c>
      <c r="O118" s="108">
        <f>O108*Assumptions!$K$27/24</f>
        <v>60</v>
      </c>
      <c r="P118" s="108">
        <f>P108*Assumptions!$K$27/24</f>
        <v>50</v>
      </c>
      <c r="Q118" s="108">
        <f>Q108*Assumptions!$K$27/24</f>
        <v>20</v>
      </c>
      <c r="R118" s="113"/>
    </row>
    <row r="119" spans="2:21" ht="15.5" x14ac:dyDescent="0.35">
      <c r="B119" s="106" t="s">
        <v>195</v>
      </c>
      <c r="C119" s="106"/>
      <c r="D119" s="108">
        <f>(ROUNDUP(D83/400,1)+D84)*Assumptions!$K$45+SUM(D110:D111)/Assumptions!$K$44</f>
        <v>0</v>
      </c>
      <c r="E119" s="108">
        <f>(ROUNDUP(E83/400,1)+E84)*Assumptions!$K$45+SUM(E110:E111)/Assumptions!$K$44</f>
        <v>161.37560000000002</v>
      </c>
      <c r="F119" s="108">
        <f>(ROUNDUP(F83/400,1)+F84)*Assumptions!$K$45+SUM(F110:F111)/Assumptions!$K$44</f>
        <v>783.16687524240456</v>
      </c>
      <c r="G119" s="108">
        <f>(ROUNDUP(G83/400,1)+G84)*Assumptions!$K$45+SUM(G110:G111)/Assumptions!$K$44</f>
        <v>597.77178589743585</v>
      </c>
      <c r="H119" s="108">
        <f>(ROUNDUP(H83/400,1)+H84)*Assumptions!$K$45+SUM(H110:H111)/Assumptions!$K$44</f>
        <v>548.73801000000003</v>
      </c>
      <c r="I119" s="108">
        <f>(ROUNDUP(I83/400,1)+I84)*Assumptions!$K$45+SUM(I110:I111)/Assumptions!$K$44</f>
        <v>441.91262533333338</v>
      </c>
      <c r="J119" s="108">
        <f>(ROUNDUP(J83/400,1)+J84)*Assumptions!$K$45+SUM(J110:J111)/Assumptions!$K$44</f>
        <v>837.9104928245647</v>
      </c>
      <c r="K119" s="108">
        <f>(ROUNDUP(K83/400,1)+K84)*Assumptions!$K$45+SUM(K110:K111)/Assumptions!$K$44</f>
        <v>432.52547500000003</v>
      </c>
      <c r="L119" s="109">
        <f>(ROUNDUP(L83/400,1)+L84)*Assumptions!$K$45+SUM(L110:L111)/Assumptions!$K$44</f>
        <v>766.53516946042055</v>
      </c>
      <c r="M119" s="108">
        <f>(ROUNDUP(M83/400,1)+M84)*Assumptions!$K$45+SUM(M110:M111)/Assumptions!$K$44</f>
        <v>349.84849395889228</v>
      </c>
      <c r="N119" s="108">
        <f>(ROUNDUP(N83/400,1)+N84)*Assumptions!$K$45+SUM(N110:N111)/Assumptions!$K$44</f>
        <v>899.31391878690056</v>
      </c>
      <c r="O119" s="108">
        <f>(ROUNDUP(O83/400,1)+O84)*Assumptions!$K$45+SUM(O110:O111)/Assumptions!$K$44</f>
        <v>533.79349999999999</v>
      </c>
      <c r="P119" s="108">
        <f>(ROUNDUP(P83/400,1)+P84)*Assumptions!$K$45+SUM(P110:P111)/Assumptions!$K$44</f>
        <v>406.56674442987298</v>
      </c>
      <c r="Q119" s="108">
        <f>(ROUNDUP(Q83/400,1)+Q84)*Assumptions!$K$45+SUM(Q110:Q111)/Assumptions!$K$44</f>
        <v>166.18200000000002</v>
      </c>
      <c r="R119" s="113"/>
    </row>
    <row r="120" spans="2:21" ht="15.5" x14ac:dyDescent="0.35">
      <c r="B120" s="106" t="s">
        <v>297</v>
      </c>
      <c r="C120" s="106"/>
      <c r="D120" s="108">
        <f>D102*Assumptions!$K$28/24</f>
        <v>0</v>
      </c>
      <c r="E120" s="108">
        <f>E102*Assumptions!$K$28/24</f>
        <v>49.15384615384616</v>
      </c>
      <c r="F120" s="108">
        <f>F102*Assumptions!$K$28/24</f>
        <v>344.24030381383324</v>
      </c>
      <c r="G120" s="108">
        <f>G102*Assumptions!$K$28/24</f>
        <v>269.25961538461536</v>
      </c>
      <c r="H120" s="108">
        <f>H102*Assumptions!$K$28/24</f>
        <v>241.1</v>
      </c>
      <c r="I120" s="108">
        <f>I102*Assumptions!$K$28/24</f>
        <v>145.82000000000002</v>
      </c>
      <c r="J120" s="108">
        <f>J102*Assumptions!$K$28/24</f>
        <v>340.16399924043861</v>
      </c>
      <c r="K120" s="108">
        <f>K102*Assumptions!$K$28/24</f>
        <v>225.38</v>
      </c>
      <c r="L120" s="108">
        <f>L102*Assumptions!$K$28/24</f>
        <v>393.05876901754232</v>
      </c>
      <c r="M120" s="108">
        <f>M102*Assumptions!$K$28/24</f>
        <v>145.82921846691866</v>
      </c>
      <c r="N120" s="108">
        <f>N102*Assumptions!$K$28/24</f>
        <v>290.35729002959124</v>
      </c>
      <c r="O120" s="108">
        <f>O102*Assumptions!$K$28/24</f>
        <v>208.07499999999996</v>
      </c>
      <c r="P120" s="108">
        <f>P102*Assumptions!$K$28/24</f>
        <v>152.43263505429783</v>
      </c>
      <c r="Q120" s="108">
        <f>Q102*Assumptions!$K$28/24</f>
        <v>53.9</v>
      </c>
      <c r="R120" s="113"/>
    </row>
    <row r="121" spans="2:21" ht="15.5" x14ac:dyDescent="0.35">
      <c r="B121" s="135" t="s">
        <v>243</v>
      </c>
      <c r="C121" s="129"/>
      <c r="D121" s="132"/>
      <c r="E121" s="132"/>
      <c r="F121" s="132"/>
      <c r="G121" s="132"/>
      <c r="H121" s="132"/>
      <c r="I121" s="132"/>
      <c r="J121" s="132"/>
      <c r="K121" s="132"/>
      <c r="L121" s="137"/>
      <c r="M121" s="132"/>
      <c r="N121" s="132"/>
      <c r="O121" s="132"/>
      <c r="P121" s="132"/>
      <c r="Q121" s="132"/>
      <c r="R121" s="130"/>
    </row>
    <row r="122" spans="2:21" ht="15.5" x14ac:dyDescent="0.35">
      <c r="B122" s="106" t="s">
        <v>121</v>
      </c>
      <c r="C122" s="106"/>
      <c r="D122" s="108">
        <f>ROUNDUP(D113/(Assumptions!$C$36*365),0)</f>
        <v>0</v>
      </c>
      <c r="E122" s="108">
        <f>ROUNDUP(E113/(Assumptions!$C$36*365),0)</f>
        <v>1</v>
      </c>
      <c r="F122" s="108">
        <f>ROUNDUP(F113/(Assumptions!$C$36*365),0)</f>
        <v>2</v>
      </c>
      <c r="G122" s="108">
        <f>ROUNDUP(G113/(Assumptions!$C$36*365),0)</f>
        <v>2</v>
      </c>
      <c r="H122" s="108">
        <f>ROUNDUP(H113/(Assumptions!$C$36*365),0)</f>
        <v>1</v>
      </c>
      <c r="I122" s="108">
        <f>ROUNDUP(I113/(Assumptions!$C$36*365),0)</f>
        <v>0</v>
      </c>
      <c r="J122" s="108">
        <f>ROUNDUP(J113/(Assumptions!$C$36*365),0)</f>
        <v>0</v>
      </c>
      <c r="K122" s="108">
        <f>ROUNDUP(K113/(Assumptions!$C$36*365),0)</f>
        <v>0</v>
      </c>
      <c r="L122" s="109">
        <f>ROUNDUP(L113/(Assumptions!$C$36*365),0)</f>
        <v>0</v>
      </c>
      <c r="M122" s="108">
        <f>ROUNDUP(M113/(Assumptions!$C$36*365),0)</f>
        <v>0</v>
      </c>
      <c r="N122" s="108">
        <f>ROUNDUP(N113/(Assumptions!$C$36*365),0)</f>
        <v>0</v>
      </c>
      <c r="O122" s="108">
        <f>ROUNDUP(O113/(Assumptions!$C$36*365),0)</f>
        <v>0</v>
      </c>
      <c r="P122" s="108">
        <f>ROUNDUP(P113/(Assumptions!$C$36*365),0)</f>
        <v>0</v>
      </c>
      <c r="Q122" s="108">
        <f>ROUNDUP(Q113/(Assumptions!$C$36*365),0)</f>
        <v>0</v>
      </c>
      <c r="R122" s="113"/>
    </row>
    <row r="123" spans="2:21" ht="15.5" x14ac:dyDescent="0.35">
      <c r="B123" s="106" t="s">
        <v>122</v>
      </c>
      <c r="C123" s="106"/>
      <c r="D123" s="108">
        <f>ROUNDUP(D114/(Assumptions!$C$36*365),0)</f>
        <v>0</v>
      </c>
      <c r="E123" s="108">
        <f>ROUNDUP(E114/(Assumptions!$C$36*365),0)</f>
        <v>0</v>
      </c>
      <c r="F123" s="108">
        <f>ROUNDUP(F114/(Assumptions!$C$36*365),0)</f>
        <v>1</v>
      </c>
      <c r="G123" s="108">
        <f>ROUNDUP(G114/(Assumptions!$C$36*365),0)</f>
        <v>1</v>
      </c>
      <c r="H123" s="108">
        <f>ROUNDUP(H114/(Assumptions!$C$36*365),0)</f>
        <v>2</v>
      </c>
      <c r="I123" s="108">
        <f>ROUNDUP(I114/(Assumptions!$C$36*365),0)</f>
        <v>2</v>
      </c>
      <c r="J123" s="108">
        <f>ROUNDUP(J114/(Assumptions!$C$36*365),0)</f>
        <v>3</v>
      </c>
      <c r="K123" s="108">
        <f>ROUNDUP(K114/(Assumptions!$C$36*365),0)</f>
        <v>1</v>
      </c>
      <c r="L123" s="109">
        <f>ROUNDUP(L114/(Assumptions!$C$36*365),0)</f>
        <v>2</v>
      </c>
      <c r="M123" s="108">
        <f>ROUNDUP(M114/(Assumptions!$C$36*365),0)</f>
        <v>0</v>
      </c>
      <c r="N123" s="108">
        <f>ROUNDUP(N114/(Assumptions!$C$36*365),0)</f>
        <v>0</v>
      </c>
      <c r="O123" s="108">
        <f>ROUNDUP(O114/(Assumptions!$C$36*365),0)</f>
        <v>0</v>
      </c>
      <c r="P123" s="108">
        <f>ROUNDUP(P114/(Assumptions!$C$36*365),0)</f>
        <v>0</v>
      </c>
      <c r="Q123" s="108">
        <f>ROUNDUP(Q114/(Assumptions!$C$36*365),0)</f>
        <v>0</v>
      </c>
      <c r="R123" s="113"/>
    </row>
    <row r="124" spans="2:21" ht="15.5" x14ac:dyDescent="0.35">
      <c r="B124" s="106" t="s">
        <v>123</v>
      </c>
      <c r="C124" s="106"/>
      <c r="D124" s="108">
        <f>ROUNDUP(D115/(Assumptions!$C$36*365),0)</f>
        <v>0</v>
      </c>
      <c r="E124" s="108">
        <f>ROUNDUP(E115/(Assumptions!$C$36*365),0)</f>
        <v>0</v>
      </c>
      <c r="F124" s="108">
        <f>ROUNDUP(F115/(Assumptions!$C$36*365),0)</f>
        <v>0</v>
      </c>
      <c r="G124" s="108">
        <f>ROUNDUP(G115/(Assumptions!$C$36*365),0)</f>
        <v>0</v>
      </c>
      <c r="H124" s="108">
        <f>ROUNDUP(H115/(Assumptions!$C$36*365),0)</f>
        <v>0</v>
      </c>
      <c r="I124" s="108">
        <f>ROUNDUP(I115/(Assumptions!$C$36*365),0)</f>
        <v>0</v>
      </c>
      <c r="J124" s="108">
        <f>ROUNDUP(J115/(Assumptions!$C$36*365),0)</f>
        <v>0</v>
      </c>
      <c r="K124" s="108">
        <f>ROUNDUP(K115/(Assumptions!$C$36*365),0)</f>
        <v>0</v>
      </c>
      <c r="L124" s="109">
        <f>ROUNDUP(L115/(Assumptions!$C$36*365),0)</f>
        <v>0</v>
      </c>
      <c r="M124" s="108">
        <f>ROUNDUP(M115/(Assumptions!$C$36*365),0)</f>
        <v>2</v>
      </c>
      <c r="N124" s="108">
        <f>ROUNDUP(N115/(Assumptions!$C$36*365),0)</f>
        <v>2</v>
      </c>
      <c r="O124" s="108">
        <f>ROUNDUP(O115/(Assumptions!$C$36*365),0)</f>
        <v>2</v>
      </c>
      <c r="P124" s="108">
        <f>ROUNDUP(P115/(Assumptions!$C$36*365),0)</f>
        <v>1</v>
      </c>
      <c r="Q124" s="108">
        <f>ROUNDUP(Q115/(Assumptions!$C$36*365),0)</f>
        <v>1</v>
      </c>
      <c r="R124" s="113"/>
    </row>
    <row r="125" spans="2:21" ht="15.5" x14ac:dyDescent="0.35">
      <c r="B125" s="106" t="s">
        <v>140</v>
      </c>
      <c r="C125" s="106"/>
      <c r="D125" s="108">
        <f>ROUNDUP(D116/(Assumptions!$C$36*365),0)</f>
        <v>0</v>
      </c>
      <c r="E125" s="108">
        <f>ROUNDUP(E116/(Assumptions!$C$36*365),0)</f>
        <v>1</v>
      </c>
      <c r="F125" s="108">
        <f>ROUNDUP(F116/(Assumptions!$C$36*365),0)</f>
        <v>2</v>
      </c>
      <c r="G125" s="108">
        <f>ROUNDUP(G116/(Assumptions!$C$36*365),0)</f>
        <v>2</v>
      </c>
      <c r="H125" s="108">
        <f>ROUNDUP(H116/(Assumptions!$C$36*365),0)</f>
        <v>2</v>
      </c>
      <c r="I125" s="108">
        <f>ROUNDUP(I116/(Assumptions!$C$36*365),0)</f>
        <v>2</v>
      </c>
      <c r="J125" s="108">
        <f>ROUNDUP(J116/(Assumptions!$C$36*365),0)</f>
        <v>2</v>
      </c>
      <c r="K125" s="108">
        <f>ROUNDUP(K116/(Assumptions!$C$36*365),0)</f>
        <v>1</v>
      </c>
      <c r="L125" s="109">
        <f>ROUNDUP(L116/(Assumptions!$C$36*365),0)</f>
        <v>2</v>
      </c>
      <c r="M125" s="108">
        <f>ROUNDUP(M116/(Assumptions!$C$36*365),0)</f>
        <v>1</v>
      </c>
      <c r="N125" s="108">
        <f>ROUNDUP(N116/(Assumptions!$C$36*365),0)</f>
        <v>2</v>
      </c>
      <c r="O125" s="108">
        <f>ROUNDUP(O116/(Assumptions!$C$36*365),0)</f>
        <v>2</v>
      </c>
      <c r="P125" s="108">
        <f>ROUNDUP(P116/(Assumptions!$C$36*365),0)</f>
        <v>1</v>
      </c>
      <c r="Q125" s="108">
        <f>ROUNDUP(Q116/(Assumptions!$C$36*365),0)</f>
        <v>1</v>
      </c>
      <c r="R125" s="113"/>
    </row>
    <row r="126" spans="2:21" ht="15.5" x14ac:dyDescent="0.35">
      <c r="B126" s="105" t="s">
        <v>149</v>
      </c>
      <c r="C126" s="106"/>
      <c r="D126" s="108">
        <f>SUM(D122:D125)</f>
        <v>0</v>
      </c>
      <c r="E126" s="108">
        <f t="shared" ref="E126:Q126" si="31">SUM(E122:E125)</f>
        <v>2</v>
      </c>
      <c r="F126" s="108">
        <f t="shared" si="31"/>
        <v>5</v>
      </c>
      <c r="G126" s="108">
        <f t="shared" si="31"/>
        <v>5</v>
      </c>
      <c r="H126" s="108">
        <f t="shared" si="31"/>
        <v>5</v>
      </c>
      <c r="I126" s="108">
        <f>SUM(I122:I125)</f>
        <v>4</v>
      </c>
      <c r="J126" s="108">
        <f t="shared" si="31"/>
        <v>5</v>
      </c>
      <c r="K126" s="108">
        <f t="shared" si="31"/>
        <v>2</v>
      </c>
      <c r="L126" s="109">
        <f t="shared" si="31"/>
        <v>4</v>
      </c>
      <c r="M126" s="108">
        <f t="shared" si="31"/>
        <v>3</v>
      </c>
      <c r="N126" s="108">
        <f t="shared" si="31"/>
        <v>4</v>
      </c>
      <c r="O126" s="108">
        <f t="shared" si="31"/>
        <v>4</v>
      </c>
      <c r="P126" s="108">
        <f t="shared" si="31"/>
        <v>2</v>
      </c>
      <c r="Q126" s="108">
        <f t="shared" si="31"/>
        <v>2</v>
      </c>
      <c r="R126" s="113"/>
    </row>
    <row r="127" spans="2:21" ht="15.5" x14ac:dyDescent="0.35">
      <c r="B127" s="105"/>
      <c r="C127" s="106"/>
      <c r="D127" s="108"/>
      <c r="E127" s="108">
        <f>ROUNDUP(E117/(Assumptions!$C$36*365),0)</f>
        <v>1</v>
      </c>
      <c r="F127" s="108">
        <f>ROUNDUP(F117/(Assumptions!$C$36*365),0)</f>
        <v>4</v>
      </c>
      <c r="G127" s="108">
        <f>ROUNDUP(G117/(Assumptions!$C$36*365),0)</f>
        <v>4</v>
      </c>
      <c r="H127" s="108">
        <f>ROUNDUP(H117/(Assumptions!$C$36*365),0)</f>
        <v>3</v>
      </c>
      <c r="I127" s="108">
        <f>ROUNDUP(I117/(Assumptions!$C$36*365),0)</f>
        <v>3</v>
      </c>
      <c r="J127" s="108">
        <f>ROUNDUP(J117/(Assumptions!$C$36*365),0)</f>
        <v>5</v>
      </c>
      <c r="K127" s="108">
        <f>ROUNDUP(K117/(Assumptions!$C$36*365),0)</f>
        <v>2</v>
      </c>
      <c r="L127" s="108">
        <f>ROUNDUP(L117/(Assumptions!$C$36*365),0)</f>
        <v>4</v>
      </c>
      <c r="M127" s="108">
        <f>ROUNDUP(M117/(Assumptions!$C$36*365),0)</f>
        <v>2</v>
      </c>
      <c r="N127" s="108">
        <f>ROUNDUP(N117/(Assumptions!$C$36*365),0)</f>
        <v>4</v>
      </c>
      <c r="O127" s="108">
        <f>ROUNDUP(O117/(Assumptions!$C$36*365),0)</f>
        <v>3</v>
      </c>
      <c r="P127" s="108">
        <f>ROUNDUP(P117/(Assumptions!$C$36*365),0)</f>
        <v>2</v>
      </c>
      <c r="Q127" s="108">
        <f>ROUNDUP(Q117/(Assumptions!$C$36*365),0)</f>
        <v>1</v>
      </c>
      <c r="R127" s="113"/>
    </row>
    <row r="128" spans="2:21" ht="15.5" x14ac:dyDescent="0.35">
      <c r="B128" s="106" t="s">
        <v>138</v>
      </c>
      <c r="C128" s="106"/>
      <c r="D128" s="108">
        <f>ROUNDUP(D118/(Assumptions!$C$36*365),0)</f>
        <v>0</v>
      </c>
      <c r="E128" s="108">
        <f>ROUNDUP(E118/(Assumptions!$C$36*365),0)</f>
        <v>1</v>
      </c>
      <c r="F128" s="108">
        <f>ROUNDUP(F118/(Assumptions!$C$36*365),0)</f>
        <v>1</v>
      </c>
      <c r="G128" s="108">
        <f>ROUNDUP(G118/(Assumptions!$C$36*365),0)</f>
        <v>1</v>
      </c>
      <c r="H128" s="108">
        <f>ROUNDUP(H118/(Assumptions!$C$36*365),0)</f>
        <v>1</v>
      </c>
      <c r="I128" s="108">
        <f>ROUNDUP(I118/(Assumptions!$C$36*365),0)</f>
        <v>1</v>
      </c>
      <c r="J128" s="108">
        <f>ROUNDUP(J118/(Assumptions!$C$36*365),0)</f>
        <v>1</v>
      </c>
      <c r="K128" s="108">
        <f>ROUNDUP(K118/(Assumptions!$C$36*365),0)</f>
        <v>1</v>
      </c>
      <c r="L128" s="109">
        <f>ROUNDUP(L118/(Assumptions!$C$36*365),0)</f>
        <v>1</v>
      </c>
      <c r="M128" s="108">
        <f>ROUNDUP(M118/(Assumptions!$C$36*365),0)</f>
        <v>1</v>
      </c>
      <c r="N128" s="108">
        <f>ROUNDUP(N118/(Assumptions!$C$36*365),0)</f>
        <v>1</v>
      </c>
      <c r="O128" s="108">
        <f>ROUNDUP(O118/(Assumptions!$C$36*365),0)</f>
        <v>1</v>
      </c>
      <c r="P128" s="108">
        <f>ROUNDUP(P118/(Assumptions!$C$36*365),0)</f>
        <v>1</v>
      </c>
      <c r="Q128" s="108">
        <f>ROUNDUP(Q118/(Assumptions!$C$36*365),0)</f>
        <v>1</v>
      </c>
      <c r="R128" s="113"/>
    </row>
    <row r="129" spans="2:18" ht="15.5" x14ac:dyDescent="0.35">
      <c r="B129" s="106" t="s">
        <v>242</v>
      </c>
      <c r="C129" s="106"/>
      <c r="D129" s="108">
        <f>D126*2</f>
        <v>0</v>
      </c>
      <c r="E129" s="108">
        <f t="shared" ref="E129:Q129" si="32">E126*2</f>
        <v>4</v>
      </c>
      <c r="F129" s="108">
        <f t="shared" si="32"/>
        <v>10</v>
      </c>
      <c r="G129" s="108">
        <f t="shared" si="32"/>
        <v>10</v>
      </c>
      <c r="H129" s="108">
        <f t="shared" si="32"/>
        <v>10</v>
      </c>
      <c r="I129" s="108">
        <f t="shared" si="32"/>
        <v>8</v>
      </c>
      <c r="J129" s="108">
        <f t="shared" si="32"/>
        <v>10</v>
      </c>
      <c r="K129" s="108">
        <f t="shared" si="32"/>
        <v>4</v>
      </c>
      <c r="L129" s="109">
        <f t="shared" si="32"/>
        <v>8</v>
      </c>
      <c r="M129" s="108">
        <f t="shared" si="32"/>
        <v>6</v>
      </c>
      <c r="N129" s="108">
        <f t="shared" si="32"/>
        <v>8</v>
      </c>
      <c r="O129" s="108">
        <f t="shared" si="32"/>
        <v>8</v>
      </c>
      <c r="P129" s="108">
        <f t="shared" si="32"/>
        <v>4</v>
      </c>
      <c r="Q129" s="108">
        <f t="shared" si="32"/>
        <v>4</v>
      </c>
      <c r="R129" s="113"/>
    </row>
    <row r="130" spans="2:18" ht="15.5" x14ac:dyDescent="0.35">
      <c r="B130" s="106" t="s">
        <v>179</v>
      </c>
      <c r="C130" s="106"/>
      <c r="D130" s="108">
        <v>0</v>
      </c>
      <c r="E130" s="108">
        <f>IF(E82=0,0,E84*Assumptions!$K$35+D84*Assumptions!$K$36+SUM($C84:C84)*Assumptions!$K$37+Assumptions!$K$38)</f>
        <v>6</v>
      </c>
      <c r="F130" s="108">
        <f>IF(F82=0,0,F84*Assumptions!$K$35+E84*Assumptions!$K$36+SUM($C84:D84)*Assumptions!$K$37+Assumptions!$K$38)</f>
        <v>18</v>
      </c>
      <c r="G130" s="108">
        <f>IF(G82=0,0,G84*Assumptions!$K$35+F84*Assumptions!$K$36+SUM($C84:E84)*Assumptions!$K$37+Assumptions!$K$38)</f>
        <v>26</v>
      </c>
      <c r="H130" s="108">
        <f>IF(H82=0,0,H84*Assumptions!$K$35+G84*Assumptions!$K$36+SUM($C84:F84)*Assumptions!$K$37+Assumptions!$K$38)</f>
        <v>32</v>
      </c>
      <c r="I130" s="108">
        <f>IF(I82=0,0,I84*Assumptions!$K$35+H84*Assumptions!$K$36+SUM($C84:G84)*Assumptions!$K$37+Assumptions!$K$38)</f>
        <v>33</v>
      </c>
      <c r="J130" s="108">
        <f>IF(J82=0,0,J84*Assumptions!$K$35+I84*Assumptions!$K$36+SUM($C84:H84)*Assumptions!$K$37+Assumptions!$K$38)</f>
        <v>41</v>
      </c>
      <c r="K130" s="108">
        <f>IF(K82=0,0,K84*Assumptions!$K$35+J84*Assumptions!$K$36+SUM($C84:I84)*Assumptions!$K$37+Assumptions!$K$38)</f>
        <v>44</v>
      </c>
      <c r="L130" s="108">
        <f>IF(L82=0,0,L84*Assumptions!$K$35+K84*Assumptions!$K$36+SUM($C84:J84)*Assumptions!$K$37+Assumptions!$K$38)</f>
        <v>49</v>
      </c>
      <c r="M130" s="108">
        <f>IF(M82=0,0,M84*Assumptions!$K$35+L84*Assumptions!$K$36+SUM($C84:K84)*Assumptions!$K$37+Assumptions!$K$38)</f>
        <v>50</v>
      </c>
      <c r="N130" s="108">
        <f>IF(N82=0,0,N84*Assumptions!$K$35+M84*Assumptions!$K$36+SUM($C84:L84)*Assumptions!$K$37+Assumptions!$K$38)</f>
        <v>50</v>
      </c>
      <c r="O130" s="108">
        <f>IF(O82=0,0,O84*Assumptions!$K$35+N84*Assumptions!$K$36+SUM($C84:M84)*Assumptions!$K$37+Assumptions!$K$38)</f>
        <v>50</v>
      </c>
      <c r="P130" s="108">
        <f>IF(P82=0,0,P84*Assumptions!$K$35+O84*Assumptions!$K$36+SUM($C84:N84)*Assumptions!$K$37+Assumptions!$K$38)</f>
        <v>51</v>
      </c>
      <c r="Q130" s="108">
        <f>IF(Q82=0,0,Q84*Assumptions!$K$35+P84*Assumptions!$K$36+SUM($C84:O84)*Assumptions!$K$37+Assumptions!$K$38)</f>
        <v>52</v>
      </c>
      <c r="R130" s="113">
        <f>Q130</f>
        <v>52</v>
      </c>
    </row>
    <row r="131" spans="2:18" ht="15.5" x14ac:dyDescent="0.35">
      <c r="B131" s="106" t="s">
        <v>343</v>
      </c>
      <c r="C131" s="106"/>
      <c r="D131" s="108">
        <v>0</v>
      </c>
      <c r="E131" s="108">
        <f>ROUNDUP((SUM($E86:E88)+D131)/Assumptions!$K$41,0)</f>
        <v>1</v>
      </c>
      <c r="F131" s="108">
        <f>ROUNDUP((SUM($E86:F88)+E131)/Assumptions!$K$41,0)</f>
        <v>2</v>
      </c>
      <c r="G131" s="108">
        <f>ROUNDUP((SUM($E86:G88)+F131)/Assumptions!$K$41,0)</f>
        <v>4</v>
      </c>
      <c r="H131" s="108">
        <f>ROUNDUP((SUM($E86:H88)+G131)/Assumptions!$K$41,0)</f>
        <v>5</v>
      </c>
      <c r="I131" s="108">
        <f>ROUNDUP((SUM($E86:I88)+H131)/Assumptions!$K$41,0)</f>
        <v>6</v>
      </c>
      <c r="J131" s="108">
        <f>ROUNDUP((SUM($E86:J88)+I131)/Assumptions!$K$41,0)</f>
        <v>8</v>
      </c>
      <c r="K131" s="108">
        <f>ROUNDUP((SUM($E86:K88)+J131)/Assumptions!$K$41,0)</f>
        <v>9</v>
      </c>
      <c r="L131" s="108">
        <f>ROUNDUP((SUM($E86:L88)+K131)/Assumptions!$K$41,0)</f>
        <v>10</v>
      </c>
      <c r="M131" s="108">
        <f>ROUNDUP((SUM($E86:M88)+L131)/Assumptions!$K$41,0)</f>
        <v>11</v>
      </c>
      <c r="N131" s="108">
        <f>ROUNDUP((SUM($E86:N88)+M131)/Assumptions!$K$41,0)</f>
        <v>13</v>
      </c>
      <c r="O131" s="108">
        <f>ROUNDUP((SUM($E86:O88)+N131)/Assumptions!$K$41,0)</f>
        <v>14</v>
      </c>
      <c r="P131" s="108">
        <f>ROUNDUP((SUM($E86:P88)+O131)/Assumptions!$K$41,0)</f>
        <v>14</v>
      </c>
      <c r="Q131" s="108">
        <f>ROUNDUP((SUM($E86:Q88)+P131)/Assumptions!$K$41,0)</f>
        <v>15</v>
      </c>
      <c r="R131" s="113">
        <f>Q131</f>
        <v>15</v>
      </c>
    </row>
    <row r="132" spans="2:18" ht="15.5" x14ac:dyDescent="0.35">
      <c r="B132" s="106" t="s">
        <v>195</v>
      </c>
      <c r="C132" s="106"/>
      <c r="D132" s="108">
        <f>ROUNDUP(D119/(Assumptions!$C$36*365),0)</f>
        <v>0</v>
      </c>
      <c r="E132" s="108">
        <f>ROUNDUP(E119/(Assumptions!$C$36*365),0)</f>
        <v>1</v>
      </c>
      <c r="F132" s="108">
        <f>ROUNDUP(F119/(Assumptions!$C$36*365),0)</f>
        <v>4</v>
      </c>
      <c r="G132" s="108">
        <f>ROUNDUP(G119/(Assumptions!$C$36*365),0)</f>
        <v>3</v>
      </c>
      <c r="H132" s="108">
        <f>ROUNDUP(H119/(Assumptions!$C$36*365),0)</f>
        <v>3</v>
      </c>
      <c r="I132" s="108">
        <f>ROUNDUP(I119/(Assumptions!$C$36*365),0)</f>
        <v>2</v>
      </c>
      <c r="J132" s="108">
        <f>ROUNDUP(J119/(Assumptions!$C$36*365),0)</f>
        <v>4</v>
      </c>
      <c r="K132" s="108">
        <f>ROUNDUP(K119/(Assumptions!$C$36*365),0)</f>
        <v>2</v>
      </c>
      <c r="L132" s="109">
        <f>ROUNDUP(L119/(Assumptions!$C$36*365),0)</f>
        <v>4</v>
      </c>
      <c r="M132" s="108">
        <f>ROUNDUP(M119/(Assumptions!$C$36*365),0)</f>
        <v>2</v>
      </c>
      <c r="N132" s="108">
        <f>ROUNDUP(N119/(Assumptions!$C$36*365),0)</f>
        <v>4</v>
      </c>
      <c r="O132" s="108">
        <f>ROUNDUP(O119/(Assumptions!$C$36*365),0)</f>
        <v>3</v>
      </c>
      <c r="P132" s="108">
        <f>ROUNDUP(P119/(Assumptions!$C$36*365),0)</f>
        <v>2</v>
      </c>
      <c r="Q132" s="108">
        <f>ROUNDUP(Q119/(Assumptions!$C$36*365),0)</f>
        <v>1</v>
      </c>
      <c r="R132" s="114"/>
    </row>
    <row r="133" spans="2:18" ht="15.5" x14ac:dyDescent="0.35">
      <c r="B133" s="106" t="s">
        <v>305</v>
      </c>
      <c r="C133" s="106"/>
      <c r="D133" s="108">
        <f>ROUNDUP(D120/(Assumptions!$C$36*365),0)</f>
        <v>0</v>
      </c>
      <c r="E133" s="108">
        <f>ROUNDUP(E120/(Assumptions!$C$36*365),0)</f>
        <v>1</v>
      </c>
      <c r="F133" s="108">
        <f>ROUNDUP(F120/(Assumptions!$C$36*365),0)</f>
        <v>2</v>
      </c>
      <c r="G133" s="108">
        <f>ROUNDUP(G120/(Assumptions!$C$36*365),0)</f>
        <v>2</v>
      </c>
      <c r="H133" s="108">
        <f>ROUNDUP(H120/(Assumptions!$C$36*365),0)</f>
        <v>1</v>
      </c>
      <c r="I133" s="108">
        <f>ROUNDUP(I120/(Assumptions!$C$36*365),0)</f>
        <v>1</v>
      </c>
      <c r="J133" s="108">
        <f>ROUNDUP(J120/(Assumptions!$C$36*365),0)</f>
        <v>2</v>
      </c>
      <c r="K133" s="108">
        <f>ROUNDUP(K120/(Assumptions!$C$36*365),0)</f>
        <v>1</v>
      </c>
      <c r="L133" s="108">
        <f>ROUNDUP(L120/(Assumptions!$C$36*365),0)</f>
        <v>2</v>
      </c>
      <c r="M133" s="108">
        <f>ROUNDUP(M120/(Assumptions!$C$36*365),0)</f>
        <v>1</v>
      </c>
      <c r="N133" s="108">
        <f>ROUNDUP(N120/(Assumptions!$C$36*365),0)</f>
        <v>2</v>
      </c>
      <c r="O133" s="108">
        <f>ROUNDUP(O120/(Assumptions!$C$36*365),0)</f>
        <v>1</v>
      </c>
      <c r="P133" s="108">
        <f>ROUNDUP(P120/(Assumptions!$C$36*365),0)</f>
        <v>1</v>
      </c>
      <c r="Q133" s="108">
        <f>ROUNDUP(Q120/(Assumptions!$C$36*365),0)</f>
        <v>1</v>
      </c>
      <c r="R133" s="114"/>
    </row>
    <row r="134" spans="2:18" ht="15.5" x14ac:dyDescent="0.35">
      <c r="B134" s="106"/>
      <c r="C134" s="106"/>
      <c r="D134" s="108"/>
      <c r="E134" s="108"/>
      <c r="F134" s="108"/>
      <c r="G134" s="108"/>
      <c r="H134" s="108"/>
      <c r="I134" s="108"/>
      <c r="J134" s="108"/>
      <c r="K134" s="108"/>
      <c r="L134" s="109"/>
      <c r="M134" s="108"/>
      <c r="N134" s="108"/>
      <c r="O134" s="108"/>
      <c r="P134" s="108"/>
      <c r="Q134" s="108"/>
      <c r="R134" s="114"/>
    </row>
    <row r="135" spans="2:18" ht="15.5" x14ac:dyDescent="0.35">
      <c r="B135" s="135" t="s">
        <v>253</v>
      </c>
      <c r="C135" s="143"/>
      <c r="D135" s="143"/>
      <c r="E135" s="143"/>
      <c r="F135" s="143"/>
      <c r="G135" s="143"/>
      <c r="H135" s="143"/>
      <c r="I135" s="143"/>
      <c r="J135" s="143"/>
      <c r="K135" s="143"/>
      <c r="L135" s="143"/>
      <c r="M135" s="143"/>
      <c r="N135" s="143"/>
      <c r="O135" s="143"/>
      <c r="P135" s="143"/>
      <c r="Q135" s="143"/>
      <c r="R135" s="143"/>
    </row>
    <row r="136" spans="2:18" ht="15.5" x14ac:dyDescent="0.35">
      <c r="B136" s="135"/>
      <c r="C136" s="143">
        <f t="shared" ref="C136:Q136" si="33">C6</f>
        <v>2021</v>
      </c>
      <c r="D136" s="143">
        <f t="shared" si="33"/>
        <v>2022</v>
      </c>
      <c r="E136" s="143">
        <f t="shared" si="33"/>
        <v>2023</v>
      </c>
      <c r="F136" s="143">
        <f t="shared" si="33"/>
        <v>2024</v>
      </c>
      <c r="G136" s="143">
        <f t="shared" si="33"/>
        <v>2025</v>
      </c>
      <c r="H136" s="143">
        <f t="shared" si="33"/>
        <v>2026</v>
      </c>
      <c r="I136" s="143">
        <f t="shared" si="33"/>
        <v>2027</v>
      </c>
      <c r="J136" s="143">
        <f t="shared" si="33"/>
        <v>2028</v>
      </c>
      <c r="K136" s="143">
        <f t="shared" si="33"/>
        <v>2029</v>
      </c>
      <c r="L136" s="143">
        <f t="shared" si="33"/>
        <v>2030</v>
      </c>
      <c r="M136" s="143">
        <f t="shared" si="33"/>
        <v>2031</v>
      </c>
      <c r="N136" s="143">
        <f t="shared" si="33"/>
        <v>2032</v>
      </c>
      <c r="O136" s="143">
        <f t="shared" si="33"/>
        <v>2033</v>
      </c>
      <c r="P136" s="143">
        <f t="shared" si="33"/>
        <v>2034</v>
      </c>
      <c r="Q136" s="143">
        <f t="shared" si="33"/>
        <v>2035</v>
      </c>
      <c r="R136" s="143"/>
    </row>
    <row r="137" spans="2:18" x14ac:dyDescent="0.35">
      <c r="B137" s="144" t="s">
        <v>254</v>
      </c>
      <c r="C137" s="144"/>
      <c r="D137" s="144">
        <f>ROUNDUP(D126*1.5,0)</f>
        <v>0</v>
      </c>
      <c r="E137" s="144">
        <f>ROUNDUP(E126*1.5,0)</f>
        <v>3</v>
      </c>
      <c r="F137" s="144">
        <f t="shared" ref="F137:Q137" si="34">ROUNDUP(F126*1.5,0)</f>
        <v>8</v>
      </c>
      <c r="G137" s="144">
        <f t="shared" si="34"/>
        <v>8</v>
      </c>
      <c r="H137" s="144">
        <f t="shared" si="34"/>
        <v>8</v>
      </c>
      <c r="I137" s="144">
        <f>ROUNDUP(I126*1.5,0)</f>
        <v>6</v>
      </c>
      <c r="J137" s="144">
        <f t="shared" si="34"/>
        <v>8</v>
      </c>
      <c r="K137" s="144">
        <f t="shared" si="34"/>
        <v>3</v>
      </c>
      <c r="L137" s="144">
        <f t="shared" si="34"/>
        <v>6</v>
      </c>
      <c r="M137" s="144">
        <f t="shared" si="34"/>
        <v>5</v>
      </c>
      <c r="N137" s="144">
        <f t="shared" si="34"/>
        <v>6</v>
      </c>
      <c r="O137" s="144">
        <f t="shared" si="34"/>
        <v>6</v>
      </c>
      <c r="P137" s="144">
        <f t="shared" si="34"/>
        <v>3</v>
      </c>
      <c r="Q137" s="144">
        <f t="shared" si="34"/>
        <v>3</v>
      </c>
      <c r="R137" s="144"/>
    </row>
    <row r="138" spans="2:18" x14ac:dyDescent="0.35">
      <c r="B138" s="144" t="s">
        <v>269</v>
      </c>
      <c r="C138" s="145"/>
      <c r="D138" s="145">
        <f t="shared" ref="D138" si="35">D127*29*$R$2*$R$3</f>
        <v>0</v>
      </c>
      <c r="E138" s="145">
        <f t="shared" ref="E138:Q138" si="36">E127*40*$R$2*$R$3</f>
        <v>40</v>
      </c>
      <c r="F138" s="145">
        <f t="shared" si="36"/>
        <v>160</v>
      </c>
      <c r="G138" s="145">
        <f t="shared" si="36"/>
        <v>160</v>
      </c>
      <c r="H138" s="145">
        <f t="shared" si="36"/>
        <v>120</v>
      </c>
      <c r="I138" s="145">
        <f t="shared" si="36"/>
        <v>120</v>
      </c>
      <c r="J138" s="145">
        <f t="shared" si="36"/>
        <v>200</v>
      </c>
      <c r="K138" s="145">
        <f t="shared" si="36"/>
        <v>80</v>
      </c>
      <c r="L138" s="145">
        <f t="shared" si="36"/>
        <v>160</v>
      </c>
      <c r="M138" s="145">
        <f t="shared" si="36"/>
        <v>80</v>
      </c>
      <c r="N138" s="145">
        <f t="shared" si="36"/>
        <v>160</v>
      </c>
      <c r="O138" s="145">
        <f t="shared" si="36"/>
        <v>120</v>
      </c>
      <c r="P138" s="145">
        <f t="shared" si="36"/>
        <v>80</v>
      </c>
      <c r="Q138" s="145">
        <f t="shared" si="36"/>
        <v>40</v>
      </c>
      <c r="R138" s="144"/>
    </row>
    <row r="139" spans="2:18" x14ac:dyDescent="0.35">
      <c r="B139" s="83"/>
      <c r="C139" s="54"/>
      <c r="D139" s="54"/>
      <c r="E139" s="54"/>
      <c r="F139" s="54"/>
      <c r="G139" s="54"/>
      <c r="H139" s="54"/>
      <c r="I139" s="54"/>
      <c r="J139" s="54"/>
      <c r="K139" s="54"/>
      <c r="L139" s="54"/>
      <c r="M139" s="54"/>
      <c r="N139" s="54"/>
      <c r="O139" s="54"/>
      <c r="P139" s="54"/>
      <c r="Q139" s="54"/>
      <c r="R139" s="83"/>
    </row>
    <row r="140" spans="2:18" x14ac:dyDescent="0.35">
      <c r="B140" s="83"/>
      <c r="C140" s="54"/>
      <c r="D140" s="54"/>
      <c r="E140" s="54"/>
      <c r="F140" s="54"/>
      <c r="G140" s="54"/>
      <c r="H140" s="54"/>
      <c r="I140" s="54"/>
      <c r="J140" s="54"/>
      <c r="K140" s="54"/>
      <c r="L140" s="54"/>
      <c r="M140" s="54"/>
      <c r="N140" s="54"/>
      <c r="O140" s="54"/>
      <c r="P140" s="54"/>
      <c r="Q140" s="54"/>
      <c r="R140" s="83"/>
    </row>
    <row r="142" spans="2:18" ht="15.5" x14ac:dyDescent="0.35">
      <c r="B142" t="s">
        <v>235</v>
      </c>
      <c r="D142" s="115">
        <f t="shared" ref="D142:R142" si="37">SUM(D86:D88)</f>
        <v>0</v>
      </c>
      <c r="E142" s="115">
        <f t="shared" si="37"/>
        <v>42.769230769230774</v>
      </c>
      <c r="F142" s="115">
        <f t="shared" si="37"/>
        <v>338.31588019823317</v>
      </c>
      <c r="G142" s="115">
        <f t="shared" si="37"/>
        <v>289.84615384615381</v>
      </c>
      <c r="H142" s="115">
        <f t="shared" si="37"/>
        <v>243.73333333333332</v>
      </c>
      <c r="I142" s="115">
        <f t="shared" si="37"/>
        <v>193.64</v>
      </c>
      <c r="J142" s="115">
        <f t="shared" si="37"/>
        <v>375.06625590388217</v>
      </c>
      <c r="K142" s="115">
        <f t="shared" si="37"/>
        <v>152.93333333333334</v>
      </c>
      <c r="L142" s="115">
        <f t="shared" si="37"/>
        <v>315.26251267836159</v>
      </c>
      <c r="M142" s="115">
        <f t="shared" si="37"/>
        <v>166.78543772010551</v>
      </c>
      <c r="N142" s="115">
        <f t="shared" si="37"/>
        <v>300.62599050437262</v>
      </c>
      <c r="O142" s="115">
        <f t="shared" si="37"/>
        <v>198.16666666666666</v>
      </c>
      <c r="P142" s="115">
        <f t="shared" si="37"/>
        <v>135.63842336953189</v>
      </c>
      <c r="Q142" s="115">
        <f t="shared" si="37"/>
        <v>51.333333333333336</v>
      </c>
      <c r="R142" s="115">
        <f t="shared" si="37"/>
        <v>2804.1165516565379</v>
      </c>
    </row>
    <row r="146" spans="6:17" x14ac:dyDescent="0.35">
      <c r="F146" s="22"/>
      <c r="G146" s="22"/>
      <c r="H146" s="22"/>
      <c r="I146" s="22"/>
      <c r="J146" s="22"/>
      <c r="K146" s="22"/>
      <c r="L146" s="22"/>
      <c r="M146" s="22"/>
      <c r="N146" s="22"/>
      <c r="O146" s="22"/>
      <c r="P146" s="22"/>
      <c r="Q146" s="22"/>
    </row>
    <row r="147" spans="6:17" x14ac:dyDescent="0.35">
      <c r="F147" s="22"/>
      <c r="G147" s="22"/>
      <c r="H147" s="22"/>
      <c r="I147" s="22"/>
      <c r="J147" s="22"/>
      <c r="K147" s="22"/>
      <c r="L147" s="22"/>
      <c r="M147" s="22"/>
      <c r="N147" s="22"/>
      <c r="O147" s="22"/>
      <c r="P147" s="22"/>
      <c r="Q147" s="22"/>
    </row>
    <row r="148" spans="6:17" x14ac:dyDescent="0.35">
      <c r="F148" s="22"/>
      <c r="G148" s="22"/>
      <c r="H148" s="22"/>
      <c r="I148" s="22"/>
      <c r="J148" s="22"/>
      <c r="K148" s="22"/>
      <c r="L148" s="22"/>
      <c r="M148" s="22"/>
      <c r="N148" s="22"/>
      <c r="O148" s="22"/>
      <c r="P148" s="22"/>
      <c r="Q148" s="22"/>
    </row>
    <row r="150" spans="6:17" x14ac:dyDescent="0.35">
      <c r="F150" s="58"/>
      <c r="G150" s="58"/>
      <c r="H150" s="58"/>
      <c r="I150" s="58"/>
      <c r="J150" s="58"/>
      <c r="K150" s="58"/>
      <c r="L150" s="58"/>
      <c r="M150" s="58"/>
      <c r="N150" s="58"/>
      <c r="O150" s="58"/>
      <c r="P150" s="58"/>
      <c r="Q150" s="58"/>
    </row>
    <row r="151" spans="6:17" x14ac:dyDescent="0.35">
      <c r="F151" s="58"/>
      <c r="G151" s="58"/>
      <c r="H151" s="58"/>
      <c r="I151" s="58"/>
      <c r="J151" s="58"/>
      <c r="K151" s="58"/>
      <c r="L151" s="58"/>
      <c r="M151" s="58"/>
      <c r="N151" s="58"/>
      <c r="O151" s="58"/>
      <c r="P151" s="58"/>
      <c r="Q151" s="58"/>
    </row>
    <row r="152" spans="6:17" x14ac:dyDescent="0.35">
      <c r="F152" s="58"/>
      <c r="G152" s="58"/>
      <c r="H152" s="58"/>
      <c r="I152" s="58"/>
      <c r="J152" s="58"/>
      <c r="K152" s="58"/>
      <c r="L152" s="58"/>
      <c r="M152" s="58"/>
      <c r="N152" s="58"/>
      <c r="O152" s="58"/>
      <c r="P152" s="58"/>
      <c r="Q152" s="58"/>
    </row>
    <row r="153" spans="6:17" x14ac:dyDescent="0.35">
      <c r="F153" s="58"/>
      <c r="G153" s="58"/>
      <c r="H153" s="58"/>
      <c r="I153" s="58"/>
      <c r="J153" s="58"/>
      <c r="K153" s="58"/>
      <c r="L153" s="58"/>
      <c r="M153" s="58"/>
      <c r="N153" s="58"/>
      <c r="O153" s="58"/>
      <c r="P153" s="58"/>
      <c r="Q153" s="58"/>
    </row>
  </sheetData>
  <conditionalFormatting sqref="C10:Q12">
    <cfRule type="colorScale" priority="27">
      <colorScale>
        <cfvo type="min"/>
        <cfvo type="max"/>
        <color theme="0"/>
        <color rgb="FF5D9732"/>
      </colorScale>
    </cfRule>
  </conditionalFormatting>
  <conditionalFormatting sqref="C18:Q20">
    <cfRule type="colorScale" priority="26">
      <colorScale>
        <cfvo type="min"/>
        <cfvo type="max"/>
        <color theme="0"/>
        <color rgb="FF5D9732"/>
      </colorScale>
    </cfRule>
  </conditionalFormatting>
  <conditionalFormatting sqref="C30:Q32">
    <cfRule type="colorScale" priority="25">
      <colorScale>
        <cfvo type="min"/>
        <cfvo type="max"/>
        <color theme="0"/>
        <color rgb="FF5D9732"/>
      </colorScale>
    </cfRule>
  </conditionalFormatting>
  <conditionalFormatting sqref="C34:Q35">
    <cfRule type="colorScale" priority="24">
      <colorScale>
        <cfvo type="min"/>
        <cfvo type="max"/>
        <color theme="0"/>
        <color rgb="FF5D9732"/>
      </colorScale>
    </cfRule>
  </conditionalFormatting>
  <conditionalFormatting sqref="D67:Q67">
    <cfRule type="colorScale" priority="23">
      <colorScale>
        <cfvo type="min"/>
        <cfvo type="max"/>
        <color rgb="FFFCFCFF"/>
        <color rgb="FF00B050"/>
      </colorScale>
    </cfRule>
  </conditionalFormatting>
  <conditionalFormatting sqref="C50:Q52">
    <cfRule type="colorScale" priority="22">
      <colorScale>
        <cfvo type="min"/>
        <cfvo type="max"/>
        <color theme="0"/>
        <color rgb="FF5D9732"/>
      </colorScale>
    </cfRule>
  </conditionalFormatting>
  <conditionalFormatting sqref="Q58:Q60">
    <cfRule type="colorScale" priority="21">
      <colorScale>
        <cfvo type="min"/>
        <cfvo type="max"/>
        <color theme="0"/>
        <color rgb="FF00B050"/>
      </colorScale>
    </cfRule>
  </conditionalFormatting>
  <conditionalFormatting sqref="C68:Q68">
    <cfRule type="colorScale" priority="20">
      <colorScale>
        <cfvo type="min"/>
        <cfvo type="max"/>
        <color theme="0"/>
        <color rgb="FF5D9732"/>
      </colorScale>
    </cfRule>
  </conditionalFormatting>
  <conditionalFormatting sqref="C70:Q71">
    <cfRule type="colorScale" priority="19">
      <colorScale>
        <cfvo type="min"/>
        <cfvo type="max"/>
        <color theme="0"/>
        <color rgb="FF5D9732"/>
      </colorScale>
    </cfRule>
  </conditionalFormatting>
  <conditionalFormatting sqref="D86:Q88">
    <cfRule type="colorScale" priority="18">
      <colorScale>
        <cfvo type="min"/>
        <cfvo type="max"/>
        <color theme="0"/>
        <color rgb="FF5D9732"/>
      </colorScale>
    </cfRule>
  </conditionalFormatting>
  <conditionalFormatting sqref="D90:Q92">
    <cfRule type="colorScale" priority="17">
      <colorScale>
        <cfvo type="min"/>
        <cfvo type="max"/>
        <color theme="0"/>
        <color rgb="FF5D9732"/>
      </colorScale>
    </cfRule>
  </conditionalFormatting>
  <conditionalFormatting sqref="D94:Q96">
    <cfRule type="colorScale" priority="16">
      <colorScale>
        <cfvo type="min"/>
        <cfvo type="max"/>
        <color theme="0"/>
        <color rgb="FF5D9732"/>
      </colorScale>
    </cfRule>
  </conditionalFormatting>
  <conditionalFormatting sqref="D98:Q100">
    <cfRule type="colorScale" priority="15">
      <colorScale>
        <cfvo type="min"/>
        <cfvo type="max"/>
        <color theme="0"/>
        <color rgb="FF5D9732"/>
      </colorScale>
    </cfRule>
  </conditionalFormatting>
  <conditionalFormatting sqref="C14:Q16">
    <cfRule type="colorScale" priority="14">
      <colorScale>
        <cfvo type="min"/>
        <cfvo type="max"/>
        <color theme="0"/>
        <color rgb="FF5D9732"/>
      </colorScale>
    </cfRule>
  </conditionalFormatting>
  <conditionalFormatting sqref="C46:Q48">
    <cfRule type="colorScale" priority="13">
      <colorScale>
        <cfvo type="min"/>
        <cfvo type="max"/>
        <color theme="0"/>
        <color rgb="FF5D9732"/>
      </colorScale>
    </cfRule>
  </conditionalFormatting>
  <conditionalFormatting sqref="C54:Q60">
    <cfRule type="colorScale" priority="12">
      <colorScale>
        <cfvo type="min"/>
        <cfvo type="max"/>
        <color theme="0"/>
        <color rgb="FF5D9732"/>
      </colorScale>
    </cfRule>
  </conditionalFormatting>
  <conditionalFormatting sqref="D113:Q116 D118:Q120">
    <cfRule type="colorScale" priority="11">
      <colorScale>
        <cfvo type="min"/>
        <cfvo type="max"/>
        <color rgb="FFFCFCFF"/>
        <color rgb="FF5D9732"/>
      </colorScale>
    </cfRule>
  </conditionalFormatting>
  <conditionalFormatting sqref="D122:Q126 D128:Q128">
    <cfRule type="colorScale" priority="28">
      <colorScale>
        <cfvo type="min"/>
        <cfvo type="max"/>
        <color rgb="FFFCFCFF"/>
        <color rgb="FF5D9732"/>
      </colorScale>
    </cfRule>
  </conditionalFormatting>
  <conditionalFormatting sqref="D77:Q80">
    <cfRule type="colorScale" priority="29">
      <colorScale>
        <cfvo type="min"/>
        <cfvo type="max"/>
        <color rgb="FFFCFCFF"/>
        <color rgb="FF00B050"/>
      </colorScale>
    </cfRule>
  </conditionalFormatting>
  <conditionalFormatting sqref="D84:Q84">
    <cfRule type="colorScale" priority="7">
      <colorScale>
        <cfvo type="min"/>
        <cfvo type="max"/>
        <color rgb="FFFCFCFF"/>
        <color rgb="FF5D9732"/>
      </colorScale>
    </cfRule>
  </conditionalFormatting>
  <conditionalFormatting sqref="C62:Q65">
    <cfRule type="colorScale" priority="10">
      <colorScale>
        <cfvo type="min"/>
        <cfvo type="max"/>
        <color theme="0"/>
        <color rgb="FF5D9732"/>
      </colorScale>
    </cfRule>
  </conditionalFormatting>
  <conditionalFormatting sqref="C22:Q24">
    <cfRule type="colorScale" priority="9">
      <colorScale>
        <cfvo type="min"/>
        <cfvo type="max"/>
        <color theme="0"/>
        <color rgb="FF5D9732"/>
      </colorScale>
    </cfRule>
  </conditionalFormatting>
  <conditionalFormatting sqref="C26:Q29">
    <cfRule type="colorScale" priority="8">
      <colorScale>
        <cfvo type="min"/>
        <cfvo type="max"/>
        <color theme="0"/>
        <color rgb="FF5D9732"/>
      </colorScale>
    </cfRule>
  </conditionalFormatting>
  <conditionalFormatting sqref="C66:P66">
    <cfRule type="colorScale" priority="6">
      <colorScale>
        <cfvo type="min"/>
        <cfvo type="max"/>
        <color rgb="FFFCFCFF"/>
        <color rgb="FF5D9732"/>
      </colorScale>
    </cfRule>
  </conditionalFormatting>
  <conditionalFormatting sqref="D117:Q117">
    <cfRule type="colorScale" priority="5">
      <colorScale>
        <cfvo type="min"/>
        <cfvo type="max"/>
        <color rgb="FFFCFCFF"/>
        <color rgb="FF5D9732"/>
      </colorScale>
    </cfRule>
  </conditionalFormatting>
  <conditionalFormatting sqref="D127:Q127">
    <cfRule type="colorScale" priority="4">
      <colorScale>
        <cfvo type="min"/>
        <cfvo type="max"/>
        <color rgb="FFFCFCFF"/>
        <color rgb="FF5D9732"/>
      </colorScale>
    </cfRule>
  </conditionalFormatting>
  <conditionalFormatting sqref="D132:Q133">
    <cfRule type="colorScale" priority="3">
      <colorScale>
        <cfvo type="min"/>
        <cfvo type="max"/>
        <color theme="0"/>
        <color rgb="FF5D9732"/>
      </colorScale>
    </cfRule>
  </conditionalFormatting>
  <conditionalFormatting sqref="D102:Q106">
    <cfRule type="colorScale" priority="30">
      <colorScale>
        <cfvo type="min"/>
        <cfvo type="max"/>
        <color theme="0"/>
        <color rgb="FF5D9732"/>
      </colorScale>
    </cfRule>
  </conditionalFormatting>
  <conditionalFormatting sqref="D107:Q108">
    <cfRule type="colorScale" priority="31">
      <colorScale>
        <cfvo type="min"/>
        <cfvo type="max"/>
        <color rgb="FFFCFCFF"/>
        <color rgb="FF5D9732"/>
      </colorScale>
    </cfRule>
  </conditionalFormatting>
  <conditionalFormatting sqref="D110:Q111">
    <cfRule type="colorScale" priority="32">
      <colorScale>
        <cfvo type="min"/>
        <cfvo type="max"/>
        <color theme="0"/>
        <color rgb="FF5D9732"/>
      </colorScale>
    </cfRule>
  </conditionalFormatting>
  <conditionalFormatting sqref="D129:Q130">
    <cfRule type="colorScale" priority="2">
      <colorScale>
        <cfvo type="min"/>
        <cfvo type="max"/>
        <color theme="0"/>
        <color rgb="FF5D9732"/>
      </colorScale>
    </cfRule>
  </conditionalFormatting>
  <conditionalFormatting sqref="D131:Q131">
    <cfRule type="colorScale" priority="1">
      <colorScale>
        <cfvo type="min"/>
        <cfvo type="max"/>
        <color theme="0"/>
        <color rgb="FF5D9732"/>
      </colorScale>
    </cfRule>
  </conditionalFormatting>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17DFF1-8B3F-4E38-B3EC-0B557E53950B}">
  <sheetPr codeName="Sheet4">
    <tabColor rgb="FF8CC63F"/>
  </sheetPr>
  <dimension ref="A1:X146"/>
  <sheetViews>
    <sheetView zoomScale="70" zoomScaleNormal="70" workbookViewId="0">
      <pane ySplit="6" topLeftCell="A81" activePane="bottomLeft" state="frozen"/>
      <selection pane="bottomLeft" activeCell="D112" sqref="D112"/>
    </sheetView>
  </sheetViews>
  <sheetFormatPr defaultRowHeight="14.5" x14ac:dyDescent="0.35"/>
  <cols>
    <col min="1" max="1" width="6.54296875" customWidth="1"/>
    <col min="2" max="2" width="18.453125" customWidth="1"/>
    <col min="3" max="3" width="8.6328125" hidden="1" customWidth="1"/>
    <col min="6" max="17" width="9.36328125" bestFit="1" customWidth="1"/>
  </cols>
  <sheetData>
    <row r="1" spans="1:19" x14ac:dyDescent="0.35">
      <c r="Q1" s="19"/>
      <c r="R1" s="19"/>
    </row>
    <row r="2" spans="1:19" x14ac:dyDescent="0.35">
      <c r="B2" s="7" t="s">
        <v>188</v>
      </c>
      <c r="Q2" s="19"/>
      <c r="R2" s="19"/>
    </row>
    <row r="3" spans="1:19" x14ac:dyDescent="0.35">
      <c r="Q3" s="19"/>
      <c r="R3" s="19"/>
    </row>
    <row r="4" spans="1:19" x14ac:dyDescent="0.35">
      <c r="Q4" s="19"/>
      <c r="R4" s="19"/>
    </row>
    <row r="5" spans="1:19" x14ac:dyDescent="0.35">
      <c r="C5" t="s">
        <v>105</v>
      </c>
    </row>
    <row r="6" spans="1:19" ht="21" x14ac:dyDescent="0.5">
      <c r="C6" s="81">
        <v>2021</v>
      </c>
      <c r="D6" s="81">
        <v>2022</v>
      </c>
      <c r="E6" s="81">
        <f t="shared" ref="E6:Q6" si="0">D6+1</f>
        <v>2023</v>
      </c>
      <c r="F6" s="81">
        <f t="shared" si="0"/>
        <v>2024</v>
      </c>
      <c r="G6" s="81">
        <f t="shared" si="0"/>
        <v>2025</v>
      </c>
      <c r="H6" s="81">
        <f t="shared" si="0"/>
        <v>2026</v>
      </c>
      <c r="I6" s="81">
        <f t="shared" si="0"/>
        <v>2027</v>
      </c>
      <c r="J6" s="81">
        <f t="shared" si="0"/>
        <v>2028</v>
      </c>
      <c r="K6" s="81">
        <f t="shared" si="0"/>
        <v>2029</v>
      </c>
      <c r="L6" s="82">
        <f t="shared" si="0"/>
        <v>2030</v>
      </c>
      <c r="M6" s="81">
        <f t="shared" si="0"/>
        <v>2031</v>
      </c>
      <c r="N6" s="81">
        <f t="shared" si="0"/>
        <v>2032</v>
      </c>
      <c r="O6" s="81">
        <f t="shared" si="0"/>
        <v>2033</v>
      </c>
      <c r="P6" s="81">
        <f t="shared" si="0"/>
        <v>2034</v>
      </c>
      <c r="Q6" s="81">
        <f t="shared" si="0"/>
        <v>2035</v>
      </c>
      <c r="R6" t="s">
        <v>106</v>
      </c>
    </row>
    <row r="7" spans="1:19" ht="15.5" x14ac:dyDescent="0.35">
      <c r="A7" s="116" t="s">
        <v>132</v>
      </c>
      <c r="B7" s="117" t="s">
        <v>107</v>
      </c>
      <c r="C7" s="117"/>
      <c r="D7" s="118"/>
      <c r="E7" s="118"/>
      <c r="F7" s="118"/>
      <c r="G7" s="118"/>
      <c r="H7" s="118"/>
      <c r="I7" s="118"/>
      <c r="J7" s="118"/>
      <c r="K7" s="118"/>
      <c r="L7" s="118"/>
      <c r="M7" s="118"/>
      <c r="N7" s="118"/>
      <c r="O7" s="118"/>
      <c r="P7" s="118"/>
      <c r="Q7" s="118"/>
      <c r="R7" s="119"/>
    </row>
    <row r="8" spans="1:19" ht="15.5" x14ac:dyDescent="0.35">
      <c r="A8" s="116"/>
      <c r="B8" s="120" t="s">
        <v>108</v>
      </c>
      <c r="C8" s="120"/>
      <c r="D8" s="116"/>
      <c r="E8" s="116"/>
      <c r="F8" s="116"/>
      <c r="G8" s="116"/>
      <c r="H8" s="116"/>
      <c r="I8" s="116"/>
      <c r="J8" s="116"/>
      <c r="K8" s="116"/>
      <c r="L8" s="116"/>
      <c r="M8" s="116"/>
      <c r="N8" s="116"/>
      <c r="O8" s="116"/>
      <c r="P8" s="116"/>
      <c r="Q8" s="116"/>
      <c r="R8" s="115"/>
    </row>
    <row r="9" spans="1:19" ht="15.5" x14ac:dyDescent="0.35">
      <c r="A9" s="116"/>
      <c r="B9" s="129" t="s">
        <v>350</v>
      </c>
      <c r="C9" s="180">
        <f ca="1">SUM(C10:C12)</f>
        <v>42.769230769230774</v>
      </c>
      <c r="D9" s="180">
        <f t="shared" ref="D9" ca="1" si="1">SUM(D10:D12)</f>
        <v>154</v>
      </c>
      <c r="E9" s="180">
        <f t="shared" ref="E9" ca="1" si="2">SUM(E10:E12)</f>
        <v>254.66666666666669</v>
      </c>
      <c r="F9" s="180">
        <f t="shared" ref="F9" ca="1" si="3">SUM(F10:F12)</f>
        <v>300</v>
      </c>
      <c r="G9" s="180">
        <f t="shared" ref="G9" ca="1" si="4">SUM(G10:G12)</f>
        <v>199.97435897435898</v>
      </c>
      <c r="H9" s="180">
        <f t="shared" ref="H9" ca="1" si="5">SUM(H10:H12)</f>
        <v>266.66666666666669</v>
      </c>
      <c r="I9" s="180">
        <f t="shared" ref="I9" ca="1" si="6">SUM(I10:I12)</f>
        <v>266.66666666666669</v>
      </c>
      <c r="J9" s="180">
        <f t="shared" ref="J9" ca="1" si="7">SUM(J10:J12)</f>
        <v>266.66666666666669</v>
      </c>
      <c r="K9" s="180">
        <f t="shared" ref="K9" ca="1" si="8">SUM(K10:K12)</f>
        <v>182.22222222222223</v>
      </c>
      <c r="L9" s="180">
        <f t="shared" ref="L9" ca="1" si="9">SUM(L10:L12)</f>
        <v>177.93422143004935</v>
      </c>
      <c r="M9" s="180">
        <f t="shared" ref="M9" ca="1" si="10">SUM(M10:M12)</f>
        <v>111.11111111111111</v>
      </c>
      <c r="N9" s="180">
        <f t="shared" ref="N9" ca="1" si="11">SUM(N10:N12)</f>
        <v>111.11111111111111</v>
      </c>
      <c r="O9" s="180">
        <f t="shared" ref="O9" ca="1" si="12">SUM(O10:O12)</f>
        <v>111.11111111111111</v>
      </c>
      <c r="P9" s="180">
        <f t="shared" ref="P9:Q9" si="13">SUM(P10:P12)</f>
        <v>0</v>
      </c>
      <c r="Q9" s="180">
        <f t="shared" si="13"/>
        <v>0</v>
      </c>
      <c r="R9" s="181">
        <f ca="1">SUM(C9:Q9)</f>
        <v>2444.900033395862</v>
      </c>
    </row>
    <row r="10" spans="1:19" ht="15.5" x14ac:dyDescent="0.35">
      <c r="A10" s="121">
        <f>MAX(Assumptions!C$45:C$47)</f>
        <v>1</v>
      </c>
      <c r="B10" s="111">
        <v>12</v>
      </c>
      <c r="C10" s="183" cm="1">
        <f t="array" aca="1" ref="C10" ca="1">INDIRECT("R[36]C["&amp;$A$10&amp;"]",FALSE)</f>
        <v>42.769230769230774</v>
      </c>
      <c r="D10" s="183" cm="1">
        <f t="array" aca="1" ref="D10" ca="1">INDIRECT("R[36]C["&amp;$A$10&amp;"]",FALSE)</f>
        <v>110</v>
      </c>
      <c r="E10" s="183" cm="1">
        <f t="array" aca="1" ref="E10" ca="1">INDIRECT("R[36]C["&amp;$A$10&amp;"]",FALSE)</f>
        <v>166.66666666666666</v>
      </c>
      <c r="F10" s="183" cm="1">
        <f t="array" aca="1" ref="F10" ca="1">INDIRECT("R[36]C["&amp;$A$10&amp;"]",FALSE)</f>
        <v>166.66666666666666</v>
      </c>
      <c r="G10" s="183" cm="1">
        <f t="array" aca="1" ref="G10" ca="1">INDIRECT("R[36]C["&amp;$A$10&amp;"]",FALSE)</f>
        <v>66.641025641025635</v>
      </c>
      <c r="H10" s="183" cm="1">
        <f t="array" aca="1" ref="H10" ca="1">INDIRECT("R[36]C["&amp;$A$10&amp;"]",FALSE)</f>
        <v>0</v>
      </c>
      <c r="I10" s="183" cm="1">
        <f t="array" aca="1" ref="I10" ca="1">INDIRECT("R[36]C["&amp;$A$10&amp;"]",FALSE)</f>
        <v>0</v>
      </c>
      <c r="J10" s="183" cm="1">
        <f t="array" aca="1" ref="J10" ca="1">INDIRECT("R[36]C["&amp;$A$10&amp;"]",FALSE)</f>
        <v>0</v>
      </c>
      <c r="K10" s="183" cm="1">
        <f t="array" aca="1" ref="K10" ca="1">INDIRECT("R[36]C["&amp;$A$10&amp;"]",FALSE)</f>
        <v>0</v>
      </c>
      <c r="L10" s="183" cm="1">
        <f t="array" aca="1" ref="L10" ca="1">INDIRECT("R[36]C["&amp;$A$10&amp;"]",FALSE)</f>
        <v>0</v>
      </c>
      <c r="M10" s="183" cm="1">
        <f t="array" aca="1" ref="M10" ca="1">INDIRECT("R[36]C["&amp;$A$10&amp;"]",FALSE)</f>
        <v>0</v>
      </c>
      <c r="N10" s="183" cm="1">
        <f t="array" aca="1" ref="N10" ca="1">INDIRECT("R[36]C["&amp;$A$10&amp;"]",FALSE)</f>
        <v>0</v>
      </c>
      <c r="O10" s="183" cm="1">
        <f t="array" aca="1" ref="O10" ca="1">INDIRECT("R[36]C["&amp;$A$10&amp;"]",FALSE)</f>
        <v>0</v>
      </c>
      <c r="P10" s="115"/>
      <c r="Q10" s="115"/>
      <c r="R10" s="115">
        <f ca="1">SUM(C10:P10)</f>
        <v>552.74358974358972</v>
      </c>
    </row>
    <row r="11" spans="1:19" ht="15.5" x14ac:dyDescent="0.35">
      <c r="A11" s="121">
        <f>MAX(Assumptions!C$45:C$47)</f>
        <v>1</v>
      </c>
      <c r="B11" s="111">
        <v>15</v>
      </c>
      <c r="C11" s="183" cm="1">
        <f t="array" aca="1" ref="C11" ca="1">INDIRECT("R[36]C["&amp;$A$11&amp;"]",FALSE)</f>
        <v>0</v>
      </c>
      <c r="D11" s="183" cm="1">
        <f t="array" aca="1" ref="D11" ca="1">INDIRECT("R[36]C["&amp;$A$11&amp;"]",FALSE)</f>
        <v>44.000000000000007</v>
      </c>
      <c r="E11" s="183" cm="1">
        <f t="array" aca="1" ref="E11" ca="1">INDIRECT("R[36]C["&amp;$A$11&amp;"]",FALSE)</f>
        <v>88.000000000000014</v>
      </c>
      <c r="F11" s="183" cm="1">
        <f t="array" aca="1" ref="F11" ca="1">INDIRECT("R[36]C["&amp;$A$11&amp;"]",FALSE)</f>
        <v>133.33333333333334</v>
      </c>
      <c r="G11" s="183" cm="1">
        <f t="array" aca="1" ref="G11" ca="1">INDIRECT("R[36]C["&amp;$A$11&amp;"]",FALSE)</f>
        <v>133.33333333333334</v>
      </c>
      <c r="H11" s="183" cm="1">
        <f t="array" aca="1" ref="H11" ca="1">INDIRECT("R[36]C["&amp;$A$11&amp;"]",FALSE)</f>
        <v>266.66666666666669</v>
      </c>
      <c r="I11" s="183" cm="1">
        <f t="array" aca="1" ref="I11" ca="1">INDIRECT("R[36]C["&amp;$A$11&amp;"]",FALSE)</f>
        <v>266.66666666666669</v>
      </c>
      <c r="J11" s="183" cm="1">
        <f t="array" aca="1" ref="J11" ca="1">INDIRECT("R[36]C["&amp;$A$11&amp;"]",FALSE)</f>
        <v>266.66666666666669</v>
      </c>
      <c r="K11" s="183" cm="1">
        <f t="array" aca="1" ref="K11" ca="1">INDIRECT("R[36]C["&amp;$A$11&amp;"]",FALSE)</f>
        <v>133.33333333333334</v>
      </c>
      <c r="L11" s="183" cm="1">
        <f t="array" aca="1" ref="L11" ca="1">INDIRECT("R[36]C["&amp;$A$11&amp;"]",FALSE)</f>
        <v>66.823110318938234</v>
      </c>
      <c r="M11" s="183" cm="1">
        <f t="array" aca="1" ref="M11" ca="1">INDIRECT("R[36]C["&amp;$A$11&amp;"]",FALSE)</f>
        <v>0</v>
      </c>
      <c r="N11" s="183" cm="1">
        <f t="array" aca="1" ref="N11" ca="1">INDIRECT("R[36]C["&amp;$A$11&amp;"]",FALSE)</f>
        <v>0</v>
      </c>
      <c r="O11" s="183" cm="1">
        <f t="array" aca="1" ref="O11" ca="1">INDIRECT("R[36]C["&amp;$A$11&amp;"]",FALSE)</f>
        <v>0</v>
      </c>
      <c r="P11" s="115"/>
      <c r="Q11" s="115"/>
      <c r="R11" s="115">
        <f t="shared" ref="R11:R12" ca="1" si="14">SUM(C11:P11)</f>
        <v>1398.8231103189385</v>
      </c>
    </row>
    <row r="12" spans="1:19" ht="15.5" x14ac:dyDescent="0.35">
      <c r="A12" s="121">
        <f>MAX(Assumptions!C$45:C$47)</f>
        <v>1</v>
      </c>
      <c r="B12" s="111">
        <v>18</v>
      </c>
      <c r="C12" s="183" cm="1">
        <f t="array" aca="1" ref="C12" ca="1">INDIRECT("R[36]C["&amp;$A$12&amp;"]",FALSE)</f>
        <v>0</v>
      </c>
      <c r="D12" s="183" cm="1">
        <f t="array" aca="1" ref="D12" ca="1">INDIRECT("R[36]C["&amp;$A$12&amp;"]",FALSE)</f>
        <v>0</v>
      </c>
      <c r="E12" s="183" cm="1">
        <f t="array" aca="1" ref="E12" ca="1">INDIRECT("R[36]C["&amp;$A$12&amp;"]",FALSE)</f>
        <v>0</v>
      </c>
      <c r="F12" s="183" cm="1">
        <f t="array" aca="1" ref="F12" ca="1">INDIRECT("R[36]C["&amp;$A$12&amp;"]",FALSE)</f>
        <v>0</v>
      </c>
      <c r="G12" s="183" cm="1">
        <f t="array" aca="1" ref="G12" ca="1">INDIRECT("R[36]C["&amp;$A$12&amp;"]",FALSE)</f>
        <v>0</v>
      </c>
      <c r="H12" s="183" cm="1">
        <f t="array" aca="1" ref="H12" ca="1">INDIRECT("R[36]C["&amp;$A$12&amp;"]",FALSE)</f>
        <v>0</v>
      </c>
      <c r="I12" s="183" cm="1">
        <f t="array" aca="1" ref="I12" ca="1">INDIRECT("R[36]C["&amp;$A$12&amp;"]",FALSE)</f>
        <v>0</v>
      </c>
      <c r="J12" s="183" cm="1">
        <f t="array" aca="1" ref="J12" ca="1">INDIRECT("R[36]C["&amp;$A$12&amp;"]",FALSE)</f>
        <v>0</v>
      </c>
      <c r="K12" s="183" cm="1">
        <f t="array" aca="1" ref="K12" ca="1">INDIRECT("R[36]C["&amp;$A$12&amp;"]",FALSE)</f>
        <v>48.888888888888893</v>
      </c>
      <c r="L12" s="183" cm="1">
        <f t="array" aca="1" ref="L12" ca="1">INDIRECT("R[36]C["&amp;$A$12&amp;"]",FALSE)</f>
        <v>111.11111111111111</v>
      </c>
      <c r="M12" s="183" cm="1">
        <f t="array" aca="1" ref="M12" ca="1">INDIRECT("R[36]C["&amp;$A$12&amp;"]",FALSE)</f>
        <v>111.11111111111111</v>
      </c>
      <c r="N12" s="183" cm="1">
        <f t="array" aca="1" ref="N12" ca="1">INDIRECT("R[36]C["&amp;$A$12&amp;"]",FALSE)</f>
        <v>111.11111111111111</v>
      </c>
      <c r="O12" s="183" cm="1">
        <f t="array" aca="1" ref="O12" ca="1">INDIRECT("R[36]C["&amp;$A$12&amp;"]",FALSE)</f>
        <v>111.11111111111111</v>
      </c>
      <c r="P12" s="115"/>
      <c r="Q12" s="115"/>
      <c r="R12" s="115">
        <f t="shared" ca="1" si="14"/>
        <v>493.33333333333326</v>
      </c>
      <c r="S12" t="s">
        <v>91</v>
      </c>
    </row>
    <row r="13" spans="1:19" ht="15.5" x14ac:dyDescent="0.35">
      <c r="A13" s="116"/>
      <c r="B13" s="129" t="s">
        <v>351</v>
      </c>
      <c r="C13" s="179"/>
      <c r="D13" s="179"/>
      <c r="E13" s="179"/>
      <c r="F13" s="179"/>
      <c r="G13" s="179"/>
      <c r="H13" s="179"/>
      <c r="I13" s="179"/>
      <c r="J13" s="179"/>
      <c r="K13" s="179"/>
      <c r="L13" s="179"/>
      <c r="M13" s="179"/>
      <c r="N13" s="179"/>
      <c r="O13" s="179"/>
      <c r="P13" s="179"/>
      <c r="Q13" s="179"/>
      <c r="R13" s="181"/>
    </row>
    <row r="14" spans="1:19" ht="15.5" x14ac:dyDescent="0.35">
      <c r="A14" s="121">
        <f>Assumptions!C$45</f>
        <v>1</v>
      </c>
      <c r="B14" s="111">
        <v>12</v>
      </c>
      <c r="C14" s="183" cm="1">
        <f t="array" aca="1" ref="C14" ca="1">INDIRECT("R[36]C["&amp;$A$14&amp;"]",FALSE)</f>
        <v>128.30769230769232</v>
      </c>
      <c r="D14" s="183" cm="1">
        <f t="array" aca="1" ref="D14" ca="1">INDIRECT("R[36]C["&amp;$A$14&amp;"]",FALSE)</f>
        <v>330</v>
      </c>
      <c r="E14" s="183" cm="1">
        <f t="array" aca="1" ref="E14" ca="1">INDIRECT("R[36]C["&amp;$A$14&amp;"]",FALSE)</f>
        <v>500</v>
      </c>
      <c r="F14" s="183" cm="1">
        <f t="array" aca="1" ref="F14" ca="1">INDIRECT("R[36]C["&amp;$A$14&amp;"]",FALSE)</f>
        <v>500</v>
      </c>
      <c r="G14" s="183" cm="1">
        <f t="array" aca="1" ref="G14" ca="1">INDIRECT("R[36]C["&amp;$A$14&amp;"]",FALSE)</f>
        <v>199.92307692307691</v>
      </c>
      <c r="H14" s="183" cm="1">
        <f t="array" aca="1" ref="H14" ca="1">INDIRECT("R[36]C["&amp;$A$14&amp;"]",FALSE)</f>
        <v>0</v>
      </c>
      <c r="I14" s="183" cm="1">
        <f t="array" aca="1" ref="I14" ca="1">INDIRECT("R[36]C["&amp;$A$14&amp;"]",FALSE)</f>
        <v>0</v>
      </c>
      <c r="J14" s="183" cm="1">
        <f t="array" aca="1" ref="J14" ca="1">INDIRECT("R[36]C["&amp;$A$14&amp;"]",FALSE)</f>
        <v>0</v>
      </c>
      <c r="K14" s="183" cm="1">
        <f t="array" aca="1" ref="K14" ca="1">INDIRECT("R[36]C["&amp;$A$14&amp;"]",FALSE)</f>
        <v>0</v>
      </c>
      <c r="L14" s="183" cm="1">
        <f t="array" aca="1" ref="L14" ca="1">INDIRECT("R[36]C["&amp;$A$14&amp;"]",FALSE)</f>
        <v>0</v>
      </c>
      <c r="M14" s="183" cm="1">
        <f t="array" aca="1" ref="M14" ca="1">INDIRECT("R[36]C["&amp;$A$14&amp;"]",FALSE)</f>
        <v>0</v>
      </c>
      <c r="N14" s="183" cm="1">
        <f t="array" aca="1" ref="N14" ca="1">INDIRECT("R[36]C["&amp;$A$14&amp;"]",FALSE)</f>
        <v>0</v>
      </c>
      <c r="O14" s="183" cm="1">
        <f t="array" aca="1" ref="O14" ca="1">INDIRECT("R[36]C["&amp;$A$14&amp;"]",FALSE)</f>
        <v>0</v>
      </c>
      <c r="P14" s="116"/>
      <c r="Q14" s="116"/>
      <c r="R14" s="115">
        <f ca="1">SUM(C14:P14)</f>
        <v>1658.2307692307693</v>
      </c>
    </row>
    <row r="15" spans="1:19" ht="15.5" x14ac:dyDescent="0.35">
      <c r="A15" s="121">
        <f>Assumptions!C$45</f>
        <v>1</v>
      </c>
      <c r="B15" s="111">
        <v>15</v>
      </c>
      <c r="C15" s="183" cm="1">
        <f t="array" aca="1" ref="C15" ca="1">INDIRECT("R[36]C["&amp;$A$15&amp;"]",FALSE)</f>
        <v>0</v>
      </c>
      <c r="D15" s="183" cm="1">
        <f t="array" aca="1" ref="D15" ca="1">INDIRECT("R[36]C["&amp;$A$15&amp;"]",FALSE)</f>
        <v>132.00000000000003</v>
      </c>
      <c r="E15" s="183" cm="1">
        <f t="array" aca="1" ref="E15" ca="1">INDIRECT("R[36]C["&amp;$A$15&amp;"]",FALSE)</f>
        <v>264.00000000000006</v>
      </c>
      <c r="F15" s="183" cm="1">
        <f t="array" aca="1" ref="F15" ca="1">INDIRECT("R[36]C["&amp;$A$15&amp;"]",FALSE)</f>
        <v>400</v>
      </c>
      <c r="G15" s="183" cm="1">
        <f t="array" aca="1" ref="G15" ca="1">INDIRECT("R[36]C["&amp;$A$15&amp;"]",FALSE)</f>
        <v>400</v>
      </c>
      <c r="H15" s="183" cm="1">
        <f t="array" aca="1" ref="H15" ca="1">INDIRECT("R[36]C["&amp;$A$15&amp;"]",FALSE)</f>
        <v>800</v>
      </c>
      <c r="I15" s="183" cm="1">
        <f t="array" aca="1" ref="I15" ca="1">INDIRECT("R[36]C["&amp;$A$15&amp;"]",FALSE)</f>
        <v>800</v>
      </c>
      <c r="J15" s="183" cm="1">
        <f t="array" aca="1" ref="J15" ca="1">INDIRECT("R[36]C["&amp;$A$15&amp;"]",FALSE)</f>
        <v>800</v>
      </c>
      <c r="K15" s="183" cm="1">
        <f t="array" aca="1" ref="K15" ca="1">INDIRECT("R[36]C["&amp;$A$15&amp;"]",FALSE)</f>
        <v>400</v>
      </c>
      <c r="L15" s="183" cm="1">
        <f t="array" aca="1" ref="L15" ca="1">INDIRECT("R[36]C["&amp;$A$15&amp;"]",FALSE)</f>
        <v>200.4693309568147</v>
      </c>
      <c r="M15" s="183" cm="1">
        <f t="array" aca="1" ref="M15" ca="1">INDIRECT("R[36]C["&amp;$A$15&amp;"]",FALSE)</f>
        <v>0</v>
      </c>
      <c r="N15" s="183" cm="1">
        <f t="array" aca="1" ref="N15" ca="1">INDIRECT("R[36]C["&amp;$A$15&amp;"]",FALSE)</f>
        <v>0</v>
      </c>
      <c r="O15" s="183" cm="1">
        <f t="array" aca="1" ref="O15" ca="1">INDIRECT("R[36]C["&amp;$A$15&amp;"]",FALSE)</f>
        <v>0</v>
      </c>
      <c r="P15" s="116"/>
      <c r="Q15" s="116"/>
      <c r="R15" s="115">
        <f t="shared" ref="R15:R16" ca="1" si="15">SUM(C15:P15)</f>
        <v>4196.4693309568147</v>
      </c>
    </row>
    <row r="16" spans="1:19" ht="15.5" x14ac:dyDescent="0.35">
      <c r="A16" s="121">
        <f>Assumptions!C$45</f>
        <v>1</v>
      </c>
      <c r="B16" s="111">
        <v>18</v>
      </c>
      <c r="C16" s="183" cm="1">
        <f t="array" aca="1" ref="C16" ca="1">INDIRECT("R[36]C["&amp;$A$16&amp;"]",FALSE)</f>
        <v>0</v>
      </c>
      <c r="D16" s="183" cm="1">
        <f t="array" aca="1" ref="D16" ca="1">INDIRECT("R[36]C["&amp;$A$16&amp;"]",FALSE)</f>
        <v>0</v>
      </c>
      <c r="E16" s="183" cm="1">
        <f t="array" aca="1" ref="E16" ca="1">INDIRECT("R[36]C["&amp;$A$16&amp;"]",FALSE)</f>
        <v>0</v>
      </c>
      <c r="F16" s="183" cm="1">
        <f t="array" aca="1" ref="F16" ca="1">INDIRECT("R[36]C["&amp;$A$16&amp;"]",FALSE)</f>
        <v>0</v>
      </c>
      <c r="G16" s="183" cm="1">
        <f t="array" aca="1" ref="G16" ca="1">INDIRECT("R[36]C["&amp;$A$16&amp;"]",FALSE)</f>
        <v>0</v>
      </c>
      <c r="H16" s="183" cm="1">
        <f t="array" aca="1" ref="H16" ca="1">INDIRECT("R[36]C["&amp;$A$16&amp;"]",FALSE)</f>
        <v>0</v>
      </c>
      <c r="I16" s="183" cm="1">
        <f t="array" aca="1" ref="I16" ca="1">INDIRECT("R[36]C["&amp;$A$16&amp;"]",FALSE)</f>
        <v>0</v>
      </c>
      <c r="J16" s="183" cm="1">
        <f t="array" aca="1" ref="J16" ca="1">INDIRECT("R[36]C["&amp;$A$16&amp;"]",FALSE)</f>
        <v>0</v>
      </c>
      <c r="K16" s="183" cm="1">
        <f t="array" aca="1" ref="K16" ca="1">INDIRECT("R[36]C["&amp;$A$16&amp;"]",FALSE)</f>
        <v>146.66666666666669</v>
      </c>
      <c r="L16" s="183" cm="1">
        <f t="array" aca="1" ref="L16" ca="1">INDIRECT("R[36]C["&amp;$A$16&amp;"]",FALSE)</f>
        <v>333.33333333333337</v>
      </c>
      <c r="M16" s="183" cm="1">
        <f t="array" aca="1" ref="M16" ca="1">INDIRECT("R[36]C["&amp;$A$16&amp;"]",FALSE)</f>
        <v>333.33333333333337</v>
      </c>
      <c r="N16" s="183" cm="1">
        <f t="array" aca="1" ref="N16" ca="1">INDIRECT("R[36]C["&amp;$A$16&amp;"]",FALSE)</f>
        <v>333.33333333333337</v>
      </c>
      <c r="O16" s="183" cm="1">
        <f t="array" aca="1" ref="O16" ca="1">INDIRECT("R[36]C["&amp;$A$16&amp;"]",FALSE)</f>
        <v>333.33333333333337</v>
      </c>
      <c r="P16" s="116"/>
      <c r="Q16" s="116"/>
      <c r="R16" s="115">
        <f t="shared" ca="1" si="15"/>
        <v>1480.0000000000005</v>
      </c>
    </row>
    <row r="17" spans="1:18" ht="15.5" x14ac:dyDescent="0.35">
      <c r="A17" s="116"/>
      <c r="B17" s="129" t="s">
        <v>114</v>
      </c>
      <c r="C17" s="179"/>
      <c r="D17" s="179"/>
      <c r="E17" s="179"/>
      <c r="F17" s="179"/>
      <c r="G17" s="179"/>
      <c r="H17" s="179"/>
      <c r="I17" s="179"/>
      <c r="J17" s="179"/>
      <c r="K17" s="179"/>
      <c r="L17" s="179"/>
      <c r="M17" s="179"/>
      <c r="N17" s="179"/>
      <c r="O17" s="179"/>
      <c r="P17" s="179"/>
      <c r="Q17" s="179"/>
      <c r="R17" s="181"/>
    </row>
    <row r="18" spans="1:18" ht="15.5" x14ac:dyDescent="0.35">
      <c r="A18" s="121">
        <f>Assumptions!C46</f>
        <v>1</v>
      </c>
      <c r="B18" s="111">
        <v>12</v>
      </c>
      <c r="C18" s="183" cm="1">
        <f t="array" aca="1" ref="C18" ca="1">INDIRECT("R[36]C["&amp;$A$18&amp;"]",FALSE)</f>
        <v>42.769230769230774</v>
      </c>
      <c r="D18" s="183" cm="1">
        <f t="array" aca="1" ref="D18" ca="1">INDIRECT("R[36]C["&amp;$A$18&amp;"]",FALSE)</f>
        <v>110</v>
      </c>
      <c r="E18" s="183" cm="1">
        <f t="array" aca="1" ref="E18" ca="1">INDIRECT("R[36]C["&amp;$A$18&amp;"]",FALSE)</f>
        <v>166.66666666666666</v>
      </c>
      <c r="F18" s="183" cm="1">
        <f t="array" aca="1" ref="F18" ca="1">INDIRECT("R[36]C["&amp;$A$18&amp;"]",FALSE)</f>
        <v>166.66666666666666</v>
      </c>
      <c r="G18" s="183" cm="1">
        <f t="array" aca="1" ref="G18" ca="1">INDIRECT("R[36]C["&amp;$A$18&amp;"]",FALSE)</f>
        <v>66.641025641025635</v>
      </c>
      <c r="H18" s="183" cm="1">
        <f t="array" aca="1" ref="H18" ca="1">INDIRECT("R[36]C["&amp;$A$18&amp;"]",FALSE)</f>
        <v>0</v>
      </c>
      <c r="I18" s="183" cm="1">
        <f t="array" aca="1" ref="I18" ca="1">INDIRECT("R[36]C["&amp;$A$18&amp;"]",FALSE)</f>
        <v>0</v>
      </c>
      <c r="J18" s="183" cm="1">
        <f t="array" aca="1" ref="J18" ca="1">INDIRECT("R[36]C["&amp;$A$18&amp;"]",FALSE)</f>
        <v>0</v>
      </c>
      <c r="K18" s="183" cm="1">
        <f t="array" aca="1" ref="K18" ca="1">INDIRECT("R[36]C["&amp;$A$18&amp;"]",FALSE)</f>
        <v>0</v>
      </c>
      <c r="L18" s="183" cm="1">
        <f t="array" aca="1" ref="L18" ca="1">INDIRECT("R[36]C["&amp;$A$18&amp;"]",FALSE)</f>
        <v>0</v>
      </c>
      <c r="M18" s="183" cm="1">
        <f t="array" aca="1" ref="M18" ca="1">INDIRECT("R[36]C["&amp;$A$18&amp;"]",FALSE)</f>
        <v>0</v>
      </c>
      <c r="N18" s="183" cm="1">
        <f t="array" aca="1" ref="N18" ca="1">INDIRECT("R[36]C["&amp;$A$18&amp;"]",FALSE)</f>
        <v>0</v>
      </c>
      <c r="O18" s="183" cm="1">
        <f t="array" aca="1" ref="O18" ca="1">INDIRECT("R[36]C["&amp;$A$18&amp;"]",FALSE)</f>
        <v>0</v>
      </c>
      <c r="P18" s="116"/>
      <c r="Q18" s="116"/>
      <c r="R18" s="115">
        <f ca="1">SUM(C18:P18)</f>
        <v>552.74358974358972</v>
      </c>
    </row>
    <row r="19" spans="1:18" ht="15.5" x14ac:dyDescent="0.35">
      <c r="A19" s="121">
        <f>A18</f>
        <v>1</v>
      </c>
      <c r="B19" s="111">
        <v>15</v>
      </c>
      <c r="C19" s="183" cm="1">
        <f t="array" aca="1" ref="C19" ca="1">INDIRECT("R[36]C["&amp;$A$19&amp;"]",FALSE)</f>
        <v>0</v>
      </c>
      <c r="D19" s="183" cm="1">
        <f t="array" aca="1" ref="D19" ca="1">INDIRECT("R[36]C["&amp;$A$19&amp;"]",FALSE)</f>
        <v>44.000000000000007</v>
      </c>
      <c r="E19" s="183" cm="1">
        <f t="array" aca="1" ref="E19" ca="1">INDIRECT("R[36]C["&amp;$A$19&amp;"]",FALSE)</f>
        <v>88.000000000000014</v>
      </c>
      <c r="F19" s="183" cm="1">
        <f t="array" aca="1" ref="F19" ca="1">INDIRECT("R[36]C["&amp;$A$19&amp;"]",FALSE)</f>
        <v>133.33333333333334</v>
      </c>
      <c r="G19" s="183" cm="1">
        <f t="array" aca="1" ref="G19" ca="1">INDIRECT("R[36]C["&amp;$A$19&amp;"]",FALSE)</f>
        <v>133.33333333333334</v>
      </c>
      <c r="H19" s="183" cm="1">
        <f t="array" aca="1" ref="H19" ca="1">INDIRECT("R[36]C["&amp;$A$19&amp;"]",FALSE)</f>
        <v>266.66666666666669</v>
      </c>
      <c r="I19" s="183" cm="1">
        <f t="array" aca="1" ref="I19" ca="1">INDIRECT("R[36]C["&amp;$A$19&amp;"]",FALSE)</f>
        <v>266.66666666666669</v>
      </c>
      <c r="J19" s="183" cm="1">
        <f t="array" aca="1" ref="J19" ca="1">INDIRECT("R[36]C["&amp;$A$19&amp;"]",FALSE)</f>
        <v>266.66666666666669</v>
      </c>
      <c r="K19" s="183" cm="1">
        <f t="array" aca="1" ref="K19" ca="1">INDIRECT("R[36]C["&amp;$A$19&amp;"]",FALSE)</f>
        <v>133.33333333333334</v>
      </c>
      <c r="L19" s="183" cm="1">
        <f t="array" aca="1" ref="L19" ca="1">INDIRECT("R[36]C["&amp;$A$19&amp;"]",FALSE)</f>
        <v>66.823110318938234</v>
      </c>
      <c r="M19" s="183" cm="1">
        <f t="array" aca="1" ref="M19" ca="1">INDIRECT("R[36]C["&amp;$A$19&amp;"]",FALSE)</f>
        <v>0</v>
      </c>
      <c r="N19" s="183" cm="1">
        <f t="array" aca="1" ref="N19" ca="1">INDIRECT("R[36]C["&amp;$A$19&amp;"]",FALSE)</f>
        <v>0</v>
      </c>
      <c r="O19" s="183" cm="1">
        <f t="array" aca="1" ref="O19" ca="1">INDIRECT("R[36]C["&amp;$A$19&amp;"]",FALSE)</f>
        <v>0</v>
      </c>
      <c r="P19" s="116"/>
      <c r="Q19" s="116"/>
      <c r="R19" s="115">
        <f t="shared" ref="R19:R20" ca="1" si="16">SUM(C19:P19)</f>
        <v>1398.8231103189385</v>
      </c>
    </row>
    <row r="20" spans="1:18" ht="15.5" x14ac:dyDescent="0.35">
      <c r="A20" s="121">
        <f>A18</f>
        <v>1</v>
      </c>
      <c r="B20" s="111">
        <v>18</v>
      </c>
      <c r="C20" s="183" cm="1">
        <f t="array" aca="1" ref="C20" ca="1">INDIRECT("R[36]C["&amp;$A$20&amp;"]",FALSE)</f>
        <v>0</v>
      </c>
      <c r="D20" s="183" cm="1">
        <f t="array" aca="1" ref="D20" ca="1">INDIRECT("R[36]C["&amp;$A$20&amp;"]",FALSE)</f>
        <v>0</v>
      </c>
      <c r="E20" s="183" cm="1">
        <f t="array" aca="1" ref="E20" ca="1">INDIRECT("R[36]C["&amp;$A$20&amp;"]",FALSE)</f>
        <v>0</v>
      </c>
      <c r="F20" s="183" cm="1">
        <f t="array" aca="1" ref="F20" ca="1">INDIRECT("R[36]C["&amp;$A$20&amp;"]",FALSE)</f>
        <v>0</v>
      </c>
      <c r="G20" s="183" cm="1">
        <f t="array" aca="1" ref="G20" ca="1">INDIRECT("R[36]C["&amp;$A$20&amp;"]",FALSE)</f>
        <v>0</v>
      </c>
      <c r="H20" s="183" cm="1">
        <f t="array" aca="1" ref="H20" ca="1">INDIRECT("R[36]C["&amp;$A$20&amp;"]",FALSE)</f>
        <v>0</v>
      </c>
      <c r="I20" s="183" cm="1">
        <f t="array" aca="1" ref="I20" ca="1">INDIRECT("R[36]C["&amp;$A$20&amp;"]",FALSE)</f>
        <v>0</v>
      </c>
      <c r="J20" s="183" cm="1">
        <f t="array" aca="1" ref="J20" ca="1">INDIRECT("R[36]C["&amp;$A$20&amp;"]",FALSE)</f>
        <v>0</v>
      </c>
      <c r="K20" s="183" cm="1">
        <f t="array" aca="1" ref="K20" ca="1">INDIRECT("R[36]C["&amp;$A$20&amp;"]",FALSE)</f>
        <v>48.888888888888893</v>
      </c>
      <c r="L20" s="183" cm="1">
        <f t="array" aca="1" ref="L20" ca="1">INDIRECT("R[36]C["&amp;$A$20&amp;"]",FALSE)</f>
        <v>111.11111111111111</v>
      </c>
      <c r="M20" s="183" cm="1">
        <f t="array" aca="1" ref="M20" ca="1">INDIRECT("R[36]C["&amp;$A$20&amp;"]",FALSE)</f>
        <v>111.11111111111111</v>
      </c>
      <c r="N20" s="183" cm="1">
        <f t="array" aca="1" ref="N20" ca="1">INDIRECT("R[36]C["&amp;$A$20&amp;"]",FALSE)</f>
        <v>111.11111111111111</v>
      </c>
      <c r="O20" s="183" cm="1">
        <f t="array" aca="1" ref="O20" ca="1">INDIRECT("R[36]C["&amp;$A$20&amp;"]",FALSE)</f>
        <v>111.11111111111111</v>
      </c>
      <c r="P20" s="116"/>
      <c r="Q20" s="116"/>
      <c r="R20" s="115">
        <f t="shared" ca="1" si="16"/>
        <v>493.33333333333326</v>
      </c>
    </row>
    <row r="21" spans="1:18" ht="15.5" x14ac:dyDescent="0.35">
      <c r="A21" s="116"/>
      <c r="B21" s="129" t="s">
        <v>352</v>
      </c>
      <c r="C21" s="179"/>
      <c r="D21" s="179"/>
      <c r="E21" s="179"/>
      <c r="F21" s="179"/>
      <c r="G21" s="179"/>
      <c r="H21" s="179"/>
      <c r="I21" s="179"/>
      <c r="J21" s="179"/>
      <c r="K21" s="179"/>
      <c r="L21" s="179"/>
      <c r="M21" s="179"/>
      <c r="N21" s="179"/>
      <c r="O21" s="179"/>
      <c r="P21" s="179"/>
      <c r="Q21" s="179"/>
      <c r="R21" s="181"/>
    </row>
    <row r="22" spans="1:18" ht="15.5" x14ac:dyDescent="0.35">
      <c r="A22" s="121">
        <f>Assumptions!C47</f>
        <v>1</v>
      </c>
      <c r="B22" s="111">
        <v>12</v>
      </c>
      <c r="C22" s="183" cm="1">
        <f t="array" aca="1" ref="C22" ca="1">INDIRECT("R[36]C["&amp;$A$22&amp;"]",FALSE)</f>
        <v>42.769230769230774</v>
      </c>
      <c r="D22" s="183" cm="1">
        <f t="array" aca="1" ref="D22" ca="1">INDIRECT("R[36]C["&amp;$A$18&amp;"]",FALSE)</f>
        <v>110</v>
      </c>
      <c r="E22" s="183" cm="1">
        <f t="array" aca="1" ref="E22" ca="1">INDIRECT("R[36]C["&amp;$A$18&amp;"]",FALSE)</f>
        <v>166.66666666666666</v>
      </c>
      <c r="F22" s="183" cm="1">
        <f t="array" aca="1" ref="F22" ca="1">INDIRECT("R[36]C["&amp;$A$18&amp;"]",FALSE)</f>
        <v>166.66666666666666</v>
      </c>
      <c r="G22" s="183" cm="1">
        <f t="array" aca="1" ref="G22" ca="1">INDIRECT("R[36]C["&amp;$A$18&amp;"]",FALSE)</f>
        <v>66.641025641025635</v>
      </c>
      <c r="H22" s="183" cm="1">
        <f t="array" aca="1" ref="H22" ca="1">INDIRECT("R[36]C["&amp;$A$18&amp;"]",FALSE)</f>
        <v>0</v>
      </c>
      <c r="I22" s="183" cm="1">
        <f t="array" aca="1" ref="I22" ca="1">INDIRECT("R[36]C["&amp;$A$18&amp;"]",FALSE)</f>
        <v>0</v>
      </c>
      <c r="J22" s="183" cm="1">
        <f t="array" aca="1" ref="J22" ca="1">INDIRECT("R[36]C["&amp;$A$18&amp;"]",FALSE)</f>
        <v>0</v>
      </c>
      <c r="K22" s="183" cm="1">
        <f t="array" aca="1" ref="K22" ca="1">INDIRECT("R[36]C["&amp;$A$18&amp;"]",FALSE)</f>
        <v>0</v>
      </c>
      <c r="L22" s="183" cm="1">
        <f t="array" aca="1" ref="L22" ca="1">INDIRECT("R[36]C["&amp;$A$18&amp;"]",FALSE)</f>
        <v>0</v>
      </c>
      <c r="M22" s="183" cm="1">
        <f t="array" aca="1" ref="M22" ca="1">INDIRECT("R[36]C["&amp;$A$18&amp;"]",FALSE)</f>
        <v>0</v>
      </c>
      <c r="N22" s="183" cm="1">
        <f t="array" aca="1" ref="N22" ca="1">INDIRECT("R[36]C["&amp;$A$18&amp;"]",FALSE)</f>
        <v>0</v>
      </c>
      <c r="O22" s="183" cm="1">
        <f t="array" aca="1" ref="O22" ca="1">INDIRECT("R[36]C["&amp;$A$18&amp;"]",FALSE)</f>
        <v>0</v>
      </c>
      <c r="P22" s="182"/>
      <c r="Q22" s="182"/>
      <c r="R22" s="115">
        <f ca="1">SUM(C22:P22)</f>
        <v>552.74358974358972</v>
      </c>
    </row>
    <row r="23" spans="1:18" ht="15.5" x14ac:dyDescent="0.35">
      <c r="A23" s="121">
        <f>A22</f>
        <v>1</v>
      </c>
      <c r="B23" s="111">
        <v>15</v>
      </c>
      <c r="C23" s="183" cm="1">
        <f t="array" aca="1" ref="C23" ca="1">INDIRECT("R[36]C["&amp;$A$23&amp;"]",FALSE)</f>
        <v>0</v>
      </c>
      <c r="D23" s="183" cm="1">
        <f t="array" aca="1" ref="D23" ca="1">INDIRECT("R[36]C["&amp;$A$19&amp;"]",FALSE)</f>
        <v>44.000000000000007</v>
      </c>
      <c r="E23" s="183" cm="1">
        <f t="array" aca="1" ref="E23" ca="1">INDIRECT("R[36]C["&amp;$A$19&amp;"]",FALSE)</f>
        <v>88.000000000000014</v>
      </c>
      <c r="F23" s="183" cm="1">
        <f t="array" aca="1" ref="F23" ca="1">INDIRECT("R[36]C["&amp;$A$19&amp;"]",FALSE)</f>
        <v>133.33333333333334</v>
      </c>
      <c r="G23" s="183" cm="1">
        <f t="array" aca="1" ref="G23" ca="1">INDIRECT("R[36]C["&amp;$A$19&amp;"]",FALSE)</f>
        <v>133.33333333333334</v>
      </c>
      <c r="H23" s="183" cm="1">
        <f t="array" aca="1" ref="H23" ca="1">INDIRECT("R[36]C["&amp;$A$19&amp;"]",FALSE)</f>
        <v>266.66666666666669</v>
      </c>
      <c r="I23" s="183" cm="1">
        <f t="array" aca="1" ref="I23" ca="1">INDIRECT("R[36]C["&amp;$A$19&amp;"]",FALSE)</f>
        <v>266.66666666666669</v>
      </c>
      <c r="J23" s="183" cm="1">
        <f t="array" aca="1" ref="J23" ca="1">INDIRECT("R[36]C["&amp;$A$19&amp;"]",FALSE)</f>
        <v>266.66666666666669</v>
      </c>
      <c r="K23" s="183" cm="1">
        <f t="array" aca="1" ref="K23" ca="1">INDIRECT("R[36]C["&amp;$A$19&amp;"]",FALSE)</f>
        <v>133.33333333333334</v>
      </c>
      <c r="L23" s="183" cm="1">
        <f t="array" aca="1" ref="L23" ca="1">INDIRECT("R[36]C["&amp;$A$19&amp;"]",FALSE)</f>
        <v>66.823110318938234</v>
      </c>
      <c r="M23" s="183" cm="1">
        <f t="array" aca="1" ref="M23" ca="1">INDIRECT("R[36]C["&amp;$A$19&amp;"]",FALSE)</f>
        <v>0</v>
      </c>
      <c r="N23" s="183" cm="1">
        <f t="array" aca="1" ref="N23" ca="1">INDIRECT("R[36]C["&amp;$A$19&amp;"]",FALSE)</f>
        <v>0</v>
      </c>
      <c r="O23" s="183" cm="1">
        <f t="array" aca="1" ref="O23" ca="1">INDIRECT("R[36]C["&amp;$A$19&amp;"]",FALSE)</f>
        <v>0</v>
      </c>
      <c r="P23" s="182"/>
      <c r="Q23" s="182"/>
      <c r="R23" s="115">
        <f t="shared" ref="R23:R24" ca="1" si="17">SUM(C23:P23)</f>
        <v>1398.8231103189385</v>
      </c>
    </row>
    <row r="24" spans="1:18" ht="15.5" x14ac:dyDescent="0.35">
      <c r="A24" s="121">
        <f>A22</f>
        <v>1</v>
      </c>
      <c r="B24" s="111">
        <v>18</v>
      </c>
      <c r="C24" s="183" cm="1">
        <f t="array" aca="1" ref="C24" ca="1">INDIRECT("R[36]C["&amp;$A$24&amp;"]",FALSE)</f>
        <v>0</v>
      </c>
      <c r="D24" s="183" cm="1">
        <f t="array" aca="1" ref="D24" ca="1">INDIRECT("R[36]C["&amp;$A$20&amp;"]",FALSE)</f>
        <v>0</v>
      </c>
      <c r="E24" s="183" cm="1">
        <f t="array" aca="1" ref="E24" ca="1">INDIRECT("R[36]C["&amp;$A$20&amp;"]",FALSE)</f>
        <v>0</v>
      </c>
      <c r="F24" s="183" cm="1">
        <f t="array" aca="1" ref="F24" ca="1">INDIRECT("R[36]C["&amp;$A$20&amp;"]",FALSE)</f>
        <v>0</v>
      </c>
      <c r="G24" s="183" cm="1">
        <f t="array" aca="1" ref="G24" ca="1">INDIRECT("R[36]C["&amp;$A$20&amp;"]",FALSE)</f>
        <v>0</v>
      </c>
      <c r="H24" s="183" cm="1">
        <f t="array" aca="1" ref="H24" ca="1">INDIRECT("R[36]C["&amp;$A$20&amp;"]",FALSE)</f>
        <v>0</v>
      </c>
      <c r="I24" s="183" cm="1">
        <f t="array" aca="1" ref="I24" ca="1">INDIRECT("R[36]C["&amp;$A$20&amp;"]",FALSE)</f>
        <v>0</v>
      </c>
      <c r="J24" s="183" cm="1">
        <f t="array" aca="1" ref="J24" ca="1">INDIRECT("R[36]C["&amp;$A$20&amp;"]",FALSE)</f>
        <v>0</v>
      </c>
      <c r="K24" s="183" cm="1">
        <f t="array" aca="1" ref="K24" ca="1">INDIRECT("R[36]C["&amp;$A$20&amp;"]",FALSE)</f>
        <v>48.888888888888893</v>
      </c>
      <c r="L24" s="183" cm="1">
        <f t="array" aca="1" ref="L24" ca="1">INDIRECT("R[36]C["&amp;$A$20&amp;"]",FALSE)</f>
        <v>111.11111111111111</v>
      </c>
      <c r="M24" s="183" cm="1">
        <f t="array" aca="1" ref="M24" ca="1">INDIRECT("R[36]C["&amp;$A$20&amp;"]",FALSE)</f>
        <v>111.11111111111111</v>
      </c>
      <c r="N24" s="183" cm="1">
        <f t="array" aca="1" ref="N24" ca="1">INDIRECT("R[36]C["&amp;$A$20&amp;"]",FALSE)</f>
        <v>111.11111111111111</v>
      </c>
      <c r="O24" s="183" cm="1">
        <f t="array" aca="1" ref="O24" ca="1">INDIRECT("R[36]C["&amp;$A$20&amp;"]",FALSE)</f>
        <v>111.11111111111111</v>
      </c>
      <c r="P24" s="182"/>
      <c r="Q24" s="182"/>
      <c r="R24" s="115">
        <f t="shared" ca="1" si="17"/>
        <v>493.33333333333326</v>
      </c>
    </row>
    <row r="25" spans="1:18" ht="15.5" x14ac:dyDescent="0.35">
      <c r="A25" s="116"/>
      <c r="B25" s="129" t="s">
        <v>116</v>
      </c>
      <c r="C25" s="184"/>
      <c r="D25" s="184"/>
      <c r="E25" s="184"/>
      <c r="F25" s="184"/>
      <c r="G25" s="184"/>
      <c r="H25" s="184"/>
      <c r="I25" s="184"/>
      <c r="J25" s="184"/>
      <c r="K25" s="184"/>
      <c r="L25" s="184"/>
      <c r="M25" s="184"/>
      <c r="N25" s="184"/>
      <c r="O25" s="184"/>
      <c r="P25" s="184"/>
      <c r="Q25" s="184"/>
      <c r="R25" s="181"/>
    </row>
    <row r="26" spans="1:18" ht="15.5" x14ac:dyDescent="0.35">
      <c r="A26" s="121">
        <f>Assumptions!C51</f>
        <v>1</v>
      </c>
      <c r="B26" s="106" t="s">
        <v>257</v>
      </c>
      <c r="C26" s="183" cm="1">
        <f t="array" aca="1" ref="C26" ca="1">INDIRECT("R[36]C["&amp;$A$26&amp;"]",FALSE)</f>
        <v>32.769230769230774</v>
      </c>
      <c r="D26" s="183" cm="1">
        <f t="array" aca="1" ref="D26" ca="1">INDIRECT("R[36]C["&amp;$A$18&amp;"]",FALSE)</f>
        <v>104.46451554144767</v>
      </c>
      <c r="E26" s="183" cm="1">
        <f t="array" aca="1" ref="E26" ca="1">INDIRECT("R[36]C["&amp;$A$18&amp;"]",FALSE)</f>
        <v>157.71918494928053</v>
      </c>
      <c r="F26" s="183" cm="1">
        <f t="array" aca="1" ref="F26" ca="1">INDIRECT("R[36]C["&amp;$A$18&amp;"]",FALSE)</f>
        <v>197.83916849015316</v>
      </c>
      <c r="G26" s="183" cm="1">
        <f t="array" aca="1" ref="G26" ca="1">INDIRECT("R[36]C["&amp;$A$18&amp;"]",FALSE)</f>
        <v>100.39337955532957</v>
      </c>
      <c r="H26" s="183" cm="1">
        <f t="array" aca="1" ref="H26" ca="1">INDIRECT("R[36]C["&amp;$A$18&amp;"]",FALSE)</f>
        <v>161.23444568274994</v>
      </c>
      <c r="I26" s="183" cm="1">
        <f t="array" aca="1" ref="I26" ca="1">INDIRECT("R[36]C["&amp;$A$18&amp;"]",FALSE)</f>
        <v>261.99360650973551</v>
      </c>
      <c r="J26" s="183" cm="1">
        <f t="array" aca="1" ref="J26" ca="1">INDIRECT("R[36]C["&amp;$A$18&amp;"]",FALSE)</f>
        <v>221.64739441538947</v>
      </c>
      <c r="K26" s="183" cm="1">
        <f t="array" aca="1" ref="K26" ca="1">INDIRECT("R[36]C["&amp;$A$18&amp;"]",FALSE)</f>
        <v>106.21760355587892</v>
      </c>
      <c r="L26" s="183" cm="1">
        <f t="array" aca="1" ref="L26" ca="1">INDIRECT("R[36]C["&amp;$A$18&amp;"]",FALSE)</f>
        <v>114.57092859530582</v>
      </c>
      <c r="M26" s="183" cm="1">
        <f t="array" aca="1" ref="M26" ca="1">INDIRECT("R[36]C["&amp;$A$18&amp;"]",FALSE)</f>
        <v>77.777777777777771</v>
      </c>
      <c r="N26" s="183" cm="1">
        <f t="array" aca="1" ref="N26" ca="1">INDIRECT("R[36]C["&amp;$A$18&amp;"]",FALSE)</f>
        <v>83.245632172798423</v>
      </c>
      <c r="O26" s="183" cm="1">
        <f t="array" aca="1" ref="O26" ca="1">INDIRECT("R[36]C["&amp;$A$18&amp;"]",FALSE)</f>
        <v>77.777777777777771</v>
      </c>
      <c r="P26" s="183"/>
      <c r="Q26" s="183"/>
      <c r="R26" s="115">
        <f ca="1">SUM(C26:Q26)</f>
        <v>1697.6506457928554</v>
      </c>
    </row>
    <row r="27" spans="1:18" ht="15.5" x14ac:dyDescent="0.35">
      <c r="A27" s="121">
        <f>A26</f>
        <v>1</v>
      </c>
      <c r="B27" s="106" t="s">
        <v>258</v>
      </c>
      <c r="C27" s="183" cm="1">
        <f t="array" aca="1" ref="C27" ca="1">INDIRECT("R[36]C["&amp;$A$27&amp;"]",FALSE)</f>
        <v>32.769230769230774</v>
      </c>
      <c r="D27" s="183" cm="1">
        <f t="array" aca="1" ref="D27" ca="1">INDIRECT("R[36]C["&amp;$A$19&amp;"]",FALSE)</f>
        <v>104.46451554144767</v>
      </c>
      <c r="E27" s="183" cm="1">
        <f t="array" aca="1" ref="E27" ca="1">INDIRECT("R[36]C["&amp;$A$19&amp;"]",FALSE)</f>
        <v>157.71918494928053</v>
      </c>
      <c r="F27" s="183" cm="1">
        <f t="array" aca="1" ref="F27" ca="1">INDIRECT("R[36]C["&amp;$A$19&amp;"]",FALSE)</f>
        <v>197.83916849015316</v>
      </c>
      <c r="G27" s="183" cm="1">
        <f t="array" aca="1" ref="G27" ca="1">INDIRECT("R[36]C["&amp;$A$19&amp;"]",FALSE)</f>
        <v>100.39337955532957</v>
      </c>
      <c r="H27" s="183" cm="1">
        <f t="array" aca="1" ref="H27" ca="1">INDIRECT("R[36]C["&amp;$A$19&amp;"]",FALSE)</f>
        <v>161.23444568274994</v>
      </c>
      <c r="I27" s="183" cm="1">
        <f t="array" aca="1" ref="I27" ca="1">INDIRECT("R[36]C["&amp;$A$19&amp;"]",FALSE)</f>
        <v>261.99360650973551</v>
      </c>
      <c r="J27" s="183" cm="1">
        <f t="array" aca="1" ref="J27" ca="1">INDIRECT("R[36]C["&amp;$A$19&amp;"]",FALSE)</f>
        <v>221.64739441538947</v>
      </c>
      <c r="K27" s="183" cm="1">
        <f t="array" aca="1" ref="K27" ca="1">INDIRECT("R[36]C["&amp;$A$19&amp;"]",FALSE)</f>
        <v>106.21760355587892</v>
      </c>
      <c r="L27" s="183" cm="1">
        <f t="array" aca="1" ref="L27" ca="1">INDIRECT("R[36]C["&amp;$A$19&amp;"]",FALSE)</f>
        <v>114.57092859530582</v>
      </c>
      <c r="M27" s="183" cm="1">
        <f t="array" aca="1" ref="M27" ca="1">INDIRECT("R[36]C["&amp;$A$19&amp;"]",FALSE)</f>
        <v>77.777777777777771</v>
      </c>
      <c r="N27" s="183" cm="1">
        <f t="array" aca="1" ref="N27" ca="1">INDIRECT("R[36]C["&amp;$A$19&amp;"]",FALSE)</f>
        <v>83.245632172798423</v>
      </c>
      <c r="O27" s="183" cm="1">
        <f t="array" aca="1" ref="O27" ca="1">INDIRECT("R[36]C["&amp;$A$19&amp;"]",FALSE)</f>
        <v>77.777777777777771</v>
      </c>
      <c r="P27" s="183"/>
      <c r="Q27" s="183"/>
      <c r="R27" s="115">
        <f t="shared" ref="R27:R29" ca="1" si="18">SUM(C27:Q27)</f>
        <v>1697.6506457928554</v>
      </c>
    </row>
    <row r="28" spans="1:18" ht="15.5" x14ac:dyDescent="0.35">
      <c r="A28" s="121">
        <f>Assumptions!C53</f>
        <v>1</v>
      </c>
      <c r="B28" s="106" t="s">
        <v>353</v>
      </c>
      <c r="C28" s="183" cm="1">
        <f t="array" aca="1" ref="C28" ca="1">INDIRECT("R[36]C["&amp;$A$28&amp;"]",FALSE)</f>
        <v>0</v>
      </c>
      <c r="D28" s="183" cm="1">
        <f t="array" aca="1" ref="D28" ca="1">INDIRECT("R[36]C["&amp;$A$28&amp;"]",FALSE)</f>
        <v>13.265708950375892</v>
      </c>
      <c r="E28" s="183" cm="1">
        <f t="array" aca="1" ref="E28" ca="1">INDIRECT("R[36]C["&amp;$A$28&amp;"]",FALSE)</f>
        <v>10.543524416135883</v>
      </c>
      <c r="F28" s="183" cm="1">
        <f t="array" aca="1" ref="F28" ca="1">INDIRECT("R[36]C["&amp;$A$28&amp;"]",FALSE)</f>
        <v>13.539387308533918</v>
      </c>
      <c r="G28" s="183" cm="1">
        <f t="array" aca="1" ref="G28" ca="1">INDIRECT("R[36]C["&amp;$A$28&amp;"]",FALSE)</f>
        <v>5.5353365219095449</v>
      </c>
      <c r="H28" s="183" cm="1">
        <f t="array" aca="1" ref="H28" ca="1">INDIRECT("R[36]C["&amp;$A$28&amp;"]",FALSE)</f>
        <v>32.868859317376938</v>
      </c>
      <c r="I28" s="183" cm="1">
        <f t="array" aca="1" ref="I28" ca="1">INDIRECT("R[36]C["&amp;$A$28&amp;"]",FALSE)</f>
        <v>17.85527462946818</v>
      </c>
      <c r="J28" s="183" cm="1">
        <f t="array" aca="1" ref="J28" ca="1">INDIRECT("R[36]C["&amp;$A$28&amp;"]",FALSE)</f>
        <v>8.2217196646035138</v>
      </c>
      <c r="K28" s="183" cm="1">
        <f t="array" aca="1" ref="K28" ca="1">INDIRECT("R[36]C["&amp;$A$28&amp;"]",FALSE)</f>
        <v>13.656934375771332</v>
      </c>
      <c r="L28" s="183" cm="1">
        <f t="array" aca="1" ref="L28" ca="1">INDIRECT("R[36]C["&amp;$A$28&amp;"]",FALSE)</f>
        <v>22.94649831235914</v>
      </c>
      <c r="M28" s="183" cm="1">
        <f t="array" aca="1" ref="M28" ca="1">INDIRECT("R[36]C["&amp;$A$28&amp;"]",FALSE)</f>
        <v>16.666666666666668</v>
      </c>
      <c r="N28" s="183" cm="1">
        <f t="array" aca="1" ref="N28" ca="1">INDIRECT("R[36]C["&amp;$A$28&amp;"]",FALSE)</f>
        <v>13.93273946915634</v>
      </c>
      <c r="O28" s="183" cm="1">
        <f t="array" aca="1" ref="O28" ca="1">INDIRECT("R[36]C["&amp;$A$28&amp;"]",FALSE)</f>
        <v>16.666666666666664</v>
      </c>
      <c r="P28" s="183"/>
      <c r="Q28" s="183"/>
      <c r="R28" s="115">
        <f t="shared" ca="1" si="18"/>
        <v>185.69931629902399</v>
      </c>
    </row>
    <row r="29" spans="1:18" ht="15.5" x14ac:dyDescent="0.35">
      <c r="A29" s="121">
        <f>Assumptions!C52</f>
        <v>1</v>
      </c>
      <c r="B29" s="106" t="s">
        <v>117</v>
      </c>
      <c r="C29" s="183" cm="1">
        <f t="array" aca="1" ref="C29" ca="1">INDIRECT("R[36]C["&amp;$A$29&amp;"]",FALSE)</f>
        <v>10</v>
      </c>
      <c r="D29" s="183" cm="1">
        <f t="array" aca="1" ref="D29" ca="1">INDIRECT("R[36]C["&amp;$A$29&amp;"]",FALSE)</f>
        <v>36.269775508176423</v>
      </c>
      <c r="E29" s="183" cm="1">
        <f t="array" aca="1" ref="E29" ca="1">INDIRECT("R[36]C["&amp;$A$29&amp;"]",FALSE)</f>
        <v>67.074162538334519</v>
      </c>
      <c r="F29" s="183" cm="1">
        <f t="array" aca="1" ref="F29" ca="1">INDIRECT("R[36]C["&amp;$A$29&amp;"]",FALSE)</f>
        <v>61.542669584245083</v>
      </c>
      <c r="G29" s="183" cm="1">
        <f t="array" aca="1" ref="G29" ca="1">INDIRECT("R[36]C["&amp;$A$29&amp;"]",FALSE)</f>
        <v>94.04564289711989</v>
      </c>
      <c r="H29" s="183" cm="1">
        <f t="array" aca="1" ref="H29" ca="1">INDIRECT("R[36]C["&amp;$A$29&amp;"]",FALSE)</f>
        <v>58.051965461038876</v>
      </c>
      <c r="I29" s="183" cm="1">
        <f t="array" aca="1" ref="I29" ca="1">INDIRECT("R[36]C["&amp;$A$29&amp;"]",FALSE)</f>
        <v>17.85527462946818</v>
      </c>
      <c r="J29" s="183" cm="1">
        <f t="array" aca="1" ref="J29" ca="1">INDIRECT("R[36]C["&amp;$A$29&amp;"]",FALSE)</f>
        <v>18.752626025129622</v>
      </c>
      <c r="K29" s="183" cm="1">
        <f t="array" aca="1" ref="K29" ca="1">INDIRECT("R[36]C["&amp;$A$29&amp;"]",FALSE)</f>
        <v>13.656934375771332</v>
      </c>
      <c r="L29" s="183" cm="1">
        <f t="array" aca="1" ref="L29" ca="1">INDIRECT("R[36]C["&amp;$A$29&amp;"]",FALSE)</f>
        <v>40.416794522384372</v>
      </c>
      <c r="M29" s="183" cm="1">
        <f t="array" aca="1" ref="M29" ca="1">INDIRECT("R[36]C["&amp;$A$29&amp;"]",FALSE)</f>
        <v>16.666666666666668</v>
      </c>
      <c r="N29" s="183" cm="1">
        <f t="array" aca="1" ref="N29" ca="1">INDIRECT("R[36]C["&amp;$A$29&amp;"]",FALSE)</f>
        <v>13.93273946915634</v>
      </c>
      <c r="O29" s="183" cm="1">
        <f t="array" aca="1" ref="O29" ca="1">INDIRECT("R[36]C["&amp;$A$29&amp;"]",FALSE)</f>
        <v>16.666666666666664</v>
      </c>
      <c r="P29" s="183"/>
      <c r="Q29" s="183"/>
      <c r="R29" s="115">
        <f t="shared" ca="1" si="18"/>
        <v>464.93191834415802</v>
      </c>
    </row>
    <row r="30" spans="1:18" ht="15.5" x14ac:dyDescent="0.35">
      <c r="A30" s="121">
        <f>Assumptions!C54</f>
        <v>1</v>
      </c>
      <c r="B30" s="106" t="s">
        <v>354</v>
      </c>
      <c r="C30" s="183" cm="1">
        <f t="array" aca="1" ref="C30" ca="1">INDIRECT("R[36]C["&amp;$A$30&amp;"]",FALSE)</f>
        <v>2</v>
      </c>
      <c r="D30" s="183" cm="1">
        <f t="array" aca="1" ref="D30" ca="1">INDIRECT("R[36]C["&amp;$A$30&amp;"]",FALSE)</f>
        <v>4.5519589535603551</v>
      </c>
      <c r="E30" s="183" cm="1">
        <f t="array" aca="1" ref="E30" ca="1">INDIRECT("R[36]C["&amp;$A$30&amp;"]",FALSE)</f>
        <v>7.9076433121019116</v>
      </c>
      <c r="F30" s="183" cm="1">
        <f t="array" aca="1" ref="F30" ca="1">INDIRECT("R[36]C["&amp;$A$30&amp;"]",FALSE)</f>
        <v>8.6159737417943116</v>
      </c>
      <c r="G30" s="183" cm="1">
        <f t="array" aca="1" ref="G30" ca="1">INDIRECT("R[36]C["&amp;$A$30&amp;"]",FALSE)</f>
        <v>5.1635601883484554</v>
      </c>
      <c r="H30" s="183" cm="1">
        <f t="array" aca="1" ref="H30" ca="1">INDIRECT("R[36]C["&amp;$A$30&amp;"]",FALSE)</f>
        <v>5.6878839398445926</v>
      </c>
      <c r="I30" s="183" cm="1">
        <f t="array" aca="1" ref="I30" ca="1">INDIRECT("R[36]C["&amp;$A$30&amp;"]",FALSE)</f>
        <v>8.7183958151700089</v>
      </c>
      <c r="J30" s="183" cm="1">
        <f t="array" aca="1" ref="J30" ca="1">INDIRECT("R[36]C["&amp;$A$30&amp;"]",FALSE)</f>
        <v>9.3044152582961583</v>
      </c>
      <c r="K30" s="183" cm="1">
        <f t="array" aca="1" ref="K30" ca="1">INDIRECT("R[36]C["&amp;$A$30&amp;"]",FALSE)</f>
        <v>3.2776642501851208</v>
      </c>
      <c r="L30" s="183" cm="1">
        <f t="array" aca="1" ref="L30" ca="1">INDIRECT("R[36]C["&amp;$A$30&amp;"]",FALSE)</f>
        <v>5.9187903591276907</v>
      </c>
      <c r="M30" s="183" cm="1">
        <f t="array" aca="1" ref="M30" ca="1">INDIRECT("R[36]C["&amp;$A$30&amp;"]",FALSE)</f>
        <v>3.3641715727502106</v>
      </c>
      <c r="N30" s="183" cm="1">
        <f t="array" aca="1" ref="N30" ca="1">INDIRECT("R[36]C["&amp;$A$30&amp;"]",FALSE)</f>
        <v>4.0958567768220497</v>
      </c>
      <c r="O30" s="183" cm="1">
        <f t="array" aca="1" ref="O30" ca="1">INDIRECT("R[36]C["&amp;$A$30&amp;"]",FALSE)</f>
        <v>4.329004329004329</v>
      </c>
      <c r="P30" s="183"/>
      <c r="Q30" s="183"/>
      <c r="R30" s="115">
        <f ca="1">SUM(C30:Q30)</f>
        <v>72.935318497005198</v>
      </c>
    </row>
    <row r="31" spans="1:18" ht="15.5" x14ac:dyDescent="0.35">
      <c r="A31" s="116"/>
      <c r="B31" s="129" t="s">
        <v>119</v>
      </c>
      <c r="C31" s="184"/>
      <c r="D31" s="180"/>
      <c r="E31" s="180"/>
      <c r="F31" s="180"/>
      <c r="G31" s="180"/>
      <c r="H31" s="180"/>
      <c r="I31" s="180"/>
      <c r="J31" s="180"/>
      <c r="K31" s="180"/>
      <c r="L31" s="180"/>
      <c r="M31" s="180"/>
      <c r="N31" s="180"/>
      <c r="O31" s="180"/>
      <c r="P31" s="180"/>
      <c r="Q31" s="180"/>
      <c r="R31" s="181"/>
    </row>
    <row r="32" spans="1:18" ht="15.5" x14ac:dyDescent="0.35">
      <c r="A32" s="121">
        <f>Assumptions!C48</f>
        <v>2</v>
      </c>
      <c r="B32" s="106" t="s">
        <v>355</v>
      </c>
      <c r="C32" s="183" cm="1">
        <f t="array" aca="1" ref="C32" ca="1">INDIRECT("R[36]C["&amp;$A$32&amp;"]",FALSE)</f>
        <v>4.6160801611904221</v>
      </c>
      <c r="D32" s="183" cm="1">
        <f t="array" aca="1" ref="D32" ca="1">INDIRECT("R[36]C["&amp;$A$32&amp;"]",FALSE)</f>
        <v>5.2626658808706086</v>
      </c>
      <c r="E32" s="183" cm="1">
        <f t="array" aca="1" ref="E32" ca="1">INDIRECT("R[36]C["&amp;$A$32&amp;"]",FALSE)</f>
        <v>8.0598733448474373</v>
      </c>
      <c r="F32" s="183" cm="1">
        <f t="array" aca="1" ref="F32" ca="1">INDIRECT("R[36]C["&amp;$A$32&amp;"]",FALSE)</f>
        <v>4.8194111197622869</v>
      </c>
      <c r="G32" s="183" cm="1">
        <f t="array" aca="1" ref="G32" ca="1">INDIRECT("R[36]C["&amp;$A$32&amp;"]",FALSE)</f>
        <v>5.6878839398445926</v>
      </c>
      <c r="H32" s="183" cm="1">
        <f t="array" aca="1" ref="H32" ca="1">INDIRECT("R[36]C["&amp;$A$32&amp;"]",FALSE)</f>
        <v>8.7183958151700107</v>
      </c>
      <c r="I32" s="183" cm="1">
        <f t="array" aca="1" ref="I32" ca="1">INDIRECT("R[36]C["&amp;$A$32&amp;"]",FALSE)</f>
        <v>6.7668474605790241</v>
      </c>
      <c r="J32" s="183" cm="1">
        <f t="array" aca="1" ref="J32" ca="1">INDIRECT("R[36]C["&amp;$A$32&amp;"]",FALSE)</f>
        <v>2.8779490977235205</v>
      </c>
      <c r="K32" s="183" cm="1">
        <f t="array" aca="1" ref="K32" ca="1">INDIRECT("R[36]C["&amp;$A$32&amp;"]",FALSE)</f>
        <v>5.5483238856710528</v>
      </c>
      <c r="L32" s="183" cm="1">
        <f t="array" aca="1" ref="L32" ca="1">INDIRECT("R[36]C["&amp;$A$32&amp;"]",FALSE)</f>
        <v>3.3641715727502102</v>
      </c>
      <c r="M32" s="183" cm="1">
        <f t="array" aca="1" ref="M32" ca="1">INDIRECT("R[36]C["&amp;$A$32&amp;"]",FALSE)</f>
        <v>4.0958567768220506</v>
      </c>
      <c r="N32" s="183" cm="1">
        <f t="array" aca="1" ref="N32" ca="1">INDIRECT("R[36]C["&amp;$A$32&amp;"]",FALSE)</f>
        <v>4.329004329004329</v>
      </c>
      <c r="O32" s="183" cm="1">
        <f t="array" aca="1" ref="O32" ca="1">INDIRECT("R[36]C["&amp;$A$32&amp;"]",FALSE)</f>
        <v>0</v>
      </c>
      <c r="P32" s="183"/>
      <c r="Q32" s="183"/>
      <c r="R32" s="115">
        <f ca="1">SUM(C32:Q32)</f>
        <v>64.146463384235545</v>
      </c>
    </row>
    <row r="33" spans="1:19" ht="15.5" x14ac:dyDescent="0.35">
      <c r="A33" s="116"/>
      <c r="B33" s="129" t="s">
        <v>356</v>
      </c>
      <c r="C33" s="184"/>
      <c r="D33" s="184"/>
      <c r="E33" s="184"/>
      <c r="F33" s="184"/>
      <c r="G33" s="184"/>
      <c r="H33" s="184"/>
      <c r="I33" s="184"/>
      <c r="J33" s="184"/>
      <c r="K33" s="184"/>
      <c r="L33" s="184"/>
      <c r="M33" s="184"/>
      <c r="N33" s="184"/>
      <c r="O33" s="184"/>
      <c r="P33" s="184"/>
      <c r="Q33" s="184"/>
      <c r="R33" s="181"/>
    </row>
    <row r="34" spans="1:19" ht="15.5" x14ac:dyDescent="0.35">
      <c r="A34" s="121">
        <f>Assumptions!C49</f>
        <v>1</v>
      </c>
      <c r="B34" s="106" t="s">
        <v>357</v>
      </c>
      <c r="C34" s="183" cm="1">
        <f t="array" aca="1" ref="C34" ca="1">INDIRECT("R[36]C["&amp;$A$34&amp;"]",FALSE)</f>
        <v>125.50240000000001</v>
      </c>
      <c r="D34" s="183" cm="1">
        <f t="array" aca="1" ref="D34" ca="1">INDIRECT("R[36]C["&amp;$A$34&amp;"]",FALSE)</f>
        <v>398.02331261749072</v>
      </c>
      <c r="E34" s="183" cm="1">
        <f t="array" aca="1" ref="E34" ca="1">INDIRECT("R[36]C["&amp;$A$34&amp;"]",FALSE)</f>
        <v>636.4204506946844</v>
      </c>
      <c r="F34" s="183" cm="1">
        <f t="array" aca="1" ref="F34" ca="1">INDIRECT("R[36]C["&amp;$A$34&amp;"]",FALSE)</f>
        <v>599.0478295912493</v>
      </c>
      <c r="G34" s="183" cm="1">
        <f t="array" aca="1" ref="G34" ca="1">INDIRECT("R[36]C["&amp;$A$34&amp;"]",FALSE)</f>
        <v>402.56589406003224</v>
      </c>
      <c r="H34" s="183" cm="1">
        <f t="array" aca="1" ref="H34" ca="1">INDIRECT("R[36]C["&amp;$A$34&amp;"]",FALSE)</f>
        <v>714.52383357448048</v>
      </c>
      <c r="I34" s="183" cm="1">
        <f t="array" aca="1" ref="I34" ca="1">INDIRECT("R[36]C["&amp;$A$34&amp;"]",FALSE)</f>
        <v>585.60000000000014</v>
      </c>
      <c r="J34" s="183" cm="1">
        <f t="array" aca="1" ref="J34" ca="1">INDIRECT("R[36]C["&amp;$A$34&amp;"]",FALSE)</f>
        <v>807.14590917461123</v>
      </c>
      <c r="K34" s="183" cm="1">
        <f t="array" aca="1" ref="K34" ca="1">INDIRECT("R[36]C["&amp;$A$34&amp;"]",FALSE)</f>
        <v>257.4747335301347</v>
      </c>
      <c r="L34" s="183" cm="1">
        <f t="array" aca="1" ref="L34" ca="1">INDIRECT("R[36]C["&amp;$A$34&amp;"]",FALSE)</f>
        <v>480.95683062315203</v>
      </c>
      <c r="M34" s="183" cm="1">
        <f t="array" aca="1" ref="M34" ca="1">INDIRECT("R[36]C["&amp;$A$34&amp;"]",FALSE)</f>
        <v>244</v>
      </c>
      <c r="N34" s="183" cm="1">
        <f t="array" aca="1" ref="N34" ca="1">INDIRECT("R[36]C["&amp;$A$34&amp;"]",FALSE)</f>
        <v>244</v>
      </c>
      <c r="O34" s="183" cm="1">
        <f t="array" aca="1" ref="O34" ca="1">INDIRECT("R[36]C["&amp;$A$34&amp;"]",FALSE)</f>
        <v>244.00000000000003</v>
      </c>
      <c r="P34" s="183"/>
      <c r="Q34" s="183"/>
      <c r="R34" s="115">
        <f ca="1">SUM(C34:Q34)</f>
        <v>5739.2611938658356</v>
      </c>
    </row>
    <row r="35" spans="1:19" ht="15.5" x14ac:dyDescent="0.35">
      <c r="A35" s="121">
        <f>Assumptions!C50</f>
        <v>1</v>
      </c>
      <c r="B35" s="106" t="s">
        <v>358</v>
      </c>
      <c r="C35" s="183" cm="1">
        <f t="array" aca="1" ref="C35" ca="1">INDIRECT("R[36]C["&amp;$A$35&amp;"]",FALSE)</f>
        <v>256</v>
      </c>
      <c r="D35" s="183" cm="1">
        <f t="array" aca="1" ref="D35" ca="1">INDIRECT("R[36]C["&amp;$A$35&amp;"]",FALSE)</f>
        <v>427.63994400169986</v>
      </c>
      <c r="E35" s="183" cm="1">
        <f t="array" aca="1" ref="E35" ca="1">INDIRECT("R[36]C["&amp;$A$35&amp;"]",FALSE)</f>
        <v>443.37960046334877</v>
      </c>
      <c r="F35" s="183" cm="1">
        <f t="array" aca="1" ref="F35" ca="1">INDIRECT("R[36]C["&amp;$A$35&amp;"]",FALSE)</f>
        <v>574.18422567645371</v>
      </c>
      <c r="G35" s="183" cm="1">
        <f t="array" aca="1" ref="G35" ca="1">INDIRECT("R[36]C["&amp;$A$35&amp;"]",FALSE)</f>
        <v>507.00204979899257</v>
      </c>
      <c r="H35" s="183" cm="1">
        <f t="array" aca="1" ref="H35" ca="1">INDIRECT("R[36]C["&amp;$A$35&amp;"]",FALSE)</f>
        <v>468.30147270036503</v>
      </c>
      <c r="I35" s="183" cm="1">
        <f t="array" aca="1" ref="I35" ca="1">INDIRECT("R[36]C["&amp;$A$35&amp;"]",FALSE)</f>
        <v>1203.5925021795993</v>
      </c>
      <c r="J35" s="183" cm="1">
        <f t="array" aca="1" ref="J35" ca="1">INDIRECT("R[36]C["&amp;$A$35&amp;"]",FALSE)</f>
        <v>575.10167783562258</v>
      </c>
      <c r="K35" s="183" cm="1">
        <f t="array" aca="1" ref="K35" ca="1">INDIRECT("R[36]C["&amp;$A$35&amp;"]",FALSE)</f>
        <v>348.23184082454594</v>
      </c>
      <c r="L35" s="183" cm="1">
        <f t="array" aca="1" ref="L35" ca="1">INDIRECT("R[36]C["&amp;$A$35&amp;"]",FALSE)</f>
        <v>778.09971588845133</v>
      </c>
      <c r="M35" s="183" cm="1">
        <f t="array" aca="1" ref="M35" ca="1">INDIRECT("R[36]C["&amp;$A$35&amp;"]",FALSE)</f>
        <v>504.62573591253152</v>
      </c>
      <c r="N35" s="183" cm="1">
        <f t="array" aca="1" ref="N35" ca="1">INDIRECT("R[36]C["&amp;$A$35&amp;"]",FALSE)</f>
        <v>550.81491520380609</v>
      </c>
      <c r="O35" s="183" cm="1">
        <f t="array" aca="1" ref="O35" ca="1">INDIRECT("R[36]C["&amp;$A$35&amp;"]",FALSE)</f>
        <v>606.06060606060601</v>
      </c>
      <c r="P35" s="183"/>
      <c r="Q35" s="183"/>
      <c r="R35" s="115">
        <f ca="1">SUM(C35:Q35)</f>
        <v>7243.0342865460216</v>
      </c>
    </row>
    <row r="36" spans="1:19" ht="15.5" x14ac:dyDescent="0.35">
      <c r="A36" s="116"/>
      <c r="B36" s="129"/>
      <c r="C36" s="179"/>
      <c r="D36" s="179"/>
      <c r="E36" s="179"/>
      <c r="F36" s="179"/>
      <c r="G36" s="179"/>
      <c r="H36" s="179"/>
      <c r="I36" s="179"/>
      <c r="J36" s="179"/>
      <c r="K36" s="179"/>
      <c r="L36" s="179"/>
      <c r="M36" s="179"/>
      <c r="N36" s="179"/>
      <c r="O36" s="179"/>
      <c r="P36" s="179"/>
      <c r="Q36" s="179"/>
      <c r="R36" s="181"/>
    </row>
    <row r="37" spans="1:19" ht="15.5" x14ac:dyDescent="0.35">
      <c r="A37" s="116"/>
      <c r="B37" s="116"/>
      <c r="C37" s="116"/>
      <c r="D37" s="115"/>
      <c r="E37" s="115"/>
      <c r="F37" s="115"/>
      <c r="G37" s="115"/>
      <c r="H37" s="115"/>
      <c r="I37" s="115"/>
      <c r="J37" s="115"/>
      <c r="K37" s="115"/>
      <c r="L37" s="115"/>
      <c r="M37" s="115"/>
      <c r="N37" s="115"/>
      <c r="O37" s="115"/>
      <c r="P37" s="115"/>
      <c r="Q37" s="115"/>
      <c r="R37" s="115"/>
    </row>
    <row r="38" spans="1:19" ht="15.5" x14ac:dyDescent="0.35">
      <c r="A38" s="116"/>
      <c r="B38" s="116"/>
      <c r="C38" s="116"/>
      <c r="D38" s="115"/>
      <c r="E38" s="115"/>
      <c r="F38" s="115"/>
      <c r="G38" s="115"/>
      <c r="H38" s="115"/>
      <c r="I38" s="115"/>
      <c r="J38" s="115"/>
      <c r="K38" s="115"/>
      <c r="L38" s="115"/>
      <c r="M38" s="115"/>
      <c r="N38" s="115"/>
      <c r="O38" s="115"/>
      <c r="P38" s="115"/>
      <c r="Q38" s="115"/>
      <c r="R38" s="115"/>
    </row>
    <row r="39" spans="1:19" ht="15.5" x14ac:dyDescent="0.35">
      <c r="A39" s="116"/>
      <c r="B39" s="116" t="s">
        <v>235</v>
      </c>
      <c r="C39" s="116"/>
      <c r="D39" s="115"/>
      <c r="E39" s="115"/>
      <c r="F39" s="115"/>
      <c r="G39" s="115"/>
      <c r="H39" s="115"/>
      <c r="I39" s="115"/>
      <c r="J39" s="115"/>
      <c r="K39" s="115"/>
      <c r="L39" s="115"/>
      <c r="M39" s="115"/>
      <c r="N39" s="115"/>
      <c r="O39" s="115"/>
      <c r="P39" s="115"/>
      <c r="Q39" s="115"/>
      <c r="R39" s="115"/>
    </row>
    <row r="40" spans="1:19" ht="15.5" x14ac:dyDescent="0.35">
      <c r="A40" s="116"/>
      <c r="B40" s="116"/>
      <c r="C40" s="116"/>
      <c r="D40" s="115"/>
      <c r="E40" s="115"/>
      <c r="F40" s="115"/>
      <c r="G40" s="115"/>
      <c r="H40" s="115"/>
      <c r="I40" s="115"/>
      <c r="J40" s="115"/>
      <c r="K40" s="115"/>
      <c r="L40" s="115"/>
      <c r="M40" s="115"/>
      <c r="N40" s="115"/>
      <c r="O40" s="115"/>
      <c r="P40" s="115"/>
      <c r="Q40" s="115"/>
      <c r="R40" s="115"/>
    </row>
    <row r="41" spans="1:19" ht="15.5" x14ac:dyDescent="0.35">
      <c r="A41" s="116"/>
      <c r="B41" s="116"/>
      <c r="C41" s="116"/>
      <c r="D41" s="115"/>
      <c r="E41" s="115"/>
      <c r="F41" s="115"/>
      <c r="G41" s="115"/>
      <c r="H41" s="115"/>
      <c r="I41" s="115"/>
      <c r="J41" s="115"/>
      <c r="K41" s="115"/>
      <c r="L41" s="115"/>
      <c r="M41" s="115"/>
      <c r="N41" s="115"/>
      <c r="O41" s="115"/>
      <c r="P41" s="115"/>
      <c r="Q41" s="115"/>
      <c r="R41" s="115"/>
    </row>
    <row r="42" spans="1:19" ht="15.5" x14ac:dyDescent="0.35">
      <c r="A42" s="116"/>
      <c r="B42" s="116"/>
      <c r="C42" s="116"/>
      <c r="D42" s="116"/>
      <c r="E42" s="116"/>
      <c r="F42" s="116"/>
      <c r="G42" s="116"/>
      <c r="H42" s="116"/>
      <c r="I42" s="116"/>
      <c r="J42" s="116"/>
      <c r="K42" s="116"/>
      <c r="L42" s="116"/>
      <c r="M42" s="116"/>
      <c r="N42" s="116"/>
      <c r="O42" s="116"/>
      <c r="P42" s="116"/>
      <c r="Q42" s="116"/>
      <c r="R42" s="115"/>
    </row>
    <row r="43" spans="1:19" ht="15.5" x14ac:dyDescent="0.35">
      <c r="A43" s="116"/>
      <c r="B43" s="116"/>
      <c r="C43" s="116"/>
      <c r="D43" s="116"/>
      <c r="E43" s="116"/>
      <c r="F43" s="116"/>
      <c r="G43" s="116"/>
      <c r="H43" s="116"/>
      <c r="I43" s="116"/>
      <c r="J43" s="116"/>
      <c r="K43" s="116"/>
      <c r="L43" s="116"/>
      <c r="M43" s="116"/>
      <c r="N43" s="116"/>
      <c r="O43" s="116"/>
      <c r="P43" s="116"/>
      <c r="Q43" s="116"/>
      <c r="R43" s="115"/>
    </row>
    <row r="44" spans="1:19" ht="15.5" x14ac:dyDescent="0.35">
      <c r="A44" s="116"/>
      <c r="B44" s="120" t="s">
        <v>193</v>
      </c>
      <c r="C44" s="120"/>
      <c r="D44" s="116"/>
      <c r="E44" s="116"/>
      <c r="F44" s="116"/>
      <c r="G44" s="116"/>
      <c r="H44" s="116"/>
      <c r="I44" s="116"/>
      <c r="J44" s="116"/>
      <c r="K44" s="116"/>
      <c r="L44" s="116"/>
      <c r="M44" s="116"/>
      <c r="N44" s="116"/>
      <c r="O44" s="116"/>
      <c r="P44" s="116"/>
      <c r="Q44" s="116"/>
      <c r="R44" s="115"/>
    </row>
    <row r="45" spans="1:19" ht="15.5" x14ac:dyDescent="0.35">
      <c r="A45" s="116"/>
      <c r="B45" s="129" t="s">
        <v>112</v>
      </c>
      <c r="C45" s="180">
        <f ca="1">SUM(C46:C48)</f>
        <v>0</v>
      </c>
      <c r="D45" s="180">
        <f t="shared" ref="D45" ca="1" si="19">SUM(D46:D48)</f>
        <v>42.769230769230774</v>
      </c>
      <c r="E45" s="180">
        <f t="shared" ref="E45" ca="1" si="20">SUM(E46:E48)</f>
        <v>154</v>
      </c>
      <c r="F45" s="180">
        <f t="shared" ref="F45" ca="1" si="21">SUM(F46:F48)</f>
        <v>254.66666666666669</v>
      </c>
      <c r="G45" s="180">
        <f t="shared" ref="G45" ca="1" si="22">SUM(G46:G48)</f>
        <v>300</v>
      </c>
      <c r="H45" s="180">
        <f t="shared" ref="H45" ca="1" si="23">SUM(H46:H48)</f>
        <v>199.97435897435898</v>
      </c>
      <c r="I45" s="180">
        <f t="shared" ref="I45" ca="1" si="24">SUM(I46:I48)</f>
        <v>266.66666666666669</v>
      </c>
      <c r="J45" s="180">
        <f t="shared" ref="J45" ca="1" si="25">SUM(J46:J48)</f>
        <v>266.66666666666669</v>
      </c>
      <c r="K45" s="180">
        <f t="shared" ref="K45" ca="1" si="26">SUM(K46:K48)</f>
        <v>266.66666666666669</v>
      </c>
      <c r="L45" s="180">
        <f t="shared" ref="L45" ca="1" si="27">SUM(L46:L48)</f>
        <v>182.22222222222223</v>
      </c>
      <c r="M45" s="180">
        <f t="shared" ref="M45" ca="1" si="28">SUM(M46:M48)</f>
        <v>177.93422143004935</v>
      </c>
      <c r="N45" s="180">
        <f t="shared" ref="N45" ca="1" si="29">SUM(N46:N48)</f>
        <v>111.11111111111111</v>
      </c>
      <c r="O45" s="180">
        <f t="shared" ref="O45" ca="1" si="30">SUM(O46:O48)</f>
        <v>111.11111111111111</v>
      </c>
      <c r="P45" s="180">
        <f t="shared" ref="P45:Q45" ca="1" si="31">SUM(P46:P48)</f>
        <v>111.11111111111111</v>
      </c>
      <c r="Q45" s="180">
        <f t="shared" si="31"/>
        <v>0</v>
      </c>
      <c r="R45" s="181">
        <f ca="1">SUM(C45:Q45)</f>
        <v>2444.900033395862</v>
      </c>
    </row>
    <row r="46" spans="1:19" ht="15.5" x14ac:dyDescent="0.35">
      <c r="A46" s="121">
        <f>Assumptions!C55</f>
        <v>1</v>
      </c>
      <c r="B46" s="123">
        <v>12</v>
      </c>
      <c r="C46" s="183" cm="1">
        <f t="array" aca="1" ref="C46" ca="1">INDIRECT("R[40]C["&amp;$A$46&amp;"]",FALSE)</f>
        <v>0</v>
      </c>
      <c r="D46" s="183" cm="1">
        <f t="array" aca="1" ref="D46" ca="1">INDIRECT("R[40]C["&amp;$A$46&amp;"]",FALSE)</f>
        <v>42.769230769230774</v>
      </c>
      <c r="E46" s="183" cm="1">
        <f t="array" aca="1" ref="E46" ca="1">INDIRECT("R[40]C["&amp;$A$46&amp;"]",FALSE)</f>
        <v>110</v>
      </c>
      <c r="F46" s="183" cm="1">
        <f t="array" aca="1" ref="F46" ca="1">INDIRECT("R[40]C["&amp;$A$46&amp;"]",FALSE)</f>
        <v>166.66666666666666</v>
      </c>
      <c r="G46" s="183" cm="1">
        <f t="array" aca="1" ref="G46" ca="1">INDIRECT("R[40]C["&amp;$A$46&amp;"]",FALSE)</f>
        <v>166.66666666666666</v>
      </c>
      <c r="H46" s="183" cm="1">
        <f t="array" aca="1" ref="H46" ca="1">INDIRECT("R[40]C["&amp;$A$46&amp;"]",FALSE)</f>
        <v>66.641025641025635</v>
      </c>
      <c r="I46" s="183" cm="1">
        <f t="array" aca="1" ref="I46" ca="1">INDIRECT("R[40]C["&amp;$A$46&amp;"]",FALSE)</f>
        <v>0</v>
      </c>
      <c r="J46" s="183" cm="1">
        <f t="array" aca="1" ref="J46" ca="1">INDIRECT("R[40]C["&amp;$A$46&amp;"]",FALSE)</f>
        <v>0</v>
      </c>
      <c r="K46" s="183" cm="1">
        <f t="array" aca="1" ref="K46" ca="1">INDIRECT("R[40]C["&amp;$A$46&amp;"]",FALSE)</f>
        <v>0</v>
      </c>
      <c r="L46" s="183" cm="1">
        <f t="array" aca="1" ref="L46" ca="1">INDIRECT("R[40]C["&amp;$A$46&amp;"]",FALSE)</f>
        <v>0</v>
      </c>
      <c r="M46" s="183" cm="1">
        <f t="array" aca="1" ref="M46" ca="1">INDIRECT("R[40]C["&amp;$A$46&amp;"]",FALSE)</f>
        <v>0</v>
      </c>
      <c r="N46" s="183" cm="1">
        <f t="array" aca="1" ref="N46" ca="1">INDIRECT("R[40]C["&amp;$A$46&amp;"]",FALSE)</f>
        <v>0</v>
      </c>
      <c r="O46" s="183" cm="1">
        <f t="array" aca="1" ref="O46" ca="1">INDIRECT("R[40]C["&amp;$A$46&amp;"]",FALSE)</f>
        <v>0</v>
      </c>
      <c r="P46" s="183" cm="1">
        <f t="array" aca="1" ref="P46" ca="1">INDIRECT("R[40]C["&amp;$A$46&amp;"]",FALSE)</f>
        <v>0</v>
      </c>
      <c r="Q46" s="116"/>
      <c r="R46" s="115">
        <f ca="1">SUM(D46:P46)</f>
        <v>552.74358974358972</v>
      </c>
    </row>
    <row r="47" spans="1:19" ht="15.5" x14ac:dyDescent="0.35">
      <c r="A47" s="121">
        <f>A46</f>
        <v>1</v>
      </c>
      <c r="B47" s="123">
        <v>15</v>
      </c>
      <c r="C47" s="183" cm="1">
        <f t="array" aca="1" ref="C47" ca="1">INDIRECT("R[40]C["&amp;$A$46&amp;"]",FALSE)</f>
        <v>0</v>
      </c>
      <c r="D47" s="183" cm="1">
        <f t="array" aca="1" ref="D47" ca="1">INDIRECT("R[40]C["&amp;$A$46&amp;"]",FALSE)</f>
        <v>0</v>
      </c>
      <c r="E47" s="183" cm="1">
        <f t="array" aca="1" ref="E47" ca="1">INDIRECT("R[40]C["&amp;$A$46&amp;"]",FALSE)</f>
        <v>44.000000000000007</v>
      </c>
      <c r="F47" s="183" cm="1">
        <f t="array" aca="1" ref="F47" ca="1">INDIRECT("R[40]C["&amp;$A$46&amp;"]",FALSE)</f>
        <v>88.000000000000014</v>
      </c>
      <c r="G47" s="183" cm="1">
        <f t="array" aca="1" ref="G47" ca="1">INDIRECT("R[40]C["&amp;$A$46&amp;"]",FALSE)</f>
        <v>133.33333333333334</v>
      </c>
      <c r="H47" s="183" cm="1">
        <f t="array" aca="1" ref="H47" ca="1">INDIRECT("R[40]C["&amp;$A$46&amp;"]",FALSE)</f>
        <v>133.33333333333334</v>
      </c>
      <c r="I47" s="183" cm="1">
        <f t="array" aca="1" ref="I47" ca="1">INDIRECT("R[40]C["&amp;$A$46&amp;"]",FALSE)</f>
        <v>266.66666666666669</v>
      </c>
      <c r="J47" s="183" cm="1">
        <f t="array" aca="1" ref="J47" ca="1">INDIRECT("R[40]C["&amp;$A$46&amp;"]",FALSE)</f>
        <v>266.66666666666669</v>
      </c>
      <c r="K47" s="183" cm="1">
        <f t="array" aca="1" ref="K47" ca="1">INDIRECT("R[40]C["&amp;$A$46&amp;"]",FALSE)</f>
        <v>266.66666666666669</v>
      </c>
      <c r="L47" s="183" cm="1">
        <f t="array" aca="1" ref="L47" ca="1">INDIRECT("R[40]C["&amp;$A$46&amp;"]",FALSE)</f>
        <v>133.33333333333334</v>
      </c>
      <c r="M47" s="183" cm="1">
        <f t="array" aca="1" ref="M47" ca="1">INDIRECT("R[40]C["&amp;$A$46&amp;"]",FALSE)</f>
        <v>66.823110318938234</v>
      </c>
      <c r="N47" s="183" cm="1">
        <f t="array" aca="1" ref="N47" ca="1">INDIRECT("R[40]C["&amp;$A$46&amp;"]",FALSE)</f>
        <v>0</v>
      </c>
      <c r="O47" s="183" cm="1">
        <f t="array" aca="1" ref="O47" ca="1">INDIRECT("R[40]C["&amp;$A$46&amp;"]",FALSE)</f>
        <v>0</v>
      </c>
      <c r="P47" s="183" cm="1">
        <f t="array" aca="1" ref="P47" ca="1">INDIRECT("R[40]C["&amp;$A$46&amp;"]",FALSE)</f>
        <v>0</v>
      </c>
      <c r="Q47" s="116"/>
      <c r="R47" s="115">
        <f ca="1">SUM(D47:P47)</f>
        <v>1398.8231103189385</v>
      </c>
    </row>
    <row r="48" spans="1:19" ht="15.5" x14ac:dyDescent="0.35">
      <c r="A48" s="121">
        <f>A47</f>
        <v>1</v>
      </c>
      <c r="B48" s="123">
        <v>18</v>
      </c>
      <c r="C48" s="183" cm="1">
        <f t="array" aca="1" ref="C48" ca="1">INDIRECT("R[40]C["&amp;$A$46&amp;"]",FALSE)</f>
        <v>0</v>
      </c>
      <c r="D48" s="183" cm="1">
        <f t="array" aca="1" ref="D48" ca="1">INDIRECT("R[40]C["&amp;$A$46&amp;"]",FALSE)</f>
        <v>0</v>
      </c>
      <c r="E48" s="183" cm="1">
        <f t="array" aca="1" ref="E48" ca="1">INDIRECT("R[40]C["&amp;$A$46&amp;"]",FALSE)</f>
        <v>0</v>
      </c>
      <c r="F48" s="183" cm="1">
        <f t="array" aca="1" ref="F48" ca="1">INDIRECT("R[40]C["&amp;$A$46&amp;"]",FALSE)</f>
        <v>0</v>
      </c>
      <c r="G48" s="183" cm="1">
        <f t="array" aca="1" ref="G48" ca="1">INDIRECT("R[40]C["&amp;$A$46&amp;"]",FALSE)</f>
        <v>0</v>
      </c>
      <c r="H48" s="183" cm="1">
        <f t="array" aca="1" ref="H48" ca="1">INDIRECT("R[40]C["&amp;$A$46&amp;"]",FALSE)</f>
        <v>0</v>
      </c>
      <c r="I48" s="183" cm="1">
        <f t="array" aca="1" ref="I48" ca="1">INDIRECT("R[40]C["&amp;$A$46&amp;"]",FALSE)</f>
        <v>0</v>
      </c>
      <c r="J48" s="183" cm="1">
        <f t="array" aca="1" ref="J48" ca="1">INDIRECT("R[40]C["&amp;$A$46&amp;"]",FALSE)</f>
        <v>0</v>
      </c>
      <c r="K48" s="183" cm="1">
        <f t="array" aca="1" ref="K48" ca="1">INDIRECT("R[40]C["&amp;$A$46&amp;"]",FALSE)</f>
        <v>0</v>
      </c>
      <c r="L48" s="183" cm="1">
        <f t="array" aca="1" ref="L48" ca="1">INDIRECT("R[40]C["&amp;$A$46&amp;"]",FALSE)</f>
        <v>48.888888888888893</v>
      </c>
      <c r="M48" s="183" cm="1">
        <f t="array" aca="1" ref="M48" ca="1">INDIRECT("R[40]C["&amp;$A$46&amp;"]",FALSE)</f>
        <v>111.11111111111111</v>
      </c>
      <c r="N48" s="183" cm="1">
        <f t="array" aca="1" ref="N48" ca="1">INDIRECT("R[40]C["&amp;$A$46&amp;"]",FALSE)</f>
        <v>111.11111111111111</v>
      </c>
      <c r="O48" s="183" cm="1">
        <f t="array" aca="1" ref="O48" ca="1">INDIRECT("R[40]C["&amp;$A$46&amp;"]",FALSE)</f>
        <v>111.11111111111111</v>
      </c>
      <c r="P48" s="183" cm="1">
        <f t="array" aca="1" ref="P48" ca="1">INDIRECT("R[40]C["&amp;$A$46&amp;"]",FALSE)</f>
        <v>111.11111111111111</v>
      </c>
      <c r="Q48" s="116"/>
      <c r="R48" s="115">
        <f ca="1">SUM(D48:P48)</f>
        <v>493.33333333333326</v>
      </c>
      <c r="S48" t="s">
        <v>91</v>
      </c>
    </row>
    <row r="49" spans="1:18" ht="15.5" x14ac:dyDescent="0.35">
      <c r="A49" s="116"/>
      <c r="B49" s="129" t="s">
        <v>351</v>
      </c>
      <c r="C49" s="179"/>
      <c r="D49" s="179"/>
      <c r="E49" s="179"/>
      <c r="F49" s="179"/>
      <c r="G49" s="179"/>
      <c r="H49" s="179"/>
      <c r="I49" s="179"/>
      <c r="J49" s="179"/>
      <c r="K49" s="179"/>
      <c r="L49" s="179"/>
      <c r="M49" s="179"/>
      <c r="N49" s="179"/>
      <c r="O49" s="179"/>
      <c r="P49" s="179"/>
      <c r="Q49" s="179"/>
      <c r="R49" s="181"/>
    </row>
    <row r="50" spans="1:18" ht="15.5" x14ac:dyDescent="0.35">
      <c r="A50" s="121">
        <f>A48</f>
        <v>1</v>
      </c>
      <c r="B50" s="123">
        <v>12</v>
      </c>
      <c r="C50" s="183" cm="1">
        <f t="array" aca="1" ref="C50" ca="1">INDIRECT("R[40]C["&amp;$A$50&amp;"]",FALSE)</f>
        <v>0</v>
      </c>
      <c r="D50" s="183" cm="1">
        <f t="array" aca="1" ref="D50" ca="1">INDIRECT("R[40]C["&amp;$A$50&amp;"]",FALSE)</f>
        <v>128.30769230769232</v>
      </c>
      <c r="E50" s="183" cm="1">
        <f t="array" aca="1" ref="E50" ca="1">INDIRECT("R[40]C["&amp;$A$50&amp;"]",FALSE)</f>
        <v>330</v>
      </c>
      <c r="F50" s="183" cm="1">
        <f t="array" aca="1" ref="F50" ca="1">INDIRECT("R[40]C["&amp;$A$50&amp;"]",FALSE)</f>
        <v>500</v>
      </c>
      <c r="G50" s="183" cm="1">
        <f t="array" aca="1" ref="G50" ca="1">INDIRECT("R[40]C["&amp;$A$50&amp;"]",FALSE)</f>
        <v>500</v>
      </c>
      <c r="H50" s="183" cm="1">
        <f t="array" aca="1" ref="H50" ca="1">INDIRECT("R[40]C["&amp;$A$50&amp;"]",FALSE)</f>
        <v>199.92307692307691</v>
      </c>
      <c r="I50" s="183" cm="1">
        <f t="array" aca="1" ref="I50" ca="1">INDIRECT("R[40]C["&amp;$A$50&amp;"]",FALSE)</f>
        <v>0</v>
      </c>
      <c r="J50" s="183" cm="1">
        <f t="array" aca="1" ref="J50" ca="1">INDIRECT("R[40]C["&amp;$A$50&amp;"]",FALSE)</f>
        <v>0</v>
      </c>
      <c r="K50" s="183" cm="1">
        <f t="array" aca="1" ref="K50" ca="1">INDIRECT("R[40]C["&amp;$A$50&amp;"]",FALSE)</f>
        <v>0</v>
      </c>
      <c r="L50" s="183" cm="1">
        <f t="array" aca="1" ref="L50" ca="1">INDIRECT("R[40]C["&amp;$A$50&amp;"]",FALSE)</f>
        <v>0</v>
      </c>
      <c r="M50" s="183" cm="1">
        <f t="array" aca="1" ref="M50" ca="1">INDIRECT("R[40]C["&amp;$A$50&amp;"]",FALSE)</f>
        <v>0</v>
      </c>
      <c r="N50" s="183" cm="1">
        <f t="array" aca="1" ref="N50" ca="1">INDIRECT("R[40]C["&amp;$A$50&amp;"]",FALSE)</f>
        <v>0</v>
      </c>
      <c r="O50" s="183" cm="1">
        <f t="array" aca="1" ref="O50" ca="1">INDIRECT("R[40]C["&amp;$A$50&amp;"]",FALSE)</f>
        <v>0</v>
      </c>
      <c r="P50" s="183" cm="1">
        <f t="array" aca="1" ref="P50" ca="1">INDIRECT("R[40]C["&amp;$A$50&amp;"]",FALSE)</f>
        <v>0</v>
      </c>
      <c r="Q50" s="115"/>
      <c r="R50" s="115">
        <f ca="1">SUM(D50:P50)</f>
        <v>1658.2307692307693</v>
      </c>
    </row>
    <row r="51" spans="1:18" ht="15.5" x14ac:dyDescent="0.35">
      <c r="A51" s="121">
        <f>A50</f>
        <v>1</v>
      </c>
      <c r="B51" s="123">
        <v>15</v>
      </c>
      <c r="C51" s="183" cm="1">
        <f t="array" aca="1" ref="C51" ca="1">INDIRECT("R[40]C["&amp;$A$50&amp;"]",FALSE)</f>
        <v>0</v>
      </c>
      <c r="D51" s="183" cm="1">
        <f t="array" aca="1" ref="D51" ca="1">INDIRECT("R[40]C["&amp;$A$50&amp;"]",FALSE)</f>
        <v>0</v>
      </c>
      <c r="E51" s="183" cm="1">
        <f t="array" aca="1" ref="E51" ca="1">INDIRECT("R[40]C["&amp;$A$50&amp;"]",FALSE)</f>
        <v>132.00000000000003</v>
      </c>
      <c r="F51" s="183" cm="1">
        <f t="array" aca="1" ref="F51" ca="1">INDIRECT("R[40]C["&amp;$A$50&amp;"]",FALSE)</f>
        <v>264.00000000000006</v>
      </c>
      <c r="G51" s="183" cm="1">
        <f t="array" aca="1" ref="G51" ca="1">INDIRECT("R[40]C["&amp;$A$50&amp;"]",FALSE)</f>
        <v>400</v>
      </c>
      <c r="H51" s="183" cm="1">
        <f t="array" aca="1" ref="H51" ca="1">INDIRECT("R[40]C["&amp;$A$50&amp;"]",FALSE)</f>
        <v>400</v>
      </c>
      <c r="I51" s="183" cm="1">
        <f t="array" aca="1" ref="I51" ca="1">INDIRECT("R[40]C["&amp;$A$50&amp;"]",FALSE)</f>
        <v>800</v>
      </c>
      <c r="J51" s="183" cm="1">
        <f t="array" aca="1" ref="J51" ca="1">INDIRECT("R[40]C["&amp;$A$50&amp;"]",FALSE)</f>
        <v>800</v>
      </c>
      <c r="K51" s="183" cm="1">
        <f t="array" aca="1" ref="K51" ca="1">INDIRECT("R[40]C["&amp;$A$50&amp;"]",FALSE)</f>
        <v>800</v>
      </c>
      <c r="L51" s="183" cm="1">
        <f t="array" aca="1" ref="L51" ca="1">INDIRECT("R[40]C["&amp;$A$50&amp;"]",FALSE)</f>
        <v>400</v>
      </c>
      <c r="M51" s="183" cm="1">
        <f t="array" aca="1" ref="M51" ca="1">INDIRECT("R[40]C["&amp;$A$50&amp;"]",FALSE)</f>
        <v>200.4693309568147</v>
      </c>
      <c r="N51" s="183" cm="1">
        <f t="array" aca="1" ref="N51" ca="1">INDIRECT("R[40]C["&amp;$A$50&amp;"]",FALSE)</f>
        <v>0</v>
      </c>
      <c r="O51" s="183" cm="1">
        <f t="array" aca="1" ref="O51" ca="1">INDIRECT("R[40]C["&amp;$A$50&amp;"]",FALSE)</f>
        <v>0</v>
      </c>
      <c r="P51" s="183" cm="1">
        <f t="array" aca="1" ref="P51" ca="1">INDIRECT("R[40]C["&amp;$A$50&amp;"]",FALSE)</f>
        <v>0</v>
      </c>
      <c r="Q51" s="115"/>
      <c r="R51" s="115">
        <f ca="1">SUM(D51:P51)</f>
        <v>4196.4693309568147</v>
      </c>
    </row>
    <row r="52" spans="1:18" ht="15.5" x14ac:dyDescent="0.35">
      <c r="A52" s="121">
        <f>A51</f>
        <v>1</v>
      </c>
      <c r="B52" s="123">
        <v>18</v>
      </c>
      <c r="C52" s="183" cm="1">
        <f t="array" aca="1" ref="C52" ca="1">INDIRECT("R[40]C["&amp;$A$50&amp;"]",FALSE)</f>
        <v>0</v>
      </c>
      <c r="D52" s="183" cm="1">
        <f t="array" aca="1" ref="D52" ca="1">INDIRECT("R[40]C["&amp;$A$50&amp;"]",FALSE)</f>
        <v>0</v>
      </c>
      <c r="E52" s="183" cm="1">
        <f t="array" aca="1" ref="E52" ca="1">INDIRECT("R[40]C["&amp;$A$50&amp;"]",FALSE)</f>
        <v>0</v>
      </c>
      <c r="F52" s="183" cm="1">
        <f t="array" aca="1" ref="F52" ca="1">INDIRECT("R[40]C["&amp;$A$50&amp;"]",FALSE)</f>
        <v>0</v>
      </c>
      <c r="G52" s="183" cm="1">
        <f t="array" aca="1" ref="G52" ca="1">INDIRECT("R[40]C["&amp;$A$50&amp;"]",FALSE)</f>
        <v>0</v>
      </c>
      <c r="H52" s="183" cm="1">
        <f t="array" aca="1" ref="H52" ca="1">INDIRECT("R[40]C["&amp;$A$50&amp;"]",FALSE)</f>
        <v>0</v>
      </c>
      <c r="I52" s="183" cm="1">
        <f t="array" aca="1" ref="I52" ca="1">INDIRECT("R[40]C["&amp;$A$50&amp;"]",FALSE)</f>
        <v>0</v>
      </c>
      <c r="J52" s="183" cm="1">
        <f t="array" aca="1" ref="J52" ca="1">INDIRECT("R[40]C["&amp;$A$50&amp;"]",FALSE)</f>
        <v>0</v>
      </c>
      <c r="K52" s="183" cm="1">
        <f t="array" aca="1" ref="K52" ca="1">INDIRECT("R[40]C["&amp;$A$50&amp;"]",FALSE)</f>
        <v>0</v>
      </c>
      <c r="L52" s="183" cm="1">
        <f t="array" aca="1" ref="L52" ca="1">INDIRECT("R[40]C["&amp;$A$50&amp;"]",FALSE)</f>
        <v>146.66666666666669</v>
      </c>
      <c r="M52" s="183" cm="1">
        <f t="array" aca="1" ref="M52" ca="1">INDIRECT("R[40]C["&amp;$A$50&amp;"]",FALSE)</f>
        <v>333.33333333333337</v>
      </c>
      <c r="N52" s="183" cm="1">
        <f t="array" aca="1" ref="N52" ca="1">INDIRECT("R[40]C["&amp;$A$50&amp;"]",FALSE)</f>
        <v>333.33333333333337</v>
      </c>
      <c r="O52" s="183" cm="1">
        <f t="array" aca="1" ref="O52" ca="1">INDIRECT("R[40]C["&amp;$A$50&amp;"]",FALSE)</f>
        <v>333.33333333333337</v>
      </c>
      <c r="P52" s="183" cm="1">
        <f t="array" aca="1" ref="P52" ca="1">INDIRECT("R[40]C["&amp;$A$50&amp;"]",FALSE)</f>
        <v>333.33333333333337</v>
      </c>
      <c r="Q52" s="115"/>
      <c r="R52" s="115">
        <f ca="1">SUM(D52:P52)</f>
        <v>1480.0000000000005</v>
      </c>
    </row>
    <row r="53" spans="1:18" ht="15.5" x14ac:dyDescent="0.35">
      <c r="A53" s="116"/>
      <c r="B53" s="129" t="s">
        <v>114</v>
      </c>
      <c r="C53" s="179"/>
      <c r="D53" s="179"/>
      <c r="E53" s="179"/>
      <c r="F53" s="179"/>
      <c r="G53" s="179"/>
      <c r="H53" s="179"/>
      <c r="I53" s="179"/>
      <c r="J53" s="179"/>
      <c r="K53" s="179"/>
      <c r="L53" s="179"/>
      <c r="M53" s="179"/>
      <c r="N53" s="179"/>
      <c r="O53" s="179"/>
      <c r="P53" s="179"/>
      <c r="Q53" s="179"/>
      <c r="R53" s="181"/>
    </row>
    <row r="54" spans="1:18" ht="15.5" x14ac:dyDescent="0.35">
      <c r="A54" s="121">
        <f>A52</f>
        <v>1</v>
      </c>
      <c r="B54" s="123">
        <v>12</v>
      </c>
      <c r="C54" s="183" cm="1">
        <f t="array" aca="1" ref="C54" ca="1">INDIRECT("R[40]C["&amp;$A$46&amp;"]",FALSE)</f>
        <v>0</v>
      </c>
      <c r="D54" s="183" cm="1">
        <f t="array" aca="1" ref="D54" ca="1">INDIRECT("R[40]C["&amp;$A$46&amp;"]",FALSE)</f>
        <v>42.769230769230774</v>
      </c>
      <c r="E54" s="183" cm="1">
        <f t="array" aca="1" ref="E54" ca="1">INDIRECT("R[40]C["&amp;$A$46&amp;"]",FALSE)</f>
        <v>110</v>
      </c>
      <c r="F54" s="183" cm="1">
        <f t="array" aca="1" ref="F54" ca="1">INDIRECT("R[40]C["&amp;$A$46&amp;"]",FALSE)</f>
        <v>166.66666666666666</v>
      </c>
      <c r="G54" s="183" cm="1">
        <f t="array" aca="1" ref="G54" ca="1">INDIRECT("R[40]C["&amp;$A$46&amp;"]",FALSE)</f>
        <v>166.66666666666666</v>
      </c>
      <c r="H54" s="183" cm="1">
        <f t="array" aca="1" ref="H54" ca="1">INDIRECT("R[40]C["&amp;$A$46&amp;"]",FALSE)</f>
        <v>66.641025641025635</v>
      </c>
      <c r="I54" s="183" cm="1">
        <f t="array" aca="1" ref="I54" ca="1">INDIRECT("R[40]C["&amp;$A$46&amp;"]",FALSE)</f>
        <v>0</v>
      </c>
      <c r="J54" s="183" cm="1">
        <f t="array" aca="1" ref="J54" ca="1">INDIRECT("R[40]C["&amp;$A$46&amp;"]",FALSE)</f>
        <v>0</v>
      </c>
      <c r="K54" s="183" cm="1">
        <f t="array" aca="1" ref="K54" ca="1">INDIRECT("R[40]C["&amp;$A$46&amp;"]",FALSE)</f>
        <v>0</v>
      </c>
      <c r="L54" s="183" cm="1">
        <f t="array" aca="1" ref="L54" ca="1">INDIRECT("R[40]C["&amp;$A$46&amp;"]",FALSE)</f>
        <v>0</v>
      </c>
      <c r="M54" s="183" cm="1">
        <f t="array" aca="1" ref="M54" ca="1">INDIRECT("R[40]C["&amp;$A$46&amp;"]",FALSE)</f>
        <v>0</v>
      </c>
      <c r="N54" s="183" cm="1">
        <f t="array" aca="1" ref="N54" ca="1">INDIRECT("R[40]C["&amp;$A$46&amp;"]",FALSE)</f>
        <v>0</v>
      </c>
      <c r="O54" s="183" cm="1">
        <f t="array" aca="1" ref="O54" ca="1">INDIRECT("R[40]C["&amp;$A$46&amp;"]",FALSE)</f>
        <v>0</v>
      </c>
      <c r="P54" s="183" cm="1">
        <f t="array" aca="1" ref="P54" ca="1">INDIRECT("R[40]C["&amp;$A$46&amp;"]",FALSE)</f>
        <v>0</v>
      </c>
      <c r="Q54" s="182"/>
      <c r="R54" s="115">
        <f ca="1">SUM(D54:P54)</f>
        <v>552.74358974358972</v>
      </c>
    </row>
    <row r="55" spans="1:18" ht="15.5" x14ac:dyDescent="0.35">
      <c r="A55" s="121">
        <f>A54</f>
        <v>1</v>
      </c>
      <c r="B55" s="123">
        <v>15</v>
      </c>
      <c r="C55" s="183" cm="1">
        <f t="array" aca="1" ref="C55" ca="1">INDIRECT("R[40]C["&amp;$A$46&amp;"]",FALSE)</f>
        <v>0</v>
      </c>
      <c r="D55" s="183" cm="1">
        <f t="array" aca="1" ref="D55" ca="1">INDIRECT("R[40]C["&amp;$A$46&amp;"]",FALSE)</f>
        <v>0</v>
      </c>
      <c r="E55" s="183" cm="1">
        <f t="array" aca="1" ref="E55" ca="1">INDIRECT("R[40]C["&amp;$A$46&amp;"]",FALSE)</f>
        <v>44.000000000000007</v>
      </c>
      <c r="F55" s="183" cm="1">
        <f t="array" aca="1" ref="F55" ca="1">INDIRECT("R[40]C["&amp;$A$46&amp;"]",FALSE)</f>
        <v>88.000000000000014</v>
      </c>
      <c r="G55" s="183" cm="1">
        <f t="array" aca="1" ref="G55" ca="1">INDIRECT("R[40]C["&amp;$A$46&amp;"]",FALSE)</f>
        <v>133.33333333333334</v>
      </c>
      <c r="H55" s="183" cm="1">
        <f t="array" aca="1" ref="H55" ca="1">INDIRECT("R[40]C["&amp;$A$46&amp;"]",FALSE)</f>
        <v>133.33333333333334</v>
      </c>
      <c r="I55" s="183" cm="1">
        <f t="array" aca="1" ref="I55" ca="1">INDIRECT("R[40]C["&amp;$A$46&amp;"]",FALSE)</f>
        <v>266.66666666666669</v>
      </c>
      <c r="J55" s="183" cm="1">
        <f t="array" aca="1" ref="J55" ca="1">INDIRECT("R[40]C["&amp;$A$46&amp;"]",FALSE)</f>
        <v>266.66666666666669</v>
      </c>
      <c r="K55" s="183" cm="1">
        <f t="array" aca="1" ref="K55" ca="1">INDIRECT("R[40]C["&amp;$A$46&amp;"]",FALSE)</f>
        <v>266.66666666666669</v>
      </c>
      <c r="L55" s="183" cm="1">
        <f t="array" aca="1" ref="L55" ca="1">INDIRECT("R[40]C["&amp;$A$46&amp;"]",FALSE)</f>
        <v>133.33333333333334</v>
      </c>
      <c r="M55" s="183" cm="1">
        <f t="array" aca="1" ref="M55" ca="1">INDIRECT("R[40]C["&amp;$A$46&amp;"]",FALSE)</f>
        <v>66.823110318938234</v>
      </c>
      <c r="N55" s="183" cm="1">
        <f t="array" aca="1" ref="N55" ca="1">INDIRECT("R[40]C["&amp;$A$46&amp;"]",FALSE)</f>
        <v>0</v>
      </c>
      <c r="O55" s="183" cm="1">
        <f t="array" aca="1" ref="O55" ca="1">INDIRECT("R[40]C["&amp;$A$46&amp;"]",FALSE)</f>
        <v>0</v>
      </c>
      <c r="P55" s="183" cm="1">
        <f t="array" aca="1" ref="P55" ca="1">INDIRECT("R[40]C["&amp;$A$46&amp;"]",FALSE)</f>
        <v>0</v>
      </c>
      <c r="Q55" s="182"/>
      <c r="R55" s="115">
        <f ca="1">SUM(D55:P55)</f>
        <v>1398.8231103189385</v>
      </c>
    </row>
    <row r="56" spans="1:18" ht="15.5" x14ac:dyDescent="0.35">
      <c r="A56" s="121">
        <f>A55</f>
        <v>1</v>
      </c>
      <c r="B56" s="123">
        <v>18</v>
      </c>
      <c r="C56" s="183" cm="1">
        <f t="array" aca="1" ref="C56" ca="1">INDIRECT("R[40]C["&amp;$A$46&amp;"]",FALSE)</f>
        <v>0</v>
      </c>
      <c r="D56" s="183" cm="1">
        <f t="array" aca="1" ref="D56" ca="1">INDIRECT("R[40]C["&amp;$A$46&amp;"]",FALSE)</f>
        <v>0</v>
      </c>
      <c r="E56" s="183" cm="1">
        <f t="array" aca="1" ref="E56" ca="1">INDIRECT("R[40]C["&amp;$A$46&amp;"]",FALSE)</f>
        <v>0</v>
      </c>
      <c r="F56" s="183" cm="1">
        <f t="array" aca="1" ref="F56" ca="1">INDIRECT("R[40]C["&amp;$A$46&amp;"]",FALSE)</f>
        <v>0</v>
      </c>
      <c r="G56" s="183" cm="1">
        <f t="array" aca="1" ref="G56" ca="1">INDIRECT("R[40]C["&amp;$A$46&amp;"]",FALSE)</f>
        <v>0</v>
      </c>
      <c r="H56" s="183" cm="1">
        <f t="array" aca="1" ref="H56" ca="1">INDIRECT("R[40]C["&amp;$A$46&amp;"]",FALSE)</f>
        <v>0</v>
      </c>
      <c r="I56" s="183" cm="1">
        <f t="array" aca="1" ref="I56" ca="1">INDIRECT("R[40]C["&amp;$A$46&amp;"]",FALSE)</f>
        <v>0</v>
      </c>
      <c r="J56" s="183" cm="1">
        <f t="array" aca="1" ref="J56" ca="1">INDIRECT("R[40]C["&amp;$A$46&amp;"]",FALSE)</f>
        <v>0</v>
      </c>
      <c r="K56" s="183" cm="1">
        <f t="array" aca="1" ref="K56" ca="1">INDIRECT("R[40]C["&amp;$A$46&amp;"]",FALSE)</f>
        <v>0</v>
      </c>
      <c r="L56" s="183" cm="1">
        <f t="array" aca="1" ref="L56" ca="1">INDIRECT("R[40]C["&amp;$A$46&amp;"]",FALSE)</f>
        <v>48.888888888888893</v>
      </c>
      <c r="M56" s="183" cm="1">
        <f t="array" aca="1" ref="M56" ca="1">INDIRECT("R[40]C["&amp;$A$46&amp;"]",FALSE)</f>
        <v>111.11111111111111</v>
      </c>
      <c r="N56" s="183" cm="1">
        <f t="array" aca="1" ref="N56" ca="1">INDIRECT("R[40]C["&amp;$A$46&amp;"]",FALSE)</f>
        <v>111.11111111111111</v>
      </c>
      <c r="O56" s="183" cm="1">
        <f t="array" aca="1" ref="O56" ca="1">INDIRECT("R[40]C["&amp;$A$46&amp;"]",FALSE)</f>
        <v>111.11111111111111</v>
      </c>
      <c r="P56" s="183" cm="1">
        <f t="array" aca="1" ref="P56" ca="1">INDIRECT("R[40]C["&amp;$A$46&amp;"]",FALSE)</f>
        <v>111.11111111111111</v>
      </c>
      <c r="Q56" s="182"/>
      <c r="R56" s="115">
        <f ca="1">SUM(D56:P56)</f>
        <v>493.33333333333326</v>
      </c>
    </row>
    <row r="57" spans="1:18" ht="15.5" x14ac:dyDescent="0.35">
      <c r="A57" s="116"/>
      <c r="B57" s="129" t="s">
        <v>352</v>
      </c>
      <c r="C57" s="179"/>
      <c r="D57" s="179"/>
      <c r="E57" s="179"/>
      <c r="F57" s="179"/>
      <c r="G57" s="179"/>
      <c r="H57" s="179"/>
      <c r="I57" s="179"/>
      <c r="J57" s="179"/>
      <c r="K57" s="179"/>
      <c r="L57" s="179"/>
      <c r="M57" s="179"/>
      <c r="N57" s="179"/>
      <c r="O57" s="179"/>
      <c r="P57" s="179"/>
      <c r="Q57" s="179"/>
      <c r="R57" s="181"/>
    </row>
    <row r="58" spans="1:18" ht="15.5" x14ac:dyDescent="0.35">
      <c r="A58" s="121">
        <f>A56</f>
        <v>1</v>
      </c>
      <c r="B58" s="123">
        <v>12</v>
      </c>
      <c r="C58" s="183" cm="1">
        <f t="array" aca="1" ref="C58" ca="1">INDIRECT("R[40]C["&amp;$A$58&amp;"]",FALSE)</f>
        <v>0</v>
      </c>
      <c r="D58" s="183" cm="1">
        <f t="array" aca="1" ref="D58" ca="1">INDIRECT("R[40]C["&amp;$A$58&amp;"]",FALSE)</f>
        <v>42.769230769230774</v>
      </c>
      <c r="E58" s="183" cm="1">
        <f t="array" aca="1" ref="E58" ca="1">INDIRECT("R[40]C["&amp;$A$58&amp;"]",FALSE)</f>
        <v>110</v>
      </c>
      <c r="F58" s="183" cm="1">
        <f t="array" aca="1" ref="F58" ca="1">INDIRECT("R[40]C["&amp;$A$58&amp;"]",FALSE)</f>
        <v>166.66666666666666</v>
      </c>
      <c r="G58" s="183" cm="1">
        <f t="array" aca="1" ref="G58" ca="1">INDIRECT("R[40]C["&amp;$A$58&amp;"]",FALSE)</f>
        <v>166.66666666666666</v>
      </c>
      <c r="H58" s="183" cm="1">
        <f t="array" aca="1" ref="H58" ca="1">INDIRECT("R[40]C["&amp;$A$58&amp;"]",FALSE)</f>
        <v>66.641025641025635</v>
      </c>
      <c r="I58" s="183" cm="1">
        <f t="array" aca="1" ref="I58" ca="1">INDIRECT("R[40]C["&amp;$A$58&amp;"]",FALSE)</f>
        <v>0</v>
      </c>
      <c r="J58" s="183" cm="1">
        <f t="array" aca="1" ref="J58" ca="1">INDIRECT("R[40]C["&amp;$A$58&amp;"]",FALSE)</f>
        <v>0</v>
      </c>
      <c r="K58" s="183" cm="1">
        <f t="array" aca="1" ref="K58" ca="1">INDIRECT("R[40]C["&amp;$A$58&amp;"]",FALSE)</f>
        <v>0</v>
      </c>
      <c r="L58" s="183" cm="1">
        <f t="array" aca="1" ref="L58" ca="1">INDIRECT("R[40]C["&amp;$A$58&amp;"]",FALSE)</f>
        <v>0</v>
      </c>
      <c r="M58" s="183" cm="1">
        <f t="array" aca="1" ref="M58" ca="1">INDIRECT("R[40]C["&amp;$A$58&amp;"]",FALSE)</f>
        <v>0</v>
      </c>
      <c r="N58" s="183" cm="1">
        <f t="array" aca="1" ref="N58" ca="1">INDIRECT("R[40]C["&amp;$A$58&amp;"]",FALSE)</f>
        <v>0</v>
      </c>
      <c r="O58" s="183" cm="1">
        <f t="array" aca="1" ref="O58" ca="1">INDIRECT("R[40]C["&amp;$A$58&amp;"]",FALSE)</f>
        <v>0</v>
      </c>
      <c r="P58" s="183" cm="1">
        <f t="array" aca="1" ref="P58" ca="1">INDIRECT("R[40]C["&amp;$A$58&amp;"]",FALSE)</f>
        <v>0</v>
      </c>
      <c r="Q58" s="116"/>
      <c r="R58" s="115">
        <f ca="1">SUM(D58:P58)</f>
        <v>552.74358974358972</v>
      </c>
    </row>
    <row r="59" spans="1:18" ht="15.5" x14ac:dyDescent="0.35">
      <c r="A59" s="121">
        <f>A56</f>
        <v>1</v>
      </c>
      <c r="B59" s="123">
        <v>15</v>
      </c>
      <c r="C59" s="183" cm="1">
        <f t="array" aca="1" ref="C59" ca="1">INDIRECT("R[40]C["&amp;$A$58&amp;"]",FALSE)</f>
        <v>0</v>
      </c>
      <c r="D59" s="183" cm="1">
        <f t="array" aca="1" ref="D59" ca="1">INDIRECT("R[40]C["&amp;$A$58&amp;"]",FALSE)</f>
        <v>0</v>
      </c>
      <c r="E59" s="183" cm="1">
        <f t="array" aca="1" ref="E59" ca="1">INDIRECT("R[40]C["&amp;$A$58&amp;"]",FALSE)</f>
        <v>44.000000000000007</v>
      </c>
      <c r="F59" s="183" cm="1">
        <f t="array" aca="1" ref="F59" ca="1">INDIRECT("R[40]C["&amp;$A$58&amp;"]",FALSE)</f>
        <v>88.000000000000014</v>
      </c>
      <c r="G59" s="183" cm="1">
        <f t="array" aca="1" ref="G59" ca="1">INDIRECT("R[40]C["&amp;$A$58&amp;"]",FALSE)</f>
        <v>133.33333333333334</v>
      </c>
      <c r="H59" s="183" cm="1">
        <f t="array" aca="1" ref="H59" ca="1">INDIRECT("R[40]C["&amp;$A$58&amp;"]",FALSE)</f>
        <v>133.33333333333334</v>
      </c>
      <c r="I59" s="183" cm="1">
        <f t="array" aca="1" ref="I59" ca="1">INDIRECT("R[40]C["&amp;$A$58&amp;"]",FALSE)</f>
        <v>266.66666666666669</v>
      </c>
      <c r="J59" s="183" cm="1">
        <f t="array" aca="1" ref="J59" ca="1">INDIRECT("R[40]C["&amp;$A$58&amp;"]",FALSE)</f>
        <v>266.66666666666669</v>
      </c>
      <c r="K59" s="183" cm="1">
        <f t="array" aca="1" ref="K59" ca="1">INDIRECT("R[40]C["&amp;$A$58&amp;"]",FALSE)</f>
        <v>266.66666666666669</v>
      </c>
      <c r="L59" s="183" cm="1">
        <f t="array" aca="1" ref="L59" ca="1">INDIRECT("R[40]C["&amp;$A$58&amp;"]",FALSE)</f>
        <v>133.33333333333334</v>
      </c>
      <c r="M59" s="183" cm="1">
        <f t="array" aca="1" ref="M59" ca="1">INDIRECT("R[40]C["&amp;$A$58&amp;"]",FALSE)</f>
        <v>66.823110318938234</v>
      </c>
      <c r="N59" s="183" cm="1">
        <f t="array" aca="1" ref="N59" ca="1">INDIRECT("R[40]C["&amp;$A$58&amp;"]",FALSE)</f>
        <v>0</v>
      </c>
      <c r="O59" s="183" cm="1">
        <f t="array" aca="1" ref="O59" ca="1">INDIRECT("R[40]C["&amp;$A$58&amp;"]",FALSE)</f>
        <v>0</v>
      </c>
      <c r="P59" s="183" cm="1">
        <f t="array" aca="1" ref="P59" ca="1">INDIRECT("R[40]C["&amp;$A$58&amp;"]",FALSE)</f>
        <v>0</v>
      </c>
      <c r="Q59" s="116"/>
      <c r="R59" s="115">
        <f ca="1">SUM(D59:P59)</f>
        <v>1398.8231103189385</v>
      </c>
    </row>
    <row r="60" spans="1:18" ht="15.5" x14ac:dyDescent="0.35">
      <c r="A60" s="121">
        <f>A56</f>
        <v>1</v>
      </c>
      <c r="B60" s="123">
        <v>18</v>
      </c>
      <c r="C60" s="183" cm="1">
        <f t="array" aca="1" ref="C60" ca="1">INDIRECT("R[40]C["&amp;$A$58&amp;"]",FALSE)</f>
        <v>0</v>
      </c>
      <c r="D60" s="183" cm="1">
        <f t="array" aca="1" ref="D60" ca="1">INDIRECT("R[40]C["&amp;$A$58&amp;"]",FALSE)</f>
        <v>0</v>
      </c>
      <c r="E60" s="183" cm="1">
        <f t="array" aca="1" ref="E60" ca="1">INDIRECT("R[40]C["&amp;$A$58&amp;"]",FALSE)</f>
        <v>0</v>
      </c>
      <c r="F60" s="183" cm="1">
        <f t="array" aca="1" ref="F60" ca="1">INDIRECT("R[40]C["&amp;$A$58&amp;"]",FALSE)</f>
        <v>0</v>
      </c>
      <c r="G60" s="183" cm="1">
        <f t="array" aca="1" ref="G60" ca="1">INDIRECT("R[40]C["&amp;$A$58&amp;"]",FALSE)</f>
        <v>0</v>
      </c>
      <c r="H60" s="183" cm="1">
        <f t="array" aca="1" ref="H60" ca="1">INDIRECT("R[40]C["&amp;$A$58&amp;"]",FALSE)</f>
        <v>0</v>
      </c>
      <c r="I60" s="183" cm="1">
        <f t="array" aca="1" ref="I60" ca="1">INDIRECT("R[40]C["&amp;$A$58&amp;"]",FALSE)</f>
        <v>0</v>
      </c>
      <c r="J60" s="183" cm="1">
        <f t="array" aca="1" ref="J60" ca="1">INDIRECT("R[40]C["&amp;$A$58&amp;"]",FALSE)</f>
        <v>0</v>
      </c>
      <c r="K60" s="183" cm="1">
        <f t="array" aca="1" ref="K60" ca="1">INDIRECT("R[40]C["&amp;$A$58&amp;"]",FALSE)</f>
        <v>0</v>
      </c>
      <c r="L60" s="183" cm="1">
        <f t="array" aca="1" ref="L60" ca="1">INDIRECT("R[40]C["&amp;$A$58&amp;"]",FALSE)</f>
        <v>48.888888888888893</v>
      </c>
      <c r="M60" s="183" cm="1">
        <f t="array" aca="1" ref="M60" ca="1">INDIRECT("R[40]C["&amp;$A$58&amp;"]",FALSE)</f>
        <v>111.11111111111111</v>
      </c>
      <c r="N60" s="183" cm="1">
        <f t="array" aca="1" ref="N60" ca="1">INDIRECT("R[40]C["&amp;$A$58&amp;"]",FALSE)</f>
        <v>111.11111111111111</v>
      </c>
      <c r="O60" s="183" cm="1">
        <f t="array" aca="1" ref="O60" ca="1">INDIRECT("R[40]C["&amp;$A$58&amp;"]",FALSE)</f>
        <v>111.11111111111111</v>
      </c>
      <c r="P60" s="183" cm="1">
        <f t="array" aca="1" ref="P60" ca="1">INDIRECT("R[40]C["&amp;$A$58&amp;"]",FALSE)</f>
        <v>111.11111111111111</v>
      </c>
      <c r="Q60" s="116"/>
      <c r="R60" s="115">
        <f ca="1">SUM(D60:P60)</f>
        <v>493.33333333333326</v>
      </c>
    </row>
    <row r="61" spans="1:18" ht="15.5" x14ac:dyDescent="0.35">
      <c r="A61" s="116"/>
      <c r="B61" s="129" t="s">
        <v>116</v>
      </c>
      <c r="C61" s="179"/>
      <c r="D61" s="180">
        <f ca="1">SUM(D63:D65)</f>
        <v>42.769230769230774</v>
      </c>
      <c r="E61" s="180">
        <f t="shared" ref="E61:Q61" ca="1" si="32">SUM(E63:E65)</f>
        <v>154</v>
      </c>
      <c r="F61" s="180">
        <f t="shared" ca="1" si="32"/>
        <v>235.33687190375093</v>
      </c>
      <c r="G61" s="180">
        <f t="shared" ca="1" si="32"/>
        <v>272.92122538293216</v>
      </c>
      <c r="H61" s="180">
        <f t="shared" ca="1" si="32"/>
        <v>199.97435897435901</v>
      </c>
      <c r="I61" s="180">
        <f t="shared" ca="1" si="32"/>
        <v>252.15527046116574</v>
      </c>
      <c r="J61" s="180">
        <f t="shared" ca="1" si="32"/>
        <v>297.70415576867185</v>
      </c>
      <c r="K61" s="180">
        <f t="shared" ca="1" si="32"/>
        <v>248.6217401051226</v>
      </c>
      <c r="L61" s="180">
        <f t="shared" ca="1" si="32"/>
        <v>133.53147230742158</v>
      </c>
      <c r="M61" s="180">
        <f t="shared" ca="1" si="32"/>
        <v>177.93422143004935</v>
      </c>
      <c r="N61" s="180">
        <f t="shared" ca="1" si="32"/>
        <v>111.11111111111111</v>
      </c>
      <c r="O61" s="180">
        <f t="shared" ca="1" si="32"/>
        <v>111.11111111111111</v>
      </c>
      <c r="P61" s="180">
        <f t="shared" ca="1" si="32"/>
        <v>111.11111111111109</v>
      </c>
      <c r="Q61" s="180">
        <f t="shared" si="32"/>
        <v>0</v>
      </c>
      <c r="R61" s="181">
        <f ca="1">SUM(C61:Q61)</f>
        <v>2348.2818804360377</v>
      </c>
    </row>
    <row r="62" spans="1:18" ht="15.5" x14ac:dyDescent="0.35">
      <c r="A62" s="121">
        <f>A60</f>
        <v>1</v>
      </c>
      <c r="B62" s="125" t="s">
        <v>257</v>
      </c>
      <c r="C62" s="183" cm="1">
        <f t="array" aca="1" ref="C62" ca="1">INDIRECT("R[40]C["&amp;$A$62&amp;"]",FALSE)</f>
        <v>0</v>
      </c>
      <c r="D62" s="183" cm="1">
        <f t="array" aca="1" ref="D62" ca="1">INDIRECT("R[40]C["&amp;$A$62&amp;"]",FALSE)</f>
        <v>32.769230769230774</v>
      </c>
      <c r="E62" s="183" cm="1">
        <f t="array" aca="1" ref="E62" ca="1">INDIRECT("R[40]C["&amp;$A$62&amp;"]",FALSE)</f>
        <v>104.46451554144767</v>
      </c>
      <c r="F62" s="183" cm="1">
        <f t="array" aca="1" ref="F62" ca="1">INDIRECT("R[40]C["&amp;$A$62&amp;"]",FALSE)</f>
        <v>157.71918494928053</v>
      </c>
      <c r="G62" s="183" cm="1">
        <f t="array" aca="1" ref="G62" ca="1">INDIRECT("R[40]C["&amp;$A$62&amp;"]",FALSE)</f>
        <v>197.83916849015316</v>
      </c>
      <c r="H62" s="183" cm="1">
        <f t="array" aca="1" ref="H62" ca="1">INDIRECT("R[40]C["&amp;$A$62&amp;"]",FALSE)</f>
        <v>100.39337955532957</v>
      </c>
      <c r="I62" s="183" cm="1">
        <f t="array" aca="1" ref="I62" ca="1">INDIRECT("R[40]C["&amp;$A$62&amp;"]",FALSE)</f>
        <v>161.23444568274994</v>
      </c>
      <c r="J62" s="183" cm="1">
        <f t="array" aca="1" ref="J62" ca="1">INDIRECT("R[40]C["&amp;$A$62&amp;"]",FALSE)</f>
        <v>261.99360650973551</v>
      </c>
      <c r="K62" s="183" cm="1">
        <f t="array" aca="1" ref="K62" ca="1">INDIRECT("R[40]C["&amp;$A$62&amp;"]",FALSE)</f>
        <v>221.64739441538947</v>
      </c>
      <c r="L62" s="183" cm="1">
        <f t="array" aca="1" ref="L62" ca="1">INDIRECT("R[40]C["&amp;$A$62&amp;"]",FALSE)</f>
        <v>106.21760355587892</v>
      </c>
      <c r="M62" s="183" cm="1">
        <f t="array" aca="1" ref="M62" ca="1">INDIRECT("R[40]C["&amp;$A$62&amp;"]",FALSE)</f>
        <v>114.57092859530582</v>
      </c>
      <c r="N62" s="183" cm="1">
        <f t="array" aca="1" ref="N62" ca="1">INDIRECT("R[40]C["&amp;$A$62&amp;"]",FALSE)</f>
        <v>77.777777777777771</v>
      </c>
      <c r="O62" s="183" cm="1">
        <f t="array" aca="1" ref="O62" ca="1">INDIRECT("R[40]C["&amp;$A$62&amp;"]",FALSE)</f>
        <v>83.245632172798423</v>
      </c>
      <c r="P62" s="183" cm="1">
        <f t="array" aca="1" ref="P62" ca="1">INDIRECT("R[40]C["&amp;$A$62&amp;"]",FALSE)</f>
        <v>77.777777777777771</v>
      </c>
      <c r="Q62" s="183"/>
      <c r="R62" s="115">
        <f ca="1">SUM(D62:Q62)</f>
        <v>1697.6506457928554</v>
      </c>
    </row>
    <row r="63" spans="1:18" ht="15.5" x14ac:dyDescent="0.35">
      <c r="A63" s="121">
        <f>A60</f>
        <v>1</v>
      </c>
      <c r="B63" s="125" t="s">
        <v>258</v>
      </c>
      <c r="C63" s="183" cm="1">
        <f t="array" aca="1" ref="C63" ca="1">INDIRECT("R[40]C["&amp;$A$62&amp;"]",FALSE)</f>
        <v>0</v>
      </c>
      <c r="D63" s="183" cm="1">
        <f t="array" aca="1" ref="D63" ca="1">INDIRECT("R[40]C["&amp;$A$62&amp;"]",FALSE)</f>
        <v>32.769230769230774</v>
      </c>
      <c r="E63" s="183" cm="1">
        <f t="array" aca="1" ref="E63" ca="1">INDIRECT("R[40]C["&amp;$A$62&amp;"]",FALSE)</f>
        <v>104.46451554144767</v>
      </c>
      <c r="F63" s="183" cm="1">
        <f t="array" aca="1" ref="F63" ca="1">INDIRECT("R[40]C["&amp;$A$62&amp;"]",FALSE)</f>
        <v>157.71918494928053</v>
      </c>
      <c r="G63" s="183" cm="1">
        <f t="array" aca="1" ref="G63" ca="1">INDIRECT("R[40]C["&amp;$A$62&amp;"]",FALSE)</f>
        <v>197.83916849015316</v>
      </c>
      <c r="H63" s="183" cm="1">
        <f t="array" aca="1" ref="H63" ca="1">INDIRECT("R[40]C["&amp;$A$62&amp;"]",FALSE)</f>
        <v>100.39337955532957</v>
      </c>
      <c r="I63" s="183" cm="1">
        <f t="array" aca="1" ref="I63" ca="1">INDIRECT("R[40]C["&amp;$A$62&amp;"]",FALSE)</f>
        <v>161.23444568274994</v>
      </c>
      <c r="J63" s="183" cm="1">
        <f t="array" aca="1" ref="J63" ca="1">INDIRECT("R[40]C["&amp;$A$62&amp;"]",FALSE)</f>
        <v>261.99360650973551</v>
      </c>
      <c r="K63" s="183" cm="1">
        <f t="array" aca="1" ref="K63" ca="1">INDIRECT("R[40]C["&amp;$A$62&amp;"]",FALSE)</f>
        <v>221.64739441538947</v>
      </c>
      <c r="L63" s="183" cm="1">
        <f t="array" aca="1" ref="L63" ca="1">INDIRECT("R[40]C["&amp;$A$62&amp;"]",FALSE)</f>
        <v>106.21760355587892</v>
      </c>
      <c r="M63" s="183" cm="1">
        <f t="array" aca="1" ref="M63" ca="1">INDIRECT("R[40]C["&amp;$A$62&amp;"]",FALSE)</f>
        <v>114.57092859530582</v>
      </c>
      <c r="N63" s="183" cm="1">
        <f t="array" aca="1" ref="N63" ca="1">INDIRECT("R[40]C["&amp;$A$62&amp;"]",FALSE)</f>
        <v>77.777777777777771</v>
      </c>
      <c r="O63" s="183" cm="1">
        <f t="array" aca="1" ref="O63" ca="1">INDIRECT("R[40]C["&amp;$A$62&amp;"]",FALSE)</f>
        <v>83.245632172798423</v>
      </c>
      <c r="P63" s="183" cm="1">
        <f t="array" aca="1" ref="P63" ca="1">INDIRECT("R[40]C["&amp;$A$62&amp;"]",FALSE)</f>
        <v>77.777777777777771</v>
      </c>
      <c r="Q63" s="183"/>
      <c r="R63" s="115"/>
    </row>
    <row r="64" spans="1:18" ht="15.5" x14ac:dyDescent="0.35">
      <c r="A64" s="121">
        <f>A60</f>
        <v>1</v>
      </c>
      <c r="B64" s="125" t="s">
        <v>353</v>
      </c>
      <c r="C64" s="183" cm="1">
        <f t="array" aca="1" ref="C64" ca="1">INDIRECT("R[40]C["&amp;$A$62&amp;"]",FALSE)</f>
        <v>0</v>
      </c>
      <c r="D64" s="183" cm="1">
        <f t="array" aca="1" ref="D64" ca="1">INDIRECT("R[40]C["&amp;$A$62&amp;"]",FALSE)</f>
        <v>0</v>
      </c>
      <c r="E64" s="183" cm="1">
        <f t="array" aca="1" ref="E64" ca="1">INDIRECT("R[40]C["&amp;$A$62&amp;"]",FALSE)</f>
        <v>13.265708950375892</v>
      </c>
      <c r="F64" s="183" cm="1">
        <f t="array" aca="1" ref="F64" ca="1">INDIRECT("R[40]C["&amp;$A$62&amp;"]",FALSE)</f>
        <v>10.543524416135883</v>
      </c>
      <c r="G64" s="183" cm="1">
        <f t="array" aca="1" ref="G64" ca="1">INDIRECT("R[40]C["&amp;$A$62&amp;"]",FALSE)</f>
        <v>13.539387308533918</v>
      </c>
      <c r="H64" s="183" cm="1">
        <f t="array" aca="1" ref="H64" ca="1">INDIRECT("R[40]C["&amp;$A$62&amp;"]",FALSE)</f>
        <v>5.5353365219095449</v>
      </c>
      <c r="I64" s="183" cm="1">
        <f t="array" aca="1" ref="I64" ca="1">INDIRECT("R[40]C["&amp;$A$62&amp;"]",FALSE)</f>
        <v>32.868859317376938</v>
      </c>
      <c r="J64" s="183" cm="1">
        <f t="array" aca="1" ref="J64" ca="1">INDIRECT("R[40]C["&amp;$A$62&amp;"]",FALSE)</f>
        <v>17.85527462946818</v>
      </c>
      <c r="K64" s="183" cm="1">
        <f t="array" aca="1" ref="K64" ca="1">INDIRECT("R[40]C["&amp;$A$62&amp;"]",FALSE)</f>
        <v>8.2217196646035138</v>
      </c>
      <c r="L64" s="183" cm="1">
        <f t="array" aca="1" ref="L64" ca="1">INDIRECT("R[40]C["&amp;$A$62&amp;"]",FALSE)</f>
        <v>13.656934375771332</v>
      </c>
      <c r="M64" s="183" cm="1">
        <f t="array" aca="1" ref="M64" ca="1">INDIRECT("R[40]C["&amp;$A$62&amp;"]",FALSE)</f>
        <v>22.94649831235914</v>
      </c>
      <c r="N64" s="183" cm="1">
        <f t="array" aca="1" ref="N64" ca="1">INDIRECT("R[40]C["&amp;$A$62&amp;"]",FALSE)</f>
        <v>16.666666666666668</v>
      </c>
      <c r="O64" s="183" cm="1">
        <f t="array" aca="1" ref="O64" ca="1">INDIRECT("R[40]C["&amp;$A$62&amp;"]",FALSE)</f>
        <v>13.93273946915634</v>
      </c>
      <c r="P64" s="183" cm="1">
        <f t="array" aca="1" ref="P64" ca="1">INDIRECT("R[40]C["&amp;$A$62&amp;"]",FALSE)</f>
        <v>16.666666666666664</v>
      </c>
      <c r="Q64" s="183"/>
      <c r="R64" s="115">
        <f ca="1">SUM(D64:Q64)</f>
        <v>185.69931629902399</v>
      </c>
    </row>
    <row r="65" spans="1:18" ht="15.5" x14ac:dyDescent="0.35">
      <c r="A65" s="121">
        <f>A60</f>
        <v>1</v>
      </c>
      <c r="B65" s="125" t="s">
        <v>117</v>
      </c>
      <c r="C65" s="183" cm="1">
        <f t="array" aca="1" ref="C65" ca="1">INDIRECT("R[40]C["&amp;$A$62&amp;"]",FALSE)</f>
        <v>0</v>
      </c>
      <c r="D65" s="183" cm="1">
        <f t="array" aca="1" ref="D65" ca="1">INDIRECT("R[40]C["&amp;$A$62&amp;"]",FALSE)</f>
        <v>10</v>
      </c>
      <c r="E65" s="183" cm="1">
        <f t="array" aca="1" ref="E65" ca="1">INDIRECT("R[40]C["&amp;$A$62&amp;"]",FALSE)</f>
        <v>36.269775508176423</v>
      </c>
      <c r="F65" s="183" cm="1">
        <f t="array" aca="1" ref="F65" ca="1">INDIRECT("R[40]C["&amp;$A$62&amp;"]",FALSE)</f>
        <v>67.074162538334519</v>
      </c>
      <c r="G65" s="183" cm="1">
        <f t="array" aca="1" ref="G65" ca="1">INDIRECT("R[40]C["&amp;$A$62&amp;"]",FALSE)</f>
        <v>61.542669584245083</v>
      </c>
      <c r="H65" s="183" cm="1">
        <f t="array" aca="1" ref="H65" ca="1">INDIRECT("R[40]C["&amp;$A$62&amp;"]",FALSE)</f>
        <v>94.04564289711989</v>
      </c>
      <c r="I65" s="183" cm="1">
        <f t="array" aca="1" ref="I65" ca="1">INDIRECT("R[40]C["&amp;$A$62&amp;"]",FALSE)</f>
        <v>58.051965461038876</v>
      </c>
      <c r="J65" s="183" cm="1">
        <f t="array" aca="1" ref="J65" ca="1">INDIRECT("R[40]C["&amp;$A$62&amp;"]",FALSE)</f>
        <v>17.85527462946818</v>
      </c>
      <c r="K65" s="183" cm="1">
        <f t="array" aca="1" ref="K65" ca="1">INDIRECT("R[40]C["&amp;$A$62&amp;"]",FALSE)</f>
        <v>18.752626025129622</v>
      </c>
      <c r="L65" s="183" cm="1">
        <f t="array" aca="1" ref="L65" ca="1">INDIRECT("R[40]C["&amp;$A$62&amp;"]",FALSE)</f>
        <v>13.656934375771332</v>
      </c>
      <c r="M65" s="183" cm="1">
        <f t="array" aca="1" ref="M65" ca="1">INDIRECT("R[40]C["&amp;$A$62&amp;"]",FALSE)</f>
        <v>40.416794522384372</v>
      </c>
      <c r="N65" s="183" cm="1">
        <f t="array" aca="1" ref="N65" ca="1">INDIRECT("R[40]C["&amp;$A$62&amp;"]",FALSE)</f>
        <v>16.666666666666668</v>
      </c>
      <c r="O65" s="183" cm="1">
        <f t="array" aca="1" ref="O65" ca="1">INDIRECT("R[40]C["&amp;$A$62&amp;"]",FALSE)</f>
        <v>13.93273946915634</v>
      </c>
      <c r="P65" s="183" cm="1">
        <f t="array" aca="1" ref="P65" ca="1">INDIRECT("R[40]C["&amp;$A$62&amp;"]",FALSE)</f>
        <v>16.666666666666664</v>
      </c>
      <c r="Q65" s="183"/>
      <c r="R65" s="115">
        <f ca="1">SUM(D65:Q65)</f>
        <v>464.93191834415802</v>
      </c>
    </row>
    <row r="66" spans="1:18" ht="15.5" x14ac:dyDescent="0.35">
      <c r="A66" s="121">
        <f>A60</f>
        <v>1</v>
      </c>
      <c r="B66" s="125" t="s">
        <v>354</v>
      </c>
      <c r="C66" s="183" cm="1">
        <f t="array" aca="1" ref="C66" ca="1">INDIRECT("R[40]C["&amp;$A$62&amp;"]",FALSE)</f>
        <v>0</v>
      </c>
      <c r="D66" s="183" cm="1">
        <f t="array" aca="1" ref="D66" ca="1">INDIRECT("R[40]C["&amp;$A$62&amp;"]",FALSE)</f>
        <v>2</v>
      </c>
      <c r="E66" s="183" cm="1">
        <f t="array" aca="1" ref="E66" ca="1">INDIRECT("R[40]C["&amp;$A$62&amp;"]",FALSE)</f>
        <v>4.5519589535603551</v>
      </c>
      <c r="F66" s="183" cm="1">
        <f t="array" aca="1" ref="F66" ca="1">INDIRECT("R[40]C["&amp;$A$62&amp;"]",FALSE)</f>
        <v>7.9076433121019116</v>
      </c>
      <c r="G66" s="183" cm="1">
        <f t="array" aca="1" ref="G66" ca="1">INDIRECT("R[40]C["&amp;$A$62&amp;"]",FALSE)</f>
        <v>8.6159737417943116</v>
      </c>
      <c r="H66" s="183" cm="1">
        <f t="array" aca="1" ref="H66" ca="1">INDIRECT("R[40]C["&amp;$A$62&amp;"]",FALSE)</f>
        <v>5.1635601883484554</v>
      </c>
      <c r="I66" s="183" cm="1">
        <f t="array" aca="1" ref="I66" ca="1">INDIRECT("R[40]C["&amp;$A$62&amp;"]",FALSE)</f>
        <v>5.6878839398445926</v>
      </c>
      <c r="J66" s="183" cm="1">
        <f t="array" aca="1" ref="J66" ca="1">INDIRECT("R[40]C["&amp;$A$62&amp;"]",FALSE)</f>
        <v>8.7183958151700089</v>
      </c>
      <c r="K66" s="183" cm="1">
        <f t="array" aca="1" ref="K66" ca="1">INDIRECT("R[40]C["&amp;$A$62&amp;"]",FALSE)</f>
        <v>9.3044152582961583</v>
      </c>
      <c r="L66" s="183" cm="1">
        <f t="array" aca="1" ref="L66" ca="1">INDIRECT("R[40]C["&amp;$A$62&amp;"]",FALSE)</f>
        <v>3.2776642501851208</v>
      </c>
      <c r="M66" s="183" cm="1">
        <f t="array" aca="1" ref="M66" ca="1">INDIRECT("R[40]C["&amp;$A$62&amp;"]",FALSE)</f>
        <v>5.9187903591276907</v>
      </c>
      <c r="N66" s="183" cm="1">
        <f t="array" aca="1" ref="N66" ca="1">INDIRECT("R[40]C["&amp;$A$62&amp;"]",FALSE)</f>
        <v>3.3641715727502106</v>
      </c>
      <c r="O66" s="183" cm="1">
        <f t="array" aca="1" ref="O66" ca="1">INDIRECT("R[40]C["&amp;$A$62&amp;"]",FALSE)</f>
        <v>4.0958567768220497</v>
      </c>
      <c r="P66" s="183" cm="1">
        <f t="array" aca="1" ref="P66" ca="1">INDIRECT("R[40]C["&amp;$A$62&amp;"]",FALSE)</f>
        <v>4.329004329004329</v>
      </c>
      <c r="Q66" s="183"/>
      <c r="R66" s="115">
        <f ca="1">SUM(D66:Q66)</f>
        <v>72.935318497005198</v>
      </c>
    </row>
    <row r="67" spans="1:18" ht="15.5" x14ac:dyDescent="0.35">
      <c r="A67" s="116"/>
      <c r="B67" s="129" t="s">
        <v>119</v>
      </c>
      <c r="C67" s="184"/>
      <c r="D67" s="180"/>
      <c r="E67" s="180"/>
      <c r="F67" s="180"/>
      <c r="G67" s="180"/>
      <c r="H67" s="180"/>
      <c r="I67" s="180"/>
      <c r="J67" s="180"/>
      <c r="K67" s="180"/>
      <c r="L67" s="180"/>
      <c r="M67" s="180"/>
      <c r="N67" s="180"/>
      <c r="O67" s="180"/>
      <c r="P67" s="180"/>
      <c r="Q67" s="180"/>
      <c r="R67" s="181"/>
    </row>
    <row r="68" spans="1:18" ht="15.5" x14ac:dyDescent="0.35">
      <c r="A68" s="121">
        <f>A59</f>
        <v>1</v>
      </c>
      <c r="B68" s="125" t="s">
        <v>355</v>
      </c>
      <c r="C68" s="183" cm="1">
        <f t="array" aca="1" ref="C68" ca="1">INDIRECT("R[40]C["&amp;$A$68&amp;"]",FALSE)</f>
        <v>0</v>
      </c>
      <c r="D68" s="183" cm="1">
        <f t="array" aca="1" ref="D68" ca="1">INDIRECT("R[40]C["&amp;$A$68&amp;"]",FALSE)</f>
        <v>2</v>
      </c>
      <c r="E68" s="183" cm="1">
        <f t="array" aca="1" ref="E68" ca="1">INDIRECT("R[40]C["&amp;$A$68&amp;"]",FALSE)</f>
        <v>4.6160801611904221</v>
      </c>
      <c r="F68" s="183" cm="1">
        <f t="array" aca="1" ref="F68" ca="1">INDIRECT("R[40]C["&amp;$A$68&amp;"]",FALSE)</f>
        <v>5.2626658808706086</v>
      </c>
      <c r="G68" s="183" cm="1">
        <f t="array" aca="1" ref="G68" ca="1">INDIRECT("R[40]C["&amp;$A$68&amp;"]",FALSE)</f>
        <v>8.0598733448474373</v>
      </c>
      <c r="H68" s="183" cm="1">
        <f t="array" aca="1" ref="H68" ca="1">INDIRECT("R[40]C["&amp;$A$68&amp;"]",FALSE)</f>
        <v>4.8194111197622869</v>
      </c>
      <c r="I68" s="183" cm="1">
        <f t="array" aca="1" ref="I68" ca="1">INDIRECT("R[40]C["&amp;$A$68&amp;"]",FALSE)</f>
        <v>5.6878839398445926</v>
      </c>
      <c r="J68" s="183" cm="1">
        <f t="array" aca="1" ref="J68" ca="1">INDIRECT("R[40]C["&amp;$A$68&amp;"]",FALSE)</f>
        <v>8.7183958151700107</v>
      </c>
      <c r="K68" s="183" cm="1">
        <f t="array" aca="1" ref="K68" ca="1">INDIRECT("R[40]C["&amp;$A$68&amp;"]",FALSE)</f>
        <v>6.7668474605790241</v>
      </c>
      <c r="L68" s="183" cm="1">
        <f t="array" aca="1" ref="L68" ca="1">INDIRECT("R[40]C["&amp;$A$68&amp;"]",FALSE)</f>
        <v>2.8779490977235205</v>
      </c>
      <c r="M68" s="183" cm="1">
        <f t="array" aca="1" ref="M68" ca="1">INDIRECT("R[40]C["&amp;$A$68&amp;"]",FALSE)</f>
        <v>5.5483238856710528</v>
      </c>
      <c r="N68" s="183" cm="1">
        <f t="array" aca="1" ref="N68" ca="1">INDIRECT("R[40]C["&amp;$A$68&amp;"]",FALSE)</f>
        <v>3.3641715727502102</v>
      </c>
      <c r="O68" s="183" cm="1">
        <f t="array" aca="1" ref="O68" ca="1">INDIRECT("R[40]C["&amp;$A$68&amp;"]",FALSE)</f>
        <v>4.0958567768220506</v>
      </c>
      <c r="P68" s="183" cm="1">
        <f t="array" aca="1" ref="P68" ca="1">INDIRECT("R[40]C["&amp;$A$68&amp;"]",FALSE)</f>
        <v>4.329004329004329</v>
      </c>
      <c r="Q68" s="183"/>
      <c r="R68" s="115">
        <f ca="1">SUM(D68:Q68)</f>
        <v>66.146463384235545</v>
      </c>
    </row>
    <row r="69" spans="1:18" ht="15.5" x14ac:dyDescent="0.35">
      <c r="A69" s="116"/>
      <c r="B69" s="129" t="s">
        <v>356</v>
      </c>
      <c r="C69" s="184"/>
      <c r="D69" s="184"/>
      <c r="E69" s="184"/>
      <c r="F69" s="184"/>
      <c r="G69" s="184"/>
      <c r="H69" s="184"/>
      <c r="I69" s="184"/>
      <c r="J69" s="184"/>
      <c r="K69" s="184"/>
      <c r="L69" s="184"/>
      <c r="M69" s="184"/>
      <c r="N69" s="184"/>
      <c r="O69" s="184"/>
      <c r="P69" s="184"/>
      <c r="Q69" s="184"/>
      <c r="R69" s="181"/>
    </row>
    <row r="70" spans="1:18" ht="15.5" x14ac:dyDescent="0.35">
      <c r="A70" s="121">
        <f>A59</f>
        <v>1</v>
      </c>
      <c r="B70" s="125" t="s">
        <v>357</v>
      </c>
      <c r="C70" s="183" cm="1">
        <f t="array" aca="1" ref="C70" ca="1">INDIRECT("R[40]C["&amp;$A$70&amp;"]",FALSE)</f>
        <v>0</v>
      </c>
      <c r="D70" s="183" cm="1">
        <f t="array" aca="1" ref="D70" ca="1">INDIRECT("R[40]C["&amp;$A$70&amp;"]",FALSE)</f>
        <v>125.50240000000001</v>
      </c>
      <c r="E70" s="183" cm="1">
        <f t="array" aca="1" ref="E70" ca="1">INDIRECT("R[40]C["&amp;$A$70&amp;"]",FALSE)</f>
        <v>398.02331261749072</v>
      </c>
      <c r="F70" s="183" cm="1">
        <f t="array" aca="1" ref="F70" ca="1">INDIRECT("R[40]C["&amp;$A$70&amp;"]",FALSE)</f>
        <v>636.4204506946844</v>
      </c>
      <c r="G70" s="183" cm="1">
        <f t="array" aca="1" ref="G70" ca="1">INDIRECT("R[40]C["&amp;$A$70&amp;"]",FALSE)</f>
        <v>599.0478295912493</v>
      </c>
      <c r="H70" s="183" cm="1">
        <f t="array" aca="1" ref="H70" ca="1">INDIRECT("R[40]C["&amp;$A$70&amp;"]",FALSE)</f>
        <v>402.56589406003224</v>
      </c>
      <c r="I70" s="183" cm="1">
        <f t="array" aca="1" ref="I70" ca="1">INDIRECT("R[40]C["&amp;$A$70&amp;"]",FALSE)</f>
        <v>714.52383357448048</v>
      </c>
      <c r="J70" s="183" cm="1">
        <f t="array" aca="1" ref="J70" ca="1">INDIRECT("R[40]C["&amp;$A$70&amp;"]",FALSE)</f>
        <v>585.60000000000014</v>
      </c>
      <c r="K70" s="183" cm="1">
        <f t="array" aca="1" ref="K70" ca="1">INDIRECT("R[40]C["&amp;$A$70&amp;"]",FALSE)</f>
        <v>807.14590917461123</v>
      </c>
      <c r="L70" s="183" cm="1">
        <f t="array" aca="1" ref="L70" ca="1">INDIRECT("R[40]C["&amp;$A$70&amp;"]",FALSE)</f>
        <v>257.4747335301347</v>
      </c>
      <c r="M70" s="183" cm="1">
        <f t="array" aca="1" ref="M70" ca="1">INDIRECT("R[40]C["&amp;$A$70&amp;"]",FALSE)</f>
        <v>480.95683062315203</v>
      </c>
      <c r="N70" s="183" cm="1">
        <f t="array" aca="1" ref="N70" ca="1">INDIRECT("R[40]C["&amp;$A$70&amp;"]",FALSE)</f>
        <v>244</v>
      </c>
      <c r="O70" s="183" cm="1">
        <f t="array" aca="1" ref="O70" ca="1">INDIRECT("R[40]C["&amp;$A$70&amp;"]",FALSE)</f>
        <v>244</v>
      </c>
      <c r="P70" s="183" cm="1">
        <f t="array" aca="1" ref="P70" ca="1">INDIRECT("R[40]C["&amp;$A$70&amp;"]",FALSE)</f>
        <v>244.00000000000003</v>
      </c>
      <c r="Q70" s="183"/>
      <c r="R70" s="115">
        <f ca="1">SUM(D70:Q70)</f>
        <v>5739.2611938658356</v>
      </c>
    </row>
    <row r="71" spans="1:18" ht="15.5" x14ac:dyDescent="0.35">
      <c r="A71" s="121">
        <f>A59</f>
        <v>1</v>
      </c>
      <c r="B71" s="125" t="s">
        <v>358</v>
      </c>
      <c r="C71" s="183" cm="1">
        <f t="array" aca="1" ref="C71" ca="1">INDIRECT("R[40]C["&amp;$A$70&amp;"]",FALSE)</f>
        <v>0</v>
      </c>
      <c r="D71" s="183" cm="1">
        <f t="array" aca="1" ref="D71" ca="1">INDIRECT("R[40]C["&amp;$A$70&amp;"]",FALSE)</f>
        <v>256</v>
      </c>
      <c r="E71" s="183" cm="1">
        <f t="array" aca="1" ref="E71" ca="1">INDIRECT("R[40]C["&amp;$A$70&amp;"]",FALSE)</f>
        <v>427.63994400169986</v>
      </c>
      <c r="F71" s="183" cm="1">
        <f t="array" aca="1" ref="F71" ca="1">INDIRECT("R[40]C["&amp;$A$70&amp;"]",FALSE)</f>
        <v>443.37960046334877</v>
      </c>
      <c r="G71" s="183" cm="1">
        <f t="array" aca="1" ref="G71" ca="1">INDIRECT("R[40]C["&amp;$A$70&amp;"]",FALSE)</f>
        <v>574.18422567645371</v>
      </c>
      <c r="H71" s="183" cm="1">
        <f t="array" aca="1" ref="H71" ca="1">INDIRECT("R[40]C["&amp;$A$70&amp;"]",FALSE)</f>
        <v>507.00204979899257</v>
      </c>
      <c r="I71" s="183" cm="1">
        <f t="array" aca="1" ref="I71" ca="1">INDIRECT("R[40]C["&amp;$A$70&amp;"]",FALSE)</f>
        <v>468.30147270036503</v>
      </c>
      <c r="J71" s="183" cm="1">
        <f t="array" aca="1" ref="J71" ca="1">INDIRECT("R[40]C["&amp;$A$70&amp;"]",FALSE)</f>
        <v>1203.5925021795993</v>
      </c>
      <c r="K71" s="183" cm="1">
        <f t="array" aca="1" ref="K71" ca="1">INDIRECT("R[40]C["&amp;$A$70&amp;"]",FALSE)</f>
        <v>575.10167783562258</v>
      </c>
      <c r="L71" s="183" cm="1">
        <f t="array" aca="1" ref="L71" ca="1">INDIRECT("R[40]C["&amp;$A$70&amp;"]",FALSE)</f>
        <v>348.23184082454594</v>
      </c>
      <c r="M71" s="183" cm="1">
        <f t="array" aca="1" ref="M71" ca="1">INDIRECT("R[40]C["&amp;$A$70&amp;"]",FALSE)</f>
        <v>778.09971588845133</v>
      </c>
      <c r="N71" s="183" cm="1">
        <f t="array" aca="1" ref="N71" ca="1">INDIRECT("R[40]C["&amp;$A$70&amp;"]",FALSE)</f>
        <v>504.62573591253152</v>
      </c>
      <c r="O71" s="183" cm="1">
        <f t="array" aca="1" ref="O71" ca="1">INDIRECT("R[40]C["&amp;$A$70&amp;"]",FALSE)</f>
        <v>550.81491520380609</v>
      </c>
      <c r="P71" s="183" cm="1">
        <f t="array" aca="1" ref="P71" ca="1">INDIRECT("R[40]C["&amp;$A$70&amp;"]",FALSE)</f>
        <v>606.06060606060601</v>
      </c>
      <c r="Q71" s="183"/>
      <c r="R71" s="115">
        <f ca="1">SUM(D71:Q71)</f>
        <v>7243.0342865460216</v>
      </c>
    </row>
    <row r="72" spans="1:18" ht="15.5" x14ac:dyDescent="0.35">
      <c r="A72" s="116"/>
      <c r="B72" s="179" t="str">
        <f>[1]Detailed!B66</f>
        <v>VESSELS</v>
      </c>
      <c r="C72" s="179"/>
      <c r="D72" s="179"/>
      <c r="E72" s="179"/>
      <c r="F72" s="179"/>
      <c r="G72" s="179"/>
      <c r="H72" s="179"/>
      <c r="I72" s="179"/>
      <c r="J72" s="179"/>
      <c r="K72" s="179"/>
      <c r="L72" s="179"/>
      <c r="M72" s="179"/>
      <c r="N72" s="179"/>
      <c r="O72" s="179"/>
      <c r="P72" s="179"/>
      <c r="Q72" s="179"/>
      <c r="R72" s="181"/>
    </row>
    <row r="73" spans="1:18" ht="15.5" x14ac:dyDescent="0.35">
      <c r="A73" s="116"/>
      <c r="B73" s="116"/>
      <c r="C73" s="116"/>
      <c r="D73" s="116"/>
      <c r="E73" s="116"/>
      <c r="F73" s="116"/>
      <c r="G73" s="116"/>
      <c r="H73" s="116"/>
      <c r="I73" s="116"/>
      <c r="J73" s="116"/>
      <c r="K73" s="116"/>
      <c r="L73" s="116"/>
      <c r="M73" s="116"/>
      <c r="N73" s="116"/>
      <c r="O73" s="116"/>
      <c r="P73" s="116"/>
      <c r="Q73" s="116"/>
      <c r="R73" s="115">
        <f>SUM(D73:Q73)</f>
        <v>0</v>
      </c>
    </row>
    <row r="74" spans="1:18" ht="15.5" x14ac:dyDescent="0.35">
      <c r="A74" s="116"/>
      <c r="B74" s="116"/>
      <c r="C74" s="116"/>
      <c r="D74" s="116"/>
      <c r="E74" s="116"/>
      <c r="F74" s="116"/>
      <c r="G74" s="116"/>
      <c r="H74" s="116"/>
      <c r="I74" s="116"/>
      <c r="J74" s="116"/>
      <c r="K74" s="116"/>
      <c r="L74" s="116"/>
      <c r="M74" s="116"/>
      <c r="N74" s="116"/>
      <c r="O74" s="116"/>
      <c r="P74" s="116"/>
      <c r="Q74" s="116"/>
      <c r="R74" s="115">
        <f>SUM(D74:Q74)</f>
        <v>0</v>
      </c>
    </row>
    <row r="75" spans="1:18" ht="15.5" x14ac:dyDescent="0.35">
      <c r="A75" s="116"/>
      <c r="B75" s="116"/>
      <c r="C75" s="116"/>
      <c r="D75" s="116"/>
      <c r="E75" s="116"/>
      <c r="F75" s="116"/>
      <c r="G75" s="116"/>
      <c r="H75" s="116"/>
      <c r="I75" s="116"/>
      <c r="J75" s="116"/>
      <c r="K75" s="116"/>
      <c r="L75" s="116"/>
      <c r="M75" s="116"/>
      <c r="N75" s="116"/>
      <c r="O75" s="116"/>
      <c r="P75" s="116"/>
      <c r="Q75" s="116"/>
      <c r="R75" s="116"/>
    </row>
    <row r="76" spans="1:18" ht="15.5" x14ac:dyDescent="0.35">
      <c r="A76" s="116"/>
      <c r="B76" s="116"/>
      <c r="C76" s="116"/>
      <c r="D76" s="116"/>
      <c r="E76" s="116"/>
      <c r="F76" s="116"/>
      <c r="G76" s="116"/>
      <c r="H76" s="116"/>
      <c r="I76" s="116"/>
      <c r="J76" s="116"/>
      <c r="K76" s="116"/>
      <c r="L76" s="116"/>
      <c r="M76" s="116"/>
      <c r="N76" s="116"/>
      <c r="O76" s="116"/>
      <c r="P76" s="116"/>
      <c r="Q76" s="116"/>
      <c r="R76" s="116"/>
    </row>
    <row r="77" spans="1:18" ht="15.5" x14ac:dyDescent="0.35">
      <c r="A77" s="116"/>
      <c r="B77" s="116"/>
      <c r="C77" s="116"/>
      <c r="D77" s="116"/>
      <c r="E77" s="116"/>
      <c r="F77" s="116"/>
      <c r="G77" s="116"/>
      <c r="H77" s="116"/>
      <c r="I77" s="116"/>
      <c r="J77" s="116"/>
      <c r="K77" s="116"/>
      <c r="L77" s="116"/>
      <c r="M77" s="116"/>
      <c r="N77" s="116"/>
      <c r="O77" s="116"/>
      <c r="P77" s="116"/>
      <c r="Q77" s="116"/>
      <c r="R77" s="115"/>
    </row>
    <row r="78" spans="1:18" ht="15.5" x14ac:dyDescent="0.35">
      <c r="A78" s="116"/>
      <c r="B78" s="116"/>
      <c r="C78" s="116"/>
      <c r="D78" s="116"/>
      <c r="E78" s="116"/>
      <c r="F78" s="116"/>
      <c r="G78" s="116"/>
      <c r="H78" s="116"/>
      <c r="I78" s="116"/>
      <c r="J78" s="116"/>
      <c r="K78" s="116"/>
      <c r="L78" s="116"/>
      <c r="M78" s="116"/>
      <c r="N78" s="116"/>
      <c r="O78" s="116"/>
      <c r="P78" s="116"/>
      <c r="Q78" s="116"/>
      <c r="R78" s="115"/>
    </row>
    <row r="79" spans="1:18" ht="15.5" x14ac:dyDescent="0.35">
      <c r="A79" s="116"/>
      <c r="B79" s="116"/>
      <c r="C79" s="116"/>
      <c r="D79" s="116"/>
      <c r="E79" s="116"/>
      <c r="F79" s="116"/>
      <c r="G79" s="116"/>
      <c r="H79" s="116"/>
      <c r="I79" s="116"/>
      <c r="J79" s="116"/>
      <c r="K79" s="116"/>
      <c r="L79" s="116"/>
      <c r="M79" s="116"/>
      <c r="N79" s="116"/>
      <c r="O79" s="116"/>
      <c r="P79" s="116"/>
      <c r="Q79" s="116"/>
      <c r="R79" s="115"/>
    </row>
    <row r="80" spans="1:18" ht="15.5" hidden="1" x14ac:dyDescent="0.35">
      <c r="A80" s="116"/>
      <c r="B80" s="185" t="s">
        <v>109</v>
      </c>
      <c r="C80" s="185"/>
      <c r="D80" s="185"/>
      <c r="E80" s="185"/>
      <c r="F80" s="185"/>
      <c r="G80" s="185"/>
      <c r="H80" s="185"/>
      <c r="I80" s="185"/>
      <c r="J80" s="185"/>
      <c r="K80" s="116"/>
      <c r="L80" s="116"/>
      <c r="M80" s="116"/>
      <c r="N80" s="116"/>
      <c r="O80" s="116"/>
      <c r="P80" s="116"/>
      <c r="Q80" s="116"/>
      <c r="R80" s="115"/>
    </row>
    <row r="81" spans="1:19" ht="15.5" x14ac:dyDescent="0.35">
      <c r="A81" s="116"/>
      <c r="B81" s="120" t="s">
        <v>170</v>
      </c>
      <c r="C81" s="120"/>
      <c r="D81" s="116"/>
      <c r="E81" s="116"/>
      <c r="F81" s="116"/>
      <c r="G81" s="116"/>
      <c r="H81" s="116"/>
      <c r="I81" s="116"/>
      <c r="J81" s="116"/>
      <c r="K81" s="116"/>
      <c r="L81" s="116"/>
      <c r="M81" s="116"/>
      <c r="N81" s="116"/>
      <c r="O81" s="116"/>
      <c r="P81" s="116"/>
      <c r="Q81" s="116"/>
      <c r="R81" s="115"/>
    </row>
    <row r="82" spans="1:19" ht="15.5" x14ac:dyDescent="0.35">
      <c r="A82" s="116"/>
      <c r="B82" s="120" t="s">
        <v>110</v>
      </c>
      <c r="C82" s="120"/>
      <c r="D82" s="183">
        <f>D83</f>
        <v>0</v>
      </c>
      <c r="E82" s="183">
        <f t="shared" ref="E82:Q82" si="33">E83+D82</f>
        <v>513.23076923076928</v>
      </c>
      <c r="F82" s="183">
        <f t="shared" si="33"/>
        <v>2493.2307692307695</v>
      </c>
      <c r="G82" s="183">
        <f t="shared" si="33"/>
        <v>5813.2307692307695</v>
      </c>
      <c r="H82" s="183">
        <f t="shared" si="33"/>
        <v>9813.2307692307695</v>
      </c>
      <c r="I82" s="183">
        <f t="shared" si="33"/>
        <v>12612.923076923078</v>
      </c>
      <c r="J82" s="183">
        <f t="shared" si="33"/>
        <v>16612.923076923078</v>
      </c>
      <c r="K82" s="183">
        <f t="shared" si="33"/>
        <v>20612.923076923078</v>
      </c>
      <c r="L82" s="186">
        <f t="shared" si="33"/>
        <v>24612.923076923078</v>
      </c>
      <c r="M82" s="183">
        <f t="shared" si="33"/>
        <v>27492.923076923078</v>
      </c>
      <c r="N82" s="183">
        <f t="shared" si="33"/>
        <v>30495.269731707151</v>
      </c>
      <c r="O82" s="183">
        <f t="shared" si="33"/>
        <v>32495.269731707151</v>
      </c>
      <c r="P82" s="183">
        <f t="shared" si="33"/>
        <v>34495.269731707151</v>
      </c>
      <c r="Q82" s="183">
        <f t="shared" si="33"/>
        <v>36495.269731707151</v>
      </c>
      <c r="R82" s="115">
        <f>Q82</f>
        <v>36495.269731707151</v>
      </c>
    </row>
    <row r="83" spans="1:19" ht="15.5" x14ac:dyDescent="0.35">
      <c r="A83" s="116"/>
      <c r="B83" s="120" t="s">
        <v>111</v>
      </c>
      <c r="C83" s="120"/>
      <c r="D83" s="183">
        <f t="shared" ref="D83:Q83" si="34">SUMPRODUCT(D86:D88,$B$86:$B$88)</f>
        <v>0</v>
      </c>
      <c r="E83" s="183">
        <f>SUMPRODUCT(E86:E88,$B$86:$B$88)</f>
        <v>513.23076923076928</v>
      </c>
      <c r="F83" s="183">
        <f>SUMPRODUCT(F86:F88,$B$86:$B$88)</f>
        <v>1980</v>
      </c>
      <c r="G83" s="183">
        <f t="shared" si="34"/>
        <v>3320</v>
      </c>
      <c r="H83" s="183">
        <f>SUMPRODUCT(H86:H88,$B$86:$B$88)</f>
        <v>4000</v>
      </c>
      <c r="I83" s="183">
        <f>SUMPRODUCT(I86:I88,$B$86:$B$88)</f>
        <v>2799.6923076923076</v>
      </c>
      <c r="J83" s="183">
        <f t="shared" si="34"/>
        <v>4000.0000000000005</v>
      </c>
      <c r="K83" s="183">
        <f t="shared" si="34"/>
        <v>4000.0000000000005</v>
      </c>
      <c r="L83" s="186">
        <f t="shared" si="34"/>
        <v>4000.0000000000005</v>
      </c>
      <c r="M83" s="183">
        <f t="shared" si="34"/>
        <v>2880.0000000000005</v>
      </c>
      <c r="N83" s="183">
        <f t="shared" si="34"/>
        <v>3002.3466547840735</v>
      </c>
      <c r="O83" s="183">
        <f t="shared" si="34"/>
        <v>2000</v>
      </c>
      <c r="P83" s="183">
        <f t="shared" si="34"/>
        <v>2000</v>
      </c>
      <c r="Q83" s="183">
        <f t="shared" si="34"/>
        <v>2000</v>
      </c>
      <c r="R83" s="115">
        <f>SUM(D83:Q83)</f>
        <v>36495.269731707151</v>
      </c>
    </row>
    <row r="84" spans="1:19" ht="15.5" x14ac:dyDescent="0.35">
      <c r="A84" s="116"/>
      <c r="B84" s="120" t="s">
        <v>84</v>
      </c>
      <c r="C84" s="120"/>
      <c r="D84" s="183">
        <f>ROUNDUP(D83/500,0)</f>
        <v>0</v>
      </c>
      <c r="E84" s="183">
        <f>ROUNDUP(E83/500,0)</f>
        <v>2</v>
      </c>
      <c r="F84" s="183">
        <f>ROUNDUP(F83/800,0)</f>
        <v>3</v>
      </c>
      <c r="G84" s="183">
        <f t="shared" ref="G84:Q84" si="35">ROUNDUP(G83/800,0)</f>
        <v>5</v>
      </c>
      <c r="H84" s="183">
        <f t="shared" si="35"/>
        <v>5</v>
      </c>
      <c r="I84" s="183">
        <f t="shared" si="35"/>
        <v>4</v>
      </c>
      <c r="J84" s="183">
        <f t="shared" si="35"/>
        <v>5</v>
      </c>
      <c r="K84" s="183">
        <f>ROUNDUP(K83/800,0)</f>
        <v>5</v>
      </c>
      <c r="L84" s="183">
        <f t="shared" si="35"/>
        <v>5</v>
      </c>
      <c r="M84" s="183">
        <f t="shared" si="35"/>
        <v>4</v>
      </c>
      <c r="N84" s="183">
        <f t="shared" si="35"/>
        <v>4</v>
      </c>
      <c r="O84" s="183">
        <f t="shared" si="35"/>
        <v>3</v>
      </c>
      <c r="P84" s="183">
        <f t="shared" si="35"/>
        <v>3</v>
      </c>
      <c r="Q84" s="183">
        <f t="shared" si="35"/>
        <v>3</v>
      </c>
      <c r="R84" s="115">
        <f>SUM(D84:Q84)</f>
        <v>51</v>
      </c>
    </row>
    <row r="85" spans="1:19" ht="15.5" x14ac:dyDescent="0.35">
      <c r="A85" s="116"/>
      <c r="B85" s="179" t="s">
        <v>245</v>
      </c>
      <c r="C85" s="179"/>
      <c r="D85" s="180">
        <f>SUM(D86:D88)</f>
        <v>0</v>
      </c>
      <c r="E85" s="180">
        <f t="shared" ref="E85:Q85" si="36">SUM(E86:E88)</f>
        <v>42.769230769230774</v>
      </c>
      <c r="F85" s="180">
        <f t="shared" si="36"/>
        <v>154</v>
      </c>
      <c r="G85" s="180">
        <f t="shared" si="36"/>
        <v>254.66666666666669</v>
      </c>
      <c r="H85" s="180">
        <f t="shared" si="36"/>
        <v>300</v>
      </c>
      <c r="I85" s="180">
        <f t="shared" si="36"/>
        <v>199.97435897435898</v>
      </c>
      <c r="J85" s="180">
        <f t="shared" si="36"/>
        <v>266.66666666666669</v>
      </c>
      <c r="K85" s="180">
        <f t="shared" si="36"/>
        <v>266.66666666666669</v>
      </c>
      <c r="L85" s="180">
        <f t="shared" si="36"/>
        <v>266.66666666666669</v>
      </c>
      <c r="M85" s="180">
        <f t="shared" si="36"/>
        <v>182.22222222222223</v>
      </c>
      <c r="N85" s="180">
        <f t="shared" si="36"/>
        <v>177.93422143004935</v>
      </c>
      <c r="O85" s="180">
        <f t="shared" si="36"/>
        <v>111.11111111111111</v>
      </c>
      <c r="P85" s="180">
        <f t="shared" si="36"/>
        <v>111.11111111111111</v>
      </c>
      <c r="Q85" s="180">
        <f t="shared" si="36"/>
        <v>111.11111111111111</v>
      </c>
      <c r="R85" s="181">
        <f>SUM(C85:Q85)</f>
        <v>2444.900033395862</v>
      </c>
    </row>
    <row r="86" spans="1:19" ht="15.5" x14ac:dyDescent="0.35">
      <c r="A86" s="187"/>
      <c r="B86" s="182">
        <f>Assumptions!F16</f>
        <v>12</v>
      </c>
      <c r="C86" s="182"/>
      <c r="D86" s="183">
        <f>'EC-UNC'!D86</f>
        <v>0</v>
      </c>
      <c r="E86" s="183">
        <f>IF(SUM('EC-UNC'!$D86:E86)-SUM($D86:D86)-E138&lt;0,SUM('EC-UNC'!$D86:E86)-SUM($D86:D86),E138)</f>
        <v>42.769230769230774</v>
      </c>
      <c r="F86" s="183">
        <f>IF(SUM('EC-UNC'!$D86:F86)-SUM($D86:E86)-F138&lt;0,SUM('EC-UNC'!$D86:F86)-SUM($D86:E86),F138)</f>
        <v>110</v>
      </c>
      <c r="G86" s="183">
        <f>IF(SUM('EC-UNC'!$D86:G86)-SUM($D86:F86)-G138&lt;0,SUM('EC-UNC'!$D86:G86)-SUM($D86:F86),G138)</f>
        <v>166.66666666666666</v>
      </c>
      <c r="H86" s="183">
        <f>IF(SUM('EC-UNC'!$D86:H86)-SUM($D86:G86)-H138&lt;0,SUM('EC-UNC'!$D86:H86)-SUM($D86:G86),H138)</f>
        <v>166.66666666666666</v>
      </c>
      <c r="I86" s="183">
        <f>IF(SUM('EC-UNC'!$D86:I86)-SUM($D86:H86)-I138&lt;0,SUM('EC-UNC'!$D86:I86)-SUM($D86:H86),I138)</f>
        <v>66.641025641025635</v>
      </c>
      <c r="J86" s="183">
        <f>IF(SUM('EC-UNC'!$D86:J86)-SUM($D86:I86)-J138&lt;0,SUM('EC-UNC'!$D86:J86)-SUM($D86:I86),J138)</f>
        <v>0</v>
      </c>
      <c r="K86" s="183">
        <f>IF(SUM('EC-UNC'!$D86:K86)-SUM($D86:J86)-K138&lt;0,SUM('EC-UNC'!$D86:K86)-SUM($D86:J86),K138)</f>
        <v>0</v>
      </c>
      <c r="L86" s="186">
        <f>IF(SUM('EC-UNC'!$D86:L86)-SUM($D86:K86)-L138&lt;0,SUM('EC-UNC'!$D86:L86)-SUM($D86:K86),L138)</f>
        <v>0</v>
      </c>
      <c r="M86" s="183">
        <f>IF(SUM('EC-UNC'!$D86:M86)-SUM($D86:L86)-M138&lt;0,SUM('EC-UNC'!$D86:M86)-SUM($D86:L86),M138)</f>
        <v>0</v>
      </c>
      <c r="N86" s="183">
        <f>IF(SUM('EC-UNC'!$D86:N86)-SUM($D86:M86)-N138&lt;0,SUM('EC-UNC'!$D86:N86)-SUM($D86:M86),N138)</f>
        <v>0</v>
      </c>
      <c r="O86" s="183">
        <f>IF(SUM('EC-UNC'!$D86:O86)-SUM($D86:N86)-O138&lt;0,SUM('EC-UNC'!$D86:O86)-SUM($D86:N86),O138)</f>
        <v>0</v>
      </c>
      <c r="P86" s="183">
        <f>IF(SUM('EC-UNC'!$D86:P86)-SUM($D86:O86)-P138&lt;0,SUM('EC-UNC'!$D86:P86)-SUM($D86:O86),P138)</f>
        <v>0</v>
      </c>
      <c r="Q86" s="183">
        <f>IF(SUM('EC-UNC'!$D86:Q86)-SUM($D86:P86)-Q138&lt;0,SUM('EC-UNC'!$D86:Q86)-SUM($D86:P86),Q138)</f>
        <v>0</v>
      </c>
      <c r="R86" s="115">
        <f>SUM(D86:Q86)</f>
        <v>552.74358974358972</v>
      </c>
      <c r="S86" s="22"/>
    </row>
    <row r="87" spans="1:19" ht="15.5" x14ac:dyDescent="0.35">
      <c r="A87" s="116"/>
      <c r="B87" s="182">
        <f>Assumptions!F17</f>
        <v>15</v>
      </c>
      <c r="C87" s="182"/>
      <c r="D87" s="183">
        <f>'EC-UNC'!D87</f>
        <v>0</v>
      </c>
      <c r="E87" s="183">
        <f>IF(SUM('EC-UNC'!$D87:E87)-SUM($D87:D87)-E139&lt;0,SUM('EC-UNC'!$D87:E87)-SUM($D87:D87),E139)</f>
        <v>0</v>
      </c>
      <c r="F87" s="183">
        <f>IF(SUM('EC-UNC'!$D87:F87)-SUM($D87:E87)-F139&lt;0,SUM('EC-UNC'!$D87:F87)-SUM($D87:E87),F139)</f>
        <v>44.000000000000007</v>
      </c>
      <c r="G87" s="183">
        <f>IF(SUM('EC-UNC'!$D87:G87)-SUM($D87:F87)-G139&lt;0,SUM('EC-UNC'!$D87:G87)-SUM($D87:F87),G139)</f>
        <v>88.000000000000014</v>
      </c>
      <c r="H87" s="183">
        <f>IF(SUM('EC-UNC'!$D87:H87)-SUM($D87:G87)-H139&lt;0,SUM('EC-UNC'!$D87:H87)-SUM($D87:G87),H139)</f>
        <v>133.33333333333334</v>
      </c>
      <c r="I87" s="183">
        <f>IF(SUM('EC-UNC'!$D87:I87)-SUM($D87:H87)-I139&lt;0,SUM('EC-UNC'!$D87:I87)-SUM($D87:H87),I139)</f>
        <v>133.33333333333334</v>
      </c>
      <c r="J87" s="183">
        <f>IF(SUM('EC-UNC'!$D87:J87)-SUM($D87:I87)-J139&lt;0,SUM('EC-UNC'!$D87:J87)-SUM($D87:I87),J139)</f>
        <v>266.66666666666669</v>
      </c>
      <c r="K87" s="183">
        <f>IF(SUM('EC-UNC'!$D87:K87)-SUM($D87:J87)-K139&lt;0,SUM('EC-UNC'!$D87:K87)-SUM($D87:J87),K139)</f>
        <v>266.66666666666669</v>
      </c>
      <c r="L87" s="186">
        <f>IF(SUM('EC-UNC'!$D87:L87)-SUM($D87:K87)-L139&lt;0,SUM('EC-UNC'!$D87:L87)-SUM($D87:K87),L139)</f>
        <v>266.66666666666669</v>
      </c>
      <c r="M87" s="183">
        <f>IF(SUM('EC-UNC'!$D87:M87)-SUM($D87:L87)-M139&lt;0,SUM('EC-UNC'!$D87:M87)-SUM($D87:L87),M139)</f>
        <v>133.33333333333334</v>
      </c>
      <c r="N87" s="183">
        <f>IF(SUM('EC-UNC'!$D87:N87)-SUM($D87:M87)-N139&lt;0,SUM('EC-UNC'!$D87:N87)-SUM($D87:M87),N139)</f>
        <v>66.823110318938234</v>
      </c>
      <c r="O87" s="183">
        <f>IF(SUM('EC-UNC'!$D87:O87)-SUM($D87:N87)-O139&lt;0,SUM('EC-UNC'!$D87:O87)-SUM($D87:N87),O139)</f>
        <v>0</v>
      </c>
      <c r="P87" s="183">
        <f>IF(SUM('EC-UNC'!$D87:P87)-SUM($D87:O87)-P139&lt;0,SUM('EC-UNC'!$D87:P87)-SUM($D87:O87),P139)</f>
        <v>0</v>
      </c>
      <c r="Q87" s="183">
        <f>IF(SUM('EC-UNC'!$D87:Q87)-SUM($D87:P87)-Q139&lt;0,SUM('EC-UNC'!$D87:Q87)-SUM($D87:P87),Q139)</f>
        <v>0</v>
      </c>
      <c r="R87" s="115">
        <f>SUM(D87:Q87)</f>
        <v>1398.8231103189385</v>
      </c>
      <c r="S87" s="22"/>
    </row>
    <row r="88" spans="1:19" ht="15.5" x14ac:dyDescent="0.35">
      <c r="A88" s="116"/>
      <c r="B88" s="182">
        <f>Assumptions!F18</f>
        <v>18</v>
      </c>
      <c r="C88" s="182"/>
      <c r="D88" s="183">
        <f>'EC-UNC'!D88</f>
        <v>0</v>
      </c>
      <c r="E88" s="183">
        <f>IF(SUM('EC-UNC'!$D88:E88)-SUM($D88:D88)-E140&lt;0,SUM('EC-UNC'!$D88:E88)-SUM($D88:D88),E140)</f>
        <v>0</v>
      </c>
      <c r="F88" s="183">
        <f>IF(SUM('EC-UNC'!$D88:F88)-SUM($D88:E88)-F140&lt;0,SUM('EC-UNC'!$D88:F88)-SUM($D88:E88),F140)</f>
        <v>0</v>
      </c>
      <c r="G88" s="183">
        <f>IF(SUM('EC-UNC'!$D88:G88)-SUM($D88:F88)-G140&lt;0,SUM('EC-UNC'!$D88:G88)-SUM($D88:F88),G140)</f>
        <v>0</v>
      </c>
      <c r="H88" s="183">
        <f>IF(SUM('EC-UNC'!$D88:H88)-SUM($D88:G88)-H140&lt;0,SUM('EC-UNC'!$D88:H88)-SUM($D88:G88),H140)</f>
        <v>0</v>
      </c>
      <c r="I88" s="183">
        <f>IF(SUM('EC-UNC'!$D88:I88)-SUM($D88:H88)-I140&lt;0,SUM('EC-UNC'!$D88:I88)-SUM($D88:H88),I140)</f>
        <v>0</v>
      </c>
      <c r="J88" s="183">
        <f>IF(SUM('EC-UNC'!$D88:J88)-SUM($D88:I88)-J140&lt;0,SUM('EC-UNC'!$D88:J88)-SUM($D88:I88),J140)</f>
        <v>0</v>
      </c>
      <c r="K88" s="183">
        <f>IF(SUM('EC-UNC'!$D88:K88)-SUM($D88:J88)-K140&lt;0,SUM('EC-UNC'!$D88:K88)-SUM($D88:J88),K140)</f>
        <v>0</v>
      </c>
      <c r="L88" s="186">
        <f>IF(SUM('EC-UNC'!$D88:L88)-SUM($D88:K88)-L140&lt;0,SUM('EC-UNC'!$D88:L88)-SUM($D88:K88),L140)</f>
        <v>0</v>
      </c>
      <c r="M88" s="183">
        <f>IF(SUM('EC-UNC'!$D88:M88)-SUM($D88:L88)-M140&lt;0,SUM('EC-UNC'!$D88:M88)-SUM($D88:L88),M140)</f>
        <v>48.888888888888893</v>
      </c>
      <c r="N88" s="183">
        <f>IF(SUM('EC-UNC'!$D88:N88)-SUM($D88:M88)-N140&lt;0,SUM('EC-UNC'!$D88:N88)-SUM($D88:M88),N140)</f>
        <v>111.11111111111111</v>
      </c>
      <c r="O88" s="183">
        <f>IF(SUM('EC-UNC'!$D88:O88)-SUM($D88:N88)-O140&lt;0,SUM('EC-UNC'!$D88:O88)-SUM($D88:N88),O140)</f>
        <v>111.11111111111111</v>
      </c>
      <c r="P88" s="183">
        <f>IF(SUM('EC-UNC'!$D88:P88)-SUM($D88:O88)-P140&lt;0,SUM('EC-UNC'!$D88:P88)-SUM($D88:O88),P140)</f>
        <v>111.11111111111111</v>
      </c>
      <c r="Q88" s="183">
        <f>IF(SUM('EC-UNC'!$D88:Q88)-SUM($D88:P88)-Q140&lt;0,SUM('EC-UNC'!$D88:Q88)-SUM($D88:P88),Q140)</f>
        <v>111.11111111111111</v>
      </c>
      <c r="R88" s="115">
        <f>SUM(D88:Q88)</f>
        <v>493.33333333333326</v>
      </c>
      <c r="S88" s="22"/>
    </row>
    <row r="89" spans="1:19" ht="15.5" x14ac:dyDescent="0.35">
      <c r="A89" s="116"/>
      <c r="B89" s="179" t="s">
        <v>239</v>
      </c>
      <c r="C89" s="179"/>
      <c r="D89" s="180"/>
      <c r="E89" s="180"/>
      <c r="F89" s="180"/>
      <c r="G89" s="180"/>
      <c r="H89" s="180"/>
      <c r="I89" s="180"/>
      <c r="J89" s="180"/>
      <c r="K89" s="180"/>
      <c r="L89" s="188"/>
      <c r="M89" s="180"/>
      <c r="N89" s="180"/>
      <c r="O89" s="180"/>
      <c r="P89" s="180"/>
      <c r="Q89" s="180"/>
      <c r="R89" s="181"/>
      <c r="S89" s="22"/>
    </row>
    <row r="90" spans="1:19" ht="15.5" x14ac:dyDescent="0.35">
      <c r="A90" s="116"/>
      <c r="B90" s="182">
        <f>B86</f>
        <v>12</v>
      </c>
      <c r="C90" s="182"/>
      <c r="D90" s="183">
        <f t="shared" ref="D90:Q92" si="37">3*D86</f>
        <v>0</v>
      </c>
      <c r="E90" s="183">
        <f t="shared" si="37"/>
        <v>128.30769230769232</v>
      </c>
      <c r="F90" s="183">
        <f t="shared" si="37"/>
        <v>330</v>
      </c>
      <c r="G90" s="183">
        <f t="shared" si="37"/>
        <v>500</v>
      </c>
      <c r="H90" s="183">
        <f t="shared" si="37"/>
        <v>500</v>
      </c>
      <c r="I90" s="183">
        <f t="shared" si="37"/>
        <v>199.92307692307691</v>
      </c>
      <c r="J90" s="183">
        <f t="shared" si="37"/>
        <v>0</v>
      </c>
      <c r="K90" s="183">
        <f t="shared" si="37"/>
        <v>0</v>
      </c>
      <c r="L90" s="186">
        <f t="shared" si="37"/>
        <v>0</v>
      </c>
      <c r="M90" s="183">
        <f t="shared" si="37"/>
        <v>0</v>
      </c>
      <c r="N90" s="183">
        <f t="shared" si="37"/>
        <v>0</v>
      </c>
      <c r="O90" s="183">
        <f t="shared" si="37"/>
        <v>0</v>
      </c>
      <c r="P90" s="183">
        <f t="shared" si="37"/>
        <v>0</v>
      </c>
      <c r="Q90" s="183">
        <f t="shared" si="37"/>
        <v>0</v>
      </c>
      <c r="R90" s="115">
        <f>SUM(D90:Q90)</f>
        <v>1658.2307692307693</v>
      </c>
    </row>
    <row r="91" spans="1:19" ht="15.5" x14ac:dyDescent="0.35">
      <c r="A91" s="116"/>
      <c r="B91" s="182">
        <f>B87</f>
        <v>15</v>
      </c>
      <c r="C91" s="182"/>
      <c r="D91" s="183">
        <f t="shared" si="37"/>
        <v>0</v>
      </c>
      <c r="E91" s="183">
        <f t="shared" si="37"/>
        <v>0</v>
      </c>
      <c r="F91" s="183">
        <f t="shared" si="37"/>
        <v>132.00000000000003</v>
      </c>
      <c r="G91" s="183">
        <f t="shared" si="37"/>
        <v>264.00000000000006</v>
      </c>
      <c r="H91" s="183">
        <f t="shared" si="37"/>
        <v>400</v>
      </c>
      <c r="I91" s="183">
        <f t="shared" si="37"/>
        <v>400</v>
      </c>
      <c r="J91" s="183">
        <f t="shared" si="37"/>
        <v>800</v>
      </c>
      <c r="K91" s="183">
        <f t="shared" si="37"/>
        <v>800</v>
      </c>
      <c r="L91" s="186">
        <f t="shared" si="37"/>
        <v>800</v>
      </c>
      <c r="M91" s="183">
        <f t="shared" si="37"/>
        <v>400</v>
      </c>
      <c r="N91" s="183">
        <f t="shared" si="37"/>
        <v>200.4693309568147</v>
      </c>
      <c r="O91" s="183">
        <f t="shared" si="37"/>
        <v>0</v>
      </c>
      <c r="P91" s="183">
        <f t="shared" si="37"/>
        <v>0</v>
      </c>
      <c r="Q91" s="183">
        <f t="shared" si="37"/>
        <v>0</v>
      </c>
      <c r="R91" s="115">
        <f>SUM(D91:Q91)</f>
        <v>4196.4693309568147</v>
      </c>
    </row>
    <row r="92" spans="1:19" ht="15.5" x14ac:dyDescent="0.35">
      <c r="A92" s="116"/>
      <c r="B92" s="182">
        <f>B88</f>
        <v>18</v>
      </c>
      <c r="C92" s="182"/>
      <c r="D92" s="183">
        <f t="shared" si="37"/>
        <v>0</v>
      </c>
      <c r="E92" s="183">
        <f t="shared" si="37"/>
        <v>0</v>
      </c>
      <c r="F92" s="183">
        <f t="shared" si="37"/>
        <v>0</v>
      </c>
      <c r="G92" s="183">
        <f t="shared" si="37"/>
        <v>0</v>
      </c>
      <c r="H92" s="183">
        <f t="shared" si="37"/>
        <v>0</v>
      </c>
      <c r="I92" s="183">
        <f t="shared" si="37"/>
        <v>0</v>
      </c>
      <c r="J92" s="183">
        <f t="shared" si="37"/>
        <v>0</v>
      </c>
      <c r="K92" s="183">
        <f t="shared" si="37"/>
        <v>0</v>
      </c>
      <c r="L92" s="186">
        <f t="shared" si="37"/>
        <v>0</v>
      </c>
      <c r="M92" s="183">
        <f t="shared" si="37"/>
        <v>146.66666666666669</v>
      </c>
      <c r="N92" s="183">
        <f t="shared" si="37"/>
        <v>333.33333333333337</v>
      </c>
      <c r="O92" s="183">
        <f t="shared" si="37"/>
        <v>333.33333333333337</v>
      </c>
      <c r="P92" s="183">
        <f t="shared" si="37"/>
        <v>333.33333333333337</v>
      </c>
      <c r="Q92" s="183">
        <f t="shared" si="37"/>
        <v>333.33333333333337</v>
      </c>
      <c r="R92" s="115">
        <f>SUM(D92:Q92)</f>
        <v>1480.0000000000005</v>
      </c>
    </row>
    <row r="93" spans="1:19" ht="15.5" x14ac:dyDescent="0.35">
      <c r="A93" s="116"/>
      <c r="B93" s="179" t="s">
        <v>240</v>
      </c>
      <c r="C93" s="179"/>
      <c r="D93" s="180"/>
      <c r="E93" s="180"/>
      <c r="F93" s="180"/>
      <c r="G93" s="180"/>
      <c r="H93" s="180"/>
      <c r="I93" s="180"/>
      <c r="J93" s="180"/>
      <c r="K93" s="180"/>
      <c r="L93" s="188"/>
      <c r="M93" s="180"/>
      <c r="N93" s="180"/>
      <c r="O93" s="180"/>
      <c r="P93" s="180"/>
      <c r="Q93" s="180"/>
      <c r="R93" s="181"/>
    </row>
    <row r="94" spans="1:19" ht="15.5" x14ac:dyDescent="0.35">
      <c r="A94" s="116"/>
      <c r="B94" s="182">
        <f>B86</f>
        <v>12</v>
      </c>
      <c r="C94" s="182"/>
      <c r="D94" s="183">
        <f t="shared" ref="D94:Q96" si="38">D86</f>
        <v>0</v>
      </c>
      <c r="E94" s="183">
        <f t="shared" si="38"/>
        <v>42.769230769230774</v>
      </c>
      <c r="F94" s="183">
        <f t="shared" si="38"/>
        <v>110</v>
      </c>
      <c r="G94" s="183">
        <f t="shared" si="38"/>
        <v>166.66666666666666</v>
      </c>
      <c r="H94" s="183">
        <f t="shared" si="38"/>
        <v>166.66666666666666</v>
      </c>
      <c r="I94" s="183">
        <f t="shared" si="38"/>
        <v>66.641025641025635</v>
      </c>
      <c r="J94" s="183">
        <f t="shared" si="38"/>
        <v>0</v>
      </c>
      <c r="K94" s="183">
        <f t="shared" si="38"/>
        <v>0</v>
      </c>
      <c r="L94" s="186">
        <f t="shared" si="38"/>
        <v>0</v>
      </c>
      <c r="M94" s="183">
        <f t="shared" si="38"/>
        <v>0</v>
      </c>
      <c r="N94" s="183">
        <f t="shared" si="38"/>
        <v>0</v>
      </c>
      <c r="O94" s="183">
        <f t="shared" si="38"/>
        <v>0</v>
      </c>
      <c r="P94" s="183">
        <f t="shared" si="38"/>
        <v>0</v>
      </c>
      <c r="Q94" s="183">
        <f t="shared" si="38"/>
        <v>0</v>
      </c>
      <c r="R94" s="115">
        <f>SUM(D94:Q94)</f>
        <v>552.74358974358972</v>
      </c>
    </row>
    <row r="95" spans="1:19" ht="15.5" x14ac:dyDescent="0.35">
      <c r="A95" s="116"/>
      <c r="B95" s="182">
        <f>B87</f>
        <v>15</v>
      </c>
      <c r="C95" s="182"/>
      <c r="D95" s="183">
        <f t="shared" si="38"/>
        <v>0</v>
      </c>
      <c r="E95" s="183">
        <f t="shared" si="38"/>
        <v>0</v>
      </c>
      <c r="F95" s="183">
        <f t="shared" si="38"/>
        <v>44.000000000000007</v>
      </c>
      <c r="G95" s="183">
        <f t="shared" si="38"/>
        <v>88.000000000000014</v>
      </c>
      <c r="H95" s="183">
        <f t="shared" si="38"/>
        <v>133.33333333333334</v>
      </c>
      <c r="I95" s="183">
        <f t="shared" si="38"/>
        <v>133.33333333333334</v>
      </c>
      <c r="J95" s="183">
        <f t="shared" si="38"/>
        <v>266.66666666666669</v>
      </c>
      <c r="K95" s="183">
        <f t="shared" si="38"/>
        <v>266.66666666666669</v>
      </c>
      <c r="L95" s="186">
        <f t="shared" si="38"/>
        <v>266.66666666666669</v>
      </c>
      <c r="M95" s="183">
        <f t="shared" si="38"/>
        <v>133.33333333333334</v>
      </c>
      <c r="N95" s="183">
        <f t="shared" si="38"/>
        <v>66.823110318938234</v>
      </c>
      <c r="O95" s="183">
        <f t="shared" si="38"/>
        <v>0</v>
      </c>
      <c r="P95" s="183">
        <f t="shared" si="38"/>
        <v>0</v>
      </c>
      <c r="Q95" s="183">
        <f t="shared" si="38"/>
        <v>0</v>
      </c>
      <c r="R95" s="115">
        <f>SUM(D95:Q95)</f>
        <v>1398.8231103189385</v>
      </c>
    </row>
    <row r="96" spans="1:19" ht="15.5" x14ac:dyDescent="0.35">
      <c r="A96" s="116"/>
      <c r="B96" s="182">
        <f>B88</f>
        <v>18</v>
      </c>
      <c r="C96" s="182"/>
      <c r="D96" s="183">
        <f t="shared" si="38"/>
        <v>0</v>
      </c>
      <c r="E96" s="183">
        <f t="shared" si="38"/>
        <v>0</v>
      </c>
      <c r="F96" s="183">
        <f t="shared" si="38"/>
        <v>0</v>
      </c>
      <c r="G96" s="183">
        <f t="shared" si="38"/>
        <v>0</v>
      </c>
      <c r="H96" s="183">
        <f t="shared" si="38"/>
        <v>0</v>
      </c>
      <c r="I96" s="183">
        <f t="shared" si="38"/>
        <v>0</v>
      </c>
      <c r="J96" s="183">
        <f t="shared" si="38"/>
        <v>0</v>
      </c>
      <c r="K96" s="183">
        <f t="shared" si="38"/>
        <v>0</v>
      </c>
      <c r="L96" s="186">
        <f t="shared" si="38"/>
        <v>0</v>
      </c>
      <c r="M96" s="183">
        <f t="shared" si="38"/>
        <v>48.888888888888893</v>
      </c>
      <c r="N96" s="183">
        <f t="shared" si="38"/>
        <v>111.11111111111111</v>
      </c>
      <c r="O96" s="183">
        <f t="shared" si="38"/>
        <v>111.11111111111111</v>
      </c>
      <c r="P96" s="183">
        <f t="shared" si="38"/>
        <v>111.11111111111111</v>
      </c>
      <c r="Q96" s="183">
        <f t="shared" si="38"/>
        <v>111.11111111111111</v>
      </c>
      <c r="R96" s="115">
        <f>SUM(D96:Q96)</f>
        <v>493.33333333333326</v>
      </c>
    </row>
    <row r="97" spans="1:18" ht="15.5" x14ac:dyDescent="0.35">
      <c r="A97" s="116"/>
      <c r="B97" s="179" t="s">
        <v>241</v>
      </c>
      <c r="C97" s="179"/>
      <c r="D97" s="180"/>
      <c r="E97" s="180"/>
      <c r="F97" s="180"/>
      <c r="G97" s="180"/>
      <c r="H97" s="180"/>
      <c r="I97" s="180"/>
      <c r="J97" s="180"/>
      <c r="K97" s="180"/>
      <c r="L97" s="188"/>
      <c r="M97" s="180"/>
      <c r="N97" s="180"/>
      <c r="O97" s="180"/>
      <c r="P97" s="180"/>
      <c r="Q97" s="180"/>
      <c r="R97" s="181"/>
    </row>
    <row r="98" spans="1:18" ht="15.5" x14ac:dyDescent="0.35">
      <c r="A98" s="116"/>
      <c r="B98" s="182">
        <f>B86</f>
        <v>12</v>
      </c>
      <c r="C98" s="182"/>
      <c r="D98" s="183">
        <f t="shared" ref="D98:Q100" si="39">D86</f>
        <v>0</v>
      </c>
      <c r="E98" s="183">
        <f t="shared" si="39"/>
        <v>42.769230769230774</v>
      </c>
      <c r="F98" s="183">
        <f t="shared" si="39"/>
        <v>110</v>
      </c>
      <c r="G98" s="183">
        <f t="shared" si="39"/>
        <v>166.66666666666666</v>
      </c>
      <c r="H98" s="183">
        <f t="shared" si="39"/>
        <v>166.66666666666666</v>
      </c>
      <c r="I98" s="183">
        <f t="shared" si="39"/>
        <v>66.641025641025635</v>
      </c>
      <c r="J98" s="183">
        <f t="shared" si="39"/>
        <v>0</v>
      </c>
      <c r="K98" s="183">
        <f t="shared" si="39"/>
        <v>0</v>
      </c>
      <c r="L98" s="186">
        <f t="shared" si="39"/>
        <v>0</v>
      </c>
      <c r="M98" s="183">
        <f t="shared" si="39"/>
        <v>0</v>
      </c>
      <c r="N98" s="183">
        <f t="shared" si="39"/>
        <v>0</v>
      </c>
      <c r="O98" s="183">
        <f t="shared" si="39"/>
        <v>0</v>
      </c>
      <c r="P98" s="183">
        <f t="shared" si="39"/>
        <v>0</v>
      </c>
      <c r="Q98" s="183">
        <f t="shared" si="39"/>
        <v>0</v>
      </c>
      <c r="R98" s="115">
        <f>SUM(D98:Q98)</f>
        <v>552.74358974358972</v>
      </c>
    </row>
    <row r="99" spans="1:18" ht="15.5" x14ac:dyDescent="0.35">
      <c r="A99" s="116"/>
      <c r="B99" s="182">
        <f>B87</f>
        <v>15</v>
      </c>
      <c r="C99" s="182"/>
      <c r="D99" s="183">
        <f t="shared" si="39"/>
        <v>0</v>
      </c>
      <c r="E99" s="183">
        <f t="shared" si="39"/>
        <v>0</v>
      </c>
      <c r="F99" s="183">
        <f t="shared" si="39"/>
        <v>44.000000000000007</v>
      </c>
      <c r="G99" s="183">
        <f t="shared" si="39"/>
        <v>88.000000000000014</v>
      </c>
      <c r="H99" s="183">
        <f t="shared" si="39"/>
        <v>133.33333333333334</v>
      </c>
      <c r="I99" s="183">
        <f t="shared" si="39"/>
        <v>133.33333333333334</v>
      </c>
      <c r="J99" s="183">
        <f t="shared" si="39"/>
        <v>266.66666666666669</v>
      </c>
      <c r="K99" s="183">
        <f t="shared" si="39"/>
        <v>266.66666666666669</v>
      </c>
      <c r="L99" s="186">
        <f t="shared" si="39"/>
        <v>266.66666666666669</v>
      </c>
      <c r="M99" s="183">
        <f t="shared" si="39"/>
        <v>133.33333333333334</v>
      </c>
      <c r="N99" s="183">
        <f t="shared" si="39"/>
        <v>66.823110318938234</v>
      </c>
      <c r="O99" s="183">
        <f t="shared" si="39"/>
        <v>0</v>
      </c>
      <c r="P99" s="183">
        <f t="shared" si="39"/>
        <v>0</v>
      </c>
      <c r="Q99" s="183">
        <f t="shared" si="39"/>
        <v>0</v>
      </c>
      <c r="R99" s="115">
        <f>SUM(D99:Q99)</f>
        <v>1398.8231103189385</v>
      </c>
    </row>
    <row r="100" spans="1:18" ht="15.5" x14ac:dyDescent="0.35">
      <c r="A100" s="116"/>
      <c r="B100" s="182">
        <f>B88</f>
        <v>18</v>
      </c>
      <c r="C100" s="182"/>
      <c r="D100" s="183">
        <f t="shared" si="39"/>
        <v>0</v>
      </c>
      <c r="E100" s="183">
        <f t="shared" si="39"/>
        <v>0</v>
      </c>
      <c r="F100" s="183">
        <f t="shared" si="39"/>
        <v>0</v>
      </c>
      <c r="G100" s="183">
        <f t="shared" si="39"/>
        <v>0</v>
      </c>
      <c r="H100" s="183">
        <f t="shared" si="39"/>
        <v>0</v>
      </c>
      <c r="I100" s="183">
        <f t="shared" si="39"/>
        <v>0</v>
      </c>
      <c r="J100" s="183">
        <f t="shared" si="39"/>
        <v>0</v>
      </c>
      <c r="K100" s="183">
        <f t="shared" si="39"/>
        <v>0</v>
      </c>
      <c r="L100" s="186">
        <f t="shared" si="39"/>
        <v>0</v>
      </c>
      <c r="M100" s="183">
        <f t="shared" si="39"/>
        <v>48.888888888888893</v>
      </c>
      <c r="N100" s="183">
        <f t="shared" si="39"/>
        <v>111.11111111111111</v>
      </c>
      <c r="O100" s="183">
        <f t="shared" si="39"/>
        <v>111.11111111111111</v>
      </c>
      <c r="P100" s="183">
        <f t="shared" si="39"/>
        <v>111.11111111111111</v>
      </c>
      <c r="Q100" s="183">
        <f t="shared" si="39"/>
        <v>111.11111111111111</v>
      </c>
      <c r="R100" s="115">
        <f>SUM(D100:Q100)</f>
        <v>493.33333333333326</v>
      </c>
    </row>
    <row r="101" spans="1:18" ht="15.5" x14ac:dyDescent="0.35">
      <c r="A101" s="116"/>
      <c r="B101" s="179" t="s">
        <v>116</v>
      </c>
      <c r="C101" s="179"/>
      <c r="D101" s="180"/>
      <c r="E101" s="180"/>
      <c r="F101" s="180"/>
      <c r="G101" s="180"/>
      <c r="H101" s="180"/>
      <c r="I101" s="180"/>
      <c r="J101" s="180"/>
      <c r="K101" s="180"/>
      <c r="L101" s="188"/>
      <c r="M101" s="180"/>
      <c r="N101" s="180"/>
      <c r="O101" s="180"/>
      <c r="P101" s="180"/>
      <c r="Q101" s="180"/>
      <c r="R101" s="181"/>
    </row>
    <row r="102" spans="1:18" ht="15.5" x14ac:dyDescent="0.35">
      <c r="A102" s="116"/>
      <c r="B102" s="116" t="str">
        <f>[1]Detailed!B92</f>
        <v>Monopiles (turbine)</v>
      </c>
      <c r="C102" s="116"/>
      <c r="D102" s="183">
        <f>IF(SUM('EC-UNC'!D$86:D$88)=0,0,'EC-UNC'!D102*SUM(D$86:D$88)/SUM('EC-UNC'!D$86:D$88))</f>
        <v>0</v>
      </c>
      <c r="E102" s="183">
        <f>IF(SUM('EC-UNC'!E$86:E$88)=0,0,'EC-UNC'!E102*SUM(E$86:E$88)/SUM('EC-UNC'!E$86:E$88))</f>
        <v>32.769230769230774</v>
      </c>
      <c r="F102" s="183">
        <f>IF(SUM('EC-UNC'!F$86:F$88)=0,0,'EC-UNC'!F102*SUM(F$86:F$88)/SUM('EC-UNC'!F$86:F$88))</f>
        <v>104.46451554144767</v>
      </c>
      <c r="G102" s="183">
        <f>IF(SUM('EC-UNC'!G$86:G$88)=0,0,'EC-UNC'!G102*SUM(G$86:G$88)/SUM('EC-UNC'!G$86:G$88))</f>
        <v>157.71918494928053</v>
      </c>
      <c r="H102" s="183">
        <f>IF(SUM('EC-UNC'!H$86:H$88)=0,0,'EC-UNC'!H102*SUM(H$86:H$88)/SUM('EC-UNC'!H$86:H$88))</f>
        <v>197.83916849015316</v>
      </c>
      <c r="I102" s="183">
        <f>IF(SUM('EC-UNC'!I$86:I$88)=0,0,'EC-UNC'!I102*SUM(I$86:I$88)/SUM('EC-UNC'!I$86:I$88))</f>
        <v>100.39337955532957</v>
      </c>
      <c r="J102" s="183">
        <f>IF(SUM('EC-UNC'!J$86:J$88)=0,0,'EC-UNC'!J102*SUM(J$86:J$88)/SUM('EC-UNC'!J$86:J$88))</f>
        <v>161.23444568274994</v>
      </c>
      <c r="K102" s="183">
        <f>IF(SUM('EC-UNC'!K$86:K$88)=0,0,'EC-UNC'!K102*SUM(K$86:K$88)/SUM('EC-UNC'!K$86:K$88))</f>
        <v>261.99360650973551</v>
      </c>
      <c r="L102" s="186">
        <f>IF(SUM('EC-UNC'!L$86:L$88)=0,0,'EC-UNC'!L102*SUM(L$86:L$88)/SUM('EC-UNC'!L$86:L$88))</f>
        <v>221.64739441538947</v>
      </c>
      <c r="M102" s="183">
        <f>IF(SUM('EC-UNC'!M$86:M$88)=0,0,'EC-UNC'!M102*SUM(M$86:M$88)/SUM('EC-UNC'!M$86:M$88))</f>
        <v>106.21760355587892</v>
      </c>
      <c r="N102" s="183">
        <f>IF(SUM('EC-UNC'!N$86:N$88)=0,0,'EC-UNC'!N102*SUM(N$86:N$88)/SUM('EC-UNC'!N$86:N$88))</f>
        <v>114.57092859530582</v>
      </c>
      <c r="O102" s="183">
        <f>IF(SUM('EC-UNC'!O$86:O$88)=0,0,'EC-UNC'!O102*SUM(O$86:O$88)/SUM('EC-UNC'!O$86:O$88))</f>
        <v>77.777777777777771</v>
      </c>
      <c r="P102" s="183">
        <f>IF(SUM('EC-UNC'!P$86:P$88)=0,0,'EC-UNC'!P102*SUM(P$86:P$88)/SUM('EC-UNC'!P$86:P$88))</f>
        <v>83.245632172798423</v>
      </c>
      <c r="Q102" s="183">
        <f>IF(SUM('EC-UNC'!Q$86:Q$88)=0,0,'EC-UNC'!Q102*SUM(Q$86:Q$88)/SUM('EC-UNC'!Q$86:Q$88))</f>
        <v>77.777777777777771</v>
      </c>
      <c r="R102" s="115">
        <f>SUM(D102:Q102)</f>
        <v>1697.6506457928554</v>
      </c>
    </row>
    <row r="103" spans="1:18" ht="15.5" x14ac:dyDescent="0.35">
      <c r="A103" s="116"/>
      <c r="B103" s="116" t="str">
        <f>[1]Detailed!B93</f>
        <v>Transition Piece</v>
      </c>
      <c r="C103" s="116"/>
      <c r="D103" s="183">
        <f>IF(SUM('EC-UNC'!D$86:D$88)=0,0,'EC-UNC'!D103*SUM(D$86:D$88)/SUM('EC-UNC'!D$86:D$88))</f>
        <v>0</v>
      </c>
      <c r="E103" s="183">
        <f>IF(SUM('EC-UNC'!E$86:E$88)=0,0,'EC-UNC'!E103*SUM(E$86:E$88)/SUM('EC-UNC'!E$86:E$88))</f>
        <v>32.769230769230774</v>
      </c>
      <c r="F103" s="183">
        <f>IF(SUM('EC-UNC'!F$86:F$88)=0,0,'EC-UNC'!F103*SUM(F$86:F$88)/SUM('EC-UNC'!F$86:F$88))</f>
        <v>104.46451554144767</v>
      </c>
      <c r="G103" s="183">
        <f>IF(SUM('EC-UNC'!G$86:G$88)=0,0,'EC-UNC'!G103*SUM(G$86:G$88)/SUM('EC-UNC'!G$86:G$88))</f>
        <v>157.71918494928053</v>
      </c>
      <c r="H103" s="183">
        <f>IF(SUM('EC-UNC'!H$86:H$88)=0,0,'EC-UNC'!H103*SUM(H$86:H$88)/SUM('EC-UNC'!H$86:H$88))</f>
        <v>197.83916849015316</v>
      </c>
      <c r="I103" s="183">
        <f>IF(SUM('EC-UNC'!I$86:I$88)=0,0,'EC-UNC'!I103*SUM(I$86:I$88)/SUM('EC-UNC'!I$86:I$88))</f>
        <v>100.39337955532957</v>
      </c>
      <c r="J103" s="183">
        <f>IF(SUM('EC-UNC'!J$86:J$88)=0,0,'EC-UNC'!J103*SUM(J$86:J$88)/SUM('EC-UNC'!J$86:J$88))</f>
        <v>161.23444568274994</v>
      </c>
      <c r="K103" s="183">
        <f>IF(SUM('EC-UNC'!K$86:K$88)=0,0,'EC-UNC'!K103*SUM(K$86:K$88)/SUM('EC-UNC'!K$86:K$88))</f>
        <v>261.99360650973551</v>
      </c>
      <c r="L103" s="186">
        <f>IF(SUM('EC-UNC'!L$86:L$88)=0,0,'EC-UNC'!L103*SUM(L$86:L$88)/SUM('EC-UNC'!L$86:L$88))</f>
        <v>221.64739441538947</v>
      </c>
      <c r="M103" s="183">
        <f>IF(SUM('EC-UNC'!M$86:M$88)=0,0,'EC-UNC'!M103*SUM(M$86:M$88)/SUM('EC-UNC'!M$86:M$88))</f>
        <v>106.21760355587892</v>
      </c>
      <c r="N103" s="183">
        <f>IF(SUM('EC-UNC'!N$86:N$88)=0,0,'EC-UNC'!N103*SUM(N$86:N$88)/SUM('EC-UNC'!N$86:N$88))</f>
        <v>114.57092859530582</v>
      </c>
      <c r="O103" s="183">
        <f>IF(SUM('EC-UNC'!O$86:O$88)=0,0,'EC-UNC'!O103*SUM(O$86:O$88)/SUM('EC-UNC'!O$86:O$88))</f>
        <v>77.777777777777771</v>
      </c>
      <c r="P103" s="183">
        <f>IF(SUM('EC-UNC'!P$86:P$88)=0,0,'EC-UNC'!P103*SUM(P$86:P$88)/SUM('EC-UNC'!P$86:P$88))</f>
        <v>83.245632172798423</v>
      </c>
      <c r="Q103" s="183">
        <f>IF(SUM('EC-UNC'!Q$86:Q$88)=0,0,'EC-UNC'!Q103*SUM(Q$86:Q$88)/SUM('EC-UNC'!Q$86:Q$88))</f>
        <v>77.777777777777771</v>
      </c>
      <c r="R103" s="115">
        <f>SUM(D103:Q103)</f>
        <v>1697.6506457928554</v>
      </c>
    </row>
    <row r="104" spans="1:18" ht="15.5" x14ac:dyDescent="0.35">
      <c r="A104" s="116"/>
      <c r="B104" s="116" t="s">
        <v>117</v>
      </c>
      <c r="C104" s="116"/>
      <c r="D104" s="183">
        <f>IF(SUM('EC-UNC'!D$86:D$88)=0,0,'EC-UNC'!D104*SUM(D$86:D$88)/SUM('EC-UNC'!D$86:D$88))</f>
        <v>0</v>
      </c>
      <c r="E104" s="183">
        <f>IF(SUM('EC-UNC'!E$86:E$88)=0,0,'EC-UNC'!E104*SUM(E$86:E$88)/SUM('EC-UNC'!E$86:E$88))</f>
        <v>0</v>
      </c>
      <c r="F104" s="183">
        <f>IF(SUM('EC-UNC'!F$86:F$88)=0,0,'EC-UNC'!F104*SUM(F$86:F$88)/SUM('EC-UNC'!F$86:F$88))</f>
        <v>13.265708950375892</v>
      </c>
      <c r="G104" s="183">
        <f>IF(SUM('EC-UNC'!G$86:G$88)=0,0,'EC-UNC'!G104*SUM(G$86:G$88)/SUM('EC-UNC'!G$86:G$88))</f>
        <v>10.543524416135883</v>
      </c>
      <c r="H104" s="183">
        <f>IF(SUM('EC-UNC'!H$86:H$88)=0,0,'EC-UNC'!H104*SUM(H$86:H$88)/SUM('EC-UNC'!H$86:H$88))</f>
        <v>13.539387308533918</v>
      </c>
      <c r="I104" s="183">
        <f>IF(SUM('EC-UNC'!I$86:I$88)=0,0,'EC-UNC'!I104*SUM(I$86:I$88)/SUM('EC-UNC'!I$86:I$88))</f>
        <v>5.5353365219095449</v>
      </c>
      <c r="J104" s="183">
        <f>IF(SUM('EC-UNC'!J$86:J$88)=0,0,'EC-UNC'!J104*SUM(J$86:J$88)/SUM('EC-UNC'!J$86:J$88))</f>
        <v>32.868859317376938</v>
      </c>
      <c r="K104" s="183">
        <f>IF(SUM('EC-UNC'!K$86:K$88)=0,0,'EC-UNC'!K104*SUM(K$86:K$88)/SUM('EC-UNC'!K$86:K$88))</f>
        <v>17.85527462946818</v>
      </c>
      <c r="L104" s="186">
        <f>IF(SUM('EC-UNC'!L$86:L$88)=0,0,'EC-UNC'!L104*SUM(L$86:L$88)/SUM('EC-UNC'!L$86:L$88))</f>
        <v>8.2217196646035138</v>
      </c>
      <c r="M104" s="183">
        <f>IF(SUM('EC-UNC'!M$86:M$88)=0,0,'EC-UNC'!M104*SUM(M$86:M$88)/SUM('EC-UNC'!M$86:M$88))</f>
        <v>13.656934375771332</v>
      </c>
      <c r="N104" s="183">
        <f>IF(SUM('EC-UNC'!N$86:N$88)=0,0,'EC-UNC'!N104*SUM(N$86:N$88)/SUM('EC-UNC'!N$86:N$88))</f>
        <v>22.94649831235914</v>
      </c>
      <c r="O104" s="183">
        <f>IF(SUM('EC-UNC'!O$86:O$88)=0,0,'EC-UNC'!O104*SUM(O$86:O$88)/SUM('EC-UNC'!O$86:O$88))</f>
        <v>16.666666666666668</v>
      </c>
      <c r="P104" s="183">
        <f>IF(SUM('EC-UNC'!P$86:P$88)=0,0,'EC-UNC'!P104*SUM(P$86:P$88)/SUM('EC-UNC'!P$86:P$88))</f>
        <v>13.93273946915634</v>
      </c>
      <c r="Q104" s="183">
        <f>IF(SUM('EC-UNC'!Q$86:Q$88)=0,0,'EC-UNC'!Q104*SUM(Q$86:Q$88)/SUM('EC-UNC'!Q$86:Q$88))</f>
        <v>16.666666666666664</v>
      </c>
      <c r="R104" s="115">
        <f>SUM(D104:Q104)</f>
        <v>185.69931629902399</v>
      </c>
    </row>
    <row r="105" spans="1:18" ht="15.5" x14ac:dyDescent="0.35">
      <c r="A105" s="116"/>
      <c r="B105" s="116" t="s">
        <v>118</v>
      </c>
      <c r="C105" s="116"/>
      <c r="D105" s="183">
        <f>IF(SUM('EC-UNC'!D$86:D$88)=0,0,'EC-UNC'!D105*SUM(D$86:D$88)/SUM('EC-UNC'!D$86:D$88))</f>
        <v>0</v>
      </c>
      <c r="E105" s="183">
        <f>IF(SUM('EC-UNC'!E$86:E$88)=0,0,'EC-UNC'!E105*SUM(E$86:E$88)/SUM('EC-UNC'!E$86:E$88))</f>
        <v>10</v>
      </c>
      <c r="F105" s="183">
        <f>IF(SUM('EC-UNC'!F$86:F$88)=0,0,'EC-UNC'!F105*SUM(F$86:F$88)/SUM('EC-UNC'!F$86:F$88))</f>
        <v>36.269775508176423</v>
      </c>
      <c r="G105" s="183">
        <f>IF(SUM('EC-UNC'!G$86:G$88)=0,0,'EC-UNC'!G105*SUM(G$86:G$88)/SUM('EC-UNC'!G$86:G$88))</f>
        <v>67.074162538334519</v>
      </c>
      <c r="H105" s="183">
        <f>IF(SUM('EC-UNC'!H$86:H$88)=0,0,'EC-UNC'!H105*SUM(H$86:H$88)/SUM('EC-UNC'!H$86:H$88))</f>
        <v>61.542669584245083</v>
      </c>
      <c r="I105" s="183">
        <f>IF(SUM('EC-UNC'!I$86:I$88)=0,0,'EC-UNC'!I105*SUM(I$86:I$88)/SUM('EC-UNC'!I$86:I$88))</f>
        <v>94.04564289711989</v>
      </c>
      <c r="J105" s="183">
        <f>IF(SUM('EC-UNC'!J$86:J$88)=0,0,'EC-UNC'!J105*SUM(J$86:J$88)/SUM('EC-UNC'!J$86:J$88))</f>
        <v>58.051965461038876</v>
      </c>
      <c r="K105" s="183">
        <f>IF(SUM('EC-UNC'!K$86:K$88)=0,0,'EC-UNC'!K105*SUM(K$86:K$88)/SUM('EC-UNC'!K$86:K$88))</f>
        <v>17.85527462946818</v>
      </c>
      <c r="L105" s="186">
        <f>IF(SUM('EC-UNC'!L$86:L$88)=0,0,'EC-UNC'!L105*SUM(L$86:L$88)/SUM('EC-UNC'!L$86:L$88))</f>
        <v>18.752626025129622</v>
      </c>
      <c r="M105" s="183">
        <f>IF(SUM('EC-UNC'!M$86:M$88)=0,0,'EC-UNC'!M105*SUM(M$86:M$88)/SUM('EC-UNC'!M$86:M$88))</f>
        <v>13.656934375771332</v>
      </c>
      <c r="N105" s="183">
        <f>IF(SUM('EC-UNC'!N$86:N$88)=0,0,'EC-UNC'!N105*SUM(N$86:N$88)/SUM('EC-UNC'!N$86:N$88))</f>
        <v>40.416794522384372</v>
      </c>
      <c r="O105" s="183">
        <f>IF(SUM('EC-UNC'!O$86:O$88)=0,0,'EC-UNC'!O105*SUM(O$86:O$88)/SUM('EC-UNC'!O$86:O$88))</f>
        <v>16.666666666666668</v>
      </c>
      <c r="P105" s="183">
        <f>IF(SUM('EC-UNC'!P$86:P$88)=0,0,'EC-UNC'!P105*SUM(P$86:P$88)/SUM('EC-UNC'!P$86:P$88))</f>
        <v>13.93273946915634</v>
      </c>
      <c r="Q105" s="183">
        <f>IF(SUM('EC-UNC'!Q$86:Q$88)=0,0,'EC-UNC'!Q105*SUM(Q$86:Q$88)/SUM('EC-UNC'!Q$86:Q$88))</f>
        <v>16.666666666666664</v>
      </c>
      <c r="R105" s="115">
        <f>SUM(D105:Q105)</f>
        <v>464.93191834415802</v>
      </c>
    </row>
    <row r="106" spans="1:18" ht="15.5" x14ac:dyDescent="0.35">
      <c r="A106" s="116"/>
      <c r="B106" s="116" t="str">
        <f>[1]Detailed!B96</f>
        <v>Jacket (Substation)</v>
      </c>
      <c r="C106" s="116"/>
      <c r="D106" s="183">
        <f>IF(SUM('EC-UNC'!D$86:D$88)=0,0,'EC-UNC'!D106*SUM(D$86:D$88)/SUM('EC-UNC'!D$86:D$88))</f>
        <v>0</v>
      </c>
      <c r="E106" s="183">
        <f>IF(SUM('EC-UNC'!E$86:E$88)=0,0,'EC-UNC'!E106*SUM(E$86:E$88)/SUM('EC-UNC'!E$86:E$88))</f>
        <v>2</v>
      </c>
      <c r="F106" s="183">
        <f>IF(SUM('EC-UNC'!F$86:F$88)=0,0,'EC-UNC'!F106*SUM(F$86:F$88)/SUM('EC-UNC'!F$86:F$88))</f>
        <v>4.5519589535603551</v>
      </c>
      <c r="G106" s="183">
        <f>IF(SUM('EC-UNC'!G$86:G$88)=0,0,'EC-UNC'!G106*SUM(G$86:G$88)/SUM('EC-UNC'!G$86:G$88))</f>
        <v>7.9076433121019116</v>
      </c>
      <c r="H106" s="183">
        <f>IF(SUM('EC-UNC'!H$86:H$88)=0,0,'EC-UNC'!H106*SUM(H$86:H$88)/SUM('EC-UNC'!H$86:H$88))</f>
        <v>8.6159737417943116</v>
      </c>
      <c r="I106" s="183">
        <f>IF(SUM('EC-UNC'!I$86:I$88)=0,0,'EC-UNC'!I106*SUM(I$86:I$88)/SUM('EC-UNC'!I$86:I$88))</f>
        <v>5.1635601883484554</v>
      </c>
      <c r="J106" s="183">
        <f>IF(SUM('EC-UNC'!J$86:J$88)=0,0,'EC-UNC'!J106*SUM(J$86:J$88)/SUM('EC-UNC'!J$86:J$88))</f>
        <v>5.6878839398445926</v>
      </c>
      <c r="K106" s="183">
        <f>IF(SUM('EC-UNC'!K$86:K$88)=0,0,'EC-UNC'!K106*SUM(K$86:K$88)/SUM('EC-UNC'!K$86:K$88))</f>
        <v>8.7183958151700089</v>
      </c>
      <c r="L106" s="186">
        <f>IF(SUM('EC-UNC'!L$86:L$88)=0,0,'EC-UNC'!L106*SUM(L$86:L$88)/SUM('EC-UNC'!L$86:L$88))</f>
        <v>9.3044152582961583</v>
      </c>
      <c r="M106" s="183">
        <f>IF(SUM('EC-UNC'!M$86:M$88)=0,0,'EC-UNC'!M106*SUM(M$86:M$88)/SUM('EC-UNC'!M$86:M$88))</f>
        <v>3.2776642501851208</v>
      </c>
      <c r="N106" s="183">
        <f>IF(SUM('EC-UNC'!N$86:N$88)=0,0,'EC-UNC'!N106*SUM(N$86:N$88)/SUM('EC-UNC'!N$86:N$88))</f>
        <v>5.9187903591276907</v>
      </c>
      <c r="O106" s="183">
        <f>IF(SUM('EC-UNC'!O$86:O$88)=0,0,'EC-UNC'!O106*SUM(O$86:O$88)/SUM('EC-UNC'!O$86:O$88))</f>
        <v>3.3641715727502106</v>
      </c>
      <c r="P106" s="183">
        <f>IF(SUM('EC-UNC'!P$86:P$88)=0,0,'EC-UNC'!P106*SUM(P$86:P$88)/SUM('EC-UNC'!P$86:P$88))</f>
        <v>4.0958567768220497</v>
      </c>
      <c r="Q106" s="183">
        <f>IF(SUM('EC-UNC'!Q$86:Q$88)=0,0,'EC-UNC'!Q106*SUM(Q$86:Q$88)/SUM('EC-UNC'!Q$86:Q$88))</f>
        <v>4.329004329004329</v>
      </c>
      <c r="R106" s="115">
        <f>SUM(D106:Q106)</f>
        <v>72.935318497005198</v>
      </c>
    </row>
    <row r="107" spans="1:18" ht="15.5" x14ac:dyDescent="0.35">
      <c r="A107" s="116"/>
      <c r="B107" s="179" t="s">
        <v>119</v>
      </c>
      <c r="C107" s="179"/>
      <c r="D107" s="180"/>
      <c r="E107" s="180"/>
      <c r="F107" s="180"/>
      <c r="G107" s="180"/>
      <c r="H107" s="180"/>
      <c r="I107" s="180"/>
      <c r="J107" s="180"/>
      <c r="K107" s="180"/>
      <c r="L107" s="188"/>
      <c r="M107" s="180"/>
      <c r="N107" s="180"/>
      <c r="O107" s="180"/>
      <c r="P107" s="180"/>
      <c r="Q107" s="180"/>
      <c r="R107" s="181"/>
    </row>
    <row r="108" spans="1:18" ht="15.5" x14ac:dyDescent="0.35">
      <c r="A108" s="116"/>
      <c r="B108" s="116" t="str">
        <f>[1]Detailed!B98</f>
        <v>OSS Topside</v>
      </c>
      <c r="C108" s="116"/>
      <c r="D108" s="183">
        <f>IF('EC-UNC'!D$83=0,0,'EC-UNC'!D108*D$83/'EC-UNC'!D$83)</f>
        <v>0</v>
      </c>
      <c r="E108" s="183">
        <f>IF('EC-UNC'!E$83=0,0,'EC-UNC'!E108*E$83/'EC-UNC'!E$83)</f>
        <v>2</v>
      </c>
      <c r="F108" s="183">
        <f>IF('EC-UNC'!F$83=0,0,'EC-UNC'!F108*F$83/'EC-UNC'!F$83)</f>
        <v>4.6160801611904221</v>
      </c>
      <c r="G108" s="183">
        <f>IF('EC-UNC'!G$83=0,0,'EC-UNC'!G108*G$83/'EC-UNC'!G$83)</f>
        <v>5.2626658808706086</v>
      </c>
      <c r="H108" s="183">
        <f>IF('EC-UNC'!H$83=0,0,'EC-UNC'!H108*H$83/'EC-UNC'!H$83)</f>
        <v>8.0598733448474373</v>
      </c>
      <c r="I108" s="183">
        <f>IF('EC-UNC'!I$83=0,0,'EC-UNC'!I108*I$83/'EC-UNC'!I$83)</f>
        <v>4.8194111197622869</v>
      </c>
      <c r="J108" s="183">
        <f>IF('EC-UNC'!J$83=0,0,'EC-UNC'!J108*J$83/'EC-UNC'!J$83)</f>
        <v>5.6878839398445926</v>
      </c>
      <c r="K108" s="183">
        <f>IF('EC-UNC'!K$83=0,0,'EC-UNC'!K108*K$83/'EC-UNC'!K$83)</f>
        <v>8.7183958151700107</v>
      </c>
      <c r="L108" s="186">
        <f>IF('EC-UNC'!L$83=0,0,'EC-UNC'!L108*L$83/'EC-UNC'!L$83)</f>
        <v>6.7668474605790241</v>
      </c>
      <c r="M108" s="183">
        <f>IF('EC-UNC'!M$83=0,0,'EC-UNC'!M108*M$83/'EC-UNC'!M$83)</f>
        <v>2.8779490977235205</v>
      </c>
      <c r="N108" s="183">
        <f>IF('EC-UNC'!N$83=0,0,'EC-UNC'!N108*N$83/'EC-UNC'!N$83)</f>
        <v>5.5483238856710528</v>
      </c>
      <c r="O108" s="183">
        <f>IF('EC-UNC'!O$83=0,0,'EC-UNC'!O108*O$83/'EC-UNC'!O$83)</f>
        <v>3.3641715727502102</v>
      </c>
      <c r="P108" s="183">
        <f>IF('EC-UNC'!P$83=0,0,'EC-UNC'!P108*P$83/'EC-UNC'!P$83)</f>
        <v>4.0958567768220506</v>
      </c>
      <c r="Q108" s="183">
        <f>IF('EC-UNC'!Q$83=0,0,'EC-UNC'!Q108*Q$83/'EC-UNC'!Q$83)</f>
        <v>4.329004329004329</v>
      </c>
      <c r="R108" s="115">
        <f>SUM(D108:Q108)</f>
        <v>66.146463384235545</v>
      </c>
    </row>
    <row r="109" spans="1:18" ht="15.5" x14ac:dyDescent="0.35">
      <c r="A109" s="116"/>
      <c r="B109" s="179" t="s">
        <v>120</v>
      </c>
      <c r="C109" s="179"/>
      <c r="D109" s="180"/>
      <c r="E109" s="180"/>
      <c r="F109" s="180"/>
      <c r="G109" s="180"/>
      <c r="H109" s="180"/>
      <c r="I109" s="180"/>
      <c r="J109" s="180"/>
      <c r="K109" s="180"/>
      <c r="L109" s="188"/>
      <c r="M109" s="180"/>
      <c r="N109" s="180"/>
      <c r="O109" s="180"/>
      <c r="P109" s="180"/>
      <c r="Q109" s="180"/>
      <c r="R109" s="181"/>
    </row>
    <row r="110" spans="1:18" ht="15.5" x14ac:dyDescent="0.35">
      <c r="A110" s="116"/>
      <c r="B110" s="116" t="str">
        <f>[1]Detailed!B100</f>
        <v>Array cable, km</v>
      </c>
      <c r="C110" s="116"/>
      <c r="D110" s="183">
        <v>0</v>
      </c>
      <c r="E110" s="183">
        <f>IF('EC-UNC'!E$83=0,0,'EC-UNC'!E110*E$83/'EC-UNC'!E$83)</f>
        <v>125.50240000000001</v>
      </c>
      <c r="F110" s="183">
        <f>IF('EC-UNC'!F$83=0,0,'EC-UNC'!F110*F$83/'EC-UNC'!F$83)</f>
        <v>398.02331261749072</v>
      </c>
      <c r="G110" s="183">
        <f>IF('EC-UNC'!G$83=0,0,'EC-UNC'!G110*G$83/'EC-UNC'!G$83)</f>
        <v>636.4204506946844</v>
      </c>
      <c r="H110" s="183">
        <f>IF('EC-UNC'!H$83=0,0,'EC-UNC'!H110*H$83/'EC-UNC'!H$83)</f>
        <v>599.0478295912493</v>
      </c>
      <c r="I110" s="183">
        <f>IF('EC-UNC'!I$83=0,0,'EC-UNC'!I110*I$83/'EC-UNC'!I$83)</f>
        <v>402.56589406003224</v>
      </c>
      <c r="J110" s="183">
        <f>IF('EC-UNC'!J$83=0,0,'EC-UNC'!J110*J$83/'EC-UNC'!J$83)</f>
        <v>714.52383357448048</v>
      </c>
      <c r="K110" s="183">
        <f>IF('EC-UNC'!K$83=0,0,'EC-UNC'!K110*K$83/'EC-UNC'!K$83)</f>
        <v>585.60000000000014</v>
      </c>
      <c r="L110" s="186">
        <f>IF('EC-UNC'!L$83=0,0,'EC-UNC'!L110*L$83/'EC-UNC'!L$83)</f>
        <v>807.14590917461123</v>
      </c>
      <c r="M110" s="183">
        <f>IF('EC-UNC'!M$83=0,0,'EC-UNC'!M110*M$83/'EC-UNC'!M$83)</f>
        <v>257.4747335301347</v>
      </c>
      <c r="N110" s="183">
        <f>IF('EC-UNC'!N$83=0,0,'EC-UNC'!N110*N$83/'EC-UNC'!N$83)</f>
        <v>480.95683062315203</v>
      </c>
      <c r="O110" s="183">
        <f>IF('EC-UNC'!O$83=0,0,'EC-UNC'!O110*O$83/'EC-UNC'!O$83)</f>
        <v>244</v>
      </c>
      <c r="P110" s="183">
        <f>IF('EC-UNC'!P$83=0,0,'EC-UNC'!P110*P$83/'EC-UNC'!P$83)</f>
        <v>244</v>
      </c>
      <c r="Q110" s="183">
        <f>IF('EC-UNC'!Q$83=0,0,'EC-UNC'!Q110*Q$83/'EC-UNC'!Q$83)</f>
        <v>244.00000000000003</v>
      </c>
      <c r="R110" s="115">
        <f>SUM(D110:Q110)</f>
        <v>5739.2611938658356</v>
      </c>
    </row>
    <row r="111" spans="1:18" ht="15.5" x14ac:dyDescent="0.35">
      <c r="A111" s="116"/>
      <c r="B111" s="116" t="str">
        <f>[1]Detailed!B101</f>
        <v>Export cable, km</v>
      </c>
      <c r="C111" s="116"/>
      <c r="D111" s="183">
        <v>0</v>
      </c>
      <c r="E111" s="183">
        <f>IF('EC-UNC'!E$83=0,0,'EC-UNC'!E111*E$83/'EC-UNC'!E$83)</f>
        <v>256</v>
      </c>
      <c r="F111" s="183">
        <f>IF('EC-UNC'!F$83=0,0,'EC-UNC'!F111*F$83/'EC-UNC'!F$83)</f>
        <v>427.63994400169986</v>
      </c>
      <c r="G111" s="183">
        <f>IF('EC-UNC'!G$83=0,0,'EC-UNC'!G111*G$83/'EC-UNC'!G$83)</f>
        <v>443.37960046334877</v>
      </c>
      <c r="H111" s="183">
        <f>IF('EC-UNC'!H$83=0,0,'EC-UNC'!H111*H$83/'EC-UNC'!H$83)</f>
        <v>574.18422567645371</v>
      </c>
      <c r="I111" s="183">
        <f>IF('EC-UNC'!I$83=0,0,'EC-UNC'!I111*I$83/'EC-UNC'!I$83)</f>
        <v>507.00204979899257</v>
      </c>
      <c r="J111" s="183">
        <f>IF('EC-UNC'!J$83=0,0,'EC-UNC'!J111*J$83/'EC-UNC'!J$83)</f>
        <v>468.30147270036503</v>
      </c>
      <c r="K111" s="183">
        <f>IF('EC-UNC'!K$83=0,0,'EC-UNC'!K111*K$83/'EC-UNC'!K$83)</f>
        <v>1203.5925021795993</v>
      </c>
      <c r="L111" s="186">
        <f>IF('EC-UNC'!L$83=0,0,'EC-UNC'!L111*L$83/'EC-UNC'!L$83)</f>
        <v>575.10167783562258</v>
      </c>
      <c r="M111" s="183">
        <f>IF('EC-UNC'!M$83=0,0,'EC-UNC'!M111*M$83/'EC-UNC'!M$83)</f>
        <v>348.23184082454594</v>
      </c>
      <c r="N111" s="183">
        <f>IF('EC-UNC'!N$83=0,0,'EC-UNC'!N111*N$83/'EC-UNC'!N$83)</f>
        <v>778.09971588845133</v>
      </c>
      <c r="O111" s="183">
        <f>IF('EC-UNC'!O$83=0,0,'EC-UNC'!O111*O$83/'EC-UNC'!O$83)</f>
        <v>504.62573591253152</v>
      </c>
      <c r="P111" s="183">
        <f>IF('EC-UNC'!P$83=0,0,'EC-UNC'!P111*P$83/'EC-UNC'!P$83)</f>
        <v>550.81491520380609</v>
      </c>
      <c r="Q111" s="183">
        <f>IF('EC-UNC'!Q$83=0,0,'EC-UNC'!Q111*Q$83/'EC-UNC'!Q$83)</f>
        <v>606.06060606060601</v>
      </c>
      <c r="R111" s="115">
        <f>SUM(D111:Q111)</f>
        <v>7243.0342865460216</v>
      </c>
    </row>
    <row r="112" spans="1:18" ht="15.5" x14ac:dyDescent="0.35">
      <c r="A112" s="116"/>
      <c r="B112" s="135" t="s">
        <v>244</v>
      </c>
      <c r="C112" s="179"/>
      <c r="D112" s="180"/>
      <c r="E112" s="180"/>
      <c r="F112" s="180"/>
      <c r="G112" s="180"/>
      <c r="H112" s="180"/>
      <c r="I112" s="180"/>
      <c r="J112" s="180"/>
      <c r="K112" s="180"/>
      <c r="L112" s="188"/>
      <c r="M112" s="180"/>
      <c r="N112" s="180"/>
      <c r="O112" s="180"/>
      <c r="P112" s="180"/>
      <c r="Q112" s="180"/>
      <c r="R112" s="181"/>
    </row>
    <row r="113" spans="1:18" ht="15.5" x14ac:dyDescent="0.35">
      <c r="A113" s="116"/>
      <c r="B113" s="116" t="s">
        <v>121</v>
      </c>
      <c r="C113" s="116"/>
      <c r="D113" s="183">
        <f>D86*Assumptions!$K$25/24</f>
        <v>0</v>
      </c>
      <c r="E113" s="183">
        <f>E86*Assumptions!$K$25/24</f>
        <v>64.15384615384616</v>
      </c>
      <c r="F113" s="183">
        <f>F86*Assumptions!$K$25/24</f>
        <v>165</v>
      </c>
      <c r="G113" s="183">
        <f>G86*Assumptions!$K$25/24</f>
        <v>250</v>
      </c>
      <c r="H113" s="183">
        <f>H86*Assumptions!$K$25/24</f>
        <v>250</v>
      </c>
      <c r="I113" s="183">
        <f>I86*Assumptions!$K$25/24</f>
        <v>99.961538461538453</v>
      </c>
      <c r="J113" s="183">
        <f>J86*Assumptions!$K$25/24</f>
        <v>0</v>
      </c>
      <c r="K113" s="183">
        <f>K86*Assumptions!$K$25/24</f>
        <v>0</v>
      </c>
      <c r="L113" s="186">
        <f>L86*Assumptions!$K$25/24</f>
        <v>0</v>
      </c>
      <c r="M113" s="183">
        <f>M86*Assumptions!$K$25/24</f>
        <v>0</v>
      </c>
      <c r="N113" s="183">
        <f>N86*Assumptions!$K$25/24</f>
        <v>0</v>
      </c>
      <c r="O113" s="183">
        <f>O86*Assumptions!$K$25/24</f>
        <v>0</v>
      </c>
      <c r="P113" s="183">
        <f>P86*Assumptions!$K$25/24</f>
        <v>0</v>
      </c>
      <c r="Q113" s="183">
        <f>Q86*Assumptions!$K$25/24</f>
        <v>0</v>
      </c>
      <c r="R113" s="115"/>
    </row>
    <row r="114" spans="1:18" ht="15.5" x14ac:dyDescent="0.35">
      <c r="A114" s="116"/>
      <c r="B114" s="116" t="s">
        <v>122</v>
      </c>
      <c r="C114" s="116"/>
      <c r="D114" s="183">
        <f>D87*Assumptions!$K$25/24</f>
        <v>0</v>
      </c>
      <c r="E114" s="183">
        <f>E87*Assumptions!$K$25/24</f>
        <v>0</v>
      </c>
      <c r="F114" s="183">
        <f>F87*Assumptions!$K$25/24</f>
        <v>66.000000000000014</v>
      </c>
      <c r="G114" s="183">
        <f>G87*Assumptions!$K$25/24</f>
        <v>132.00000000000003</v>
      </c>
      <c r="H114" s="183">
        <f>H87*Assumptions!$K$25/24</f>
        <v>200</v>
      </c>
      <c r="I114" s="183">
        <f>I87*Assumptions!$K$25/24</f>
        <v>200</v>
      </c>
      <c r="J114" s="183">
        <f>J87*Assumptions!$K$25/24</f>
        <v>400</v>
      </c>
      <c r="K114" s="183">
        <f>K87*Assumptions!$K$25/24</f>
        <v>400</v>
      </c>
      <c r="L114" s="186">
        <f>L87*Assumptions!$K$25/24</f>
        <v>400</v>
      </c>
      <c r="M114" s="183">
        <f>M87*Assumptions!$K$25/24</f>
        <v>200</v>
      </c>
      <c r="N114" s="183">
        <f>N87*Assumptions!$K$25/24</f>
        <v>100.23466547840735</v>
      </c>
      <c r="O114" s="183">
        <f>O87*Assumptions!$K$25/24</f>
        <v>0</v>
      </c>
      <c r="P114" s="183">
        <f>P87*Assumptions!$K$25/24</f>
        <v>0</v>
      </c>
      <c r="Q114" s="183">
        <f>Q87*Assumptions!$K$25/24</f>
        <v>0</v>
      </c>
      <c r="R114" s="115"/>
    </row>
    <row r="115" spans="1:18" ht="15.5" x14ac:dyDescent="0.35">
      <c r="A115" s="116"/>
      <c r="B115" s="116" t="s">
        <v>123</v>
      </c>
      <c r="C115" s="116"/>
      <c r="D115" s="183">
        <f>D88*Assumptions!$K$25/24</f>
        <v>0</v>
      </c>
      <c r="E115" s="183">
        <f>E88*Assumptions!$K$25/24</f>
        <v>0</v>
      </c>
      <c r="F115" s="183">
        <f>F88*Assumptions!$K$25/24</f>
        <v>0</v>
      </c>
      <c r="G115" s="183">
        <f>G88*Assumptions!$K$25/24</f>
        <v>0</v>
      </c>
      <c r="H115" s="183">
        <f>H88*Assumptions!$K$25/24</f>
        <v>0</v>
      </c>
      <c r="I115" s="183">
        <f>I88*Assumptions!$K$25/24</f>
        <v>0</v>
      </c>
      <c r="J115" s="183">
        <f>J88*Assumptions!$K$25/24</f>
        <v>0</v>
      </c>
      <c r="K115" s="183">
        <f>K88*Assumptions!$K$25/24</f>
        <v>0</v>
      </c>
      <c r="L115" s="186">
        <f>L88*Assumptions!$K$25/24</f>
        <v>0</v>
      </c>
      <c r="M115" s="183">
        <f>M88*Assumptions!$K$25/24</f>
        <v>73.333333333333343</v>
      </c>
      <c r="N115" s="183">
        <f>N88*Assumptions!$K$25/24</f>
        <v>166.66666666666666</v>
      </c>
      <c r="O115" s="183">
        <f>O88*Assumptions!$K$25/24</f>
        <v>166.66666666666666</v>
      </c>
      <c r="P115" s="183">
        <f>P88*Assumptions!$K$25/24</f>
        <v>166.66666666666666</v>
      </c>
      <c r="Q115" s="183">
        <f>Q88*Assumptions!$K$25/24</f>
        <v>166.66666666666666</v>
      </c>
      <c r="R115" s="115"/>
    </row>
    <row r="116" spans="1:18" ht="15.5" x14ac:dyDescent="0.35">
      <c r="A116" s="116"/>
      <c r="B116" s="116" t="s">
        <v>140</v>
      </c>
      <c r="C116" s="116"/>
      <c r="D116" s="183">
        <f>(D102+D105)*Assumptions!$K$26/24</f>
        <v>0</v>
      </c>
      <c r="E116" s="183">
        <f>(E102+E105)*Assumptions!$K$26/24</f>
        <v>64.15384615384616</v>
      </c>
      <c r="F116" s="183">
        <f>(F102+F105)*Assumptions!$K$26/24</f>
        <v>211.10143657443612</v>
      </c>
      <c r="G116" s="183">
        <f>(G102+G105)*Assumptions!$K$26/24</f>
        <v>337.19002123142258</v>
      </c>
      <c r="H116" s="183">
        <f>(H102+H105)*Assumptions!$K$26/24</f>
        <v>389.07275711159735</v>
      </c>
      <c r="I116" s="183">
        <f>(I102+I105)*Assumptions!$K$26/24</f>
        <v>291.65853367867425</v>
      </c>
      <c r="J116" s="183">
        <f>(J102+J105)*Assumptions!$K$26/24</f>
        <v>328.92961671568327</v>
      </c>
      <c r="K116" s="183">
        <f>(K102+K105)*Assumptions!$K$26/24</f>
        <v>419.7733217088055</v>
      </c>
      <c r="L116" s="186">
        <f>(L102+L105)*Assumptions!$K$26/24</f>
        <v>360.60003066077866</v>
      </c>
      <c r="M116" s="183">
        <f>(M102+M105)*Assumptions!$K$26/24</f>
        <v>179.81180689747535</v>
      </c>
      <c r="N116" s="183">
        <f>(N102+N105)*Assumptions!$K$26/24</f>
        <v>232.48158467653528</v>
      </c>
      <c r="O116" s="183">
        <f>(O102+O105)*Assumptions!$K$26/24</f>
        <v>141.66666666666666</v>
      </c>
      <c r="P116" s="183">
        <f>(P102+P105)*Assumptions!$K$26/24</f>
        <v>145.76755746293216</v>
      </c>
      <c r="Q116" s="183">
        <f>(Q102+Q105)*Assumptions!$K$26/24</f>
        <v>141.66666666666666</v>
      </c>
      <c r="R116" s="115"/>
    </row>
    <row r="117" spans="1:18" ht="15.5" x14ac:dyDescent="0.35">
      <c r="A117" s="116"/>
      <c r="B117" s="116" t="s">
        <v>293</v>
      </c>
      <c r="C117" s="116"/>
      <c r="D117" s="107"/>
      <c r="E117" s="108">
        <f>SUM(E113:E116)</f>
        <v>128.30769230769232</v>
      </c>
      <c r="F117" s="108">
        <f t="shared" ref="F117:Q117" si="40">SUM(F113:F116)</f>
        <v>442.10143657443609</v>
      </c>
      <c r="G117" s="108">
        <f t="shared" si="40"/>
        <v>719.19002123142263</v>
      </c>
      <c r="H117" s="108">
        <f t="shared" si="40"/>
        <v>839.07275711159741</v>
      </c>
      <c r="I117" s="108">
        <f t="shared" si="40"/>
        <v>591.62007214021264</v>
      </c>
      <c r="J117" s="108">
        <f t="shared" si="40"/>
        <v>728.92961671568332</v>
      </c>
      <c r="K117" s="108">
        <f>SUM(K113:K116)</f>
        <v>819.7733217088055</v>
      </c>
      <c r="L117" s="108">
        <f t="shared" si="40"/>
        <v>760.60003066077866</v>
      </c>
      <c r="M117" s="108">
        <f t="shared" si="40"/>
        <v>453.14514023080869</v>
      </c>
      <c r="N117" s="108">
        <f t="shared" si="40"/>
        <v>499.38291682160923</v>
      </c>
      <c r="O117" s="108">
        <f t="shared" si="40"/>
        <v>308.33333333333331</v>
      </c>
      <c r="P117" s="108">
        <f t="shared" si="40"/>
        <v>312.43422412959882</v>
      </c>
      <c r="Q117" s="108">
        <f t="shared" si="40"/>
        <v>308.33333333333331</v>
      </c>
      <c r="R117" s="115"/>
    </row>
    <row r="118" spans="1:18" ht="15.5" x14ac:dyDescent="0.35">
      <c r="A118" s="116"/>
      <c r="B118" s="116" t="s">
        <v>138</v>
      </c>
      <c r="C118" s="116"/>
      <c r="D118" s="183">
        <f>D108*Assumptions!$K$27/24</f>
        <v>0</v>
      </c>
      <c r="E118" s="183">
        <f>E108*Assumptions!$K$27/24</f>
        <v>20</v>
      </c>
      <c r="F118" s="183">
        <f>F108*Assumptions!$K$27/24</f>
        <v>46.160801611904219</v>
      </c>
      <c r="G118" s="183">
        <f>G108*Assumptions!$K$27/24</f>
        <v>52.626658808706082</v>
      </c>
      <c r="H118" s="183">
        <f>H108*Assumptions!$K$27/24</f>
        <v>80.598733448474377</v>
      </c>
      <c r="I118" s="183">
        <f>I108*Assumptions!$K$27/24</f>
        <v>48.194111197622867</v>
      </c>
      <c r="J118" s="183">
        <f>J108*Assumptions!$K$27/24</f>
        <v>56.878839398445926</v>
      </c>
      <c r="K118" s="183">
        <f>K108*Assumptions!$K$27/24</f>
        <v>87.183958151700111</v>
      </c>
      <c r="L118" s="186">
        <f>L108*Assumptions!$K$27/24</f>
        <v>67.668474605790237</v>
      </c>
      <c r="M118" s="183">
        <f>M108*Assumptions!$K$27/24</f>
        <v>28.779490977235202</v>
      </c>
      <c r="N118" s="183">
        <f>N108*Assumptions!$K$27/24</f>
        <v>55.483238856710528</v>
      </c>
      <c r="O118" s="183">
        <f>O108*Assumptions!$K$27/24</f>
        <v>33.641715727502103</v>
      </c>
      <c r="P118" s="183">
        <f>P108*Assumptions!$K$27/24</f>
        <v>40.958567768220504</v>
      </c>
      <c r="Q118" s="183">
        <f>Q108*Assumptions!$K$27/24</f>
        <v>43.290043290043286</v>
      </c>
      <c r="R118" s="115"/>
    </row>
    <row r="119" spans="1:18" ht="15.5" x14ac:dyDescent="0.35">
      <c r="A119" s="116"/>
      <c r="B119" s="116" t="s">
        <v>195</v>
      </c>
      <c r="C119" s="116"/>
      <c r="D119" s="183">
        <f>(ROUNDUP(D83/400,1)+D84)*Assumptions!$K$45+SUM(D110:D111)/Assumptions!$K$44</f>
        <v>0</v>
      </c>
      <c r="E119" s="183">
        <f>(ROUNDUP(E83/400,1)+E84)*Assumptions!$K$45+SUM(E110:E111)/Assumptions!$K$44</f>
        <v>161.37560000000002</v>
      </c>
      <c r="F119" s="183">
        <f>(ROUNDUP(F83/400,1)+F84)*Assumptions!$K$45+SUM(F110:F111)/Assumptions!$K$44</f>
        <v>366.41581415479766</v>
      </c>
      <c r="G119" s="183">
        <f>(ROUNDUP(G83/400,1)+G84)*Assumptions!$K$45+SUM(G110:G111)/Assumptions!$K$44</f>
        <v>535.95001278950826</v>
      </c>
      <c r="H119" s="183">
        <f>(ROUNDUP(H83/400,1)+H84)*Assumptions!$K$45+SUM(H110:H111)/Assumptions!$K$44</f>
        <v>593.30801381692572</v>
      </c>
      <c r="I119" s="183">
        <f>(ROUNDUP(I83/400,1)+I84)*Assumptions!$K$45+SUM(I110:I111)/Assumptions!$K$44</f>
        <v>447.3919859647562</v>
      </c>
      <c r="J119" s="183">
        <f>(ROUNDUP(J83/400,1)+J84)*Assumptions!$K$45+SUM(J110:J111)/Assumptions!$K$44</f>
        <v>595.70632656871135</v>
      </c>
      <c r="K119" s="183">
        <f>(ROUNDUP(K83/400,1)+K84)*Assumptions!$K$45+SUM(K110:K111)/Assumptions!$K$44</f>
        <v>747.2981255448999</v>
      </c>
      <c r="L119" s="186">
        <f>(ROUNDUP(L83/400,1)+L84)*Assumptions!$K$45+SUM(L110:L111)/Assumptions!$K$44</f>
        <v>645.56189675255848</v>
      </c>
      <c r="M119" s="183">
        <f>(ROUNDUP(M83/400,1)+M84)*Assumptions!$K$45+SUM(M110:M111)/Assumptions!$K$44</f>
        <v>375.42664358867017</v>
      </c>
      <c r="N119" s="183">
        <f>(ROUNDUP(N83/400,1)+N84)*Assumptions!$K$45+SUM(N110:N111)/Assumptions!$K$44</f>
        <v>546.76413662790083</v>
      </c>
      <c r="O119" s="183">
        <f>(ROUNDUP(O83/400,1)+O84)*Assumptions!$K$45+SUM(O110:O111)/Assumptions!$K$44</f>
        <v>347.1564339781329</v>
      </c>
      <c r="P119" s="183">
        <f>(ROUNDUP(P83/400,1)+P84)*Assumptions!$K$45+SUM(P110:P111)/Assumptions!$K$44</f>
        <v>358.70372880095152</v>
      </c>
      <c r="Q119" s="183">
        <f>(ROUNDUP(Q83/400,1)+Q84)*Assumptions!$K$45+SUM(Q110:Q111)/Assumptions!$K$44</f>
        <v>372.5151515151515</v>
      </c>
      <c r="R119" s="115"/>
    </row>
    <row r="120" spans="1:18" ht="15.5" x14ac:dyDescent="0.35">
      <c r="A120" s="116"/>
      <c r="B120" s="106" t="s">
        <v>289</v>
      </c>
      <c r="C120" s="116"/>
      <c r="D120" s="107">
        <f>(ROUNDUP(D84/400,1)+D85)*Assumptions!$K$45+SUM(D111:D111)/Assumptions!$K$44</f>
        <v>0</v>
      </c>
      <c r="E120" s="108">
        <f>E102*Assumptions!$K$28/24</f>
        <v>49.15384615384616</v>
      </c>
      <c r="F120" s="108">
        <f>F102*Assumptions!$K$28/24</f>
        <v>156.6967733121715</v>
      </c>
      <c r="G120" s="108">
        <f>G102*Assumptions!$K$28/24</f>
        <v>236.5787774239208</v>
      </c>
      <c r="H120" s="108">
        <f>H102*Assumptions!$K$28/24</f>
        <v>296.75875273522973</v>
      </c>
      <c r="I120" s="108">
        <f>I102*Assumptions!$K$28/24</f>
        <v>150.59006933299437</v>
      </c>
      <c r="J120" s="108">
        <f>J102*Assumptions!$K$28/24</f>
        <v>241.8516685241249</v>
      </c>
      <c r="K120" s="108">
        <f>K102*Assumptions!$K$28/24</f>
        <v>392.99040976460327</v>
      </c>
      <c r="L120" s="108">
        <f>L102*Assumptions!$K$28/24</f>
        <v>332.47109162308419</v>
      </c>
      <c r="M120" s="108">
        <f>M102*Assumptions!$K$28/24</f>
        <v>159.32640533381837</v>
      </c>
      <c r="N120" s="108">
        <f>N102*Assumptions!$K$28/24</f>
        <v>171.85639289295872</v>
      </c>
      <c r="O120" s="108">
        <f>O102*Assumptions!$K$28/24</f>
        <v>116.66666666666667</v>
      </c>
      <c r="P120" s="108">
        <f>P102*Assumptions!$K$28/24</f>
        <v>124.86844825919763</v>
      </c>
      <c r="Q120" s="108">
        <f>Q102*Assumptions!$K$28/24</f>
        <v>116.66666666666667</v>
      </c>
      <c r="R120" s="115"/>
    </row>
    <row r="121" spans="1:18" ht="15.5" x14ac:dyDescent="0.35">
      <c r="A121" s="116"/>
      <c r="B121" s="179" t="s">
        <v>141</v>
      </c>
      <c r="C121" s="179"/>
      <c r="D121" s="180"/>
      <c r="E121" s="180"/>
      <c r="F121" s="180"/>
      <c r="G121" s="180"/>
      <c r="H121" s="180"/>
      <c r="I121" s="180"/>
      <c r="J121" s="180"/>
      <c r="K121" s="180"/>
      <c r="L121" s="188"/>
      <c r="M121" s="180"/>
      <c r="N121" s="180"/>
      <c r="O121" s="180"/>
      <c r="P121" s="180"/>
      <c r="Q121" s="180"/>
      <c r="R121" s="181"/>
    </row>
    <row r="122" spans="1:18" ht="15.5" x14ac:dyDescent="0.35">
      <c r="A122" s="116"/>
      <c r="B122" s="116" t="s">
        <v>121</v>
      </c>
      <c r="C122" s="116"/>
      <c r="D122" s="183">
        <f>ROUNDUP(D113/(Assumptions!$C$36*365),0)</f>
        <v>0</v>
      </c>
      <c r="E122" s="183">
        <f>ROUNDUP(E113/(Assumptions!$C$36*365),0)</f>
        <v>1</v>
      </c>
      <c r="F122" s="183">
        <f>ROUNDUP(F113/(Assumptions!$C$36*365),0)</f>
        <v>1</v>
      </c>
      <c r="G122" s="183">
        <f>ROUNDUP(G113/(Assumptions!$C$36*365),0)</f>
        <v>2</v>
      </c>
      <c r="H122" s="183">
        <f>ROUNDUP(H113/(Assumptions!$C$36*365),0)</f>
        <v>2</v>
      </c>
      <c r="I122" s="183">
        <f>ROUNDUP(I113/(Assumptions!$C$36*365),0)</f>
        <v>1</v>
      </c>
      <c r="J122" s="183">
        <f>ROUNDUP(J113/(Assumptions!$C$36*365),0)</f>
        <v>0</v>
      </c>
      <c r="K122" s="183">
        <f>ROUNDUP(K113/(Assumptions!$C$36*365),0)</f>
        <v>0</v>
      </c>
      <c r="L122" s="186">
        <f>ROUNDUP(L113/(Assumptions!$C$36*365),0)</f>
        <v>0</v>
      </c>
      <c r="M122" s="183">
        <f>ROUNDUP(M113/(Assumptions!$C$36*365),0)</f>
        <v>0</v>
      </c>
      <c r="N122" s="183">
        <f>ROUNDUP(N113/(Assumptions!$C$36*365),0)</f>
        <v>0</v>
      </c>
      <c r="O122" s="183">
        <f>ROUNDUP(O113/(Assumptions!$C$36*365),0)</f>
        <v>0</v>
      </c>
      <c r="P122" s="183">
        <f>ROUNDUP(P113/(Assumptions!$C$36*365),0)</f>
        <v>0</v>
      </c>
      <c r="Q122" s="183">
        <f>ROUNDUP(Q113/(Assumptions!$C$36*365),0)</f>
        <v>0</v>
      </c>
      <c r="R122" s="115"/>
    </row>
    <row r="123" spans="1:18" ht="15.5" x14ac:dyDescent="0.35">
      <c r="A123" s="116"/>
      <c r="B123" s="116" t="s">
        <v>122</v>
      </c>
      <c r="C123" s="116"/>
      <c r="D123" s="183">
        <f>ROUNDUP(D114/(Assumptions!$C$36*365),0)</f>
        <v>0</v>
      </c>
      <c r="E123" s="183">
        <f>ROUNDUP(E114/(Assumptions!$C$36*365),0)</f>
        <v>0</v>
      </c>
      <c r="F123" s="183">
        <f>ROUNDUP(F114/(Assumptions!$C$36*365),0)</f>
        <v>1</v>
      </c>
      <c r="G123" s="183">
        <f>ROUNDUP(G114/(Assumptions!$C$36*365),0)</f>
        <v>1</v>
      </c>
      <c r="H123" s="183">
        <f>ROUNDUP(H114/(Assumptions!$C$36*365),0)</f>
        <v>1</v>
      </c>
      <c r="I123" s="183">
        <f>ROUNDUP(I114/(Assumptions!$C$36*365),0)</f>
        <v>1</v>
      </c>
      <c r="J123" s="183">
        <f>ROUNDUP(J114/(Assumptions!$C$36*365),0)</f>
        <v>2</v>
      </c>
      <c r="K123" s="183">
        <f>ROUNDUP(K114/(Assumptions!$C$36*365),0)</f>
        <v>2</v>
      </c>
      <c r="L123" s="186">
        <f>ROUNDUP(L114/(Assumptions!$C$36*365),0)</f>
        <v>2</v>
      </c>
      <c r="M123" s="183">
        <f>ROUNDUP(M114/(Assumptions!$C$36*365),0)</f>
        <v>1</v>
      </c>
      <c r="N123" s="183">
        <f>ROUNDUP(N114/(Assumptions!$C$36*365),0)</f>
        <v>1</v>
      </c>
      <c r="O123" s="183">
        <f>ROUNDUP(O114/(Assumptions!$C$36*365),0)</f>
        <v>0</v>
      </c>
      <c r="P123" s="183">
        <f>ROUNDUP(P114/(Assumptions!$C$36*365),0)</f>
        <v>0</v>
      </c>
      <c r="Q123" s="183">
        <f>ROUNDUP(Q114/(Assumptions!$C$36*365),0)</f>
        <v>0</v>
      </c>
      <c r="R123" s="115"/>
    </row>
    <row r="124" spans="1:18" ht="15.5" x14ac:dyDescent="0.35">
      <c r="A124" s="116"/>
      <c r="B124" s="116" t="s">
        <v>123</v>
      </c>
      <c r="C124" s="116"/>
      <c r="D124" s="183">
        <f>ROUNDUP(D115/(Assumptions!$C$36*365),0)</f>
        <v>0</v>
      </c>
      <c r="E124" s="183">
        <f>ROUNDUP(E115/(Assumptions!$C$36*365),0)</f>
        <v>0</v>
      </c>
      <c r="F124" s="183">
        <f>ROUNDUP(F115/(Assumptions!$C$36*365),0)</f>
        <v>0</v>
      </c>
      <c r="G124" s="183">
        <f>ROUNDUP(G115/(Assumptions!$C$36*365),0)</f>
        <v>0</v>
      </c>
      <c r="H124" s="183">
        <f>ROUNDUP(H115/(Assumptions!$C$36*365),0)</f>
        <v>0</v>
      </c>
      <c r="I124" s="183">
        <f>ROUNDUP(I115/(Assumptions!$C$36*365),0)</f>
        <v>0</v>
      </c>
      <c r="J124" s="183">
        <f>ROUNDUP(J115/(Assumptions!$C$36*365),0)</f>
        <v>0</v>
      </c>
      <c r="K124" s="183">
        <f>ROUNDUP(K115/(Assumptions!$C$36*365),0)</f>
        <v>0</v>
      </c>
      <c r="L124" s="186">
        <f>ROUNDUP(L115/(Assumptions!$C$36*365),0)</f>
        <v>0</v>
      </c>
      <c r="M124" s="183">
        <f>ROUNDUP(M115/(Assumptions!$C$36*365),0)</f>
        <v>1</v>
      </c>
      <c r="N124" s="183">
        <f>ROUNDUP(N115/(Assumptions!$C$36*365),0)</f>
        <v>1</v>
      </c>
      <c r="O124" s="183">
        <f>ROUNDUP(O115/(Assumptions!$C$36*365),0)</f>
        <v>1</v>
      </c>
      <c r="P124" s="183">
        <f>ROUNDUP(P115/(Assumptions!$C$36*365),0)</f>
        <v>1</v>
      </c>
      <c r="Q124" s="183">
        <f>ROUNDUP(Q115/(Assumptions!$C$36*365),0)</f>
        <v>1</v>
      </c>
      <c r="R124" s="115"/>
    </row>
    <row r="125" spans="1:18" ht="15.5" x14ac:dyDescent="0.35">
      <c r="A125" s="116"/>
      <c r="B125" s="116" t="s">
        <v>140</v>
      </c>
      <c r="C125" s="116"/>
      <c r="D125" s="183">
        <f>ROUNDUP(D116/(Assumptions!$C$36*365),0)</f>
        <v>0</v>
      </c>
      <c r="E125" s="183">
        <f>ROUNDUP(E116/(Assumptions!$C$36*365),0)</f>
        <v>1</v>
      </c>
      <c r="F125" s="183">
        <f>ROUNDUP(F116/(Assumptions!$C$36*365),0)</f>
        <v>1</v>
      </c>
      <c r="G125" s="183">
        <f>ROUNDUP(G116/(Assumptions!$C$36*365),0)</f>
        <v>2</v>
      </c>
      <c r="H125" s="183">
        <f>ROUNDUP(H116/(Assumptions!$C$36*365),0)</f>
        <v>2</v>
      </c>
      <c r="I125" s="183">
        <f>ROUNDUP(I116/(Assumptions!$C$36*365),0)</f>
        <v>2</v>
      </c>
      <c r="J125" s="183">
        <f>ROUNDUP(J116/(Assumptions!$C$36*365),0)</f>
        <v>2</v>
      </c>
      <c r="K125" s="183">
        <f>ROUNDUP(K116/(Assumptions!$C$36*365),0)</f>
        <v>2</v>
      </c>
      <c r="L125" s="186">
        <f>ROUNDUP(L116/(Assumptions!$C$36*365),0)</f>
        <v>2</v>
      </c>
      <c r="M125" s="183">
        <f>ROUNDUP(M116/(Assumptions!$C$36*365),0)</f>
        <v>1</v>
      </c>
      <c r="N125" s="183">
        <f>ROUNDUP(N116/(Assumptions!$C$36*365),0)</f>
        <v>1</v>
      </c>
      <c r="O125" s="183">
        <f>ROUNDUP(O116/(Assumptions!$C$36*365),0)</f>
        <v>1</v>
      </c>
      <c r="P125" s="183">
        <f>ROUNDUP(P116/(Assumptions!$C$36*365),0)</f>
        <v>1</v>
      </c>
      <c r="Q125" s="183">
        <f>ROUNDUP(Q116/(Assumptions!$C$36*365),0)</f>
        <v>1</v>
      </c>
      <c r="R125" s="115"/>
    </row>
    <row r="126" spans="1:18" ht="15.5" x14ac:dyDescent="0.35">
      <c r="A126" s="116"/>
      <c r="B126" s="189" t="s">
        <v>149</v>
      </c>
      <c r="C126" s="125"/>
      <c r="D126" s="124">
        <f>SUM(D122:D125)</f>
        <v>0</v>
      </c>
      <c r="E126" s="124">
        <f t="shared" ref="E126:Q126" si="41">SUM(E122:E125)</f>
        <v>2</v>
      </c>
      <c r="F126" s="124">
        <f t="shared" si="41"/>
        <v>3</v>
      </c>
      <c r="G126" s="124">
        <f t="shared" si="41"/>
        <v>5</v>
      </c>
      <c r="H126" s="124">
        <f t="shared" si="41"/>
        <v>5</v>
      </c>
      <c r="I126" s="124">
        <f>SUM(I122:I125)</f>
        <v>4</v>
      </c>
      <c r="J126" s="124">
        <f t="shared" si="41"/>
        <v>4</v>
      </c>
      <c r="K126" s="124">
        <f t="shared" si="41"/>
        <v>4</v>
      </c>
      <c r="L126" s="190">
        <f t="shared" si="41"/>
        <v>4</v>
      </c>
      <c r="M126" s="124">
        <f t="shared" si="41"/>
        <v>3</v>
      </c>
      <c r="N126" s="124">
        <f t="shared" si="41"/>
        <v>3</v>
      </c>
      <c r="O126" s="124">
        <f t="shared" si="41"/>
        <v>2</v>
      </c>
      <c r="P126" s="124">
        <f t="shared" si="41"/>
        <v>2</v>
      </c>
      <c r="Q126" s="124">
        <f t="shared" si="41"/>
        <v>2</v>
      </c>
      <c r="R126" s="191"/>
    </row>
    <row r="127" spans="1:18" ht="15.5" x14ac:dyDescent="0.35">
      <c r="A127" s="116"/>
      <c r="B127" s="105"/>
      <c r="C127" s="106"/>
      <c r="D127" s="107"/>
      <c r="E127" s="108">
        <f>ROUNDUP(E117/(Assumptions!$C$36*365),0)</f>
        <v>1</v>
      </c>
      <c r="F127" s="108">
        <f>ROUNDUP(F117/(Assumptions!$C$36*365),0)</f>
        <v>2</v>
      </c>
      <c r="G127" s="108">
        <f>ROUNDUP(G117/(Assumptions!$C$36*365),0)</f>
        <v>3</v>
      </c>
      <c r="H127" s="108">
        <f>ROUNDUP(H117/(Assumptions!$C$36*365),0)</f>
        <v>4</v>
      </c>
      <c r="I127" s="108">
        <f>ROUNDUP(I117/(Assumptions!$C$36*365),0)</f>
        <v>3</v>
      </c>
      <c r="J127" s="108">
        <f>ROUNDUP(J117/(Assumptions!$C$36*365),0)</f>
        <v>3</v>
      </c>
      <c r="K127" s="108">
        <f>ROUNDUP(K117/(Assumptions!$C$36*365),0)</f>
        <v>4</v>
      </c>
      <c r="L127" s="108">
        <f>ROUNDUP(L117/(Assumptions!$C$36*365),0)</f>
        <v>4</v>
      </c>
      <c r="M127" s="108">
        <f>ROUNDUP(M117/(Assumptions!$C$36*365),0)</f>
        <v>2</v>
      </c>
      <c r="N127" s="108">
        <f>ROUNDUP(N117/(Assumptions!$C$36*365),0)</f>
        <v>3</v>
      </c>
      <c r="O127" s="108">
        <f>ROUNDUP(O117/(Assumptions!$C$36*365),0)</f>
        <v>2</v>
      </c>
      <c r="P127" s="108">
        <f>ROUNDUP(P117/(Assumptions!$C$36*365),0)</f>
        <v>2</v>
      </c>
      <c r="Q127" s="108">
        <f>ROUNDUP(Q117/(Assumptions!$C$36*365),0)</f>
        <v>2</v>
      </c>
      <c r="R127" s="113"/>
    </row>
    <row r="128" spans="1:18" ht="15.5" x14ac:dyDescent="0.35">
      <c r="A128" s="116"/>
      <c r="B128" s="116" t="s">
        <v>138</v>
      </c>
      <c r="C128" s="116"/>
      <c r="D128" s="183">
        <f>ROUNDUP(D118/(Assumptions!$C$36*365),0)</f>
        <v>0</v>
      </c>
      <c r="E128" s="183">
        <f>ROUNDUP(E118/(Assumptions!$C$36*365),0)</f>
        <v>1</v>
      </c>
      <c r="F128" s="183">
        <f>ROUNDUP(F118/(Assumptions!$C$36*365),0)</f>
        <v>1</v>
      </c>
      <c r="G128" s="183">
        <f>ROUNDUP(G118/(Assumptions!$C$36*365),0)</f>
        <v>1</v>
      </c>
      <c r="H128" s="183">
        <f>ROUNDUP(H118/(Assumptions!$C$36*365),0)</f>
        <v>1</v>
      </c>
      <c r="I128" s="183">
        <f>ROUNDUP(I118/(Assumptions!$C$36*365),0)</f>
        <v>1</v>
      </c>
      <c r="J128" s="183">
        <f>ROUNDUP(J118/(Assumptions!$C$36*365),0)</f>
        <v>1</v>
      </c>
      <c r="K128" s="183">
        <f>ROUNDUP(K118/(Assumptions!$C$36*365),0)</f>
        <v>1</v>
      </c>
      <c r="L128" s="186">
        <f>ROUNDUP(L118/(Assumptions!$C$36*365),0)</f>
        <v>1</v>
      </c>
      <c r="M128" s="183">
        <f>ROUNDUP(M118/(Assumptions!$C$36*365),0)</f>
        <v>1</v>
      </c>
      <c r="N128" s="183">
        <f>ROUNDUP(N118/(Assumptions!$C$36*365),0)</f>
        <v>1</v>
      </c>
      <c r="O128" s="183">
        <f>ROUNDUP(O118/(Assumptions!$C$36*365),0)</f>
        <v>1</v>
      </c>
      <c r="P128" s="183">
        <f>ROUNDUP(P118/(Assumptions!$C$36*365),0)</f>
        <v>1</v>
      </c>
      <c r="Q128" s="183">
        <f>ROUNDUP(Q118/(Assumptions!$C$36*365),0)</f>
        <v>1</v>
      </c>
      <c r="R128" s="115"/>
    </row>
    <row r="129" spans="1:24" ht="15.5" x14ac:dyDescent="0.35">
      <c r="A129" s="116"/>
      <c r="B129" s="116" t="s">
        <v>142</v>
      </c>
      <c r="C129" s="116"/>
      <c r="D129" s="183">
        <f>D126*2</f>
        <v>0</v>
      </c>
      <c r="E129" s="183">
        <f t="shared" ref="E129:Q129" si="42">E126*2</f>
        <v>4</v>
      </c>
      <c r="F129" s="183">
        <f t="shared" si="42"/>
        <v>6</v>
      </c>
      <c r="G129" s="183">
        <f t="shared" si="42"/>
        <v>10</v>
      </c>
      <c r="H129" s="183">
        <f t="shared" si="42"/>
        <v>10</v>
      </c>
      <c r="I129" s="183">
        <f t="shared" si="42"/>
        <v>8</v>
      </c>
      <c r="J129" s="183">
        <f t="shared" si="42"/>
        <v>8</v>
      </c>
      <c r="K129" s="183">
        <f t="shared" si="42"/>
        <v>8</v>
      </c>
      <c r="L129" s="186">
        <f t="shared" si="42"/>
        <v>8</v>
      </c>
      <c r="M129" s="183">
        <f t="shared" si="42"/>
        <v>6</v>
      </c>
      <c r="N129" s="183">
        <f t="shared" si="42"/>
        <v>6</v>
      </c>
      <c r="O129" s="183">
        <f t="shared" si="42"/>
        <v>4</v>
      </c>
      <c r="P129" s="183">
        <f t="shared" si="42"/>
        <v>4</v>
      </c>
      <c r="Q129" s="183">
        <f t="shared" si="42"/>
        <v>4</v>
      </c>
      <c r="R129" s="115"/>
    </row>
    <row r="130" spans="1:24" ht="15.5" x14ac:dyDescent="0.35">
      <c r="A130" s="116"/>
      <c r="B130" s="116" t="s">
        <v>179</v>
      </c>
      <c r="C130" s="116"/>
      <c r="D130" s="183">
        <v>0</v>
      </c>
      <c r="E130" s="183">
        <f>E$84*Assumptions!$K$35+D$84*Assumptions!$K$36+SUM($C$84:C$84)*Assumptions!$K$37+Assumptions!$K$38</f>
        <v>6</v>
      </c>
      <c r="F130" s="183">
        <f>F$84*Assumptions!$K$35+E$84*Assumptions!$K$36+SUM($C$84:D$84)*Assumptions!$K$37+Assumptions!$K$38</f>
        <v>12</v>
      </c>
      <c r="G130" s="183">
        <f>G$84*Assumptions!$K$35+F$84*Assumptions!$K$36+SUM($C$84:E$84)*Assumptions!$K$37+Assumptions!$K$38</f>
        <v>20</v>
      </c>
      <c r="H130" s="183">
        <f>H$84*Assumptions!$K$35+G$84*Assumptions!$K$36+SUM($C$84:F$84)*Assumptions!$K$37+Assumptions!$K$38</f>
        <v>27</v>
      </c>
      <c r="I130" s="183">
        <f>I$84*Assumptions!$K$35+H$84*Assumptions!$K$36+SUM($C$84:G$84)*Assumptions!$K$37+Assumptions!$K$38</f>
        <v>30</v>
      </c>
      <c r="J130" s="183">
        <f>J$84*Assumptions!$K$35+I$84*Assumptions!$K$36+SUM($C$84:H$84)*Assumptions!$K$37+Assumptions!$K$38</f>
        <v>35</v>
      </c>
      <c r="K130" s="183">
        <f>K$84*Assumptions!$K$35+J$84*Assumptions!$K$36+SUM($C$84:I$84)*Assumptions!$K$37+Assumptions!$K$38</f>
        <v>41</v>
      </c>
      <c r="L130" s="186">
        <f>L$84*Assumptions!$K$35+K$84*Assumptions!$K$36+SUM($C$84:J$84)*Assumptions!$K$37+Assumptions!$K$38</f>
        <v>46</v>
      </c>
      <c r="M130" s="183">
        <f>M$84*Assumptions!$K$35+L$84*Assumptions!$K$36+SUM($C$84:K$84)*Assumptions!$K$37+Assumptions!$K$38</f>
        <v>49</v>
      </c>
      <c r="N130" s="183">
        <f>N$84*Assumptions!$K$35+M$84*Assumptions!$K$36+SUM($C$84:L$84)*Assumptions!$K$37+Assumptions!$K$38</f>
        <v>52</v>
      </c>
      <c r="O130" s="183">
        <f>O$84*Assumptions!$K$35+N$84*Assumptions!$K$36+SUM($C$84:M$84)*Assumptions!$K$37+Assumptions!$K$38</f>
        <v>54</v>
      </c>
      <c r="P130" s="183">
        <f>P$84*Assumptions!$K$35+O$84*Assumptions!$K$36+SUM($C$84:N$84)*Assumptions!$K$37+Assumptions!$K$38</f>
        <v>56</v>
      </c>
      <c r="Q130" s="183">
        <f>Q$84*Assumptions!$K$35+P$84*Assumptions!$K$36+SUM($C$84:O$84)*Assumptions!$K$37+Assumptions!$K$38</f>
        <v>59</v>
      </c>
      <c r="R130" s="115">
        <f>Q130</f>
        <v>59</v>
      </c>
    </row>
    <row r="131" spans="1:24" ht="15.5" x14ac:dyDescent="0.35">
      <c r="B131" s="106" t="s">
        <v>343</v>
      </c>
      <c r="C131" s="106"/>
      <c r="D131" s="108">
        <v>0</v>
      </c>
      <c r="E131" s="108">
        <f>ROUNDUP((SUM($E86:E88)+D131)/Assumptions!$K$41,0)</f>
        <v>1</v>
      </c>
      <c r="F131" s="108">
        <f>ROUNDUP((SUM($E86:F88)+E131)/Assumptions!$K$41,0)</f>
        <v>1</v>
      </c>
      <c r="G131" s="108">
        <f>ROUNDUP((SUM($E86:G88)+F131)/Assumptions!$K$41,0)</f>
        <v>3</v>
      </c>
      <c r="H131" s="108">
        <f>ROUNDUP((SUM($E86:H88)+G131)/Assumptions!$K$41,0)</f>
        <v>4</v>
      </c>
      <c r="I131" s="108">
        <f>ROUNDUP((SUM($E86:I88)+H131)/Assumptions!$K$41,0)</f>
        <v>5</v>
      </c>
      <c r="J131" s="108">
        <f>ROUNDUP((SUM($E86:J88)+I131)/Assumptions!$K$41,0)</f>
        <v>7</v>
      </c>
      <c r="K131" s="108">
        <f>ROUNDUP((SUM($E86:K88)+J131)/Assumptions!$K$41,0)</f>
        <v>8</v>
      </c>
      <c r="L131" s="108">
        <f>ROUNDUP((SUM($E86:L88)+K131)/Assumptions!$K$41,0)</f>
        <v>9</v>
      </c>
      <c r="M131" s="108">
        <f>ROUNDUP((SUM($E86:M88)+L131)/Assumptions!$K$41,0)</f>
        <v>10</v>
      </c>
      <c r="N131" s="108">
        <f>ROUNDUP((SUM($E86:N88)+M131)/Assumptions!$K$41,0)</f>
        <v>11</v>
      </c>
      <c r="O131" s="108">
        <f>ROUNDUP((SUM($E86:O88)+N131)/Assumptions!$K$41,0)</f>
        <v>12</v>
      </c>
      <c r="P131" s="108">
        <f>ROUNDUP((SUM($E86:P88)+O131)/Assumptions!$K$41,0)</f>
        <v>12</v>
      </c>
      <c r="Q131" s="108">
        <f>ROUNDUP((SUM($E86:Q88)+P131)/Assumptions!$K$41,0)</f>
        <v>13</v>
      </c>
      <c r="R131" s="113">
        <f>Q131</f>
        <v>13</v>
      </c>
    </row>
    <row r="132" spans="1:24" ht="15.5" x14ac:dyDescent="0.35">
      <c r="A132" s="116"/>
      <c r="B132" s="116" t="s">
        <v>195</v>
      </c>
      <c r="C132" s="116"/>
      <c r="D132" s="183">
        <f>ROUNDUP(D119/(Assumptions!$C$36*365),0)</f>
        <v>0</v>
      </c>
      <c r="E132" s="183">
        <f>ROUNDUP(E119/(Assumptions!$C$36*365),0)</f>
        <v>1</v>
      </c>
      <c r="F132" s="183">
        <f>ROUNDUP(F119/(Assumptions!$C$36*365),0)</f>
        <v>2</v>
      </c>
      <c r="G132" s="183">
        <f>ROUNDUP(G119/(Assumptions!$C$36*365),0)</f>
        <v>3</v>
      </c>
      <c r="H132" s="183">
        <f>ROUNDUP(H119/(Assumptions!$C$36*365),0)</f>
        <v>3</v>
      </c>
      <c r="I132" s="183">
        <f>ROUNDUP(I119/(Assumptions!$C$36*365),0)</f>
        <v>2</v>
      </c>
      <c r="J132" s="183">
        <f>ROUNDUP(J119/(Assumptions!$C$36*365),0)</f>
        <v>3</v>
      </c>
      <c r="K132" s="183">
        <f>ROUNDUP(K119/(Assumptions!$C$36*365),0)</f>
        <v>4</v>
      </c>
      <c r="L132" s="186">
        <f>ROUNDUP(L119/(Assumptions!$C$36*365),0)</f>
        <v>3</v>
      </c>
      <c r="M132" s="183">
        <f>ROUNDUP(M119/(Assumptions!$C$36*365),0)</f>
        <v>2</v>
      </c>
      <c r="N132" s="183">
        <f>ROUNDUP(N119/(Assumptions!$C$36*365),0)</f>
        <v>3</v>
      </c>
      <c r="O132" s="183">
        <f>ROUNDUP(O119/(Assumptions!$C$36*365),0)</f>
        <v>2</v>
      </c>
      <c r="P132" s="183">
        <f>ROUNDUP(P119/(Assumptions!$C$36*365),0)</f>
        <v>2</v>
      </c>
      <c r="Q132" s="183">
        <f>ROUNDUP(Q119/(Assumptions!$C$36*365),0)</f>
        <v>2</v>
      </c>
      <c r="R132" s="115">
        <f>R85*Assumptions!Y52+Q85*Assumptions!Y53+SUM($C85:P85)*Assumptions!Y54</f>
        <v>0</v>
      </c>
    </row>
    <row r="133" spans="1:24" ht="15.5" x14ac:dyDescent="0.35">
      <c r="A133" s="116"/>
      <c r="B133" s="106" t="s">
        <v>305</v>
      </c>
      <c r="C133" s="106"/>
      <c r="D133" s="107"/>
      <c r="E133" s="108">
        <f>ROUNDUP(E120/(Assumptions!$C$36*365),0)</f>
        <v>1</v>
      </c>
      <c r="F133" s="108">
        <f>ROUNDUP(F120/(Assumptions!$C$36*365),0)</f>
        <v>1</v>
      </c>
      <c r="G133" s="108">
        <f>ROUNDUP(G120/(Assumptions!$C$36*365),0)</f>
        <v>1</v>
      </c>
      <c r="H133" s="108">
        <f>ROUNDUP(H120/(Assumptions!$C$36*365),0)</f>
        <v>2</v>
      </c>
      <c r="I133" s="108">
        <f>ROUNDUP(I120/(Assumptions!$C$36*365),0)</f>
        <v>1</v>
      </c>
      <c r="J133" s="108">
        <f>ROUNDUP(J120/(Assumptions!$C$36*365),0)</f>
        <v>1</v>
      </c>
      <c r="K133" s="108">
        <f>ROUNDUP(K120/(Assumptions!$C$36*365),0)</f>
        <v>2</v>
      </c>
      <c r="L133" s="108">
        <f>ROUNDUP(L120/(Assumptions!$C$36*365),0)</f>
        <v>2</v>
      </c>
      <c r="M133" s="108">
        <f>ROUNDUP(M120/(Assumptions!$C$36*365),0)</f>
        <v>1</v>
      </c>
      <c r="N133" s="108">
        <f>ROUNDUP(N120/(Assumptions!$C$36*365),0)</f>
        <v>1</v>
      </c>
      <c r="O133" s="108">
        <f>ROUNDUP(O120/(Assumptions!$C$36*365),0)</f>
        <v>1</v>
      </c>
      <c r="P133" s="108">
        <f>ROUNDUP(P120/(Assumptions!$C$36*365),0)</f>
        <v>1</v>
      </c>
      <c r="Q133" s="108">
        <f>ROUNDUP(Q120/(Assumptions!$C$36*365),0)</f>
        <v>1</v>
      </c>
      <c r="R133" s="114"/>
    </row>
    <row r="134" spans="1:24" ht="15.5" x14ac:dyDescent="0.35">
      <c r="A134" s="116"/>
      <c r="B134" s="116"/>
      <c r="C134" s="116"/>
      <c r="D134" s="116"/>
      <c r="E134" s="116"/>
      <c r="F134" s="116"/>
      <c r="G134" s="116"/>
      <c r="H134" s="116"/>
      <c r="I134" s="116"/>
      <c r="J134" s="116"/>
      <c r="K134" s="116"/>
      <c r="L134" s="116"/>
      <c r="M134" s="116"/>
      <c r="N134" s="116"/>
      <c r="O134" s="116"/>
      <c r="P134" s="116"/>
      <c r="Q134" s="116"/>
      <c r="R134" s="116"/>
    </row>
    <row r="135" spans="1:24" ht="15.5" x14ac:dyDescent="0.35">
      <c r="A135" s="116"/>
      <c r="B135" s="116"/>
      <c r="C135" s="116"/>
      <c r="D135" s="116"/>
      <c r="E135" s="116"/>
      <c r="F135" s="116"/>
      <c r="G135" s="116"/>
      <c r="H135" s="116"/>
      <c r="I135" s="116"/>
      <c r="J135" s="116"/>
      <c r="K135" s="116"/>
      <c r="L135" s="116"/>
      <c r="M135" s="116"/>
      <c r="N135" s="116"/>
      <c r="O135" s="116"/>
      <c r="P135" s="116"/>
      <c r="Q135" s="116"/>
      <c r="R135" s="116"/>
    </row>
    <row r="136" spans="1:24" ht="15.5" x14ac:dyDescent="0.35">
      <c r="A136" s="116"/>
      <c r="B136" s="116" t="s">
        <v>185</v>
      </c>
      <c r="C136" s="116"/>
      <c r="D136" s="116"/>
      <c r="E136" s="116"/>
      <c r="F136" s="116"/>
      <c r="G136" s="116"/>
      <c r="H136" s="116"/>
      <c r="I136" s="116"/>
      <c r="J136" s="116"/>
      <c r="K136" s="116"/>
      <c r="L136" s="116"/>
      <c r="M136" s="116"/>
      <c r="N136" s="116"/>
      <c r="O136" s="116"/>
      <c r="P136" s="116"/>
      <c r="Q136" s="116"/>
      <c r="R136" s="116"/>
    </row>
    <row r="137" spans="1:24" ht="15.5" x14ac:dyDescent="0.35">
      <c r="A137" s="116"/>
      <c r="B137" s="179" t="s">
        <v>186</v>
      </c>
      <c r="C137" s="179"/>
      <c r="D137" s="179"/>
      <c r="E137" s="179"/>
      <c r="F137" s="179"/>
      <c r="G137" s="179"/>
      <c r="H137" s="179"/>
      <c r="I137" s="179"/>
      <c r="J137" s="179"/>
      <c r="K137" s="179"/>
      <c r="L137" s="179"/>
      <c r="M137" s="179"/>
      <c r="N137" s="179"/>
      <c r="O137" s="179"/>
      <c r="P137" s="179"/>
      <c r="Q137" s="179"/>
      <c r="R137" s="179"/>
    </row>
    <row r="138" spans="1:24" ht="15.5" x14ac:dyDescent="0.35">
      <c r="A138" s="116"/>
      <c r="B138" s="116">
        <v>12</v>
      </c>
      <c r="C138" s="116"/>
      <c r="D138" s="115"/>
      <c r="E138" s="115">
        <f>Assumptions!$C$11/$B138*Assumptions!F11</f>
        <v>110</v>
      </c>
      <c r="F138" s="115">
        <f>Assumptions!$C$11/$B138/2*IF(Assumptions!F11*2&gt;1,1,Assumptions!F11*2)</f>
        <v>110</v>
      </c>
      <c r="G138" s="115">
        <f>Assumptions!$C$11/$B138/2</f>
        <v>166.66666666666666</v>
      </c>
      <c r="H138" s="115">
        <f>Assumptions!$C$11/$B138/2</f>
        <v>166.66666666666666</v>
      </c>
      <c r="I138" s="115">
        <f>Assumptions!$C$11/$B138/2</f>
        <v>166.66666666666666</v>
      </c>
      <c r="J138" s="115"/>
      <c r="K138" s="115"/>
      <c r="L138" s="115"/>
      <c r="M138" s="115"/>
      <c r="N138" s="115"/>
      <c r="O138" s="115"/>
      <c r="P138" s="115"/>
      <c r="Q138" s="115"/>
      <c r="R138" s="116"/>
    </row>
    <row r="139" spans="1:24" ht="15.5" x14ac:dyDescent="0.35">
      <c r="A139" s="116"/>
      <c r="B139" s="116">
        <v>15</v>
      </c>
      <c r="C139" s="116"/>
      <c r="D139" s="115"/>
      <c r="E139" s="115"/>
      <c r="F139" s="115">
        <f>Assumptions!$C$11/$B139/2*Assumptions!$F$11</f>
        <v>44.000000000000007</v>
      </c>
      <c r="G139" s="115">
        <f>Assumptions!$C$11/$B139/2*IF(Assumptions!$F$11*2&gt;1,1,Assumptions!$F$11*2)</f>
        <v>88.000000000000014</v>
      </c>
      <c r="H139" s="115">
        <f>Assumptions!$C$11/$B139/2</f>
        <v>133.33333333333334</v>
      </c>
      <c r="I139" s="115">
        <f>Assumptions!$C$11/$B139/2</f>
        <v>133.33333333333334</v>
      </c>
      <c r="J139" s="115">
        <f>Assumptions!$C$11/$B139</f>
        <v>266.66666666666669</v>
      </c>
      <c r="K139" s="115">
        <f>Assumptions!$C$11/$B139</f>
        <v>266.66666666666669</v>
      </c>
      <c r="L139" s="115">
        <f>Assumptions!$C$11/$B139</f>
        <v>266.66666666666669</v>
      </c>
      <c r="M139" s="115">
        <f>Assumptions!$C$11/$B139/2</f>
        <v>133.33333333333334</v>
      </c>
      <c r="N139" s="115">
        <f>Assumptions!$C$11/$B139/2</f>
        <v>133.33333333333334</v>
      </c>
      <c r="O139" s="115">
        <f>Assumptions!$C$11/$B139/2</f>
        <v>133.33333333333334</v>
      </c>
      <c r="P139" s="115">
        <f>Assumptions!$C$11/$B139/2</f>
        <v>133.33333333333334</v>
      </c>
      <c r="Q139" s="115">
        <f>Assumptions!$C$11/$B139/2</f>
        <v>133.33333333333334</v>
      </c>
      <c r="R139" s="116"/>
      <c r="X139" t="s">
        <v>246</v>
      </c>
    </row>
    <row r="140" spans="1:24" ht="15.5" x14ac:dyDescent="0.35">
      <c r="A140" s="116"/>
      <c r="B140" s="116">
        <v>18</v>
      </c>
      <c r="C140" s="116"/>
      <c r="D140" s="115"/>
      <c r="E140" s="115"/>
      <c r="F140" s="115"/>
      <c r="G140" s="115"/>
      <c r="H140" s="115"/>
      <c r="I140" s="115"/>
      <c r="J140" s="115"/>
      <c r="K140" s="115"/>
      <c r="L140" s="115"/>
      <c r="M140" s="115">
        <f>Assumptions!$C$11/$B140/3*IF(Assumptions!$F$11*2&gt;1,1,Assumptions!$F$11*2)</f>
        <v>48.888888888888893</v>
      </c>
      <c r="N140" s="115">
        <f>Assumptions!$C$11/$B140/2</f>
        <v>111.11111111111111</v>
      </c>
      <c r="O140" s="115">
        <f>Assumptions!$C$11/$B140/2</f>
        <v>111.11111111111111</v>
      </c>
      <c r="P140" s="115">
        <f>Assumptions!$C$11/$B140/2</f>
        <v>111.11111111111111</v>
      </c>
      <c r="Q140" s="115">
        <f>Assumptions!$C$11/$B140/2</f>
        <v>111.11111111111111</v>
      </c>
      <c r="R140" s="116"/>
    </row>
    <row r="141" spans="1:24" ht="15.5" x14ac:dyDescent="0.35">
      <c r="A141" s="116"/>
      <c r="B141" s="116"/>
      <c r="C141" s="116"/>
      <c r="D141" s="116"/>
      <c r="E141" s="116"/>
      <c r="F141" s="115"/>
      <c r="G141" s="115"/>
      <c r="H141" s="115"/>
      <c r="I141" s="115"/>
      <c r="J141" s="115"/>
      <c r="K141" s="115"/>
      <c r="L141" s="115"/>
      <c r="M141" s="115"/>
      <c r="N141" s="115"/>
      <c r="O141" s="115"/>
      <c r="P141" s="115"/>
      <c r="Q141" s="115"/>
      <c r="R141" s="116"/>
    </row>
    <row r="142" spans="1:24" ht="15.5" x14ac:dyDescent="0.35">
      <c r="A142" s="116"/>
      <c r="B142" s="116"/>
      <c r="C142" s="116"/>
      <c r="D142" s="116"/>
      <c r="E142" s="116"/>
      <c r="F142" s="116"/>
      <c r="G142" s="116"/>
      <c r="H142" s="116"/>
      <c r="I142" s="116"/>
      <c r="J142" s="116"/>
      <c r="K142" s="116"/>
      <c r="L142" s="116"/>
      <c r="M142" s="116"/>
      <c r="N142" s="116"/>
      <c r="O142" s="116"/>
      <c r="P142" s="116"/>
      <c r="Q142" s="116"/>
      <c r="R142" s="116"/>
    </row>
    <row r="143" spans="1:24" ht="15.5" x14ac:dyDescent="0.35">
      <c r="A143" s="116"/>
      <c r="B143" s="116"/>
      <c r="C143" s="116"/>
      <c r="D143" s="116"/>
      <c r="E143" s="116"/>
      <c r="F143" s="192"/>
      <c r="G143" s="192"/>
      <c r="H143" s="192"/>
      <c r="I143" s="192"/>
      <c r="J143" s="192"/>
      <c r="K143" s="192"/>
      <c r="L143" s="192"/>
      <c r="M143" s="192"/>
      <c r="N143" s="192"/>
      <c r="O143" s="192"/>
      <c r="P143" s="192"/>
      <c r="Q143" s="192"/>
      <c r="R143" s="116"/>
    </row>
    <row r="144" spans="1:24" ht="15.5" x14ac:dyDescent="0.35">
      <c r="A144" s="116"/>
      <c r="B144" s="116"/>
      <c r="C144" s="116"/>
      <c r="D144" s="116"/>
      <c r="E144" s="116">
        <f>E138*$B138+E139*$B139+E140*$B140</f>
        <v>1320</v>
      </c>
      <c r="F144" s="116">
        <f>F138*$B138+F139*$B139+F140*$B140</f>
        <v>1980</v>
      </c>
      <c r="G144" s="116">
        <f t="shared" ref="G144:Q144" si="43">G138*$B138+G139*$B139+G140*$B140</f>
        <v>3320</v>
      </c>
      <c r="H144" s="116">
        <f t="shared" si="43"/>
        <v>4000</v>
      </c>
      <c r="I144" s="116">
        <f t="shared" si="43"/>
        <v>4000</v>
      </c>
      <c r="J144" s="116">
        <f t="shared" si="43"/>
        <v>4000.0000000000005</v>
      </c>
      <c r="K144" s="116">
        <f t="shared" si="43"/>
        <v>4000.0000000000005</v>
      </c>
      <c r="L144" s="116">
        <f t="shared" si="43"/>
        <v>4000.0000000000005</v>
      </c>
      <c r="M144" s="116">
        <f t="shared" si="43"/>
        <v>2880.0000000000005</v>
      </c>
      <c r="N144" s="116">
        <f t="shared" si="43"/>
        <v>4000</v>
      </c>
      <c r="O144" s="116">
        <f t="shared" si="43"/>
        <v>4000</v>
      </c>
      <c r="P144" s="116">
        <f t="shared" si="43"/>
        <v>4000</v>
      </c>
      <c r="Q144" s="116">
        <f t="shared" si="43"/>
        <v>4000</v>
      </c>
      <c r="R144" s="116"/>
    </row>
    <row r="145" spans="1:18" ht="15.5" x14ac:dyDescent="0.35">
      <c r="A145" s="116"/>
      <c r="B145" s="116"/>
      <c r="C145" s="116"/>
      <c r="D145" s="116"/>
      <c r="E145" s="116"/>
      <c r="F145" s="192"/>
      <c r="G145" s="192"/>
      <c r="H145" s="192"/>
      <c r="I145" s="192"/>
      <c r="J145" s="192"/>
      <c r="K145" s="192"/>
      <c r="L145" s="192"/>
      <c r="M145" s="192"/>
      <c r="N145" s="192"/>
      <c r="O145" s="192"/>
      <c r="P145" s="192"/>
      <c r="Q145" s="192"/>
      <c r="R145" s="116"/>
    </row>
    <row r="146" spans="1:18" x14ac:dyDescent="0.35">
      <c r="F146" s="58"/>
      <c r="G146" s="58"/>
      <c r="H146" s="58"/>
      <c r="I146" s="58"/>
      <c r="J146" s="58"/>
      <c r="K146" s="58"/>
      <c r="L146" s="58"/>
      <c r="M146" s="58"/>
      <c r="N146" s="58"/>
      <c r="O146" s="58"/>
      <c r="P146" s="58"/>
      <c r="Q146" s="58"/>
    </row>
  </sheetData>
  <conditionalFormatting sqref="D86:Q88">
    <cfRule type="colorScale" priority="62">
      <colorScale>
        <cfvo type="min"/>
        <cfvo type="max"/>
        <color theme="0"/>
        <color rgb="FF5D9732"/>
      </colorScale>
    </cfRule>
  </conditionalFormatting>
  <conditionalFormatting sqref="D90:Q92">
    <cfRule type="colorScale" priority="61">
      <colorScale>
        <cfvo type="min"/>
        <cfvo type="max"/>
        <color theme="0"/>
        <color rgb="FF5D9732"/>
      </colorScale>
    </cfRule>
  </conditionalFormatting>
  <conditionalFormatting sqref="D94:Q96">
    <cfRule type="colorScale" priority="60">
      <colorScale>
        <cfvo type="min"/>
        <cfvo type="max"/>
        <color theme="0"/>
        <color rgb="FF5D9732"/>
      </colorScale>
    </cfRule>
  </conditionalFormatting>
  <conditionalFormatting sqref="D98:Q100">
    <cfRule type="colorScale" priority="59">
      <colorScale>
        <cfvo type="min"/>
        <cfvo type="max"/>
        <color theme="0"/>
        <color rgb="FF5D9732"/>
      </colorScale>
    </cfRule>
  </conditionalFormatting>
  <conditionalFormatting sqref="D77:Q80">
    <cfRule type="colorScale" priority="78">
      <colorScale>
        <cfvo type="min"/>
        <cfvo type="max"/>
        <color rgb="FFFCFCFF"/>
        <color rgb="FF00B050"/>
      </colorScale>
    </cfRule>
  </conditionalFormatting>
  <conditionalFormatting sqref="D84:Q84">
    <cfRule type="colorScale" priority="53">
      <colorScale>
        <cfvo type="min"/>
        <cfvo type="max"/>
        <color theme="0"/>
        <color rgb="FF5D9732"/>
      </colorScale>
    </cfRule>
  </conditionalFormatting>
  <conditionalFormatting sqref="D102:Q106">
    <cfRule type="colorScale" priority="52">
      <colorScale>
        <cfvo type="min"/>
        <cfvo type="max"/>
        <color theme="0"/>
        <color rgb="FF5D9732"/>
      </colorScale>
    </cfRule>
  </conditionalFormatting>
  <conditionalFormatting sqref="E107:Q107">
    <cfRule type="colorScale" priority="49">
      <colorScale>
        <cfvo type="min"/>
        <cfvo type="max"/>
        <color theme="0"/>
        <color rgb="FF5D9732"/>
      </colorScale>
    </cfRule>
  </conditionalFormatting>
  <conditionalFormatting sqref="D113:Q116 D118:Q119">
    <cfRule type="colorScale" priority="48">
      <colorScale>
        <cfvo type="min"/>
        <cfvo type="max"/>
        <color rgb="FFFCFCFF"/>
        <color rgb="FF5D9732"/>
      </colorScale>
    </cfRule>
  </conditionalFormatting>
  <conditionalFormatting sqref="D122:Q126 D128:Q128">
    <cfRule type="colorScale" priority="47">
      <colorScale>
        <cfvo type="min"/>
        <cfvo type="max"/>
        <color rgb="FFFCFCFF"/>
        <color rgb="FF5D9732"/>
      </colorScale>
    </cfRule>
  </conditionalFormatting>
  <conditionalFormatting sqref="E129:Q130 E132:Q132">
    <cfRule type="colorScale" priority="46">
      <colorScale>
        <cfvo type="min"/>
        <cfvo type="max"/>
        <color rgb="FFFCFCFF"/>
        <color rgb="FF5D9732"/>
      </colorScale>
    </cfRule>
  </conditionalFormatting>
  <conditionalFormatting sqref="E110:Q111">
    <cfRule type="colorScale" priority="45">
      <colorScale>
        <cfvo type="min"/>
        <cfvo type="max"/>
        <color theme="0"/>
        <color rgb="FF5D9732"/>
      </colorScale>
    </cfRule>
  </conditionalFormatting>
  <conditionalFormatting sqref="C10:Q12">
    <cfRule type="colorScale" priority="25">
      <colorScale>
        <cfvo type="min"/>
        <cfvo type="max"/>
        <color theme="0"/>
        <color rgb="FF5D9732"/>
      </colorScale>
    </cfRule>
  </conditionalFormatting>
  <conditionalFormatting sqref="C18:Q20">
    <cfRule type="colorScale" priority="24">
      <colorScale>
        <cfvo type="min"/>
        <cfvo type="max"/>
        <color theme="0"/>
        <color rgb="FF5D9732"/>
      </colorScale>
    </cfRule>
  </conditionalFormatting>
  <conditionalFormatting sqref="C30:Q32">
    <cfRule type="colorScale" priority="23">
      <colorScale>
        <cfvo type="min"/>
        <cfvo type="max"/>
        <color theme="0"/>
        <color rgb="FF5D9732"/>
      </colorScale>
    </cfRule>
  </conditionalFormatting>
  <conditionalFormatting sqref="C34:Q35">
    <cfRule type="colorScale" priority="22">
      <colorScale>
        <cfvo type="min"/>
        <cfvo type="max"/>
        <color theme="0"/>
        <color rgb="FF5D9732"/>
      </colorScale>
    </cfRule>
  </conditionalFormatting>
  <conditionalFormatting sqref="C14:Q16">
    <cfRule type="colorScale" priority="21">
      <colorScale>
        <cfvo type="min"/>
        <cfvo type="max"/>
        <color theme="0"/>
        <color rgb="FF5D9732"/>
      </colorScale>
    </cfRule>
  </conditionalFormatting>
  <conditionalFormatting sqref="C22:Q24">
    <cfRule type="colorScale" priority="20">
      <colorScale>
        <cfvo type="min"/>
        <cfvo type="max"/>
        <color theme="0"/>
        <color rgb="FF5D9732"/>
      </colorScale>
    </cfRule>
  </conditionalFormatting>
  <conditionalFormatting sqref="C26:Q29">
    <cfRule type="colorScale" priority="19">
      <colorScale>
        <cfvo type="min"/>
        <cfvo type="max"/>
        <color theme="0"/>
        <color rgb="FF5D9732"/>
      </colorScale>
    </cfRule>
  </conditionalFormatting>
  <conditionalFormatting sqref="D67:Q67">
    <cfRule type="colorScale" priority="18">
      <colorScale>
        <cfvo type="min"/>
        <cfvo type="max"/>
        <color rgb="FFFCFCFF"/>
        <color rgb="FF00B050"/>
      </colorScale>
    </cfRule>
  </conditionalFormatting>
  <conditionalFormatting sqref="C50:Q52">
    <cfRule type="colorScale" priority="17">
      <colorScale>
        <cfvo type="min"/>
        <cfvo type="max"/>
        <color theme="0"/>
        <color rgb="FF5D9732"/>
      </colorScale>
    </cfRule>
  </conditionalFormatting>
  <conditionalFormatting sqref="Q58:Q60">
    <cfRule type="colorScale" priority="16">
      <colorScale>
        <cfvo type="min"/>
        <cfvo type="max"/>
        <color theme="0"/>
        <color rgb="FF00B050"/>
      </colorScale>
    </cfRule>
  </conditionalFormatting>
  <conditionalFormatting sqref="C68:Q68">
    <cfRule type="colorScale" priority="15">
      <colorScale>
        <cfvo type="min"/>
        <cfvo type="max"/>
        <color theme="0"/>
        <color rgb="FF5D9732"/>
      </colorScale>
    </cfRule>
  </conditionalFormatting>
  <conditionalFormatting sqref="C70:Q71">
    <cfRule type="colorScale" priority="14">
      <colorScale>
        <cfvo type="min"/>
        <cfvo type="max"/>
        <color theme="0"/>
        <color rgb="FF5D9732"/>
      </colorScale>
    </cfRule>
  </conditionalFormatting>
  <conditionalFormatting sqref="C46:Q48">
    <cfRule type="colorScale" priority="13">
      <colorScale>
        <cfvo type="min"/>
        <cfvo type="max"/>
        <color theme="0"/>
        <color rgb="FF5D9732"/>
      </colorScale>
    </cfRule>
  </conditionalFormatting>
  <conditionalFormatting sqref="C54:Q60">
    <cfRule type="colorScale" priority="12">
      <colorScale>
        <cfvo type="min"/>
        <cfvo type="max"/>
        <color theme="0"/>
        <color rgb="FF5D9732"/>
      </colorScale>
    </cfRule>
  </conditionalFormatting>
  <conditionalFormatting sqref="C62:Q65">
    <cfRule type="colorScale" priority="11">
      <colorScale>
        <cfvo type="min"/>
        <cfvo type="max"/>
        <color theme="0"/>
        <color rgb="FF5D9732"/>
      </colorScale>
    </cfRule>
  </conditionalFormatting>
  <conditionalFormatting sqref="C66:P66">
    <cfRule type="colorScale" priority="10">
      <colorScale>
        <cfvo type="min"/>
        <cfvo type="max"/>
        <color rgb="FFFCFCFF"/>
        <color rgb="FF5D9732"/>
      </colorScale>
    </cfRule>
  </conditionalFormatting>
  <conditionalFormatting sqref="D108:Q108">
    <cfRule type="colorScale" priority="8">
      <colorScale>
        <cfvo type="min"/>
        <cfvo type="max"/>
        <color theme="0"/>
        <color rgb="FF5D9732"/>
      </colorScale>
    </cfRule>
  </conditionalFormatting>
  <conditionalFormatting sqref="D117:Q117">
    <cfRule type="colorScale" priority="7">
      <colorScale>
        <cfvo type="min"/>
        <cfvo type="max"/>
        <color rgb="FFFCFCFF"/>
        <color rgb="FF5D9732"/>
      </colorScale>
    </cfRule>
  </conditionalFormatting>
  <conditionalFormatting sqref="D120:Q120">
    <cfRule type="colorScale" priority="6">
      <colorScale>
        <cfvo type="min"/>
        <cfvo type="max"/>
        <color rgb="FFFCFCFF"/>
        <color rgb="FF5D9732"/>
      </colorScale>
    </cfRule>
  </conditionalFormatting>
  <conditionalFormatting sqref="E133:Q133">
    <cfRule type="colorScale" priority="5">
      <colorScale>
        <cfvo type="min"/>
        <cfvo type="max"/>
        <color rgb="FFFCFCFF"/>
        <color rgb="FF5D9732"/>
      </colorScale>
    </cfRule>
  </conditionalFormatting>
  <conditionalFormatting sqref="E133:Q133">
    <cfRule type="colorScale" priority="4">
      <colorScale>
        <cfvo type="min"/>
        <cfvo type="max"/>
        <color theme="0"/>
        <color rgb="FF5D9732"/>
      </colorScale>
    </cfRule>
  </conditionalFormatting>
  <conditionalFormatting sqref="D127:Q127">
    <cfRule type="colorScale" priority="3">
      <colorScale>
        <cfvo type="min"/>
        <cfvo type="max"/>
        <color rgb="FFFCFCFF"/>
        <color rgb="FF5D9732"/>
      </colorScale>
    </cfRule>
  </conditionalFormatting>
  <conditionalFormatting sqref="D131:Q131">
    <cfRule type="colorScale" priority="1">
      <colorScale>
        <cfvo type="min"/>
        <cfvo type="max"/>
        <color theme="0"/>
        <color rgb="FF5D9732"/>
      </colorScale>
    </cfRule>
  </conditionalFormatting>
  <pageMargins left="0.7" right="0.7" top="0.75" bottom="0.75" header="0.3" footer="0.3"/>
  <pageSetup orientation="portrait" r:id="rId1"/>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7C039F-1418-4E98-B6E6-C37F12D1A195}">
  <sheetPr codeName="Sheet19">
    <tabColor rgb="FF8CC63F"/>
  </sheetPr>
  <dimension ref="A1:S174"/>
  <sheetViews>
    <sheetView zoomScale="70" zoomScaleNormal="70" workbookViewId="0">
      <pane ySplit="6" topLeftCell="A78" activePane="bottomLeft" state="frozen"/>
      <selection pane="bottomLeft" activeCell="D112" sqref="D112"/>
    </sheetView>
  </sheetViews>
  <sheetFormatPr defaultRowHeight="14.5" x14ac:dyDescent="0.35"/>
  <cols>
    <col min="2" max="2" width="18.453125" customWidth="1"/>
    <col min="3" max="3" width="8.6328125" hidden="1" customWidth="1"/>
    <col min="6" max="17" width="9.36328125" bestFit="1" customWidth="1"/>
  </cols>
  <sheetData>
    <row r="1" spans="1:19" x14ac:dyDescent="0.35">
      <c r="Q1" s="83"/>
      <c r="R1" s="83"/>
    </row>
    <row r="2" spans="1:19" x14ac:dyDescent="0.35">
      <c r="B2" s="7" t="s">
        <v>189</v>
      </c>
      <c r="Q2" s="83"/>
      <c r="R2" s="83"/>
    </row>
    <row r="3" spans="1:19" x14ac:dyDescent="0.35">
      <c r="Q3" s="83"/>
      <c r="R3" s="83"/>
    </row>
    <row r="4" spans="1:19" x14ac:dyDescent="0.35">
      <c r="Q4" s="83"/>
      <c r="R4" s="83"/>
    </row>
    <row r="5" spans="1:19" x14ac:dyDescent="0.35">
      <c r="C5" t="s">
        <v>105</v>
      </c>
    </row>
    <row r="6" spans="1:19" ht="21" x14ac:dyDescent="0.5">
      <c r="C6" s="81">
        <v>2021</v>
      </c>
      <c r="D6" s="81">
        <v>2022</v>
      </c>
      <c r="E6" s="81">
        <f t="shared" ref="E6:Q6" si="0">D6+1</f>
        <v>2023</v>
      </c>
      <c r="F6" s="81">
        <f t="shared" si="0"/>
        <v>2024</v>
      </c>
      <c r="G6" s="81">
        <f t="shared" si="0"/>
        <v>2025</v>
      </c>
      <c r="H6" s="81">
        <f t="shared" si="0"/>
        <v>2026</v>
      </c>
      <c r="I6" s="81">
        <f t="shared" si="0"/>
        <v>2027</v>
      </c>
      <c r="J6" s="81">
        <f t="shared" si="0"/>
        <v>2028</v>
      </c>
      <c r="K6" s="81">
        <f t="shared" si="0"/>
        <v>2029</v>
      </c>
      <c r="L6" s="82">
        <f t="shared" si="0"/>
        <v>2030</v>
      </c>
      <c r="M6" s="81">
        <f t="shared" si="0"/>
        <v>2031</v>
      </c>
      <c r="N6" s="81">
        <f t="shared" si="0"/>
        <v>2032</v>
      </c>
      <c r="O6" s="81">
        <f t="shared" si="0"/>
        <v>2033</v>
      </c>
      <c r="P6" s="81">
        <f t="shared" si="0"/>
        <v>2034</v>
      </c>
      <c r="Q6">
        <f t="shared" si="0"/>
        <v>2035</v>
      </c>
      <c r="R6" t="s">
        <v>106</v>
      </c>
    </row>
    <row r="7" spans="1:19" ht="15.5" x14ac:dyDescent="0.35">
      <c r="A7" s="116" t="s">
        <v>132</v>
      </c>
      <c r="B7" s="117" t="s">
        <v>107</v>
      </c>
      <c r="C7" s="117"/>
      <c r="D7" s="118"/>
      <c r="E7" s="118"/>
      <c r="F7" s="118"/>
      <c r="G7" s="118"/>
      <c r="H7" s="118"/>
      <c r="I7" s="118"/>
      <c r="J7" s="118"/>
      <c r="K7" s="118"/>
      <c r="L7" s="118"/>
      <c r="M7" s="118"/>
      <c r="N7" s="118"/>
      <c r="O7" s="118"/>
      <c r="P7" s="118"/>
      <c r="Q7" s="118"/>
      <c r="R7" s="119"/>
    </row>
    <row r="8" spans="1:19" ht="15.5" x14ac:dyDescent="0.35">
      <c r="A8" s="116"/>
      <c r="B8" s="120" t="s">
        <v>108</v>
      </c>
      <c r="C8" s="120"/>
      <c r="D8" s="116"/>
      <c r="E8" s="116"/>
      <c r="F8" s="116"/>
      <c r="G8" s="116"/>
      <c r="H8" s="116"/>
      <c r="I8" s="116"/>
      <c r="J8" s="116"/>
      <c r="K8" s="116"/>
      <c r="L8" s="116"/>
      <c r="M8" s="116"/>
      <c r="N8" s="116"/>
      <c r="O8" s="116"/>
      <c r="P8" s="116"/>
      <c r="Q8" s="116"/>
      <c r="R8" s="115"/>
    </row>
    <row r="9" spans="1:19" ht="15.5" x14ac:dyDescent="0.35">
      <c r="A9" s="116"/>
      <c r="B9" s="129" t="s">
        <v>350</v>
      </c>
      <c r="C9" s="180">
        <f ca="1">SUM(C10:C12)</f>
        <v>42.769230769230774</v>
      </c>
      <c r="D9" s="180">
        <f t="shared" ref="D9:Q9" ca="1" si="1">SUM(D10:D12)</f>
        <v>143</v>
      </c>
      <c r="E9" s="180">
        <f t="shared" ca="1" si="1"/>
        <v>191</v>
      </c>
      <c r="F9" s="180">
        <f t="shared" ca="1" si="1"/>
        <v>225</v>
      </c>
      <c r="G9" s="180">
        <f t="shared" ca="1" si="1"/>
        <v>225</v>
      </c>
      <c r="H9" s="180">
        <f t="shared" ca="1" si="1"/>
        <v>124.97435897435901</v>
      </c>
      <c r="I9" s="180">
        <f t="shared" ca="1" si="1"/>
        <v>200</v>
      </c>
      <c r="J9" s="180">
        <f t="shared" ca="1" si="1"/>
        <v>200</v>
      </c>
      <c r="K9" s="180">
        <f t="shared" ca="1" si="1"/>
        <v>183.33333333333331</v>
      </c>
      <c r="L9" s="180">
        <f t="shared" ca="1" si="1"/>
        <v>183.33333333333331</v>
      </c>
      <c r="M9" s="180">
        <f t="shared" ca="1" si="1"/>
        <v>183.33333333333331</v>
      </c>
      <c r="N9" s="180">
        <f t="shared" ca="1" si="1"/>
        <v>183.33333333333331</v>
      </c>
      <c r="O9" s="180">
        <f t="shared" ca="1" si="1"/>
        <v>183.33333333333331</v>
      </c>
      <c r="P9" s="180">
        <f t="shared" si="1"/>
        <v>0</v>
      </c>
      <c r="Q9" s="180">
        <f t="shared" si="1"/>
        <v>0</v>
      </c>
      <c r="R9" s="181">
        <f ca="1">SUM(C9:Q9)</f>
        <v>2268.4102564102564</v>
      </c>
    </row>
    <row r="10" spans="1:19" ht="15.5" x14ac:dyDescent="0.35">
      <c r="A10" s="121">
        <f>MAX(Assumptions!C$45:C$47)</f>
        <v>1</v>
      </c>
      <c r="B10" s="111">
        <v>12</v>
      </c>
      <c r="C10" s="183" cm="1">
        <f t="array" aca="1" ref="C10" ca="1">INDIRECT("R[36]C["&amp;$A$10&amp;"]",FALSE)</f>
        <v>42.769230769230774</v>
      </c>
      <c r="D10" s="183" cm="1">
        <f t="array" aca="1" ref="D10" ca="1">INDIRECT("R[36]C["&amp;$A$10&amp;"]",FALSE)</f>
        <v>110</v>
      </c>
      <c r="E10" s="183" cm="1">
        <f t="array" aca="1" ref="E10" ca="1">INDIRECT("R[36]C["&amp;$A$10&amp;"]",FALSE)</f>
        <v>125</v>
      </c>
      <c r="F10" s="183" cm="1">
        <f t="array" aca="1" ref="F10" ca="1">INDIRECT("R[36]C["&amp;$A$10&amp;"]",FALSE)</f>
        <v>125</v>
      </c>
      <c r="G10" s="183" cm="1">
        <f t="array" aca="1" ref="G10" ca="1">INDIRECT("R[36]C["&amp;$A$10&amp;"]",FALSE)</f>
        <v>125</v>
      </c>
      <c r="H10" s="183" cm="1">
        <f t="array" aca="1" ref="H10" ca="1">INDIRECT("R[36]C["&amp;$A$10&amp;"]",FALSE)</f>
        <v>24.974358974359006</v>
      </c>
      <c r="I10" s="183" cm="1">
        <f t="array" aca="1" ref="I10" ca="1">INDIRECT("R[36]C["&amp;$A$10&amp;"]",FALSE)</f>
        <v>0</v>
      </c>
      <c r="J10" s="183" cm="1">
        <f t="array" aca="1" ref="J10" ca="1">INDIRECT("R[36]C["&amp;$A$10&amp;"]",FALSE)</f>
        <v>0</v>
      </c>
      <c r="K10" s="183" cm="1">
        <f t="array" aca="1" ref="K10" ca="1">INDIRECT("R[36]C["&amp;$A$10&amp;"]",FALSE)</f>
        <v>0</v>
      </c>
      <c r="L10" s="183" cm="1">
        <f t="array" aca="1" ref="L10" ca="1">INDIRECT("R[36]C["&amp;$A$10&amp;"]",FALSE)</f>
        <v>0</v>
      </c>
      <c r="M10" s="183" cm="1">
        <f t="array" aca="1" ref="M10" ca="1">INDIRECT("R[36]C["&amp;$A$10&amp;"]",FALSE)</f>
        <v>0</v>
      </c>
      <c r="N10" s="183" cm="1">
        <f t="array" aca="1" ref="N10" ca="1">INDIRECT("R[36]C["&amp;$A$10&amp;"]",FALSE)</f>
        <v>0</v>
      </c>
      <c r="O10" s="183" cm="1">
        <f t="array" aca="1" ref="O10" ca="1">INDIRECT("R[36]C["&amp;$A$10&amp;"]",FALSE)</f>
        <v>0</v>
      </c>
      <c r="P10" s="115"/>
      <c r="Q10" s="115"/>
      <c r="R10" s="115">
        <f ca="1">SUM(C10:P10)</f>
        <v>552.74358974358972</v>
      </c>
    </row>
    <row r="11" spans="1:19" ht="15.5" x14ac:dyDescent="0.35">
      <c r="A11" s="121">
        <f>MAX(Assumptions!C$45:C$47)</f>
        <v>1</v>
      </c>
      <c r="B11" s="111">
        <v>15</v>
      </c>
      <c r="C11" s="183" cm="1">
        <f t="array" aca="1" ref="C11" ca="1">INDIRECT("R[36]C["&amp;$A$11&amp;"]",FALSE)</f>
        <v>0</v>
      </c>
      <c r="D11" s="183" cm="1">
        <f t="array" aca="1" ref="D11" ca="1">INDIRECT("R[36]C["&amp;$A$11&amp;"]",FALSE)</f>
        <v>33</v>
      </c>
      <c r="E11" s="183" cm="1">
        <f t="array" aca="1" ref="E11" ca="1">INDIRECT("R[36]C["&amp;$A$11&amp;"]",FALSE)</f>
        <v>66</v>
      </c>
      <c r="F11" s="183" cm="1">
        <f t="array" aca="1" ref="F11" ca="1">INDIRECT("R[36]C["&amp;$A$11&amp;"]",FALSE)</f>
        <v>100</v>
      </c>
      <c r="G11" s="183" cm="1">
        <f t="array" aca="1" ref="G11" ca="1">INDIRECT("R[36]C["&amp;$A$11&amp;"]",FALSE)</f>
        <v>100</v>
      </c>
      <c r="H11" s="183" cm="1">
        <f t="array" aca="1" ref="H11" ca="1">INDIRECT("R[36]C["&amp;$A$11&amp;"]",FALSE)</f>
        <v>100</v>
      </c>
      <c r="I11" s="183" cm="1">
        <f t="array" aca="1" ref="I11" ca="1">INDIRECT("R[36]C["&amp;$A$11&amp;"]",FALSE)</f>
        <v>200</v>
      </c>
      <c r="J11" s="183" cm="1">
        <f t="array" aca="1" ref="J11" ca="1">INDIRECT("R[36]C["&amp;$A$11&amp;"]",FALSE)</f>
        <v>200</v>
      </c>
      <c r="K11" s="183" cm="1">
        <f t="array" aca="1" ref="K11" ca="1">INDIRECT("R[36]C["&amp;$A$11&amp;"]",FALSE)</f>
        <v>100</v>
      </c>
      <c r="L11" s="183" cm="1">
        <f t="array" aca="1" ref="L11" ca="1">INDIRECT("R[36]C["&amp;$A$11&amp;"]",FALSE)</f>
        <v>100</v>
      </c>
      <c r="M11" s="183" cm="1">
        <f t="array" aca="1" ref="M11" ca="1">INDIRECT("R[36]C["&amp;$A$11&amp;"]",FALSE)</f>
        <v>100</v>
      </c>
      <c r="N11" s="183" cm="1">
        <f t="array" aca="1" ref="N11" ca="1">INDIRECT("R[36]C["&amp;$A$11&amp;"]",FALSE)</f>
        <v>100</v>
      </c>
      <c r="O11" s="183" cm="1">
        <f t="array" aca="1" ref="O11" ca="1">INDIRECT("R[36]C["&amp;$A$11&amp;"]",FALSE)</f>
        <v>100</v>
      </c>
      <c r="P11" s="115"/>
      <c r="Q11" s="115"/>
      <c r="R11" s="115">
        <f t="shared" ref="R11:R12" ca="1" si="2">SUM(C11:P11)</f>
        <v>1299</v>
      </c>
    </row>
    <row r="12" spans="1:19" ht="15.5" x14ac:dyDescent="0.35">
      <c r="A12" s="121">
        <f>MAX(Assumptions!C$45:C$47)</f>
        <v>1</v>
      </c>
      <c r="B12" s="111">
        <v>18</v>
      </c>
      <c r="C12" s="183" cm="1">
        <f t="array" aca="1" ref="C12" ca="1">INDIRECT("R[36]C["&amp;$A$12&amp;"]",FALSE)</f>
        <v>0</v>
      </c>
      <c r="D12" s="183" cm="1">
        <f t="array" aca="1" ref="D12" ca="1">INDIRECT("R[36]C["&amp;$A$12&amp;"]",FALSE)</f>
        <v>0</v>
      </c>
      <c r="E12" s="183" cm="1">
        <f t="array" aca="1" ref="E12" ca="1">INDIRECT("R[36]C["&amp;$A$12&amp;"]",FALSE)</f>
        <v>0</v>
      </c>
      <c r="F12" s="183" cm="1">
        <f t="array" aca="1" ref="F12" ca="1">INDIRECT("R[36]C["&amp;$A$12&amp;"]",FALSE)</f>
        <v>0</v>
      </c>
      <c r="G12" s="183" cm="1">
        <f t="array" aca="1" ref="G12" ca="1">INDIRECT("R[36]C["&amp;$A$12&amp;"]",FALSE)</f>
        <v>0</v>
      </c>
      <c r="H12" s="183" cm="1">
        <f t="array" aca="1" ref="H12" ca="1">INDIRECT("R[36]C["&amp;$A$12&amp;"]",FALSE)</f>
        <v>0</v>
      </c>
      <c r="I12" s="183" cm="1">
        <f t="array" aca="1" ref="I12" ca="1">INDIRECT("R[36]C["&amp;$A$12&amp;"]",FALSE)</f>
        <v>0</v>
      </c>
      <c r="J12" s="183" cm="1">
        <f t="array" aca="1" ref="J12" ca="1">INDIRECT("R[36]C["&amp;$A$12&amp;"]",FALSE)</f>
        <v>0</v>
      </c>
      <c r="K12" s="183" cm="1">
        <f t="array" aca="1" ref="K12" ca="1">INDIRECT("R[36]C["&amp;$A$12&amp;"]",FALSE)</f>
        <v>83.333333333333329</v>
      </c>
      <c r="L12" s="183" cm="1">
        <f t="array" aca="1" ref="L12" ca="1">INDIRECT("R[36]C["&amp;$A$12&amp;"]",FALSE)</f>
        <v>83.333333333333329</v>
      </c>
      <c r="M12" s="183" cm="1">
        <f t="array" aca="1" ref="M12" ca="1">INDIRECT("R[36]C["&amp;$A$12&amp;"]",FALSE)</f>
        <v>83.333333333333329</v>
      </c>
      <c r="N12" s="183" cm="1">
        <f t="array" aca="1" ref="N12" ca="1">INDIRECT("R[36]C["&amp;$A$12&amp;"]",FALSE)</f>
        <v>83.333333333333329</v>
      </c>
      <c r="O12" s="183" cm="1">
        <f t="array" aca="1" ref="O12" ca="1">INDIRECT("R[36]C["&amp;$A$12&amp;"]",FALSE)</f>
        <v>83.333333333333329</v>
      </c>
      <c r="P12" s="115"/>
      <c r="Q12" s="115"/>
      <c r="R12" s="115">
        <f t="shared" ca="1" si="2"/>
        <v>416.66666666666663</v>
      </c>
      <c r="S12" t="s">
        <v>91</v>
      </c>
    </row>
    <row r="13" spans="1:19" ht="15.5" x14ac:dyDescent="0.35">
      <c r="A13" s="116"/>
      <c r="B13" s="129" t="s">
        <v>351</v>
      </c>
      <c r="C13" s="179"/>
      <c r="D13" s="179"/>
      <c r="E13" s="179"/>
      <c r="F13" s="179"/>
      <c r="G13" s="179"/>
      <c r="H13" s="179"/>
      <c r="I13" s="179"/>
      <c r="J13" s="179"/>
      <c r="K13" s="179"/>
      <c r="L13" s="179"/>
      <c r="M13" s="179"/>
      <c r="N13" s="179"/>
      <c r="O13" s="179"/>
      <c r="P13" s="179"/>
      <c r="Q13" s="179"/>
      <c r="R13" s="181"/>
    </row>
    <row r="14" spans="1:19" ht="15.5" x14ac:dyDescent="0.35">
      <c r="A14" s="121">
        <f>Assumptions!C$45</f>
        <v>1</v>
      </c>
      <c r="B14" s="111">
        <v>12</v>
      </c>
      <c r="C14" s="183" cm="1">
        <f t="array" aca="1" ref="C14" ca="1">INDIRECT("R[36]C["&amp;$A$14&amp;"]",FALSE)</f>
        <v>128.30769230769232</v>
      </c>
      <c r="D14" s="183" cm="1">
        <f t="array" aca="1" ref="D14" ca="1">INDIRECT("R[36]C["&amp;$A$14&amp;"]",FALSE)</f>
        <v>330</v>
      </c>
      <c r="E14" s="183" cm="1">
        <f t="array" aca="1" ref="E14" ca="1">INDIRECT("R[36]C["&amp;$A$14&amp;"]",FALSE)</f>
        <v>375</v>
      </c>
      <c r="F14" s="183" cm="1">
        <f t="array" aca="1" ref="F14" ca="1">INDIRECT("R[36]C["&amp;$A$14&amp;"]",FALSE)</f>
        <v>375</v>
      </c>
      <c r="G14" s="183" cm="1">
        <f t="array" aca="1" ref="G14" ca="1">INDIRECT("R[36]C["&amp;$A$14&amp;"]",FALSE)</f>
        <v>375</v>
      </c>
      <c r="H14" s="183" cm="1">
        <f t="array" aca="1" ref="H14" ca="1">INDIRECT("R[36]C["&amp;$A$14&amp;"]",FALSE)</f>
        <v>74.923076923077019</v>
      </c>
      <c r="I14" s="183" cm="1">
        <f t="array" aca="1" ref="I14" ca="1">INDIRECT("R[36]C["&amp;$A$14&amp;"]",FALSE)</f>
        <v>0</v>
      </c>
      <c r="J14" s="183" cm="1">
        <f t="array" aca="1" ref="J14" ca="1">INDIRECT("R[36]C["&amp;$A$14&amp;"]",FALSE)</f>
        <v>0</v>
      </c>
      <c r="K14" s="183" cm="1">
        <f t="array" aca="1" ref="K14" ca="1">INDIRECT("R[36]C["&amp;$A$14&amp;"]",FALSE)</f>
        <v>0</v>
      </c>
      <c r="L14" s="183" cm="1">
        <f t="array" aca="1" ref="L14" ca="1">INDIRECT("R[36]C["&amp;$A$14&amp;"]",FALSE)</f>
        <v>0</v>
      </c>
      <c r="M14" s="183" cm="1">
        <f t="array" aca="1" ref="M14" ca="1">INDIRECT("R[36]C["&amp;$A$14&amp;"]",FALSE)</f>
        <v>0</v>
      </c>
      <c r="N14" s="183" cm="1">
        <f t="array" aca="1" ref="N14" ca="1">INDIRECT("R[36]C["&amp;$A$14&amp;"]",FALSE)</f>
        <v>0</v>
      </c>
      <c r="O14" s="183" cm="1">
        <f t="array" aca="1" ref="O14" ca="1">INDIRECT("R[36]C["&amp;$A$14&amp;"]",FALSE)</f>
        <v>0</v>
      </c>
      <c r="P14" s="116"/>
      <c r="Q14" s="116"/>
      <c r="R14" s="115">
        <f ca="1">SUM(C14:P14)</f>
        <v>1658.2307692307695</v>
      </c>
    </row>
    <row r="15" spans="1:19" ht="15.5" x14ac:dyDescent="0.35">
      <c r="A15" s="121">
        <f>Assumptions!C$45</f>
        <v>1</v>
      </c>
      <c r="B15" s="111">
        <v>15</v>
      </c>
      <c r="C15" s="183" cm="1">
        <f t="array" aca="1" ref="C15" ca="1">INDIRECT("R[36]C["&amp;$A$15&amp;"]",FALSE)</f>
        <v>0</v>
      </c>
      <c r="D15" s="183" cm="1">
        <f t="array" aca="1" ref="D15" ca="1">INDIRECT("R[36]C["&amp;$A$15&amp;"]",FALSE)</f>
        <v>99</v>
      </c>
      <c r="E15" s="183" cm="1">
        <f t="array" aca="1" ref="E15" ca="1">INDIRECT("R[36]C["&amp;$A$15&amp;"]",FALSE)</f>
        <v>198</v>
      </c>
      <c r="F15" s="183" cm="1">
        <f t="array" aca="1" ref="F15" ca="1">INDIRECT("R[36]C["&amp;$A$15&amp;"]",FALSE)</f>
        <v>300</v>
      </c>
      <c r="G15" s="183" cm="1">
        <f t="array" aca="1" ref="G15" ca="1">INDIRECT("R[36]C["&amp;$A$15&amp;"]",FALSE)</f>
        <v>300</v>
      </c>
      <c r="H15" s="183" cm="1">
        <f t="array" aca="1" ref="H15" ca="1">INDIRECT("R[36]C["&amp;$A$15&amp;"]",FALSE)</f>
        <v>300</v>
      </c>
      <c r="I15" s="183" cm="1">
        <f t="array" aca="1" ref="I15" ca="1">INDIRECT("R[36]C["&amp;$A$15&amp;"]",FALSE)</f>
        <v>600</v>
      </c>
      <c r="J15" s="183" cm="1">
        <f t="array" aca="1" ref="J15" ca="1">INDIRECT("R[36]C["&amp;$A$15&amp;"]",FALSE)</f>
        <v>600</v>
      </c>
      <c r="K15" s="183" cm="1">
        <f t="array" aca="1" ref="K15" ca="1">INDIRECT("R[36]C["&amp;$A$15&amp;"]",FALSE)</f>
        <v>300</v>
      </c>
      <c r="L15" s="183" cm="1">
        <f t="array" aca="1" ref="L15" ca="1">INDIRECT("R[36]C["&amp;$A$15&amp;"]",FALSE)</f>
        <v>300</v>
      </c>
      <c r="M15" s="183" cm="1">
        <f t="array" aca="1" ref="M15" ca="1">INDIRECT("R[36]C["&amp;$A$15&amp;"]",FALSE)</f>
        <v>300</v>
      </c>
      <c r="N15" s="183" cm="1">
        <f t="array" aca="1" ref="N15" ca="1">INDIRECT("R[36]C["&amp;$A$15&amp;"]",FALSE)</f>
        <v>300</v>
      </c>
      <c r="O15" s="183" cm="1">
        <f t="array" aca="1" ref="O15" ca="1">INDIRECT("R[36]C["&amp;$A$15&amp;"]",FALSE)</f>
        <v>300</v>
      </c>
      <c r="P15" s="116"/>
      <c r="Q15" s="116"/>
      <c r="R15" s="115">
        <f t="shared" ref="R15:R16" ca="1" si="3">SUM(C15:P15)</f>
        <v>3897</v>
      </c>
    </row>
    <row r="16" spans="1:19" ht="15.5" x14ac:dyDescent="0.35">
      <c r="A16" s="121">
        <f>Assumptions!C$45</f>
        <v>1</v>
      </c>
      <c r="B16" s="111">
        <v>18</v>
      </c>
      <c r="C16" s="183" cm="1">
        <f t="array" aca="1" ref="C16" ca="1">INDIRECT("R[36]C["&amp;$A$16&amp;"]",FALSE)</f>
        <v>0</v>
      </c>
      <c r="D16" s="183" cm="1">
        <f t="array" aca="1" ref="D16" ca="1">INDIRECT("R[36]C["&amp;$A$16&amp;"]",FALSE)</f>
        <v>0</v>
      </c>
      <c r="E16" s="183" cm="1">
        <f t="array" aca="1" ref="E16" ca="1">INDIRECT("R[36]C["&amp;$A$16&amp;"]",FALSE)</f>
        <v>0</v>
      </c>
      <c r="F16" s="183" cm="1">
        <f t="array" aca="1" ref="F16" ca="1">INDIRECT("R[36]C["&amp;$A$16&amp;"]",FALSE)</f>
        <v>0</v>
      </c>
      <c r="G16" s="183" cm="1">
        <f t="array" aca="1" ref="G16" ca="1">INDIRECT("R[36]C["&amp;$A$16&amp;"]",FALSE)</f>
        <v>0</v>
      </c>
      <c r="H16" s="183" cm="1">
        <f t="array" aca="1" ref="H16" ca="1">INDIRECT("R[36]C["&amp;$A$16&amp;"]",FALSE)</f>
        <v>0</v>
      </c>
      <c r="I16" s="183" cm="1">
        <f t="array" aca="1" ref="I16" ca="1">INDIRECT("R[36]C["&amp;$A$16&amp;"]",FALSE)</f>
        <v>0</v>
      </c>
      <c r="J16" s="183" cm="1">
        <f t="array" aca="1" ref="J16" ca="1">INDIRECT("R[36]C["&amp;$A$16&amp;"]",FALSE)</f>
        <v>0</v>
      </c>
      <c r="K16" s="183" cm="1">
        <f t="array" aca="1" ref="K16" ca="1">INDIRECT("R[36]C["&amp;$A$16&amp;"]",FALSE)</f>
        <v>250</v>
      </c>
      <c r="L16" s="183" cm="1">
        <f t="array" aca="1" ref="L16" ca="1">INDIRECT("R[36]C["&amp;$A$16&amp;"]",FALSE)</f>
        <v>250</v>
      </c>
      <c r="M16" s="183" cm="1">
        <f t="array" aca="1" ref="M16" ca="1">INDIRECT("R[36]C["&amp;$A$16&amp;"]",FALSE)</f>
        <v>250</v>
      </c>
      <c r="N16" s="183" cm="1">
        <f t="array" aca="1" ref="N16" ca="1">INDIRECT("R[36]C["&amp;$A$16&amp;"]",FALSE)</f>
        <v>250</v>
      </c>
      <c r="O16" s="183" cm="1">
        <f t="array" aca="1" ref="O16" ca="1">INDIRECT("R[36]C["&amp;$A$16&amp;"]",FALSE)</f>
        <v>250</v>
      </c>
      <c r="P16" s="116"/>
      <c r="Q16" s="116"/>
      <c r="R16" s="115">
        <f t="shared" ca="1" si="3"/>
        <v>1250</v>
      </c>
    </row>
    <row r="17" spans="1:18" ht="15.5" x14ac:dyDescent="0.35">
      <c r="A17" s="116"/>
      <c r="B17" s="129" t="s">
        <v>114</v>
      </c>
      <c r="C17" s="179"/>
      <c r="D17" s="179"/>
      <c r="E17" s="179"/>
      <c r="F17" s="179"/>
      <c r="G17" s="179"/>
      <c r="H17" s="179"/>
      <c r="I17" s="179"/>
      <c r="J17" s="179"/>
      <c r="K17" s="179"/>
      <c r="L17" s="179"/>
      <c r="M17" s="179"/>
      <c r="N17" s="179"/>
      <c r="O17" s="179"/>
      <c r="P17" s="179"/>
      <c r="Q17" s="179"/>
      <c r="R17" s="181"/>
    </row>
    <row r="18" spans="1:18" ht="15.5" x14ac:dyDescent="0.35">
      <c r="A18" s="121">
        <f>Assumptions!C46</f>
        <v>1</v>
      </c>
      <c r="B18" s="111">
        <v>12</v>
      </c>
      <c r="C18" s="183" cm="1">
        <f t="array" aca="1" ref="C18" ca="1">INDIRECT("R[36]C["&amp;$A$18&amp;"]",FALSE)</f>
        <v>42.769230769230774</v>
      </c>
      <c r="D18" s="183" cm="1">
        <f t="array" aca="1" ref="D18" ca="1">INDIRECT("R[36]C["&amp;$A$18&amp;"]",FALSE)</f>
        <v>110</v>
      </c>
      <c r="E18" s="183" cm="1">
        <f t="array" aca="1" ref="E18" ca="1">INDIRECT("R[36]C["&amp;$A$18&amp;"]",FALSE)</f>
        <v>125</v>
      </c>
      <c r="F18" s="183" cm="1">
        <f t="array" aca="1" ref="F18" ca="1">INDIRECT("R[36]C["&amp;$A$18&amp;"]",FALSE)</f>
        <v>125</v>
      </c>
      <c r="G18" s="183" cm="1">
        <f t="array" aca="1" ref="G18" ca="1">INDIRECT("R[36]C["&amp;$A$18&amp;"]",FALSE)</f>
        <v>125</v>
      </c>
      <c r="H18" s="183" cm="1">
        <f t="array" aca="1" ref="H18" ca="1">INDIRECT("R[36]C["&amp;$A$18&amp;"]",FALSE)</f>
        <v>24.974358974359006</v>
      </c>
      <c r="I18" s="183" cm="1">
        <f t="array" aca="1" ref="I18" ca="1">INDIRECT("R[36]C["&amp;$A$18&amp;"]",FALSE)</f>
        <v>0</v>
      </c>
      <c r="J18" s="183" cm="1">
        <f t="array" aca="1" ref="J18" ca="1">INDIRECT("R[36]C["&amp;$A$18&amp;"]",FALSE)</f>
        <v>0</v>
      </c>
      <c r="K18" s="183" cm="1">
        <f t="array" aca="1" ref="K18" ca="1">INDIRECT("R[36]C["&amp;$A$18&amp;"]",FALSE)</f>
        <v>0</v>
      </c>
      <c r="L18" s="183" cm="1">
        <f t="array" aca="1" ref="L18" ca="1">INDIRECT("R[36]C["&amp;$A$18&amp;"]",FALSE)</f>
        <v>0</v>
      </c>
      <c r="M18" s="183" cm="1">
        <f t="array" aca="1" ref="M18" ca="1">INDIRECT("R[36]C["&amp;$A$18&amp;"]",FALSE)</f>
        <v>0</v>
      </c>
      <c r="N18" s="183" cm="1">
        <f t="array" aca="1" ref="N18" ca="1">INDIRECT("R[36]C["&amp;$A$18&amp;"]",FALSE)</f>
        <v>0</v>
      </c>
      <c r="O18" s="183" cm="1">
        <f t="array" aca="1" ref="O18" ca="1">INDIRECT("R[36]C["&amp;$A$18&amp;"]",FALSE)</f>
        <v>0</v>
      </c>
      <c r="P18" s="116"/>
      <c r="Q18" s="116"/>
      <c r="R18" s="115">
        <f ca="1">SUM(C18:P18)</f>
        <v>552.74358974358972</v>
      </c>
    </row>
    <row r="19" spans="1:18" ht="15.5" x14ac:dyDescent="0.35">
      <c r="A19" s="121">
        <f>A18</f>
        <v>1</v>
      </c>
      <c r="B19" s="111">
        <v>15</v>
      </c>
      <c r="C19" s="183" cm="1">
        <f t="array" aca="1" ref="C19" ca="1">INDIRECT("R[36]C["&amp;$A$19&amp;"]",FALSE)</f>
        <v>0</v>
      </c>
      <c r="D19" s="183" cm="1">
        <f t="array" aca="1" ref="D19" ca="1">INDIRECT("R[36]C["&amp;$A$19&amp;"]",FALSE)</f>
        <v>33</v>
      </c>
      <c r="E19" s="183" cm="1">
        <f t="array" aca="1" ref="E19" ca="1">INDIRECT("R[36]C["&amp;$A$19&amp;"]",FALSE)</f>
        <v>66</v>
      </c>
      <c r="F19" s="183" cm="1">
        <f t="array" aca="1" ref="F19" ca="1">INDIRECT("R[36]C["&amp;$A$19&amp;"]",FALSE)</f>
        <v>100</v>
      </c>
      <c r="G19" s="183" cm="1">
        <f t="array" aca="1" ref="G19" ca="1">INDIRECT("R[36]C["&amp;$A$19&amp;"]",FALSE)</f>
        <v>100</v>
      </c>
      <c r="H19" s="183" cm="1">
        <f t="array" aca="1" ref="H19" ca="1">INDIRECT("R[36]C["&amp;$A$19&amp;"]",FALSE)</f>
        <v>100</v>
      </c>
      <c r="I19" s="183" cm="1">
        <f t="array" aca="1" ref="I19" ca="1">INDIRECT("R[36]C["&amp;$A$19&amp;"]",FALSE)</f>
        <v>200</v>
      </c>
      <c r="J19" s="183" cm="1">
        <f t="array" aca="1" ref="J19" ca="1">INDIRECT("R[36]C["&amp;$A$19&amp;"]",FALSE)</f>
        <v>200</v>
      </c>
      <c r="K19" s="183" cm="1">
        <f t="array" aca="1" ref="K19" ca="1">INDIRECT("R[36]C["&amp;$A$19&amp;"]",FALSE)</f>
        <v>100</v>
      </c>
      <c r="L19" s="183" cm="1">
        <f t="array" aca="1" ref="L19" ca="1">INDIRECT("R[36]C["&amp;$A$19&amp;"]",FALSE)</f>
        <v>100</v>
      </c>
      <c r="M19" s="183" cm="1">
        <f t="array" aca="1" ref="M19" ca="1">INDIRECT("R[36]C["&amp;$A$19&amp;"]",FALSE)</f>
        <v>100</v>
      </c>
      <c r="N19" s="183" cm="1">
        <f t="array" aca="1" ref="N19" ca="1">INDIRECT("R[36]C["&amp;$A$19&amp;"]",FALSE)</f>
        <v>100</v>
      </c>
      <c r="O19" s="183" cm="1">
        <f t="array" aca="1" ref="O19" ca="1">INDIRECT("R[36]C["&amp;$A$19&amp;"]",FALSE)</f>
        <v>100</v>
      </c>
      <c r="P19" s="116"/>
      <c r="Q19" s="116"/>
      <c r="R19" s="115">
        <f t="shared" ref="R19:R20" ca="1" si="4">SUM(C19:P19)</f>
        <v>1299</v>
      </c>
    </row>
    <row r="20" spans="1:18" ht="15.5" x14ac:dyDescent="0.35">
      <c r="A20" s="121">
        <f>A18</f>
        <v>1</v>
      </c>
      <c r="B20" s="111">
        <v>18</v>
      </c>
      <c r="C20" s="183" cm="1">
        <f t="array" aca="1" ref="C20" ca="1">INDIRECT("R[36]C["&amp;$A$20&amp;"]",FALSE)</f>
        <v>0</v>
      </c>
      <c r="D20" s="183" cm="1">
        <f t="array" aca="1" ref="D20" ca="1">INDIRECT("R[36]C["&amp;$A$20&amp;"]",FALSE)</f>
        <v>0</v>
      </c>
      <c r="E20" s="183" cm="1">
        <f t="array" aca="1" ref="E20" ca="1">INDIRECT("R[36]C["&amp;$A$20&amp;"]",FALSE)</f>
        <v>0</v>
      </c>
      <c r="F20" s="183" cm="1">
        <f t="array" aca="1" ref="F20" ca="1">INDIRECT("R[36]C["&amp;$A$20&amp;"]",FALSE)</f>
        <v>0</v>
      </c>
      <c r="G20" s="183" cm="1">
        <f t="array" aca="1" ref="G20" ca="1">INDIRECT("R[36]C["&amp;$A$20&amp;"]",FALSE)</f>
        <v>0</v>
      </c>
      <c r="H20" s="183" cm="1">
        <f t="array" aca="1" ref="H20" ca="1">INDIRECT("R[36]C["&amp;$A$20&amp;"]",FALSE)</f>
        <v>0</v>
      </c>
      <c r="I20" s="183" cm="1">
        <f t="array" aca="1" ref="I20" ca="1">INDIRECT("R[36]C["&amp;$A$20&amp;"]",FALSE)</f>
        <v>0</v>
      </c>
      <c r="J20" s="183" cm="1">
        <f t="array" aca="1" ref="J20" ca="1">INDIRECT("R[36]C["&amp;$A$20&amp;"]",FALSE)</f>
        <v>0</v>
      </c>
      <c r="K20" s="183" cm="1">
        <f t="array" aca="1" ref="K20" ca="1">INDIRECT("R[36]C["&amp;$A$20&amp;"]",FALSE)</f>
        <v>83.333333333333329</v>
      </c>
      <c r="L20" s="183" cm="1">
        <f t="array" aca="1" ref="L20" ca="1">INDIRECT("R[36]C["&amp;$A$20&amp;"]",FALSE)</f>
        <v>83.333333333333329</v>
      </c>
      <c r="M20" s="183" cm="1">
        <f t="array" aca="1" ref="M20" ca="1">INDIRECT("R[36]C["&amp;$A$20&amp;"]",FALSE)</f>
        <v>83.333333333333329</v>
      </c>
      <c r="N20" s="183" cm="1">
        <f t="array" aca="1" ref="N20" ca="1">INDIRECT("R[36]C["&amp;$A$20&amp;"]",FALSE)</f>
        <v>83.333333333333329</v>
      </c>
      <c r="O20" s="183" cm="1">
        <f t="array" aca="1" ref="O20" ca="1">INDIRECT("R[36]C["&amp;$A$20&amp;"]",FALSE)</f>
        <v>83.333333333333329</v>
      </c>
      <c r="P20" s="116"/>
      <c r="Q20" s="116"/>
      <c r="R20" s="115">
        <f t="shared" ca="1" si="4"/>
        <v>416.66666666666663</v>
      </c>
    </row>
    <row r="21" spans="1:18" ht="15.5" x14ac:dyDescent="0.35">
      <c r="A21" s="116"/>
      <c r="B21" s="129" t="s">
        <v>352</v>
      </c>
      <c r="C21" s="179"/>
      <c r="D21" s="179"/>
      <c r="E21" s="179"/>
      <c r="F21" s="179"/>
      <c r="G21" s="179"/>
      <c r="H21" s="179"/>
      <c r="I21" s="179"/>
      <c r="J21" s="179"/>
      <c r="K21" s="179"/>
      <c r="L21" s="179"/>
      <c r="M21" s="179"/>
      <c r="N21" s="179"/>
      <c r="O21" s="179"/>
      <c r="P21" s="179"/>
      <c r="Q21" s="179"/>
      <c r="R21" s="181"/>
    </row>
    <row r="22" spans="1:18" ht="15.5" x14ac:dyDescent="0.35">
      <c r="A22" s="121">
        <f>Assumptions!C47</f>
        <v>1</v>
      </c>
      <c r="B22" s="111">
        <v>12</v>
      </c>
      <c r="C22" s="183" cm="1">
        <f t="array" aca="1" ref="C22" ca="1">INDIRECT("R[36]C["&amp;$A$22&amp;"]",FALSE)</f>
        <v>42.769230769230774</v>
      </c>
      <c r="D22" s="183" cm="1">
        <f t="array" aca="1" ref="D22" ca="1">INDIRECT("R[36]C["&amp;$A$18&amp;"]",FALSE)</f>
        <v>110</v>
      </c>
      <c r="E22" s="183" cm="1">
        <f t="array" aca="1" ref="E22" ca="1">INDIRECT("R[36]C["&amp;$A$18&amp;"]",FALSE)</f>
        <v>125</v>
      </c>
      <c r="F22" s="183" cm="1">
        <f t="array" aca="1" ref="F22" ca="1">INDIRECT("R[36]C["&amp;$A$18&amp;"]",FALSE)</f>
        <v>125</v>
      </c>
      <c r="G22" s="183" cm="1">
        <f t="array" aca="1" ref="G22" ca="1">INDIRECT("R[36]C["&amp;$A$18&amp;"]",FALSE)</f>
        <v>125</v>
      </c>
      <c r="H22" s="183" cm="1">
        <f t="array" aca="1" ref="H22" ca="1">INDIRECT("R[36]C["&amp;$A$18&amp;"]",FALSE)</f>
        <v>24.974358974359006</v>
      </c>
      <c r="I22" s="183" cm="1">
        <f t="array" aca="1" ref="I22" ca="1">INDIRECT("R[36]C["&amp;$A$18&amp;"]",FALSE)</f>
        <v>0</v>
      </c>
      <c r="J22" s="183" cm="1">
        <f t="array" aca="1" ref="J22" ca="1">INDIRECT("R[36]C["&amp;$A$18&amp;"]",FALSE)</f>
        <v>0</v>
      </c>
      <c r="K22" s="183" cm="1">
        <f t="array" aca="1" ref="K22" ca="1">INDIRECT("R[36]C["&amp;$A$18&amp;"]",FALSE)</f>
        <v>0</v>
      </c>
      <c r="L22" s="183" cm="1">
        <f t="array" aca="1" ref="L22" ca="1">INDIRECT("R[36]C["&amp;$A$18&amp;"]",FALSE)</f>
        <v>0</v>
      </c>
      <c r="M22" s="183" cm="1">
        <f t="array" aca="1" ref="M22" ca="1">INDIRECT("R[36]C["&amp;$A$18&amp;"]",FALSE)</f>
        <v>0</v>
      </c>
      <c r="N22" s="183" cm="1">
        <f t="array" aca="1" ref="N22" ca="1">INDIRECT("R[36]C["&amp;$A$18&amp;"]",FALSE)</f>
        <v>0</v>
      </c>
      <c r="O22" s="183" cm="1">
        <f t="array" aca="1" ref="O22" ca="1">INDIRECT("R[36]C["&amp;$A$18&amp;"]",FALSE)</f>
        <v>0</v>
      </c>
      <c r="P22" s="182"/>
      <c r="Q22" s="182"/>
      <c r="R22" s="115">
        <f ca="1">SUM(C22:P22)</f>
        <v>552.74358974358972</v>
      </c>
    </row>
    <row r="23" spans="1:18" ht="15.5" x14ac:dyDescent="0.35">
      <c r="A23" s="121">
        <f>A22</f>
        <v>1</v>
      </c>
      <c r="B23" s="111">
        <v>15</v>
      </c>
      <c r="C23" s="183" cm="1">
        <f t="array" aca="1" ref="C23" ca="1">INDIRECT("R[36]C["&amp;$A$23&amp;"]",FALSE)</f>
        <v>0</v>
      </c>
      <c r="D23" s="183" cm="1">
        <f t="array" aca="1" ref="D23" ca="1">INDIRECT("R[36]C["&amp;$A$19&amp;"]",FALSE)</f>
        <v>33</v>
      </c>
      <c r="E23" s="183" cm="1">
        <f t="array" aca="1" ref="E23" ca="1">INDIRECT("R[36]C["&amp;$A$19&amp;"]",FALSE)</f>
        <v>66</v>
      </c>
      <c r="F23" s="183" cm="1">
        <f t="array" aca="1" ref="F23" ca="1">INDIRECT("R[36]C["&amp;$A$19&amp;"]",FALSE)</f>
        <v>100</v>
      </c>
      <c r="G23" s="183" cm="1">
        <f t="array" aca="1" ref="G23" ca="1">INDIRECT("R[36]C["&amp;$A$19&amp;"]",FALSE)</f>
        <v>100</v>
      </c>
      <c r="H23" s="183" cm="1">
        <f t="array" aca="1" ref="H23" ca="1">INDIRECT("R[36]C["&amp;$A$19&amp;"]",FALSE)</f>
        <v>100</v>
      </c>
      <c r="I23" s="183" cm="1">
        <f t="array" aca="1" ref="I23" ca="1">INDIRECT("R[36]C["&amp;$A$19&amp;"]",FALSE)</f>
        <v>200</v>
      </c>
      <c r="J23" s="183" cm="1">
        <f t="array" aca="1" ref="J23" ca="1">INDIRECT("R[36]C["&amp;$A$19&amp;"]",FALSE)</f>
        <v>200</v>
      </c>
      <c r="K23" s="183" cm="1">
        <f t="array" aca="1" ref="K23" ca="1">INDIRECT("R[36]C["&amp;$A$19&amp;"]",FALSE)</f>
        <v>100</v>
      </c>
      <c r="L23" s="183" cm="1">
        <f t="array" aca="1" ref="L23" ca="1">INDIRECT("R[36]C["&amp;$A$19&amp;"]",FALSE)</f>
        <v>100</v>
      </c>
      <c r="M23" s="183" cm="1">
        <f t="array" aca="1" ref="M23" ca="1">INDIRECT("R[36]C["&amp;$A$19&amp;"]",FALSE)</f>
        <v>100</v>
      </c>
      <c r="N23" s="183" cm="1">
        <f t="array" aca="1" ref="N23" ca="1">INDIRECT("R[36]C["&amp;$A$19&amp;"]",FALSE)</f>
        <v>100</v>
      </c>
      <c r="O23" s="183" cm="1">
        <f t="array" aca="1" ref="O23" ca="1">INDIRECT("R[36]C["&amp;$A$19&amp;"]",FALSE)</f>
        <v>100</v>
      </c>
      <c r="P23" s="182"/>
      <c r="Q23" s="182"/>
      <c r="R23" s="115">
        <f t="shared" ref="R23:R24" ca="1" si="5">SUM(C23:P23)</f>
        <v>1299</v>
      </c>
    </row>
    <row r="24" spans="1:18" ht="15.5" x14ac:dyDescent="0.35">
      <c r="A24" s="121">
        <f>A22</f>
        <v>1</v>
      </c>
      <c r="B24" s="111">
        <v>18</v>
      </c>
      <c r="C24" s="183" cm="1">
        <f t="array" aca="1" ref="C24" ca="1">INDIRECT("R[36]C["&amp;$A$24&amp;"]",FALSE)</f>
        <v>0</v>
      </c>
      <c r="D24" s="183" cm="1">
        <f t="array" aca="1" ref="D24" ca="1">INDIRECT("R[36]C["&amp;$A$20&amp;"]",FALSE)</f>
        <v>0</v>
      </c>
      <c r="E24" s="183" cm="1">
        <f t="array" aca="1" ref="E24" ca="1">INDIRECT("R[36]C["&amp;$A$20&amp;"]",FALSE)</f>
        <v>0</v>
      </c>
      <c r="F24" s="183" cm="1">
        <f t="array" aca="1" ref="F24" ca="1">INDIRECT("R[36]C["&amp;$A$20&amp;"]",FALSE)</f>
        <v>0</v>
      </c>
      <c r="G24" s="183" cm="1">
        <f t="array" aca="1" ref="G24" ca="1">INDIRECT("R[36]C["&amp;$A$20&amp;"]",FALSE)</f>
        <v>0</v>
      </c>
      <c r="H24" s="183" cm="1">
        <f t="array" aca="1" ref="H24" ca="1">INDIRECT("R[36]C["&amp;$A$20&amp;"]",FALSE)</f>
        <v>0</v>
      </c>
      <c r="I24" s="183" cm="1">
        <f t="array" aca="1" ref="I24" ca="1">INDIRECT("R[36]C["&amp;$A$20&amp;"]",FALSE)</f>
        <v>0</v>
      </c>
      <c r="J24" s="183" cm="1">
        <f t="array" aca="1" ref="J24" ca="1">INDIRECT("R[36]C["&amp;$A$20&amp;"]",FALSE)</f>
        <v>0</v>
      </c>
      <c r="K24" s="183" cm="1">
        <f t="array" aca="1" ref="K24" ca="1">INDIRECT("R[36]C["&amp;$A$20&amp;"]",FALSE)</f>
        <v>83.333333333333329</v>
      </c>
      <c r="L24" s="183" cm="1">
        <f t="array" aca="1" ref="L24" ca="1">INDIRECT("R[36]C["&amp;$A$20&amp;"]",FALSE)</f>
        <v>83.333333333333329</v>
      </c>
      <c r="M24" s="183" cm="1">
        <f t="array" aca="1" ref="M24" ca="1">INDIRECT("R[36]C["&amp;$A$20&amp;"]",FALSE)</f>
        <v>83.333333333333329</v>
      </c>
      <c r="N24" s="183" cm="1">
        <f t="array" aca="1" ref="N24" ca="1">INDIRECT("R[36]C["&amp;$A$20&amp;"]",FALSE)</f>
        <v>83.333333333333329</v>
      </c>
      <c r="O24" s="183" cm="1">
        <f t="array" aca="1" ref="O24" ca="1">INDIRECT("R[36]C["&amp;$A$20&amp;"]",FALSE)</f>
        <v>83.333333333333329</v>
      </c>
      <c r="P24" s="182"/>
      <c r="Q24" s="182"/>
      <c r="R24" s="115">
        <f t="shared" ca="1" si="5"/>
        <v>416.66666666666663</v>
      </c>
    </row>
    <row r="25" spans="1:18" ht="15.5" x14ac:dyDescent="0.35">
      <c r="A25" s="116"/>
      <c r="B25" s="129" t="s">
        <v>116</v>
      </c>
      <c r="C25" s="184"/>
      <c r="D25" s="184"/>
      <c r="E25" s="184"/>
      <c r="F25" s="184"/>
      <c r="G25" s="184"/>
      <c r="H25" s="184"/>
      <c r="I25" s="184"/>
      <c r="J25" s="184"/>
      <c r="K25" s="184"/>
      <c r="L25" s="184"/>
      <c r="M25" s="184"/>
      <c r="N25" s="184"/>
      <c r="O25" s="184"/>
      <c r="P25" s="184"/>
      <c r="Q25" s="184"/>
      <c r="R25" s="181"/>
    </row>
    <row r="26" spans="1:18" ht="15.5" x14ac:dyDescent="0.35">
      <c r="A26" s="121">
        <f>Assumptions!C51</f>
        <v>1</v>
      </c>
      <c r="B26" s="106" t="s">
        <v>257</v>
      </c>
      <c r="C26" s="183" cm="1">
        <f t="array" aca="1" ref="C26" ca="1">INDIRECT("R[36]C["&amp;$A$26&amp;"]",FALSE)</f>
        <v>32.769230769230774</v>
      </c>
      <c r="D26" s="183" cm="1">
        <f t="array" aca="1" ref="D26" ca="1">INDIRECT("R[36]C["&amp;$A$18&amp;"]",FALSE)</f>
        <v>97.002764431344275</v>
      </c>
      <c r="E26" s="183" cm="1">
        <f t="array" aca="1" ref="E26" ca="1">INDIRECT("R[36]C["&amp;$A$18&amp;"]",FALSE)</f>
        <v>118.28938871196038</v>
      </c>
      <c r="F26" s="183" cm="1">
        <f t="array" aca="1" ref="F26" ca="1">INDIRECT("R[36]C["&amp;$A$18&amp;"]",FALSE)</f>
        <v>148.3793763676149</v>
      </c>
      <c r="G26" s="183" cm="1">
        <f t="array" aca="1" ref="G26" ca="1">INDIRECT("R[36]C["&amp;$A$18&amp;"]",FALSE)</f>
        <v>112.9570336707292</v>
      </c>
      <c r="H26" s="183" cm="1">
        <f t="array" aca="1" ref="H26" ca="1">INDIRECT("R[36]C["&amp;$A$18&amp;"]",FALSE)</f>
        <v>75.563143101704156</v>
      </c>
      <c r="I26" s="183" cm="1">
        <f t="array" aca="1" ref="I26" ca="1">INDIRECT("R[36]C["&amp;$A$18&amp;"]",FALSE)</f>
        <v>196.49520488230164</v>
      </c>
      <c r="J26" s="183" cm="1">
        <f t="array" aca="1" ref="J26" ca="1">INDIRECT("R[36]C["&amp;$A$18&amp;"]",FALSE)</f>
        <v>166.2355458115421</v>
      </c>
      <c r="K26" s="183" cm="1">
        <f t="array" aca="1" ref="K26" ca="1">INDIRECT("R[36]C["&amp;$A$18&amp;"]",FALSE)</f>
        <v>106.865271870244</v>
      </c>
      <c r="L26" s="183" cm="1">
        <f t="array" aca="1" ref="L26" ca="1">INDIRECT("R[36]C["&amp;$A$18&amp;"]",FALSE)</f>
        <v>118.0473889376599</v>
      </c>
      <c r="M26" s="183" cm="1">
        <f t="array" aca="1" ref="M26" ca="1">INDIRECT("R[36]C["&amp;$A$18&amp;"]",FALSE)</f>
        <v>128.33333333333329</v>
      </c>
      <c r="N26" s="183" cm="1">
        <f t="array" aca="1" ref="N26" ca="1">INDIRECT("R[36]C["&amp;$A$18&amp;"]",FALSE)</f>
        <v>137.35529308511735</v>
      </c>
      <c r="O26" s="183" cm="1">
        <f t="array" aca="1" ref="O26" ca="1">INDIRECT("R[36]C["&amp;$A$18&amp;"]",FALSE)</f>
        <v>128.33333333333331</v>
      </c>
      <c r="P26" s="183"/>
      <c r="Q26" s="183"/>
      <c r="R26" s="115">
        <f ca="1">SUM(C26:Q26)</f>
        <v>1566.6263083061153</v>
      </c>
    </row>
    <row r="27" spans="1:18" ht="15.5" x14ac:dyDescent="0.35">
      <c r="A27" s="121">
        <f>A26</f>
        <v>1</v>
      </c>
      <c r="B27" s="106" t="s">
        <v>258</v>
      </c>
      <c r="C27" s="183" cm="1">
        <f t="array" aca="1" ref="C27" ca="1">INDIRECT("R[36]C["&amp;$A$27&amp;"]",FALSE)</f>
        <v>32.769230769230774</v>
      </c>
      <c r="D27" s="183" cm="1">
        <f t="array" aca="1" ref="D27" ca="1">INDIRECT("R[36]C["&amp;$A$19&amp;"]",FALSE)</f>
        <v>97.002764431344275</v>
      </c>
      <c r="E27" s="183" cm="1">
        <f t="array" aca="1" ref="E27" ca="1">INDIRECT("R[36]C["&amp;$A$19&amp;"]",FALSE)</f>
        <v>118.28938871196038</v>
      </c>
      <c r="F27" s="183" cm="1">
        <f t="array" aca="1" ref="F27" ca="1">INDIRECT("R[36]C["&amp;$A$19&amp;"]",FALSE)</f>
        <v>148.3793763676149</v>
      </c>
      <c r="G27" s="183" cm="1">
        <f t="array" aca="1" ref="G27" ca="1">INDIRECT("R[36]C["&amp;$A$19&amp;"]",FALSE)</f>
        <v>112.9570336707292</v>
      </c>
      <c r="H27" s="183" cm="1">
        <f t="array" aca="1" ref="H27" ca="1">INDIRECT("R[36]C["&amp;$A$19&amp;"]",FALSE)</f>
        <v>75.563143101704156</v>
      </c>
      <c r="I27" s="183" cm="1">
        <f t="array" aca="1" ref="I27" ca="1">INDIRECT("R[36]C["&amp;$A$19&amp;"]",FALSE)</f>
        <v>196.49520488230164</v>
      </c>
      <c r="J27" s="183" cm="1">
        <f t="array" aca="1" ref="J27" ca="1">INDIRECT("R[36]C["&amp;$A$19&amp;"]",FALSE)</f>
        <v>166.2355458115421</v>
      </c>
      <c r="K27" s="183" cm="1">
        <f t="array" aca="1" ref="K27" ca="1">INDIRECT("R[36]C["&amp;$A$19&amp;"]",FALSE)</f>
        <v>106.865271870244</v>
      </c>
      <c r="L27" s="183" cm="1">
        <f t="array" aca="1" ref="L27" ca="1">INDIRECT("R[36]C["&amp;$A$19&amp;"]",FALSE)</f>
        <v>118.0473889376599</v>
      </c>
      <c r="M27" s="183" cm="1">
        <f t="array" aca="1" ref="M27" ca="1">INDIRECT("R[36]C["&amp;$A$19&amp;"]",FALSE)</f>
        <v>128.33333333333329</v>
      </c>
      <c r="N27" s="183" cm="1">
        <f t="array" aca="1" ref="N27" ca="1">INDIRECT("R[36]C["&amp;$A$19&amp;"]",FALSE)</f>
        <v>137.35529308511735</v>
      </c>
      <c r="O27" s="183" cm="1">
        <f t="array" aca="1" ref="O27" ca="1">INDIRECT("R[36]C["&amp;$A$19&amp;"]",FALSE)</f>
        <v>128.33333333333331</v>
      </c>
      <c r="P27" s="183"/>
      <c r="Q27" s="183"/>
      <c r="R27" s="115">
        <f t="shared" ref="R27:R30" ca="1" si="6">SUM(C27:Q27)</f>
        <v>1566.6263083061153</v>
      </c>
    </row>
    <row r="28" spans="1:18" ht="15.5" x14ac:dyDescent="0.35">
      <c r="A28" s="121">
        <f>Assumptions!C53</f>
        <v>1</v>
      </c>
      <c r="B28" s="106" t="s">
        <v>353</v>
      </c>
      <c r="C28" s="183" cm="1">
        <f t="array" aca="1" ref="C28" ca="1">INDIRECT("R[36]C["&amp;$A$28&amp;"]",FALSE)</f>
        <v>0</v>
      </c>
      <c r="D28" s="183" cm="1">
        <f t="array" aca="1" ref="D28" ca="1">INDIRECT("R[36]C["&amp;$A$28&amp;"]",FALSE)</f>
        <v>12.318158311063328</v>
      </c>
      <c r="E28" s="183" cm="1">
        <f t="array" aca="1" ref="E28" ca="1">INDIRECT("R[36]C["&amp;$A$28&amp;"]",FALSE)</f>
        <v>7.9076433121019116</v>
      </c>
      <c r="F28" s="183" cm="1">
        <f t="array" aca="1" ref="F28" ca="1">INDIRECT("R[36]C["&amp;$A$28&amp;"]",FALSE)</f>
        <v>10.154540481400439</v>
      </c>
      <c r="G28" s="183" cm="1">
        <f t="array" aca="1" ref="G28" ca="1">INDIRECT("R[36]C["&amp;$A$28&amp;"]",FALSE)</f>
        <v>6.2280520553604628</v>
      </c>
      <c r="H28" s="183" cm="1">
        <f t="array" aca="1" ref="H28" ca="1">INDIRECT("R[36]C["&amp;$A$28&amp;"]",FALSE)</f>
        <v>15.404117337778386</v>
      </c>
      <c r="I28" s="183" cm="1">
        <f t="array" aca="1" ref="I28" ca="1">INDIRECT("R[36]C["&amp;$A$28&amp;"]",FALSE)</f>
        <v>13.391455972101133</v>
      </c>
      <c r="J28" s="183" cm="1">
        <f t="array" aca="1" ref="J28" ca="1">INDIRECT("R[36]C["&amp;$A$28&amp;"]",FALSE)</f>
        <v>6.1662897484526349</v>
      </c>
      <c r="K28" s="183" cm="1">
        <f t="array" aca="1" ref="K28" ca="1">INDIRECT("R[36]C["&amp;$A$28&amp;"]",FALSE)</f>
        <v>13.740208365867497</v>
      </c>
      <c r="L28" s="183" cm="1">
        <f t="array" aca="1" ref="L28" ca="1">INDIRECT("R[36]C["&amp;$A$28&amp;"]",FALSE)</f>
        <v>23.642770851622469</v>
      </c>
      <c r="M28" s="183" cm="1">
        <f t="array" aca="1" ref="M28" ca="1">INDIRECT("R[36]C["&amp;$A$28&amp;"]",FALSE)</f>
        <v>27.499999999999996</v>
      </c>
      <c r="N28" s="183" cm="1">
        <f t="array" aca="1" ref="N28" ca="1">INDIRECT("R[36]C["&amp;$A$28&amp;"]",FALSE)</f>
        <v>22.989020124107959</v>
      </c>
      <c r="O28" s="183" cm="1">
        <f t="array" aca="1" ref="O28" ca="1">INDIRECT("R[36]C["&amp;$A$28&amp;"]",FALSE)</f>
        <v>27.499999999999996</v>
      </c>
      <c r="P28" s="183"/>
      <c r="Q28" s="183"/>
      <c r="R28" s="115">
        <f t="shared" ca="1" si="6"/>
        <v>186.94225655985622</v>
      </c>
    </row>
    <row r="29" spans="1:18" ht="15.5" x14ac:dyDescent="0.35">
      <c r="A29" s="121">
        <f>Assumptions!C52</f>
        <v>1</v>
      </c>
      <c r="B29" s="106" t="s">
        <v>117</v>
      </c>
      <c r="C29" s="183" cm="1">
        <f t="array" aca="1" ref="C29" ca="1">INDIRECT("R[36]C["&amp;$A$29&amp;"]",FALSE)</f>
        <v>10</v>
      </c>
      <c r="D29" s="183" cm="1">
        <f t="array" aca="1" ref="D29" ca="1">INDIRECT("R[36]C["&amp;$A$29&amp;"]",FALSE)</f>
        <v>33.679077257592397</v>
      </c>
      <c r="E29" s="183" cm="1">
        <f t="array" aca="1" ref="E29" ca="1">INDIRECT("R[36]C["&amp;$A$29&amp;"]",FALSE)</f>
        <v>50.30562190375089</v>
      </c>
      <c r="F29" s="183" cm="1">
        <f t="array" aca="1" ref="F29" ca="1">INDIRECT("R[36]C["&amp;$A$29&amp;"]",FALSE)</f>
        <v>46.15700218818381</v>
      </c>
      <c r="G29" s="183" cm="1">
        <f t="array" aca="1" ref="G29" ca="1">INDIRECT("R[36]C["&amp;$A$29&amp;"]",FALSE)</f>
        <v>105.81491427391038</v>
      </c>
      <c r="H29" s="183" cm="1">
        <f t="array" aca="1" ref="H29" ca="1">INDIRECT("R[36]C["&amp;$A$29&amp;"]",FALSE)</f>
        <v>27.20627689010611</v>
      </c>
      <c r="I29" s="183" cm="1">
        <f t="array" aca="1" ref="I29" ca="1">INDIRECT("R[36]C["&amp;$A$29&amp;"]",FALSE)</f>
        <v>13.391455972101133</v>
      </c>
      <c r="J29" s="183" cm="1">
        <f t="array" aca="1" ref="J29" ca="1">INDIRECT("R[36]C["&amp;$A$29&amp;"]",FALSE)</f>
        <v>14.064469518847215</v>
      </c>
      <c r="K29" s="183" cm="1">
        <f t="array" aca="1" ref="K29" ca="1">INDIRECT("R[36]C["&amp;$A$29&amp;"]",FALSE)</f>
        <v>13.740208365867497</v>
      </c>
      <c r="L29" s="183" cm="1">
        <f t="array" aca="1" ref="L29" ca="1">INDIRECT("R[36]C["&amp;$A$29&amp;"]",FALSE)</f>
        <v>41.643173544050946</v>
      </c>
      <c r="M29" s="183" cm="1">
        <f t="array" aca="1" ref="M29" ca="1">INDIRECT("R[36]C["&amp;$A$29&amp;"]",FALSE)</f>
        <v>27.499999999999996</v>
      </c>
      <c r="N29" s="183" cm="1">
        <f t="array" aca="1" ref="N29" ca="1">INDIRECT("R[36]C["&amp;$A$29&amp;"]",FALSE)</f>
        <v>22.989020124107959</v>
      </c>
      <c r="O29" s="183" cm="1">
        <f t="array" aca="1" ref="O29" ca="1">INDIRECT("R[36]C["&amp;$A$29&amp;"]",FALSE)</f>
        <v>27.499999999999996</v>
      </c>
      <c r="P29" s="183"/>
      <c r="Q29" s="183"/>
      <c r="R29" s="115">
        <f t="shared" ca="1" si="6"/>
        <v>433.99122003851835</v>
      </c>
    </row>
    <row r="30" spans="1:18" ht="15.5" x14ac:dyDescent="0.35">
      <c r="A30" s="121">
        <f>Assumptions!C54</f>
        <v>1</v>
      </c>
      <c r="B30" s="106" t="s">
        <v>354</v>
      </c>
      <c r="C30" s="183" cm="1">
        <f t="array" aca="1" ref="C30" ca="1">INDIRECT("R[36]C["&amp;$A$30&amp;"]",FALSE)</f>
        <v>2</v>
      </c>
      <c r="D30" s="183" cm="1">
        <f t="array" aca="1" ref="D30" ca="1">INDIRECT("R[36]C["&amp;$A$30&amp;"]",FALSE)</f>
        <v>4.2268190283060445</v>
      </c>
      <c r="E30" s="183" cm="1">
        <f t="array" aca="1" ref="E30" ca="1">INDIRECT("R[36]C["&amp;$A$30&amp;"]",FALSE)</f>
        <v>5.9307324840764339</v>
      </c>
      <c r="F30" s="183" cm="1">
        <f t="array" aca="1" ref="F30" ca="1">INDIRECT("R[36]C["&amp;$A$30&amp;"]",FALSE)</f>
        <v>6.4619803063457333</v>
      </c>
      <c r="G30" s="183" cm="1">
        <f t="array" aca="1" ref="G30" ca="1">INDIRECT("R[36]C["&amp;$A$30&amp;"]",FALSE)</f>
        <v>5.8097500516422231</v>
      </c>
      <c r="H30" s="183" cm="1">
        <f t="array" aca="1" ref="H30" ca="1">INDIRECT("R[36]C["&amp;$A$30&amp;"]",FALSE)</f>
        <v>2.6656486848848604</v>
      </c>
      <c r="I30" s="183" cm="1">
        <f t="array" aca="1" ref="I30" ca="1">INDIRECT("R[36]C["&amp;$A$30&amp;"]",FALSE)</f>
        <v>6.5387968613775067</v>
      </c>
      <c r="J30" s="183" cm="1">
        <f t="array" aca="1" ref="J30" ca="1">INDIRECT("R[36]C["&amp;$A$30&amp;"]",FALSE)</f>
        <v>6.9783114437221183</v>
      </c>
      <c r="K30" s="183" cm="1">
        <f t="array" aca="1" ref="K30" ca="1">INDIRECT("R[36]C["&amp;$A$30&amp;"]",FALSE)</f>
        <v>3.2976500078082003</v>
      </c>
      <c r="L30" s="183" cm="1">
        <f t="array" aca="1" ref="L30" ca="1">INDIRECT("R[36]C["&amp;$A$30&amp;"]",FALSE)</f>
        <v>6.0983860053399708</v>
      </c>
      <c r="M30" s="183" cm="1">
        <f t="array" aca="1" ref="M30" ca="1">INDIRECT("R[36]C["&amp;$A$30&amp;"]",FALSE)</f>
        <v>5.5508830950378476</v>
      </c>
      <c r="N30" s="183" cm="1">
        <f t="array" aca="1" ref="N30" ca="1">INDIRECT("R[36]C["&amp;$A$30&amp;"]",FALSE)</f>
        <v>6.7581636817563817</v>
      </c>
      <c r="O30" s="183" cm="1">
        <f t="array" aca="1" ref="O30" ca="1">INDIRECT("R[36]C["&amp;$A$30&amp;"]",FALSE)</f>
        <v>7.1428571428571415</v>
      </c>
      <c r="P30" s="183"/>
      <c r="Q30" s="183"/>
      <c r="R30" s="115">
        <f t="shared" ca="1" si="6"/>
        <v>69.459978793154463</v>
      </c>
    </row>
    <row r="31" spans="1:18" ht="15.5" x14ac:dyDescent="0.35">
      <c r="A31" s="116"/>
      <c r="B31" s="129" t="s">
        <v>119</v>
      </c>
      <c r="C31" s="184"/>
      <c r="D31" s="180"/>
      <c r="E31" s="180"/>
      <c r="F31" s="180"/>
      <c r="G31" s="180"/>
      <c r="H31" s="180"/>
      <c r="I31" s="180"/>
      <c r="J31" s="180"/>
      <c r="K31" s="180"/>
      <c r="L31" s="180"/>
      <c r="M31" s="180"/>
      <c r="N31" s="180"/>
      <c r="O31" s="180"/>
      <c r="P31" s="180"/>
      <c r="Q31" s="180"/>
      <c r="R31" s="181"/>
    </row>
    <row r="32" spans="1:18" ht="15.5" x14ac:dyDescent="0.35">
      <c r="A32" s="121">
        <f>Assumptions!C48</f>
        <v>2</v>
      </c>
      <c r="B32" s="106" t="s">
        <v>355</v>
      </c>
      <c r="C32" s="183" cm="1">
        <f t="array" aca="1" ref="C32" ca="1">INDIRECT("R[36]C["&amp;$A$32&amp;"]",FALSE)</f>
        <v>4.2314068144245534</v>
      </c>
      <c r="D32" s="183" cm="1">
        <f t="array" aca="1" ref="D32" ca="1">INDIRECT("R[36]C["&amp;$A$32&amp;"]",FALSE)</f>
        <v>3.9469994106529565</v>
      </c>
      <c r="E32" s="183" cm="1">
        <f t="array" aca="1" ref="E32" ca="1">INDIRECT("R[36]C["&amp;$A$32&amp;"]",FALSE)</f>
        <v>6.0449050086355784</v>
      </c>
      <c r="F32" s="183" cm="1">
        <f t="array" aca="1" ref="F32" ca="1">INDIRECT("R[36]C["&amp;$A$32&amp;"]",FALSE)</f>
        <v>5.1642222681264203</v>
      </c>
      <c r="G32" s="183" cm="1">
        <f t="array" aca="1" ref="G32" ca="1">INDIRECT("R[36]C["&amp;$A$32&amp;"]",FALSE)</f>
        <v>2.5591102433962329</v>
      </c>
      <c r="H32" s="183" cm="1">
        <f t="array" aca="1" ref="H32" ca="1">INDIRECT("R[36]C["&amp;$A$32&amp;"]",FALSE)</f>
        <v>6.5387968613775067</v>
      </c>
      <c r="I32" s="183" cm="1">
        <f t="array" aca="1" ref="I32" ca="1">INDIRECT("R[36]C["&amp;$A$32&amp;"]",FALSE)</f>
        <v>5.0751355954342676</v>
      </c>
      <c r="J32" s="183" cm="1">
        <f t="array" aca="1" ref="J32" ca="1">INDIRECT("R[36]C["&amp;$A$32&amp;"]",FALSE)</f>
        <v>2.9978636434619998</v>
      </c>
      <c r="K32" s="183" cm="1">
        <f t="array" aca="1" ref="K32" ca="1">INDIRECT("R[36]C["&amp;$A$32&amp;"]",FALSE)</f>
        <v>5.5439872775817927</v>
      </c>
      <c r="L32" s="183" cm="1">
        <f t="array" aca="1" ref="L32" ca="1">INDIRECT("R[36]C["&amp;$A$32&amp;"]",FALSE)</f>
        <v>5.046257359125315</v>
      </c>
      <c r="M32" s="183" cm="1">
        <f t="array" aca="1" ref="M32" ca="1">INDIRECT("R[36]C["&amp;$A$32&amp;"]",FALSE)</f>
        <v>6.1437851652330755</v>
      </c>
      <c r="N32" s="183" cm="1">
        <f t="array" aca="1" ref="N32" ca="1">INDIRECT("R[36]C["&amp;$A$32&amp;"]",FALSE)</f>
        <v>6.4935064935064934</v>
      </c>
      <c r="O32" s="183" cm="1">
        <f t="array" aca="1" ref="O32" ca="1">INDIRECT("R[36]C["&amp;$A$32&amp;"]",FALSE)</f>
        <v>0</v>
      </c>
      <c r="P32" s="183"/>
      <c r="Q32" s="183"/>
      <c r="R32" s="115">
        <f ca="1">SUM(C32:Q32)</f>
        <v>59.785976140956187</v>
      </c>
    </row>
    <row r="33" spans="1:19" ht="15.5" x14ac:dyDescent="0.35">
      <c r="A33" s="116"/>
      <c r="B33" s="129" t="s">
        <v>356</v>
      </c>
      <c r="C33" s="184"/>
      <c r="D33" s="184"/>
      <c r="E33" s="184"/>
      <c r="F33" s="184"/>
      <c r="G33" s="184"/>
      <c r="H33" s="184"/>
      <c r="I33" s="184"/>
      <c r="J33" s="184"/>
      <c r="K33" s="184"/>
      <c r="L33" s="184"/>
      <c r="M33" s="184"/>
      <c r="N33" s="184"/>
      <c r="O33" s="184"/>
      <c r="P33" s="184"/>
      <c r="Q33" s="184"/>
      <c r="R33" s="181"/>
    </row>
    <row r="34" spans="1:19" ht="15.5" x14ac:dyDescent="0.35">
      <c r="A34" s="121">
        <f>Assumptions!C49</f>
        <v>1</v>
      </c>
      <c r="B34" s="106" t="s">
        <v>357</v>
      </c>
      <c r="C34" s="183" cm="1">
        <f t="array" aca="1" ref="C34" ca="1">INDIRECT("R[36]C["&amp;$A$34&amp;"]",FALSE)</f>
        <v>125.50240000000001</v>
      </c>
      <c r="D34" s="183" cm="1">
        <f t="array" aca="1" ref="D34" ca="1">INDIRECT("R[36]C["&amp;$A$34&amp;"]",FALSE)</f>
        <v>364.85470323269982</v>
      </c>
      <c r="E34" s="183" cm="1">
        <f t="array" aca="1" ref="E34" ca="1">INDIRECT("R[36]C["&amp;$A$34&amp;"]",FALSE)</f>
        <v>477.31533802101336</v>
      </c>
      <c r="F34" s="183" cm="1">
        <f t="array" aca="1" ref="F34" ca="1">INDIRECT("R[36]C["&amp;$A$34&amp;"]",FALSE)</f>
        <v>449.285872193437</v>
      </c>
      <c r="G34" s="183" cm="1">
        <f t="array" aca="1" ref="G34" ca="1">INDIRECT("R[36]C["&amp;$A$34&amp;"]",FALSE)</f>
        <v>431.36800385595268</v>
      </c>
      <c r="H34" s="183" cm="1">
        <f t="array" aca="1" ref="H34" ca="1">INDIRECT("R[36]C["&amp;$A$34&amp;"]",FALSE)</f>
        <v>321.48076173670285</v>
      </c>
      <c r="I34" s="183" cm="1">
        <f t="array" aca="1" ref="I34" ca="1">INDIRECT("R[36]C["&amp;$A$34&amp;"]",FALSE)</f>
        <v>439.20000000000005</v>
      </c>
      <c r="J34" s="183" cm="1">
        <f t="array" aca="1" ref="J34" ca="1">INDIRECT("R[36]C["&amp;$A$34&amp;"]",FALSE)</f>
        <v>605.35943188095837</v>
      </c>
      <c r="K34" s="183" cm="1">
        <f t="array" aca="1" ref="K34" ca="1">INDIRECT("R[36]C["&amp;$A$34&amp;"]",FALSE)</f>
        <v>268.20284742722362</v>
      </c>
      <c r="L34" s="183" cm="1">
        <f t="array" aca="1" ref="L34" ca="1">INDIRECT("R[36]C["&amp;$A$34&amp;"]",FALSE)</f>
        <v>480.5809114581495</v>
      </c>
      <c r="M34" s="183" cm="1">
        <f t="array" aca="1" ref="M34" ca="1">INDIRECT("R[36]C["&amp;$A$34&amp;"]",FALSE)</f>
        <v>366</v>
      </c>
      <c r="N34" s="183" cm="1">
        <f t="array" aca="1" ref="N34" ca="1">INDIRECT("R[36]C["&amp;$A$34&amp;"]",FALSE)</f>
        <v>365.99999999999994</v>
      </c>
      <c r="O34" s="183" cm="1">
        <f t="array" aca="1" ref="O34" ca="1">INDIRECT("R[36]C["&amp;$A$34&amp;"]",FALSE)</f>
        <v>366</v>
      </c>
      <c r="P34" s="183"/>
      <c r="Q34" s="183"/>
      <c r="R34" s="115">
        <f ca="1">SUM(C34:Q34)</f>
        <v>5061.1502698061377</v>
      </c>
    </row>
    <row r="35" spans="1:19" ht="15.5" x14ac:dyDescent="0.35">
      <c r="A35" s="121">
        <f>Assumptions!C50</f>
        <v>1</v>
      </c>
      <c r="B35" s="106" t="s">
        <v>358</v>
      </c>
      <c r="C35" s="183" cm="1">
        <f t="array" aca="1" ref="C35" ca="1">INDIRECT("R[36]C["&amp;$A$35&amp;"]",FALSE)</f>
        <v>256</v>
      </c>
      <c r="D35" s="183" cm="1">
        <f t="array" aca="1" ref="D35" ca="1">INDIRECT("R[36]C["&amp;$A$35&amp;"]",FALSE)</f>
        <v>392.0032820015582</v>
      </c>
      <c r="E35" s="183" cm="1">
        <f t="array" aca="1" ref="E35" ca="1">INDIRECT("R[36]C["&amp;$A$35&amp;"]",FALSE)</f>
        <v>332.53470034751155</v>
      </c>
      <c r="F35" s="183" cm="1">
        <f t="array" aca="1" ref="F35" ca="1">INDIRECT("R[36]C["&amp;$A$35&amp;"]",FALSE)</f>
        <v>430.63816925734022</v>
      </c>
      <c r="G35" s="183" cm="1">
        <f t="array" aca="1" ref="G35" ca="1">INDIRECT("R[36]C["&amp;$A$35&amp;"]",FALSE)</f>
        <v>543.2761826068994</v>
      </c>
      <c r="H35" s="183" cm="1">
        <f t="array" aca="1" ref="H35" ca="1">INDIRECT("R[36]C["&amp;$A$35&amp;"]",FALSE)</f>
        <v>210.69963952495658</v>
      </c>
      <c r="I35" s="183" cm="1">
        <f t="array" aca="1" ref="I35" ca="1">INDIRECT("R[36]C["&amp;$A$35&amp;"]",FALSE)</f>
        <v>902.69437663469932</v>
      </c>
      <c r="J35" s="183" cm="1">
        <f t="array" aca="1" ref="J35" ca="1">INDIRECT("R[36]C["&amp;$A$35&amp;"]",FALSE)</f>
        <v>431.32625837671696</v>
      </c>
      <c r="K35" s="183" cm="1">
        <f t="array" aca="1" ref="K35" ca="1">INDIRECT("R[36]C["&amp;$A$35&amp;"]",FALSE)</f>
        <v>362.74150085890199</v>
      </c>
      <c r="L35" s="183" cm="1">
        <f t="array" aca="1" ref="L35" ca="1">INDIRECT("R[36]C["&amp;$A$35&amp;"]",FALSE)</f>
        <v>777.49154780170943</v>
      </c>
      <c r="M35" s="183" cm="1">
        <f t="array" aca="1" ref="M35" ca="1">INDIRECT("R[36]C["&amp;$A$35&amp;"]",FALSE)</f>
        <v>756.93860386879726</v>
      </c>
      <c r="N35" s="183" cm="1">
        <f t="array" aca="1" ref="N35" ca="1">INDIRECT("R[36]C["&amp;$A$35&amp;"]",FALSE)</f>
        <v>826.22237280570926</v>
      </c>
      <c r="O35" s="183" cm="1">
        <f t="array" aca="1" ref="O35" ca="1">INDIRECT("R[36]C["&amp;$A$35&amp;"]",FALSE)</f>
        <v>909.09090909090912</v>
      </c>
      <c r="P35" s="183"/>
      <c r="Q35" s="183"/>
      <c r="R35" s="115">
        <f ca="1">SUM(C35:Q35)</f>
        <v>7131.6575431757092</v>
      </c>
    </row>
    <row r="36" spans="1:19" ht="15.5" x14ac:dyDescent="0.35">
      <c r="A36" s="116"/>
      <c r="B36" s="129"/>
      <c r="C36" s="179"/>
      <c r="D36" s="179"/>
      <c r="E36" s="179"/>
      <c r="F36" s="179"/>
      <c r="G36" s="179"/>
      <c r="H36" s="179"/>
      <c r="I36" s="179"/>
      <c r="J36" s="179"/>
      <c r="K36" s="179"/>
      <c r="L36" s="179"/>
      <c r="M36" s="179"/>
      <c r="N36" s="179"/>
      <c r="O36" s="179"/>
      <c r="P36" s="179"/>
      <c r="Q36" s="179"/>
      <c r="R36" s="181"/>
    </row>
    <row r="37" spans="1:19" ht="15.5" x14ac:dyDescent="0.35">
      <c r="A37" s="116"/>
      <c r="B37" s="116"/>
      <c r="C37" s="116"/>
      <c r="D37" s="115"/>
      <c r="E37" s="115"/>
      <c r="F37" s="115"/>
      <c r="G37" s="115"/>
      <c r="H37" s="115"/>
      <c r="I37" s="115"/>
      <c r="J37" s="115"/>
      <c r="K37" s="115"/>
      <c r="L37" s="115"/>
      <c r="M37" s="115"/>
      <c r="N37" s="115"/>
      <c r="O37" s="115"/>
      <c r="P37" s="115"/>
      <c r="Q37" s="115"/>
      <c r="R37" s="115"/>
    </row>
    <row r="38" spans="1:19" ht="15.5" x14ac:dyDescent="0.35">
      <c r="A38" s="116"/>
      <c r="B38" s="116"/>
      <c r="C38" s="116"/>
      <c r="D38" s="115"/>
      <c r="E38" s="115"/>
      <c r="F38" s="115"/>
      <c r="G38" s="115"/>
      <c r="H38" s="115"/>
      <c r="I38" s="115"/>
      <c r="J38" s="115"/>
      <c r="K38" s="115"/>
      <c r="L38" s="115"/>
      <c r="M38" s="115"/>
      <c r="N38" s="115"/>
      <c r="O38" s="115"/>
      <c r="P38" s="115"/>
      <c r="Q38" s="115"/>
      <c r="R38" s="115"/>
    </row>
    <row r="39" spans="1:19" ht="15.5" x14ac:dyDescent="0.35">
      <c r="A39" s="116"/>
      <c r="B39" s="116" t="s">
        <v>235</v>
      </c>
      <c r="C39" s="116"/>
      <c r="D39" s="115"/>
      <c r="E39" s="115"/>
      <c r="F39" s="115"/>
      <c r="G39" s="115"/>
      <c r="H39" s="115"/>
      <c r="I39" s="115"/>
      <c r="J39" s="115"/>
      <c r="K39" s="115"/>
      <c r="L39" s="115"/>
      <c r="M39" s="115"/>
      <c r="N39" s="115"/>
      <c r="O39" s="115"/>
      <c r="P39" s="115"/>
      <c r="Q39" s="115"/>
      <c r="R39" s="115"/>
    </row>
    <row r="40" spans="1:19" ht="15.5" x14ac:dyDescent="0.35">
      <c r="A40" s="116"/>
      <c r="B40" s="116"/>
      <c r="C40" s="116"/>
      <c r="D40" s="115"/>
      <c r="E40" s="115"/>
      <c r="F40" s="115"/>
      <c r="G40" s="115"/>
      <c r="H40" s="115"/>
      <c r="I40" s="115"/>
      <c r="J40" s="115"/>
      <c r="K40" s="115"/>
      <c r="L40" s="115"/>
      <c r="M40" s="115"/>
      <c r="N40" s="115"/>
      <c r="O40" s="115"/>
      <c r="P40" s="115"/>
      <c r="Q40" s="115"/>
      <c r="R40" s="115"/>
    </row>
    <row r="41" spans="1:19" ht="15.5" x14ac:dyDescent="0.35">
      <c r="A41" s="116"/>
      <c r="B41" s="116"/>
      <c r="C41" s="116"/>
      <c r="D41" s="115"/>
      <c r="E41" s="115"/>
      <c r="F41" s="115"/>
      <c r="G41" s="115"/>
      <c r="H41" s="115"/>
      <c r="I41" s="115"/>
      <c r="J41" s="115"/>
      <c r="K41" s="115"/>
      <c r="L41" s="115"/>
      <c r="M41" s="115"/>
      <c r="N41" s="115"/>
      <c r="O41" s="115"/>
      <c r="P41" s="115"/>
      <c r="Q41" s="115"/>
      <c r="R41" s="115"/>
    </row>
    <row r="42" spans="1:19" ht="15.5" x14ac:dyDescent="0.35">
      <c r="A42" s="116"/>
      <c r="B42" s="116"/>
      <c r="C42" s="116"/>
      <c r="D42" s="116"/>
      <c r="E42" s="116"/>
      <c r="F42" s="116"/>
      <c r="G42" s="116"/>
      <c r="H42" s="116"/>
      <c r="I42" s="116"/>
      <c r="J42" s="116"/>
      <c r="K42" s="116"/>
      <c r="L42" s="116"/>
      <c r="M42" s="116"/>
      <c r="N42" s="116"/>
      <c r="O42" s="116"/>
      <c r="P42" s="116"/>
      <c r="Q42" s="116"/>
      <c r="R42" s="115"/>
    </row>
    <row r="43" spans="1:19" ht="15.5" x14ac:dyDescent="0.35">
      <c r="A43" s="116"/>
      <c r="B43" s="116"/>
      <c r="C43" s="116"/>
      <c r="D43" s="116"/>
      <c r="E43" s="116"/>
      <c r="F43" s="116"/>
      <c r="G43" s="116"/>
      <c r="H43" s="116"/>
      <c r="I43" s="116"/>
      <c r="J43" s="116"/>
      <c r="K43" s="116"/>
      <c r="L43" s="116"/>
      <c r="M43" s="116"/>
      <c r="N43" s="116"/>
      <c r="O43" s="116"/>
      <c r="P43" s="116"/>
      <c r="Q43" s="116"/>
      <c r="R43" s="115"/>
    </row>
    <row r="44" spans="1:19" ht="15.5" x14ac:dyDescent="0.35">
      <c r="A44" s="116"/>
      <c r="B44" s="120" t="s">
        <v>193</v>
      </c>
      <c r="C44" s="120"/>
      <c r="D44" s="116"/>
      <c r="E44" s="116"/>
      <c r="F44" s="116"/>
      <c r="G44" s="116"/>
      <c r="H44" s="116"/>
      <c r="I44" s="116"/>
      <c r="J44" s="116"/>
      <c r="K44" s="116"/>
      <c r="L44" s="116"/>
      <c r="M44" s="116"/>
      <c r="N44" s="116"/>
      <c r="O44" s="116"/>
      <c r="P44" s="116"/>
      <c r="Q44" s="116"/>
      <c r="R44" s="115"/>
    </row>
    <row r="45" spans="1:19" ht="15.5" x14ac:dyDescent="0.35">
      <c r="A45" s="116"/>
      <c r="B45" s="129" t="s">
        <v>112</v>
      </c>
      <c r="C45" s="180">
        <f ca="1">SUM(C46:C48)</f>
        <v>0</v>
      </c>
      <c r="D45" s="180">
        <f t="shared" ref="D45:Q45" ca="1" si="7">SUM(D46:D48)</f>
        <v>42.769230769230774</v>
      </c>
      <c r="E45" s="180">
        <f t="shared" ca="1" si="7"/>
        <v>143</v>
      </c>
      <c r="F45" s="180">
        <f t="shared" ca="1" si="7"/>
        <v>191</v>
      </c>
      <c r="G45" s="180">
        <f t="shared" ca="1" si="7"/>
        <v>225</v>
      </c>
      <c r="H45" s="180">
        <f t="shared" ca="1" si="7"/>
        <v>225</v>
      </c>
      <c r="I45" s="180">
        <f t="shared" ca="1" si="7"/>
        <v>124.97435897435901</v>
      </c>
      <c r="J45" s="180">
        <f t="shared" ca="1" si="7"/>
        <v>200</v>
      </c>
      <c r="K45" s="180">
        <f t="shared" ca="1" si="7"/>
        <v>200</v>
      </c>
      <c r="L45" s="180">
        <f t="shared" ca="1" si="7"/>
        <v>183.33333333333331</v>
      </c>
      <c r="M45" s="180">
        <f t="shared" ca="1" si="7"/>
        <v>183.33333333333331</v>
      </c>
      <c r="N45" s="180">
        <f t="shared" ca="1" si="7"/>
        <v>183.33333333333331</v>
      </c>
      <c r="O45" s="180">
        <f t="shared" ca="1" si="7"/>
        <v>183.33333333333331</v>
      </c>
      <c r="P45" s="180">
        <f t="shared" ca="1" si="7"/>
        <v>183.33333333333331</v>
      </c>
      <c r="Q45" s="180">
        <f t="shared" si="7"/>
        <v>0</v>
      </c>
      <c r="R45" s="181">
        <f ca="1">SUM(C45:Q45)</f>
        <v>2268.4102564102564</v>
      </c>
    </row>
    <row r="46" spans="1:19" ht="15.5" x14ac:dyDescent="0.35">
      <c r="A46" s="121">
        <f>Assumptions!C55</f>
        <v>1</v>
      </c>
      <c r="B46" s="123">
        <v>12</v>
      </c>
      <c r="C46" s="183" cm="1">
        <f t="array" aca="1" ref="C46" ca="1">INDIRECT("R[40]C["&amp;$A$46&amp;"]",FALSE)</f>
        <v>0</v>
      </c>
      <c r="D46" s="183" cm="1">
        <f t="array" aca="1" ref="D46" ca="1">INDIRECT("R[40]C["&amp;$A$46&amp;"]",FALSE)</f>
        <v>42.769230769230774</v>
      </c>
      <c r="E46" s="183" cm="1">
        <f t="array" aca="1" ref="E46" ca="1">INDIRECT("R[40]C["&amp;$A$46&amp;"]",FALSE)</f>
        <v>110</v>
      </c>
      <c r="F46" s="183" cm="1">
        <f t="array" aca="1" ref="F46" ca="1">INDIRECT("R[40]C["&amp;$A$46&amp;"]",FALSE)</f>
        <v>125</v>
      </c>
      <c r="G46" s="183" cm="1">
        <f t="array" aca="1" ref="G46" ca="1">INDIRECT("R[40]C["&amp;$A$46&amp;"]",FALSE)</f>
        <v>125</v>
      </c>
      <c r="H46" s="183" cm="1">
        <f t="array" aca="1" ref="H46" ca="1">INDIRECT("R[40]C["&amp;$A$46&amp;"]",FALSE)</f>
        <v>125</v>
      </c>
      <c r="I46" s="183" cm="1">
        <f t="array" aca="1" ref="I46" ca="1">INDIRECT("R[40]C["&amp;$A$46&amp;"]",FALSE)</f>
        <v>24.974358974359006</v>
      </c>
      <c r="J46" s="183" cm="1">
        <f t="array" aca="1" ref="J46" ca="1">INDIRECT("R[40]C["&amp;$A$46&amp;"]",FALSE)</f>
        <v>0</v>
      </c>
      <c r="K46" s="183" cm="1">
        <f t="array" aca="1" ref="K46" ca="1">INDIRECT("R[40]C["&amp;$A$46&amp;"]",FALSE)</f>
        <v>0</v>
      </c>
      <c r="L46" s="183" cm="1">
        <f t="array" aca="1" ref="L46" ca="1">INDIRECT("R[40]C["&amp;$A$46&amp;"]",FALSE)</f>
        <v>0</v>
      </c>
      <c r="M46" s="183" cm="1">
        <f t="array" aca="1" ref="M46" ca="1">INDIRECT("R[40]C["&amp;$A$46&amp;"]",FALSE)</f>
        <v>0</v>
      </c>
      <c r="N46" s="183" cm="1">
        <f t="array" aca="1" ref="N46" ca="1">INDIRECT("R[40]C["&amp;$A$46&amp;"]",FALSE)</f>
        <v>0</v>
      </c>
      <c r="O46" s="183" cm="1">
        <f t="array" aca="1" ref="O46" ca="1">INDIRECT("R[40]C["&amp;$A$46&amp;"]",FALSE)</f>
        <v>0</v>
      </c>
      <c r="P46" s="183" cm="1">
        <f t="array" aca="1" ref="P46" ca="1">INDIRECT("R[40]C["&amp;$A$46&amp;"]",FALSE)</f>
        <v>0</v>
      </c>
      <c r="Q46" s="116"/>
      <c r="R46" s="115">
        <f ca="1">SUM(D46:P46)</f>
        <v>552.74358974358972</v>
      </c>
    </row>
    <row r="47" spans="1:19" ht="15.5" x14ac:dyDescent="0.35">
      <c r="A47" s="121">
        <f>A46</f>
        <v>1</v>
      </c>
      <c r="B47" s="123">
        <v>15</v>
      </c>
      <c r="C47" s="183" cm="1">
        <f t="array" aca="1" ref="C47" ca="1">INDIRECT("R[40]C["&amp;$A$46&amp;"]",FALSE)</f>
        <v>0</v>
      </c>
      <c r="D47" s="183" cm="1">
        <f t="array" aca="1" ref="D47" ca="1">INDIRECT("R[40]C["&amp;$A$46&amp;"]",FALSE)</f>
        <v>0</v>
      </c>
      <c r="E47" s="183" cm="1">
        <f t="array" aca="1" ref="E47" ca="1">INDIRECT("R[40]C["&amp;$A$46&amp;"]",FALSE)</f>
        <v>33</v>
      </c>
      <c r="F47" s="183" cm="1">
        <f t="array" aca="1" ref="F47" ca="1">INDIRECT("R[40]C["&amp;$A$46&amp;"]",FALSE)</f>
        <v>66</v>
      </c>
      <c r="G47" s="183" cm="1">
        <f t="array" aca="1" ref="G47" ca="1">INDIRECT("R[40]C["&amp;$A$46&amp;"]",FALSE)</f>
        <v>100</v>
      </c>
      <c r="H47" s="183" cm="1">
        <f t="array" aca="1" ref="H47" ca="1">INDIRECT("R[40]C["&amp;$A$46&amp;"]",FALSE)</f>
        <v>100</v>
      </c>
      <c r="I47" s="183" cm="1">
        <f t="array" aca="1" ref="I47" ca="1">INDIRECT("R[40]C["&amp;$A$46&amp;"]",FALSE)</f>
        <v>100</v>
      </c>
      <c r="J47" s="183" cm="1">
        <f t="array" aca="1" ref="J47" ca="1">INDIRECT("R[40]C["&amp;$A$46&amp;"]",FALSE)</f>
        <v>200</v>
      </c>
      <c r="K47" s="183" cm="1">
        <f t="array" aca="1" ref="K47" ca="1">INDIRECT("R[40]C["&amp;$A$46&amp;"]",FALSE)</f>
        <v>200</v>
      </c>
      <c r="L47" s="183" cm="1">
        <f t="array" aca="1" ref="L47" ca="1">INDIRECT("R[40]C["&amp;$A$46&amp;"]",FALSE)</f>
        <v>100</v>
      </c>
      <c r="M47" s="183" cm="1">
        <f t="array" aca="1" ref="M47" ca="1">INDIRECT("R[40]C["&amp;$A$46&amp;"]",FALSE)</f>
        <v>100</v>
      </c>
      <c r="N47" s="183" cm="1">
        <f t="array" aca="1" ref="N47" ca="1">INDIRECT("R[40]C["&amp;$A$46&amp;"]",FALSE)</f>
        <v>100</v>
      </c>
      <c r="O47" s="183" cm="1">
        <f t="array" aca="1" ref="O47" ca="1">INDIRECT("R[40]C["&amp;$A$46&amp;"]",FALSE)</f>
        <v>100</v>
      </c>
      <c r="P47" s="183" cm="1">
        <f t="array" aca="1" ref="P47" ca="1">INDIRECT("R[40]C["&amp;$A$46&amp;"]",FALSE)</f>
        <v>100</v>
      </c>
      <c r="Q47" s="116"/>
      <c r="R47" s="115">
        <f ca="1">SUM(D47:P47)</f>
        <v>1299</v>
      </c>
    </row>
    <row r="48" spans="1:19" ht="15.5" x14ac:dyDescent="0.35">
      <c r="A48" s="121">
        <f>A47</f>
        <v>1</v>
      </c>
      <c r="B48" s="123">
        <v>18</v>
      </c>
      <c r="C48" s="183" cm="1">
        <f t="array" aca="1" ref="C48" ca="1">INDIRECT("R[40]C["&amp;$A$46&amp;"]",FALSE)</f>
        <v>0</v>
      </c>
      <c r="D48" s="183" cm="1">
        <f t="array" aca="1" ref="D48" ca="1">INDIRECT("R[40]C["&amp;$A$46&amp;"]",FALSE)</f>
        <v>0</v>
      </c>
      <c r="E48" s="183" cm="1">
        <f t="array" aca="1" ref="E48" ca="1">INDIRECT("R[40]C["&amp;$A$46&amp;"]",FALSE)</f>
        <v>0</v>
      </c>
      <c r="F48" s="183" cm="1">
        <f t="array" aca="1" ref="F48" ca="1">INDIRECT("R[40]C["&amp;$A$46&amp;"]",FALSE)</f>
        <v>0</v>
      </c>
      <c r="G48" s="183" cm="1">
        <f t="array" aca="1" ref="G48" ca="1">INDIRECT("R[40]C["&amp;$A$46&amp;"]",FALSE)</f>
        <v>0</v>
      </c>
      <c r="H48" s="183" cm="1">
        <f t="array" aca="1" ref="H48" ca="1">INDIRECT("R[40]C["&amp;$A$46&amp;"]",FALSE)</f>
        <v>0</v>
      </c>
      <c r="I48" s="183" cm="1">
        <f t="array" aca="1" ref="I48" ca="1">INDIRECT("R[40]C["&amp;$A$46&amp;"]",FALSE)</f>
        <v>0</v>
      </c>
      <c r="J48" s="183" cm="1">
        <f t="array" aca="1" ref="J48" ca="1">INDIRECT("R[40]C["&amp;$A$46&amp;"]",FALSE)</f>
        <v>0</v>
      </c>
      <c r="K48" s="183" cm="1">
        <f t="array" aca="1" ref="K48" ca="1">INDIRECT("R[40]C["&amp;$A$46&amp;"]",FALSE)</f>
        <v>0</v>
      </c>
      <c r="L48" s="183" cm="1">
        <f t="array" aca="1" ref="L48" ca="1">INDIRECT("R[40]C["&amp;$A$46&amp;"]",FALSE)</f>
        <v>83.333333333333329</v>
      </c>
      <c r="M48" s="183" cm="1">
        <f t="array" aca="1" ref="M48" ca="1">INDIRECT("R[40]C["&amp;$A$46&amp;"]",FALSE)</f>
        <v>83.333333333333329</v>
      </c>
      <c r="N48" s="183" cm="1">
        <f t="array" aca="1" ref="N48" ca="1">INDIRECT("R[40]C["&amp;$A$46&amp;"]",FALSE)</f>
        <v>83.333333333333329</v>
      </c>
      <c r="O48" s="183" cm="1">
        <f t="array" aca="1" ref="O48" ca="1">INDIRECT("R[40]C["&amp;$A$46&amp;"]",FALSE)</f>
        <v>83.333333333333329</v>
      </c>
      <c r="P48" s="183" cm="1">
        <f t="array" aca="1" ref="P48" ca="1">INDIRECT("R[40]C["&amp;$A$46&amp;"]",FALSE)</f>
        <v>83.333333333333329</v>
      </c>
      <c r="Q48" s="116"/>
      <c r="R48" s="115">
        <f ca="1">SUM(D48:P48)</f>
        <v>416.66666666666663</v>
      </c>
      <c r="S48" t="s">
        <v>91</v>
      </c>
    </row>
    <row r="49" spans="1:18" ht="15.5" x14ac:dyDescent="0.35">
      <c r="A49" s="116"/>
      <c r="B49" s="129" t="s">
        <v>351</v>
      </c>
      <c r="C49" s="179"/>
      <c r="D49" s="179"/>
      <c r="E49" s="179"/>
      <c r="F49" s="179"/>
      <c r="G49" s="179"/>
      <c r="H49" s="179"/>
      <c r="I49" s="179"/>
      <c r="J49" s="179"/>
      <c r="K49" s="179"/>
      <c r="L49" s="179"/>
      <c r="M49" s="179"/>
      <c r="N49" s="179"/>
      <c r="O49" s="179"/>
      <c r="P49" s="179"/>
      <c r="Q49" s="179"/>
      <c r="R49" s="181"/>
    </row>
    <row r="50" spans="1:18" ht="15.5" x14ac:dyDescent="0.35">
      <c r="A50" s="121">
        <f>A48</f>
        <v>1</v>
      </c>
      <c r="B50" s="123">
        <v>12</v>
      </c>
      <c r="C50" s="183" cm="1">
        <f t="array" aca="1" ref="C50" ca="1">INDIRECT("R[40]C["&amp;$A$50&amp;"]",FALSE)</f>
        <v>0</v>
      </c>
      <c r="D50" s="183" cm="1">
        <f t="array" aca="1" ref="D50" ca="1">INDIRECT("R[40]C["&amp;$A$50&amp;"]",FALSE)</f>
        <v>128.30769230769232</v>
      </c>
      <c r="E50" s="183" cm="1">
        <f t="array" aca="1" ref="E50" ca="1">INDIRECT("R[40]C["&amp;$A$50&amp;"]",FALSE)</f>
        <v>330</v>
      </c>
      <c r="F50" s="183" cm="1">
        <f t="array" aca="1" ref="F50" ca="1">INDIRECT("R[40]C["&amp;$A$50&amp;"]",FALSE)</f>
        <v>375</v>
      </c>
      <c r="G50" s="183" cm="1">
        <f t="array" aca="1" ref="G50" ca="1">INDIRECT("R[40]C["&amp;$A$50&amp;"]",FALSE)</f>
        <v>375</v>
      </c>
      <c r="H50" s="183" cm="1">
        <f t="array" aca="1" ref="H50" ca="1">INDIRECT("R[40]C["&amp;$A$50&amp;"]",FALSE)</f>
        <v>375</v>
      </c>
      <c r="I50" s="183" cm="1">
        <f t="array" aca="1" ref="I50" ca="1">INDIRECT("R[40]C["&amp;$A$50&amp;"]",FALSE)</f>
        <v>74.923076923077019</v>
      </c>
      <c r="J50" s="183" cm="1">
        <f t="array" aca="1" ref="J50" ca="1">INDIRECT("R[40]C["&amp;$A$50&amp;"]",FALSE)</f>
        <v>0</v>
      </c>
      <c r="K50" s="183" cm="1">
        <f t="array" aca="1" ref="K50" ca="1">INDIRECT("R[40]C["&amp;$A$50&amp;"]",FALSE)</f>
        <v>0</v>
      </c>
      <c r="L50" s="183" cm="1">
        <f t="array" aca="1" ref="L50" ca="1">INDIRECT("R[40]C["&amp;$A$50&amp;"]",FALSE)</f>
        <v>0</v>
      </c>
      <c r="M50" s="183" cm="1">
        <f t="array" aca="1" ref="M50" ca="1">INDIRECT("R[40]C["&amp;$A$50&amp;"]",FALSE)</f>
        <v>0</v>
      </c>
      <c r="N50" s="183" cm="1">
        <f t="array" aca="1" ref="N50" ca="1">INDIRECT("R[40]C["&amp;$A$50&amp;"]",FALSE)</f>
        <v>0</v>
      </c>
      <c r="O50" s="183" cm="1">
        <f t="array" aca="1" ref="O50" ca="1">INDIRECT("R[40]C["&amp;$A$50&amp;"]",FALSE)</f>
        <v>0</v>
      </c>
      <c r="P50" s="183" cm="1">
        <f t="array" aca="1" ref="P50" ca="1">INDIRECT("R[40]C["&amp;$A$50&amp;"]",FALSE)</f>
        <v>0</v>
      </c>
      <c r="Q50" s="115"/>
      <c r="R50" s="115">
        <f ca="1">SUM(D50:P50)</f>
        <v>1658.2307692307695</v>
      </c>
    </row>
    <row r="51" spans="1:18" ht="15.5" x14ac:dyDescent="0.35">
      <c r="A51" s="121">
        <f>A50</f>
        <v>1</v>
      </c>
      <c r="B51" s="123">
        <v>15</v>
      </c>
      <c r="C51" s="183" cm="1">
        <f t="array" aca="1" ref="C51" ca="1">INDIRECT("R[40]C["&amp;$A$50&amp;"]",FALSE)</f>
        <v>0</v>
      </c>
      <c r="D51" s="183" cm="1">
        <f t="array" aca="1" ref="D51" ca="1">INDIRECT("R[40]C["&amp;$A$50&amp;"]",FALSE)</f>
        <v>0</v>
      </c>
      <c r="E51" s="183" cm="1">
        <f t="array" aca="1" ref="E51" ca="1">INDIRECT("R[40]C["&amp;$A$50&amp;"]",FALSE)</f>
        <v>99</v>
      </c>
      <c r="F51" s="183" cm="1">
        <f t="array" aca="1" ref="F51" ca="1">INDIRECT("R[40]C["&amp;$A$50&amp;"]",FALSE)</f>
        <v>198</v>
      </c>
      <c r="G51" s="183" cm="1">
        <f t="array" aca="1" ref="G51" ca="1">INDIRECT("R[40]C["&amp;$A$50&amp;"]",FALSE)</f>
        <v>300</v>
      </c>
      <c r="H51" s="183" cm="1">
        <f t="array" aca="1" ref="H51" ca="1">INDIRECT("R[40]C["&amp;$A$50&amp;"]",FALSE)</f>
        <v>300</v>
      </c>
      <c r="I51" s="183" cm="1">
        <f t="array" aca="1" ref="I51" ca="1">INDIRECT("R[40]C["&amp;$A$50&amp;"]",FALSE)</f>
        <v>300</v>
      </c>
      <c r="J51" s="183" cm="1">
        <f t="array" aca="1" ref="J51" ca="1">INDIRECT("R[40]C["&amp;$A$50&amp;"]",FALSE)</f>
        <v>600</v>
      </c>
      <c r="K51" s="183" cm="1">
        <f t="array" aca="1" ref="K51" ca="1">INDIRECT("R[40]C["&amp;$A$50&amp;"]",FALSE)</f>
        <v>600</v>
      </c>
      <c r="L51" s="183" cm="1">
        <f t="array" aca="1" ref="L51" ca="1">INDIRECT("R[40]C["&amp;$A$50&amp;"]",FALSE)</f>
        <v>300</v>
      </c>
      <c r="M51" s="183" cm="1">
        <f t="array" aca="1" ref="M51" ca="1">INDIRECT("R[40]C["&amp;$A$50&amp;"]",FALSE)</f>
        <v>300</v>
      </c>
      <c r="N51" s="183" cm="1">
        <f t="array" aca="1" ref="N51" ca="1">INDIRECT("R[40]C["&amp;$A$50&amp;"]",FALSE)</f>
        <v>300</v>
      </c>
      <c r="O51" s="183" cm="1">
        <f t="array" aca="1" ref="O51" ca="1">INDIRECT("R[40]C["&amp;$A$50&amp;"]",FALSE)</f>
        <v>300</v>
      </c>
      <c r="P51" s="183" cm="1">
        <f t="array" aca="1" ref="P51" ca="1">INDIRECT("R[40]C["&amp;$A$50&amp;"]",FALSE)</f>
        <v>300</v>
      </c>
      <c r="Q51" s="115"/>
      <c r="R51" s="115">
        <f ca="1">SUM(D51:P51)</f>
        <v>3897</v>
      </c>
    </row>
    <row r="52" spans="1:18" ht="15.5" x14ac:dyDescent="0.35">
      <c r="A52" s="121">
        <f>A51</f>
        <v>1</v>
      </c>
      <c r="B52" s="123">
        <v>18</v>
      </c>
      <c r="C52" s="183" cm="1">
        <f t="array" aca="1" ref="C52" ca="1">INDIRECT("R[40]C["&amp;$A$50&amp;"]",FALSE)</f>
        <v>0</v>
      </c>
      <c r="D52" s="183" cm="1">
        <f t="array" aca="1" ref="D52" ca="1">INDIRECT("R[40]C["&amp;$A$50&amp;"]",FALSE)</f>
        <v>0</v>
      </c>
      <c r="E52" s="183" cm="1">
        <f t="array" aca="1" ref="E52" ca="1">INDIRECT("R[40]C["&amp;$A$50&amp;"]",FALSE)</f>
        <v>0</v>
      </c>
      <c r="F52" s="183" cm="1">
        <f t="array" aca="1" ref="F52" ca="1">INDIRECT("R[40]C["&amp;$A$50&amp;"]",FALSE)</f>
        <v>0</v>
      </c>
      <c r="G52" s="183" cm="1">
        <f t="array" aca="1" ref="G52" ca="1">INDIRECT("R[40]C["&amp;$A$50&amp;"]",FALSE)</f>
        <v>0</v>
      </c>
      <c r="H52" s="183" cm="1">
        <f t="array" aca="1" ref="H52" ca="1">INDIRECT("R[40]C["&amp;$A$50&amp;"]",FALSE)</f>
        <v>0</v>
      </c>
      <c r="I52" s="183" cm="1">
        <f t="array" aca="1" ref="I52" ca="1">INDIRECT("R[40]C["&amp;$A$50&amp;"]",FALSE)</f>
        <v>0</v>
      </c>
      <c r="J52" s="183" cm="1">
        <f t="array" aca="1" ref="J52" ca="1">INDIRECT("R[40]C["&amp;$A$50&amp;"]",FALSE)</f>
        <v>0</v>
      </c>
      <c r="K52" s="183" cm="1">
        <f t="array" aca="1" ref="K52" ca="1">INDIRECT("R[40]C["&amp;$A$50&amp;"]",FALSE)</f>
        <v>0</v>
      </c>
      <c r="L52" s="183" cm="1">
        <f t="array" aca="1" ref="L52" ca="1">INDIRECT("R[40]C["&amp;$A$50&amp;"]",FALSE)</f>
        <v>250</v>
      </c>
      <c r="M52" s="183" cm="1">
        <f t="array" aca="1" ref="M52" ca="1">INDIRECT("R[40]C["&amp;$A$50&amp;"]",FALSE)</f>
        <v>250</v>
      </c>
      <c r="N52" s="183" cm="1">
        <f t="array" aca="1" ref="N52" ca="1">INDIRECT("R[40]C["&amp;$A$50&amp;"]",FALSE)</f>
        <v>250</v>
      </c>
      <c r="O52" s="183" cm="1">
        <f t="array" aca="1" ref="O52" ca="1">INDIRECT("R[40]C["&amp;$A$50&amp;"]",FALSE)</f>
        <v>250</v>
      </c>
      <c r="P52" s="183" cm="1">
        <f t="array" aca="1" ref="P52" ca="1">INDIRECT("R[40]C["&amp;$A$50&amp;"]",FALSE)</f>
        <v>250</v>
      </c>
      <c r="Q52" s="115"/>
      <c r="R52" s="115">
        <f ca="1">SUM(D52:P52)</f>
        <v>1250</v>
      </c>
    </row>
    <row r="53" spans="1:18" ht="15.5" x14ac:dyDescent="0.35">
      <c r="A53" s="116"/>
      <c r="B53" s="129" t="s">
        <v>114</v>
      </c>
      <c r="C53" s="179"/>
      <c r="D53" s="179"/>
      <c r="E53" s="179"/>
      <c r="F53" s="179"/>
      <c r="G53" s="179"/>
      <c r="H53" s="179"/>
      <c r="I53" s="179"/>
      <c r="J53" s="179"/>
      <c r="K53" s="179"/>
      <c r="L53" s="179"/>
      <c r="M53" s="179"/>
      <c r="N53" s="179"/>
      <c r="O53" s="179"/>
      <c r="P53" s="179"/>
      <c r="Q53" s="179"/>
      <c r="R53" s="181"/>
    </row>
    <row r="54" spans="1:18" ht="15.5" x14ac:dyDescent="0.35">
      <c r="A54" s="121">
        <f>A52</f>
        <v>1</v>
      </c>
      <c r="B54" s="123">
        <v>12</v>
      </c>
      <c r="C54" s="183" cm="1">
        <f t="array" aca="1" ref="C54" ca="1">INDIRECT("R[40]C["&amp;$A$46&amp;"]",FALSE)</f>
        <v>0</v>
      </c>
      <c r="D54" s="183" cm="1">
        <f t="array" aca="1" ref="D54" ca="1">INDIRECT("R[40]C["&amp;$A$46&amp;"]",FALSE)</f>
        <v>42.769230769230774</v>
      </c>
      <c r="E54" s="183" cm="1">
        <f t="array" aca="1" ref="E54" ca="1">INDIRECT("R[40]C["&amp;$A$46&amp;"]",FALSE)</f>
        <v>110</v>
      </c>
      <c r="F54" s="183" cm="1">
        <f t="array" aca="1" ref="F54" ca="1">INDIRECT("R[40]C["&amp;$A$46&amp;"]",FALSE)</f>
        <v>125</v>
      </c>
      <c r="G54" s="183" cm="1">
        <f t="array" aca="1" ref="G54" ca="1">INDIRECT("R[40]C["&amp;$A$46&amp;"]",FALSE)</f>
        <v>125</v>
      </c>
      <c r="H54" s="183" cm="1">
        <f t="array" aca="1" ref="H54" ca="1">INDIRECT("R[40]C["&amp;$A$46&amp;"]",FALSE)</f>
        <v>125</v>
      </c>
      <c r="I54" s="183" cm="1">
        <f t="array" aca="1" ref="I54" ca="1">INDIRECT("R[40]C["&amp;$A$46&amp;"]",FALSE)</f>
        <v>24.974358974359006</v>
      </c>
      <c r="J54" s="183" cm="1">
        <f t="array" aca="1" ref="J54" ca="1">INDIRECT("R[40]C["&amp;$A$46&amp;"]",FALSE)</f>
        <v>0</v>
      </c>
      <c r="K54" s="183" cm="1">
        <f t="array" aca="1" ref="K54" ca="1">INDIRECT("R[40]C["&amp;$A$46&amp;"]",FALSE)</f>
        <v>0</v>
      </c>
      <c r="L54" s="183" cm="1">
        <f t="array" aca="1" ref="L54" ca="1">INDIRECT("R[40]C["&amp;$A$46&amp;"]",FALSE)</f>
        <v>0</v>
      </c>
      <c r="M54" s="183" cm="1">
        <f t="array" aca="1" ref="M54" ca="1">INDIRECT("R[40]C["&amp;$A$46&amp;"]",FALSE)</f>
        <v>0</v>
      </c>
      <c r="N54" s="183" cm="1">
        <f t="array" aca="1" ref="N54" ca="1">INDIRECT("R[40]C["&amp;$A$46&amp;"]",FALSE)</f>
        <v>0</v>
      </c>
      <c r="O54" s="183" cm="1">
        <f t="array" aca="1" ref="O54" ca="1">INDIRECT("R[40]C["&amp;$A$46&amp;"]",FALSE)</f>
        <v>0</v>
      </c>
      <c r="P54" s="183" cm="1">
        <f t="array" aca="1" ref="P54" ca="1">INDIRECT("R[40]C["&amp;$A$46&amp;"]",FALSE)</f>
        <v>0</v>
      </c>
      <c r="Q54" s="182"/>
      <c r="R54" s="115">
        <f ca="1">SUM(D54:P54)</f>
        <v>552.74358974358972</v>
      </c>
    </row>
    <row r="55" spans="1:18" ht="15.5" x14ac:dyDescent="0.35">
      <c r="A55" s="121">
        <f>A54</f>
        <v>1</v>
      </c>
      <c r="B55" s="123">
        <v>15</v>
      </c>
      <c r="C55" s="183" cm="1">
        <f t="array" aca="1" ref="C55" ca="1">INDIRECT("R[40]C["&amp;$A$46&amp;"]",FALSE)</f>
        <v>0</v>
      </c>
      <c r="D55" s="183" cm="1">
        <f t="array" aca="1" ref="D55" ca="1">INDIRECT("R[40]C["&amp;$A$46&amp;"]",FALSE)</f>
        <v>0</v>
      </c>
      <c r="E55" s="183" cm="1">
        <f t="array" aca="1" ref="E55" ca="1">INDIRECT("R[40]C["&amp;$A$46&amp;"]",FALSE)</f>
        <v>33</v>
      </c>
      <c r="F55" s="183" cm="1">
        <f t="array" aca="1" ref="F55" ca="1">INDIRECT("R[40]C["&amp;$A$46&amp;"]",FALSE)</f>
        <v>66</v>
      </c>
      <c r="G55" s="183" cm="1">
        <f t="array" aca="1" ref="G55" ca="1">INDIRECT("R[40]C["&amp;$A$46&amp;"]",FALSE)</f>
        <v>100</v>
      </c>
      <c r="H55" s="183" cm="1">
        <f t="array" aca="1" ref="H55" ca="1">INDIRECT("R[40]C["&amp;$A$46&amp;"]",FALSE)</f>
        <v>100</v>
      </c>
      <c r="I55" s="183" cm="1">
        <f t="array" aca="1" ref="I55" ca="1">INDIRECT("R[40]C["&amp;$A$46&amp;"]",FALSE)</f>
        <v>100</v>
      </c>
      <c r="J55" s="183" cm="1">
        <f t="array" aca="1" ref="J55" ca="1">INDIRECT("R[40]C["&amp;$A$46&amp;"]",FALSE)</f>
        <v>200</v>
      </c>
      <c r="K55" s="183" cm="1">
        <f t="array" aca="1" ref="K55" ca="1">INDIRECT("R[40]C["&amp;$A$46&amp;"]",FALSE)</f>
        <v>200</v>
      </c>
      <c r="L55" s="183" cm="1">
        <f t="array" aca="1" ref="L55" ca="1">INDIRECT("R[40]C["&amp;$A$46&amp;"]",FALSE)</f>
        <v>100</v>
      </c>
      <c r="M55" s="183" cm="1">
        <f t="array" aca="1" ref="M55" ca="1">INDIRECT("R[40]C["&amp;$A$46&amp;"]",FALSE)</f>
        <v>100</v>
      </c>
      <c r="N55" s="183" cm="1">
        <f t="array" aca="1" ref="N55" ca="1">INDIRECT("R[40]C["&amp;$A$46&amp;"]",FALSE)</f>
        <v>100</v>
      </c>
      <c r="O55" s="183" cm="1">
        <f t="array" aca="1" ref="O55" ca="1">INDIRECT("R[40]C["&amp;$A$46&amp;"]",FALSE)</f>
        <v>100</v>
      </c>
      <c r="P55" s="183" cm="1">
        <f t="array" aca="1" ref="P55" ca="1">INDIRECT("R[40]C["&amp;$A$46&amp;"]",FALSE)</f>
        <v>100</v>
      </c>
      <c r="Q55" s="182"/>
      <c r="R55" s="115">
        <f ca="1">SUM(D55:P55)</f>
        <v>1299</v>
      </c>
    </row>
    <row r="56" spans="1:18" ht="15.5" x14ac:dyDescent="0.35">
      <c r="A56" s="121">
        <f>A55</f>
        <v>1</v>
      </c>
      <c r="B56" s="123">
        <v>18</v>
      </c>
      <c r="C56" s="183" cm="1">
        <f t="array" aca="1" ref="C56" ca="1">INDIRECT("R[40]C["&amp;$A$46&amp;"]",FALSE)</f>
        <v>0</v>
      </c>
      <c r="D56" s="183" cm="1">
        <f t="array" aca="1" ref="D56" ca="1">INDIRECT("R[40]C["&amp;$A$46&amp;"]",FALSE)</f>
        <v>0</v>
      </c>
      <c r="E56" s="183" cm="1">
        <f t="array" aca="1" ref="E56" ca="1">INDIRECT("R[40]C["&amp;$A$46&amp;"]",FALSE)</f>
        <v>0</v>
      </c>
      <c r="F56" s="183" cm="1">
        <f t="array" aca="1" ref="F56" ca="1">INDIRECT("R[40]C["&amp;$A$46&amp;"]",FALSE)</f>
        <v>0</v>
      </c>
      <c r="G56" s="183" cm="1">
        <f t="array" aca="1" ref="G56" ca="1">INDIRECT("R[40]C["&amp;$A$46&amp;"]",FALSE)</f>
        <v>0</v>
      </c>
      <c r="H56" s="183" cm="1">
        <f t="array" aca="1" ref="H56" ca="1">INDIRECT("R[40]C["&amp;$A$46&amp;"]",FALSE)</f>
        <v>0</v>
      </c>
      <c r="I56" s="183" cm="1">
        <f t="array" aca="1" ref="I56" ca="1">INDIRECT("R[40]C["&amp;$A$46&amp;"]",FALSE)</f>
        <v>0</v>
      </c>
      <c r="J56" s="183" cm="1">
        <f t="array" aca="1" ref="J56" ca="1">INDIRECT("R[40]C["&amp;$A$46&amp;"]",FALSE)</f>
        <v>0</v>
      </c>
      <c r="K56" s="183" cm="1">
        <f t="array" aca="1" ref="K56" ca="1">INDIRECT("R[40]C["&amp;$A$46&amp;"]",FALSE)</f>
        <v>0</v>
      </c>
      <c r="L56" s="183" cm="1">
        <f t="array" aca="1" ref="L56" ca="1">INDIRECT("R[40]C["&amp;$A$46&amp;"]",FALSE)</f>
        <v>83.333333333333329</v>
      </c>
      <c r="M56" s="183" cm="1">
        <f t="array" aca="1" ref="M56" ca="1">INDIRECT("R[40]C["&amp;$A$46&amp;"]",FALSE)</f>
        <v>83.333333333333329</v>
      </c>
      <c r="N56" s="183" cm="1">
        <f t="array" aca="1" ref="N56" ca="1">INDIRECT("R[40]C["&amp;$A$46&amp;"]",FALSE)</f>
        <v>83.333333333333329</v>
      </c>
      <c r="O56" s="183" cm="1">
        <f t="array" aca="1" ref="O56" ca="1">INDIRECT("R[40]C["&amp;$A$46&amp;"]",FALSE)</f>
        <v>83.333333333333329</v>
      </c>
      <c r="P56" s="183" cm="1">
        <f t="array" aca="1" ref="P56" ca="1">INDIRECT("R[40]C["&amp;$A$46&amp;"]",FALSE)</f>
        <v>83.333333333333329</v>
      </c>
      <c r="Q56" s="182"/>
      <c r="R56" s="115">
        <f ca="1">SUM(D56:P56)</f>
        <v>416.66666666666663</v>
      </c>
    </row>
    <row r="57" spans="1:18" ht="15.5" x14ac:dyDescent="0.35">
      <c r="A57" s="116"/>
      <c r="B57" s="129" t="s">
        <v>352</v>
      </c>
      <c r="C57" s="179"/>
      <c r="D57" s="179"/>
      <c r="E57" s="179"/>
      <c r="F57" s="179"/>
      <c r="G57" s="179"/>
      <c r="H57" s="179"/>
      <c r="I57" s="179"/>
      <c r="J57" s="179"/>
      <c r="K57" s="179"/>
      <c r="L57" s="179"/>
      <c r="M57" s="179"/>
      <c r="N57" s="179"/>
      <c r="O57" s="179"/>
      <c r="P57" s="179"/>
      <c r="Q57" s="179"/>
      <c r="R57" s="181"/>
    </row>
    <row r="58" spans="1:18" ht="15.5" x14ac:dyDescent="0.35">
      <c r="A58" s="121">
        <f>A56</f>
        <v>1</v>
      </c>
      <c r="B58" s="123">
        <v>12</v>
      </c>
      <c r="C58" s="183" cm="1">
        <f t="array" aca="1" ref="C58" ca="1">INDIRECT("R[40]C["&amp;$A$58&amp;"]",FALSE)</f>
        <v>0</v>
      </c>
      <c r="D58" s="183" cm="1">
        <f t="array" aca="1" ref="D58" ca="1">INDIRECT("R[40]C["&amp;$A$58&amp;"]",FALSE)</f>
        <v>42.769230769230774</v>
      </c>
      <c r="E58" s="183" cm="1">
        <f t="array" aca="1" ref="E58" ca="1">INDIRECT("R[40]C["&amp;$A$58&amp;"]",FALSE)</f>
        <v>110</v>
      </c>
      <c r="F58" s="183" cm="1">
        <f t="array" aca="1" ref="F58" ca="1">INDIRECT("R[40]C["&amp;$A$58&amp;"]",FALSE)</f>
        <v>125</v>
      </c>
      <c r="G58" s="183" cm="1">
        <f t="array" aca="1" ref="G58" ca="1">INDIRECT("R[40]C["&amp;$A$58&amp;"]",FALSE)</f>
        <v>125</v>
      </c>
      <c r="H58" s="183" cm="1">
        <f t="array" aca="1" ref="H58" ca="1">INDIRECT("R[40]C["&amp;$A$58&amp;"]",FALSE)</f>
        <v>125</v>
      </c>
      <c r="I58" s="183" cm="1">
        <f t="array" aca="1" ref="I58" ca="1">INDIRECT("R[40]C["&amp;$A$58&amp;"]",FALSE)</f>
        <v>24.974358974359006</v>
      </c>
      <c r="J58" s="183" cm="1">
        <f t="array" aca="1" ref="J58" ca="1">INDIRECT("R[40]C["&amp;$A$58&amp;"]",FALSE)</f>
        <v>0</v>
      </c>
      <c r="K58" s="183" cm="1">
        <f t="array" aca="1" ref="K58" ca="1">INDIRECT("R[40]C["&amp;$A$58&amp;"]",FALSE)</f>
        <v>0</v>
      </c>
      <c r="L58" s="183" cm="1">
        <f t="array" aca="1" ref="L58" ca="1">INDIRECT("R[40]C["&amp;$A$58&amp;"]",FALSE)</f>
        <v>0</v>
      </c>
      <c r="M58" s="183" cm="1">
        <f t="array" aca="1" ref="M58" ca="1">INDIRECT("R[40]C["&amp;$A$58&amp;"]",FALSE)</f>
        <v>0</v>
      </c>
      <c r="N58" s="183" cm="1">
        <f t="array" aca="1" ref="N58" ca="1">INDIRECT("R[40]C["&amp;$A$58&amp;"]",FALSE)</f>
        <v>0</v>
      </c>
      <c r="O58" s="183" cm="1">
        <f t="array" aca="1" ref="O58" ca="1">INDIRECT("R[40]C["&amp;$A$58&amp;"]",FALSE)</f>
        <v>0</v>
      </c>
      <c r="P58" s="183" cm="1">
        <f t="array" aca="1" ref="P58" ca="1">INDIRECT("R[40]C["&amp;$A$58&amp;"]",FALSE)</f>
        <v>0</v>
      </c>
      <c r="Q58" s="116"/>
      <c r="R58" s="115">
        <f ca="1">SUM(D58:P58)</f>
        <v>552.74358974358972</v>
      </c>
    </row>
    <row r="59" spans="1:18" ht="15.5" x14ac:dyDescent="0.35">
      <c r="A59" s="121">
        <f>A56</f>
        <v>1</v>
      </c>
      <c r="B59" s="123">
        <v>15</v>
      </c>
      <c r="C59" s="183" cm="1">
        <f t="array" aca="1" ref="C59" ca="1">INDIRECT("R[40]C["&amp;$A$58&amp;"]",FALSE)</f>
        <v>0</v>
      </c>
      <c r="D59" s="183" cm="1">
        <f t="array" aca="1" ref="D59" ca="1">INDIRECT("R[40]C["&amp;$A$58&amp;"]",FALSE)</f>
        <v>0</v>
      </c>
      <c r="E59" s="183" cm="1">
        <f t="array" aca="1" ref="E59" ca="1">INDIRECT("R[40]C["&amp;$A$58&amp;"]",FALSE)</f>
        <v>33</v>
      </c>
      <c r="F59" s="183" cm="1">
        <f t="array" aca="1" ref="F59" ca="1">INDIRECT("R[40]C["&amp;$A$58&amp;"]",FALSE)</f>
        <v>66</v>
      </c>
      <c r="G59" s="183" cm="1">
        <f t="array" aca="1" ref="G59" ca="1">INDIRECT("R[40]C["&amp;$A$58&amp;"]",FALSE)</f>
        <v>100</v>
      </c>
      <c r="H59" s="183" cm="1">
        <f t="array" aca="1" ref="H59" ca="1">INDIRECT("R[40]C["&amp;$A$58&amp;"]",FALSE)</f>
        <v>100</v>
      </c>
      <c r="I59" s="183" cm="1">
        <f t="array" aca="1" ref="I59" ca="1">INDIRECT("R[40]C["&amp;$A$58&amp;"]",FALSE)</f>
        <v>100</v>
      </c>
      <c r="J59" s="183" cm="1">
        <f t="array" aca="1" ref="J59" ca="1">INDIRECT("R[40]C["&amp;$A$58&amp;"]",FALSE)</f>
        <v>200</v>
      </c>
      <c r="K59" s="183" cm="1">
        <f t="array" aca="1" ref="K59" ca="1">INDIRECT("R[40]C["&amp;$A$58&amp;"]",FALSE)</f>
        <v>200</v>
      </c>
      <c r="L59" s="183" cm="1">
        <f t="array" aca="1" ref="L59" ca="1">INDIRECT("R[40]C["&amp;$A$58&amp;"]",FALSE)</f>
        <v>100</v>
      </c>
      <c r="M59" s="183" cm="1">
        <f t="array" aca="1" ref="M59" ca="1">INDIRECT("R[40]C["&amp;$A$58&amp;"]",FALSE)</f>
        <v>100</v>
      </c>
      <c r="N59" s="183" cm="1">
        <f t="array" aca="1" ref="N59" ca="1">INDIRECT("R[40]C["&amp;$A$58&amp;"]",FALSE)</f>
        <v>100</v>
      </c>
      <c r="O59" s="183" cm="1">
        <f t="array" aca="1" ref="O59" ca="1">INDIRECT("R[40]C["&amp;$A$58&amp;"]",FALSE)</f>
        <v>100</v>
      </c>
      <c r="P59" s="183" cm="1">
        <f t="array" aca="1" ref="P59" ca="1">INDIRECT("R[40]C["&amp;$A$58&amp;"]",FALSE)</f>
        <v>100</v>
      </c>
      <c r="Q59" s="116"/>
      <c r="R59" s="115">
        <f ca="1">SUM(D59:P59)</f>
        <v>1299</v>
      </c>
    </row>
    <row r="60" spans="1:18" ht="15.5" x14ac:dyDescent="0.35">
      <c r="A60" s="121">
        <f>A56</f>
        <v>1</v>
      </c>
      <c r="B60" s="123">
        <v>18</v>
      </c>
      <c r="C60" s="183" cm="1">
        <f t="array" aca="1" ref="C60" ca="1">INDIRECT("R[40]C["&amp;$A$58&amp;"]",FALSE)</f>
        <v>0</v>
      </c>
      <c r="D60" s="183" cm="1">
        <f t="array" aca="1" ref="D60" ca="1">INDIRECT("R[40]C["&amp;$A$58&amp;"]",FALSE)</f>
        <v>0</v>
      </c>
      <c r="E60" s="183" cm="1">
        <f t="array" aca="1" ref="E60" ca="1">INDIRECT("R[40]C["&amp;$A$58&amp;"]",FALSE)</f>
        <v>0</v>
      </c>
      <c r="F60" s="183" cm="1">
        <f t="array" aca="1" ref="F60" ca="1">INDIRECT("R[40]C["&amp;$A$58&amp;"]",FALSE)</f>
        <v>0</v>
      </c>
      <c r="G60" s="183" cm="1">
        <f t="array" aca="1" ref="G60" ca="1">INDIRECT("R[40]C["&amp;$A$58&amp;"]",FALSE)</f>
        <v>0</v>
      </c>
      <c r="H60" s="183" cm="1">
        <f t="array" aca="1" ref="H60" ca="1">INDIRECT("R[40]C["&amp;$A$58&amp;"]",FALSE)</f>
        <v>0</v>
      </c>
      <c r="I60" s="183" cm="1">
        <f t="array" aca="1" ref="I60" ca="1">INDIRECT("R[40]C["&amp;$A$58&amp;"]",FALSE)</f>
        <v>0</v>
      </c>
      <c r="J60" s="183" cm="1">
        <f t="array" aca="1" ref="J60" ca="1">INDIRECT("R[40]C["&amp;$A$58&amp;"]",FALSE)</f>
        <v>0</v>
      </c>
      <c r="K60" s="183" cm="1">
        <f t="array" aca="1" ref="K60" ca="1">INDIRECT("R[40]C["&amp;$A$58&amp;"]",FALSE)</f>
        <v>0</v>
      </c>
      <c r="L60" s="183" cm="1">
        <f t="array" aca="1" ref="L60" ca="1">INDIRECT("R[40]C["&amp;$A$58&amp;"]",FALSE)</f>
        <v>83.333333333333329</v>
      </c>
      <c r="M60" s="183" cm="1">
        <f t="array" aca="1" ref="M60" ca="1">INDIRECT("R[40]C["&amp;$A$58&amp;"]",FALSE)</f>
        <v>83.333333333333329</v>
      </c>
      <c r="N60" s="183" cm="1">
        <f t="array" aca="1" ref="N60" ca="1">INDIRECT("R[40]C["&amp;$A$58&amp;"]",FALSE)</f>
        <v>83.333333333333329</v>
      </c>
      <c r="O60" s="183" cm="1">
        <f t="array" aca="1" ref="O60" ca="1">INDIRECT("R[40]C["&amp;$A$58&amp;"]",FALSE)</f>
        <v>83.333333333333329</v>
      </c>
      <c r="P60" s="183" cm="1">
        <f t="array" aca="1" ref="P60" ca="1">INDIRECT("R[40]C["&amp;$A$58&amp;"]",FALSE)</f>
        <v>83.333333333333329</v>
      </c>
      <c r="Q60" s="116"/>
      <c r="R60" s="115">
        <f ca="1">SUM(D60:P60)</f>
        <v>416.66666666666663</v>
      </c>
    </row>
    <row r="61" spans="1:18" ht="15.5" x14ac:dyDescent="0.35">
      <c r="A61" s="116"/>
      <c r="B61" s="129" t="s">
        <v>116</v>
      </c>
      <c r="C61" s="179"/>
      <c r="D61" s="180">
        <f ca="1">SUM(D63:D65)</f>
        <v>42.769230769230774</v>
      </c>
      <c r="E61" s="180">
        <f t="shared" ref="E61:Q61" ca="1" si="8">SUM(E63:E65)</f>
        <v>143</v>
      </c>
      <c r="F61" s="180">
        <f t="shared" ca="1" si="8"/>
        <v>176.50265392781318</v>
      </c>
      <c r="G61" s="180">
        <f t="shared" ca="1" si="8"/>
        <v>204.69091903719914</v>
      </c>
      <c r="H61" s="180">
        <f t="shared" ca="1" si="8"/>
        <v>225.00000000000006</v>
      </c>
      <c r="I61" s="180">
        <f t="shared" ca="1" si="8"/>
        <v>118.17353732958865</v>
      </c>
      <c r="J61" s="180">
        <f t="shared" ca="1" si="8"/>
        <v>223.27811682650392</v>
      </c>
      <c r="K61" s="180">
        <f t="shared" ca="1" si="8"/>
        <v>186.46630507884194</v>
      </c>
      <c r="L61" s="180">
        <f t="shared" ca="1" si="8"/>
        <v>134.34568860197899</v>
      </c>
      <c r="M61" s="180">
        <f t="shared" ca="1" si="8"/>
        <v>183.33333333333331</v>
      </c>
      <c r="N61" s="180">
        <f t="shared" ca="1" si="8"/>
        <v>183.33333333333329</v>
      </c>
      <c r="O61" s="180">
        <f t="shared" ca="1" si="8"/>
        <v>183.33333333333326</v>
      </c>
      <c r="P61" s="180">
        <f t="shared" ca="1" si="8"/>
        <v>183.33333333333331</v>
      </c>
      <c r="Q61" s="180">
        <f t="shared" si="8"/>
        <v>0</v>
      </c>
      <c r="R61" s="181">
        <f ca="1">SUM(C61:Q61)</f>
        <v>2187.5597849044898</v>
      </c>
    </row>
    <row r="62" spans="1:18" ht="15.5" x14ac:dyDescent="0.35">
      <c r="A62" s="121">
        <f>A60</f>
        <v>1</v>
      </c>
      <c r="B62" s="125" t="s">
        <v>257</v>
      </c>
      <c r="C62" s="183" cm="1">
        <f t="array" aca="1" ref="C62" ca="1">INDIRECT("R[40]C["&amp;$A$62&amp;"]",FALSE)</f>
        <v>0</v>
      </c>
      <c r="D62" s="183" cm="1">
        <f t="array" aca="1" ref="D62" ca="1">INDIRECT("R[40]C["&amp;$A$62&amp;"]",FALSE)</f>
        <v>32.769230769230774</v>
      </c>
      <c r="E62" s="183" cm="1">
        <f t="array" aca="1" ref="E62" ca="1">INDIRECT("R[40]C["&amp;$A$62&amp;"]",FALSE)</f>
        <v>97.002764431344275</v>
      </c>
      <c r="F62" s="183" cm="1">
        <f t="array" aca="1" ref="F62" ca="1">INDIRECT("R[40]C["&amp;$A$62&amp;"]",FALSE)</f>
        <v>118.28938871196038</v>
      </c>
      <c r="G62" s="183" cm="1">
        <f t="array" aca="1" ref="G62" ca="1">INDIRECT("R[40]C["&amp;$A$62&amp;"]",FALSE)</f>
        <v>148.3793763676149</v>
      </c>
      <c r="H62" s="183" cm="1">
        <f t="array" aca="1" ref="H62" ca="1">INDIRECT("R[40]C["&amp;$A$62&amp;"]",FALSE)</f>
        <v>112.9570336707292</v>
      </c>
      <c r="I62" s="183" cm="1">
        <f t="array" aca="1" ref="I62" ca="1">INDIRECT("R[40]C["&amp;$A$62&amp;"]",FALSE)</f>
        <v>75.563143101704156</v>
      </c>
      <c r="J62" s="183" cm="1">
        <f t="array" aca="1" ref="J62" ca="1">INDIRECT("R[40]C["&amp;$A$62&amp;"]",FALSE)</f>
        <v>196.49520488230164</v>
      </c>
      <c r="K62" s="183" cm="1">
        <f t="array" aca="1" ref="K62" ca="1">INDIRECT("R[40]C["&amp;$A$62&amp;"]",FALSE)</f>
        <v>166.2355458115421</v>
      </c>
      <c r="L62" s="183" cm="1">
        <f t="array" aca="1" ref="L62" ca="1">INDIRECT("R[40]C["&amp;$A$62&amp;"]",FALSE)</f>
        <v>106.865271870244</v>
      </c>
      <c r="M62" s="183" cm="1">
        <f t="array" aca="1" ref="M62" ca="1">INDIRECT("R[40]C["&amp;$A$62&amp;"]",FALSE)</f>
        <v>118.0473889376599</v>
      </c>
      <c r="N62" s="183" cm="1">
        <f t="array" aca="1" ref="N62" ca="1">INDIRECT("R[40]C["&amp;$A$62&amp;"]",FALSE)</f>
        <v>128.33333333333329</v>
      </c>
      <c r="O62" s="183" cm="1">
        <f t="array" aca="1" ref="O62" ca="1">INDIRECT("R[40]C["&amp;$A$62&amp;"]",FALSE)</f>
        <v>137.35529308511735</v>
      </c>
      <c r="P62" s="183" cm="1">
        <f t="array" aca="1" ref="P62" ca="1">INDIRECT("R[40]C["&amp;$A$62&amp;"]",FALSE)</f>
        <v>128.33333333333331</v>
      </c>
      <c r="Q62" s="183"/>
      <c r="R62" s="115">
        <f ca="1">SUM(D62:Q62)</f>
        <v>1566.6263083061153</v>
      </c>
    </row>
    <row r="63" spans="1:18" ht="15.5" x14ac:dyDescent="0.35">
      <c r="A63" s="121">
        <f>A60</f>
        <v>1</v>
      </c>
      <c r="B63" s="125" t="s">
        <v>258</v>
      </c>
      <c r="C63" s="183" cm="1">
        <f t="array" aca="1" ref="C63" ca="1">INDIRECT("R[40]C["&amp;$A$62&amp;"]",FALSE)</f>
        <v>0</v>
      </c>
      <c r="D63" s="183" cm="1">
        <f t="array" aca="1" ref="D63" ca="1">INDIRECT("R[40]C["&amp;$A$62&amp;"]",FALSE)</f>
        <v>32.769230769230774</v>
      </c>
      <c r="E63" s="183" cm="1">
        <f t="array" aca="1" ref="E63" ca="1">INDIRECT("R[40]C["&amp;$A$62&amp;"]",FALSE)</f>
        <v>97.002764431344275</v>
      </c>
      <c r="F63" s="183" cm="1">
        <f t="array" aca="1" ref="F63" ca="1">INDIRECT("R[40]C["&amp;$A$62&amp;"]",FALSE)</f>
        <v>118.28938871196038</v>
      </c>
      <c r="G63" s="183" cm="1">
        <f t="array" aca="1" ref="G63" ca="1">INDIRECT("R[40]C["&amp;$A$62&amp;"]",FALSE)</f>
        <v>148.3793763676149</v>
      </c>
      <c r="H63" s="183" cm="1">
        <f t="array" aca="1" ref="H63" ca="1">INDIRECT("R[40]C["&amp;$A$62&amp;"]",FALSE)</f>
        <v>112.9570336707292</v>
      </c>
      <c r="I63" s="183" cm="1">
        <f t="array" aca="1" ref="I63" ca="1">INDIRECT("R[40]C["&amp;$A$62&amp;"]",FALSE)</f>
        <v>75.563143101704156</v>
      </c>
      <c r="J63" s="183" cm="1">
        <f t="array" aca="1" ref="J63" ca="1">INDIRECT("R[40]C["&amp;$A$62&amp;"]",FALSE)</f>
        <v>196.49520488230164</v>
      </c>
      <c r="K63" s="183" cm="1">
        <f t="array" aca="1" ref="K63" ca="1">INDIRECT("R[40]C["&amp;$A$62&amp;"]",FALSE)</f>
        <v>166.2355458115421</v>
      </c>
      <c r="L63" s="183" cm="1">
        <f t="array" aca="1" ref="L63" ca="1">INDIRECT("R[40]C["&amp;$A$62&amp;"]",FALSE)</f>
        <v>106.865271870244</v>
      </c>
      <c r="M63" s="183" cm="1">
        <f t="array" aca="1" ref="M63" ca="1">INDIRECT("R[40]C["&amp;$A$62&amp;"]",FALSE)</f>
        <v>118.0473889376599</v>
      </c>
      <c r="N63" s="183" cm="1">
        <f t="array" aca="1" ref="N63" ca="1">INDIRECT("R[40]C["&amp;$A$62&amp;"]",FALSE)</f>
        <v>128.33333333333329</v>
      </c>
      <c r="O63" s="183" cm="1">
        <f t="array" aca="1" ref="O63" ca="1">INDIRECT("R[40]C["&amp;$A$62&amp;"]",FALSE)</f>
        <v>137.35529308511735</v>
      </c>
      <c r="P63" s="183" cm="1">
        <f t="array" aca="1" ref="P63" ca="1">INDIRECT("R[40]C["&amp;$A$62&amp;"]",FALSE)</f>
        <v>128.33333333333331</v>
      </c>
      <c r="Q63" s="183"/>
      <c r="R63" s="115"/>
    </row>
    <row r="64" spans="1:18" ht="15.5" x14ac:dyDescent="0.35">
      <c r="A64" s="121">
        <f>A60</f>
        <v>1</v>
      </c>
      <c r="B64" s="125" t="s">
        <v>353</v>
      </c>
      <c r="C64" s="183" cm="1">
        <f t="array" aca="1" ref="C64" ca="1">INDIRECT("R[40]C["&amp;$A$62&amp;"]",FALSE)</f>
        <v>0</v>
      </c>
      <c r="D64" s="183" cm="1">
        <f t="array" aca="1" ref="D64" ca="1">INDIRECT("R[40]C["&amp;$A$62&amp;"]",FALSE)</f>
        <v>0</v>
      </c>
      <c r="E64" s="183" cm="1">
        <f t="array" aca="1" ref="E64" ca="1">INDIRECT("R[40]C["&amp;$A$62&amp;"]",FALSE)</f>
        <v>12.318158311063328</v>
      </c>
      <c r="F64" s="183" cm="1">
        <f t="array" aca="1" ref="F64" ca="1">INDIRECT("R[40]C["&amp;$A$62&amp;"]",FALSE)</f>
        <v>7.9076433121019116</v>
      </c>
      <c r="G64" s="183" cm="1">
        <f t="array" aca="1" ref="G64" ca="1">INDIRECT("R[40]C["&amp;$A$62&amp;"]",FALSE)</f>
        <v>10.154540481400439</v>
      </c>
      <c r="H64" s="183" cm="1">
        <f t="array" aca="1" ref="H64" ca="1">INDIRECT("R[40]C["&amp;$A$62&amp;"]",FALSE)</f>
        <v>6.2280520553604628</v>
      </c>
      <c r="I64" s="183" cm="1">
        <f t="array" aca="1" ref="I64" ca="1">INDIRECT("R[40]C["&amp;$A$62&amp;"]",FALSE)</f>
        <v>15.404117337778386</v>
      </c>
      <c r="J64" s="183" cm="1">
        <f t="array" aca="1" ref="J64" ca="1">INDIRECT("R[40]C["&amp;$A$62&amp;"]",FALSE)</f>
        <v>13.391455972101133</v>
      </c>
      <c r="K64" s="183" cm="1">
        <f t="array" aca="1" ref="K64" ca="1">INDIRECT("R[40]C["&amp;$A$62&amp;"]",FALSE)</f>
        <v>6.1662897484526349</v>
      </c>
      <c r="L64" s="183" cm="1">
        <f t="array" aca="1" ref="L64" ca="1">INDIRECT("R[40]C["&amp;$A$62&amp;"]",FALSE)</f>
        <v>13.740208365867497</v>
      </c>
      <c r="M64" s="183" cm="1">
        <f t="array" aca="1" ref="M64" ca="1">INDIRECT("R[40]C["&amp;$A$62&amp;"]",FALSE)</f>
        <v>23.642770851622469</v>
      </c>
      <c r="N64" s="183" cm="1">
        <f t="array" aca="1" ref="N64" ca="1">INDIRECT("R[40]C["&amp;$A$62&amp;"]",FALSE)</f>
        <v>27.499999999999996</v>
      </c>
      <c r="O64" s="183" cm="1">
        <f t="array" aca="1" ref="O64" ca="1">INDIRECT("R[40]C["&amp;$A$62&amp;"]",FALSE)</f>
        <v>22.989020124107959</v>
      </c>
      <c r="P64" s="183" cm="1">
        <f t="array" aca="1" ref="P64" ca="1">INDIRECT("R[40]C["&amp;$A$62&amp;"]",FALSE)</f>
        <v>27.499999999999996</v>
      </c>
      <c r="Q64" s="183"/>
      <c r="R64" s="115">
        <f ca="1">SUM(D64:Q64)</f>
        <v>186.94225655985622</v>
      </c>
    </row>
    <row r="65" spans="1:18" ht="15.5" x14ac:dyDescent="0.35">
      <c r="A65" s="121">
        <f>A60</f>
        <v>1</v>
      </c>
      <c r="B65" s="125" t="s">
        <v>117</v>
      </c>
      <c r="C65" s="183" cm="1">
        <f t="array" aca="1" ref="C65" ca="1">INDIRECT("R[40]C["&amp;$A$62&amp;"]",FALSE)</f>
        <v>0</v>
      </c>
      <c r="D65" s="183" cm="1">
        <f t="array" aca="1" ref="D65" ca="1">INDIRECT("R[40]C["&amp;$A$62&amp;"]",FALSE)</f>
        <v>10</v>
      </c>
      <c r="E65" s="183" cm="1">
        <f t="array" aca="1" ref="E65" ca="1">INDIRECT("R[40]C["&amp;$A$62&amp;"]",FALSE)</f>
        <v>33.679077257592397</v>
      </c>
      <c r="F65" s="183" cm="1">
        <f t="array" aca="1" ref="F65" ca="1">INDIRECT("R[40]C["&amp;$A$62&amp;"]",FALSE)</f>
        <v>50.30562190375089</v>
      </c>
      <c r="G65" s="183" cm="1">
        <f t="array" aca="1" ref="G65" ca="1">INDIRECT("R[40]C["&amp;$A$62&amp;"]",FALSE)</f>
        <v>46.15700218818381</v>
      </c>
      <c r="H65" s="183" cm="1">
        <f t="array" aca="1" ref="H65" ca="1">INDIRECT("R[40]C["&amp;$A$62&amp;"]",FALSE)</f>
        <v>105.81491427391038</v>
      </c>
      <c r="I65" s="183" cm="1">
        <f t="array" aca="1" ref="I65" ca="1">INDIRECT("R[40]C["&amp;$A$62&amp;"]",FALSE)</f>
        <v>27.20627689010611</v>
      </c>
      <c r="J65" s="183" cm="1">
        <f t="array" aca="1" ref="J65" ca="1">INDIRECT("R[40]C["&amp;$A$62&amp;"]",FALSE)</f>
        <v>13.391455972101133</v>
      </c>
      <c r="K65" s="183" cm="1">
        <f t="array" aca="1" ref="K65" ca="1">INDIRECT("R[40]C["&amp;$A$62&amp;"]",FALSE)</f>
        <v>14.064469518847215</v>
      </c>
      <c r="L65" s="183" cm="1">
        <f t="array" aca="1" ref="L65" ca="1">INDIRECT("R[40]C["&amp;$A$62&amp;"]",FALSE)</f>
        <v>13.740208365867497</v>
      </c>
      <c r="M65" s="183" cm="1">
        <f t="array" aca="1" ref="M65" ca="1">INDIRECT("R[40]C["&amp;$A$62&amp;"]",FALSE)</f>
        <v>41.643173544050946</v>
      </c>
      <c r="N65" s="183" cm="1">
        <f t="array" aca="1" ref="N65" ca="1">INDIRECT("R[40]C["&amp;$A$62&amp;"]",FALSE)</f>
        <v>27.499999999999996</v>
      </c>
      <c r="O65" s="183" cm="1">
        <f t="array" aca="1" ref="O65" ca="1">INDIRECT("R[40]C["&amp;$A$62&amp;"]",FALSE)</f>
        <v>22.989020124107959</v>
      </c>
      <c r="P65" s="183" cm="1">
        <f t="array" aca="1" ref="P65" ca="1">INDIRECT("R[40]C["&amp;$A$62&amp;"]",FALSE)</f>
        <v>27.499999999999996</v>
      </c>
      <c r="Q65" s="183"/>
      <c r="R65" s="115">
        <f ca="1">SUM(D65:Q65)</f>
        <v>433.99122003851835</v>
      </c>
    </row>
    <row r="66" spans="1:18" ht="15.5" x14ac:dyDescent="0.35">
      <c r="A66" s="121">
        <f>A60</f>
        <v>1</v>
      </c>
      <c r="B66" s="125" t="s">
        <v>354</v>
      </c>
      <c r="C66" s="183" cm="1">
        <f t="array" aca="1" ref="C66" ca="1">INDIRECT("R[40]C["&amp;$A$62&amp;"]",FALSE)</f>
        <v>0</v>
      </c>
      <c r="D66" s="183" cm="1">
        <f t="array" aca="1" ref="D66" ca="1">INDIRECT("R[40]C["&amp;$A$62&amp;"]",FALSE)</f>
        <v>2</v>
      </c>
      <c r="E66" s="183" cm="1">
        <f t="array" aca="1" ref="E66" ca="1">INDIRECT("R[40]C["&amp;$A$62&amp;"]",FALSE)</f>
        <v>4.2268190283060445</v>
      </c>
      <c r="F66" s="183" cm="1">
        <f t="array" aca="1" ref="F66" ca="1">INDIRECT("R[40]C["&amp;$A$62&amp;"]",FALSE)</f>
        <v>5.9307324840764339</v>
      </c>
      <c r="G66" s="183" cm="1">
        <f t="array" aca="1" ref="G66" ca="1">INDIRECT("R[40]C["&amp;$A$62&amp;"]",FALSE)</f>
        <v>6.4619803063457333</v>
      </c>
      <c r="H66" s="183" cm="1">
        <f t="array" aca="1" ref="H66" ca="1">INDIRECT("R[40]C["&amp;$A$62&amp;"]",FALSE)</f>
        <v>5.8097500516422231</v>
      </c>
      <c r="I66" s="183" cm="1">
        <f t="array" aca="1" ref="I66" ca="1">INDIRECT("R[40]C["&amp;$A$62&amp;"]",FALSE)</f>
        <v>2.6656486848848604</v>
      </c>
      <c r="J66" s="183" cm="1">
        <f t="array" aca="1" ref="J66" ca="1">INDIRECT("R[40]C["&amp;$A$62&amp;"]",FALSE)</f>
        <v>6.5387968613775067</v>
      </c>
      <c r="K66" s="183" cm="1">
        <f t="array" aca="1" ref="K66" ca="1">INDIRECT("R[40]C["&amp;$A$62&amp;"]",FALSE)</f>
        <v>6.9783114437221183</v>
      </c>
      <c r="L66" s="183" cm="1">
        <f t="array" aca="1" ref="L66" ca="1">INDIRECT("R[40]C["&amp;$A$62&amp;"]",FALSE)</f>
        <v>3.2976500078082003</v>
      </c>
      <c r="M66" s="183" cm="1">
        <f t="array" aca="1" ref="M66" ca="1">INDIRECT("R[40]C["&amp;$A$62&amp;"]",FALSE)</f>
        <v>6.0983860053399708</v>
      </c>
      <c r="N66" s="183" cm="1">
        <f t="array" aca="1" ref="N66" ca="1">INDIRECT("R[40]C["&amp;$A$62&amp;"]",FALSE)</f>
        <v>5.5508830950378476</v>
      </c>
      <c r="O66" s="183" cm="1">
        <f t="array" aca="1" ref="O66" ca="1">INDIRECT("R[40]C["&amp;$A$62&amp;"]",FALSE)</f>
        <v>6.7581636817563817</v>
      </c>
      <c r="P66" s="183" cm="1">
        <f t="array" aca="1" ref="P66" ca="1">INDIRECT("R[40]C["&amp;$A$62&amp;"]",FALSE)</f>
        <v>7.1428571428571415</v>
      </c>
      <c r="Q66" s="183"/>
      <c r="R66" s="115">
        <f ca="1">SUM(D66:Q66)</f>
        <v>69.459978793154463</v>
      </c>
    </row>
    <row r="67" spans="1:18" ht="15.5" x14ac:dyDescent="0.35">
      <c r="A67" s="116"/>
      <c r="B67" s="129" t="s">
        <v>119</v>
      </c>
      <c r="C67" s="184"/>
      <c r="D67" s="180"/>
      <c r="E67" s="180"/>
      <c r="F67" s="180"/>
      <c r="G67" s="180"/>
      <c r="H67" s="180"/>
      <c r="I67" s="180"/>
      <c r="J67" s="180"/>
      <c r="K67" s="180"/>
      <c r="L67" s="180"/>
      <c r="M67" s="180"/>
      <c r="N67" s="180"/>
      <c r="O67" s="180"/>
      <c r="P67" s="180"/>
      <c r="Q67" s="180"/>
      <c r="R67" s="181"/>
    </row>
    <row r="68" spans="1:18" ht="15.5" x14ac:dyDescent="0.35">
      <c r="A68" s="121">
        <f>A59</f>
        <v>1</v>
      </c>
      <c r="B68" s="125" t="s">
        <v>355</v>
      </c>
      <c r="C68" s="183" cm="1">
        <f t="array" aca="1" ref="C68" ca="1">INDIRECT("R[40]C["&amp;$A$68&amp;"]",FALSE)</f>
        <v>0</v>
      </c>
      <c r="D68" s="183" cm="1">
        <f t="array" aca="1" ref="D68" ca="1">INDIRECT("R[40]C["&amp;$A$68&amp;"]",FALSE)</f>
        <v>2</v>
      </c>
      <c r="E68" s="183" cm="1">
        <f t="array" aca="1" ref="E68" ca="1">INDIRECT("R[40]C["&amp;$A$68&amp;"]",FALSE)</f>
        <v>4.2314068144245534</v>
      </c>
      <c r="F68" s="183" cm="1">
        <f t="array" aca="1" ref="F68" ca="1">INDIRECT("R[40]C["&amp;$A$68&amp;"]",FALSE)</f>
        <v>3.9469994106529565</v>
      </c>
      <c r="G68" s="183" cm="1">
        <f t="array" aca="1" ref="G68" ca="1">INDIRECT("R[40]C["&amp;$A$68&amp;"]",FALSE)</f>
        <v>6.0449050086355784</v>
      </c>
      <c r="H68" s="183" cm="1">
        <f t="array" aca="1" ref="H68" ca="1">INDIRECT("R[40]C["&amp;$A$68&amp;"]",FALSE)</f>
        <v>5.1642222681264203</v>
      </c>
      <c r="I68" s="183" cm="1">
        <f t="array" aca="1" ref="I68" ca="1">INDIRECT("R[40]C["&amp;$A$68&amp;"]",FALSE)</f>
        <v>2.5591102433962329</v>
      </c>
      <c r="J68" s="183" cm="1">
        <f t="array" aca="1" ref="J68" ca="1">INDIRECT("R[40]C["&amp;$A$68&amp;"]",FALSE)</f>
        <v>6.5387968613775067</v>
      </c>
      <c r="K68" s="183" cm="1">
        <f t="array" aca="1" ref="K68" ca="1">INDIRECT("R[40]C["&amp;$A$68&amp;"]",FALSE)</f>
        <v>5.0751355954342676</v>
      </c>
      <c r="L68" s="183" cm="1">
        <f t="array" aca="1" ref="L68" ca="1">INDIRECT("R[40]C["&amp;$A$68&amp;"]",FALSE)</f>
        <v>2.9978636434619998</v>
      </c>
      <c r="M68" s="183" cm="1">
        <f t="array" aca="1" ref="M68" ca="1">INDIRECT("R[40]C["&amp;$A$68&amp;"]",FALSE)</f>
        <v>5.5439872775817927</v>
      </c>
      <c r="N68" s="183" cm="1">
        <f t="array" aca="1" ref="N68" ca="1">INDIRECT("R[40]C["&amp;$A$68&amp;"]",FALSE)</f>
        <v>5.046257359125315</v>
      </c>
      <c r="O68" s="183" cm="1">
        <f t="array" aca="1" ref="O68" ca="1">INDIRECT("R[40]C["&amp;$A$68&amp;"]",FALSE)</f>
        <v>6.1437851652330755</v>
      </c>
      <c r="P68" s="183" cm="1">
        <f t="array" aca="1" ref="P68" ca="1">INDIRECT("R[40]C["&amp;$A$68&amp;"]",FALSE)</f>
        <v>6.4935064935064934</v>
      </c>
      <c r="Q68" s="183"/>
      <c r="R68" s="115">
        <f ca="1">SUM(D68:Q68)</f>
        <v>61.785976140956187</v>
      </c>
    </row>
    <row r="69" spans="1:18" ht="15.5" x14ac:dyDescent="0.35">
      <c r="A69" s="116"/>
      <c r="B69" s="129" t="s">
        <v>356</v>
      </c>
      <c r="C69" s="184"/>
      <c r="D69" s="184"/>
      <c r="E69" s="184"/>
      <c r="F69" s="184"/>
      <c r="G69" s="184"/>
      <c r="H69" s="184"/>
      <c r="I69" s="184"/>
      <c r="J69" s="184"/>
      <c r="K69" s="184"/>
      <c r="L69" s="184"/>
      <c r="M69" s="184"/>
      <c r="N69" s="184"/>
      <c r="O69" s="184"/>
      <c r="P69" s="184"/>
      <c r="Q69" s="184"/>
      <c r="R69" s="181"/>
    </row>
    <row r="70" spans="1:18" ht="15.5" x14ac:dyDescent="0.35">
      <c r="A70" s="121">
        <f>A59</f>
        <v>1</v>
      </c>
      <c r="B70" s="125" t="s">
        <v>357</v>
      </c>
      <c r="C70" s="183" cm="1">
        <f t="array" aca="1" ref="C70" ca="1">INDIRECT("R[40]C["&amp;$A$70&amp;"]",FALSE)</f>
        <v>0</v>
      </c>
      <c r="D70" s="183" cm="1">
        <f t="array" aca="1" ref="D70" ca="1">INDIRECT("R[40]C["&amp;$A$70&amp;"]",FALSE)</f>
        <v>125.50240000000001</v>
      </c>
      <c r="E70" s="183" cm="1">
        <f t="array" aca="1" ref="E70" ca="1">INDIRECT("R[40]C["&amp;$A$70&amp;"]",FALSE)</f>
        <v>364.85470323269982</v>
      </c>
      <c r="F70" s="183" cm="1">
        <f t="array" aca="1" ref="F70" ca="1">INDIRECT("R[40]C["&amp;$A$70&amp;"]",FALSE)</f>
        <v>477.31533802101336</v>
      </c>
      <c r="G70" s="183" cm="1">
        <f t="array" aca="1" ref="G70" ca="1">INDIRECT("R[40]C["&amp;$A$70&amp;"]",FALSE)</f>
        <v>449.285872193437</v>
      </c>
      <c r="H70" s="183" cm="1">
        <f t="array" aca="1" ref="H70" ca="1">INDIRECT("R[40]C["&amp;$A$70&amp;"]",FALSE)</f>
        <v>431.36800385595268</v>
      </c>
      <c r="I70" s="183" cm="1">
        <f t="array" aca="1" ref="I70" ca="1">INDIRECT("R[40]C["&amp;$A$70&amp;"]",FALSE)</f>
        <v>321.48076173670285</v>
      </c>
      <c r="J70" s="183" cm="1">
        <f t="array" aca="1" ref="J70" ca="1">INDIRECT("R[40]C["&amp;$A$70&amp;"]",FALSE)</f>
        <v>439.20000000000005</v>
      </c>
      <c r="K70" s="183" cm="1">
        <f t="array" aca="1" ref="K70" ca="1">INDIRECT("R[40]C["&amp;$A$70&amp;"]",FALSE)</f>
        <v>605.35943188095837</v>
      </c>
      <c r="L70" s="183" cm="1">
        <f t="array" aca="1" ref="L70" ca="1">INDIRECT("R[40]C["&amp;$A$70&amp;"]",FALSE)</f>
        <v>268.20284742722362</v>
      </c>
      <c r="M70" s="183" cm="1">
        <f t="array" aca="1" ref="M70" ca="1">INDIRECT("R[40]C["&amp;$A$70&amp;"]",FALSE)</f>
        <v>480.5809114581495</v>
      </c>
      <c r="N70" s="183" cm="1">
        <f t="array" aca="1" ref="N70" ca="1">INDIRECT("R[40]C["&amp;$A$70&amp;"]",FALSE)</f>
        <v>366</v>
      </c>
      <c r="O70" s="183" cm="1">
        <f t="array" aca="1" ref="O70" ca="1">INDIRECT("R[40]C["&amp;$A$70&amp;"]",FALSE)</f>
        <v>365.99999999999994</v>
      </c>
      <c r="P70" s="183" cm="1">
        <f t="array" aca="1" ref="P70" ca="1">INDIRECT("R[40]C["&amp;$A$70&amp;"]",FALSE)</f>
        <v>366</v>
      </c>
      <c r="Q70" s="183"/>
      <c r="R70" s="115">
        <f ca="1">SUM(D70:Q70)</f>
        <v>5061.1502698061377</v>
      </c>
    </row>
    <row r="71" spans="1:18" ht="15.5" x14ac:dyDescent="0.35">
      <c r="A71" s="121">
        <f>A59</f>
        <v>1</v>
      </c>
      <c r="B71" s="125" t="s">
        <v>358</v>
      </c>
      <c r="C71" s="183" cm="1">
        <f t="array" aca="1" ref="C71" ca="1">INDIRECT("R[40]C["&amp;$A$70&amp;"]",FALSE)</f>
        <v>0</v>
      </c>
      <c r="D71" s="183" cm="1">
        <f t="array" aca="1" ref="D71" ca="1">INDIRECT("R[40]C["&amp;$A$70&amp;"]",FALSE)</f>
        <v>256</v>
      </c>
      <c r="E71" s="183" cm="1">
        <f t="array" aca="1" ref="E71" ca="1">INDIRECT("R[40]C["&amp;$A$70&amp;"]",FALSE)</f>
        <v>392.0032820015582</v>
      </c>
      <c r="F71" s="183" cm="1">
        <f t="array" aca="1" ref="F71" ca="1">INDIRECT("R[40]C["&amp;$A$70&amp;"]",FALSE)</f>
        <v>332.53470034751155</v>
      </c>
      <c r="G71" s="183" cm="1">
        <f t="array" aca="1" ref="G71" ca="1">INDIRECT("R[40]C["&amp;$A$70&amp;"]",FALSE)</f>
        <v>430.63816925734022</v>
      </c>
      <c r="H71" s="183" cm="1">
        <f t="array" aca="1" ref="H71" ca="1">INDIRECT("R[40]C["&amp;$A$70&amp;"]",FALSE)</f>
        <v>543.2761826068994</v>
      </c>
      <c r="I71" s="183" cm="1">
        <f t="array" aca="1" ref="I71" ca="1">INDIRECT("R[40]C["&amp;$A$70&amp;"]",FALSE)</f>
        <v>210.69963952495658</v>
      </c>
      <c r="J71" s="183" cm="1">
        <f t="array" aca="1" ref="J71" ca="1">INDIRECT("R[40]C["&amp;$A$70&amp;"]",FALSE)</f>
        <v>902.69437663469932</v>
      </c>
      <c r="K71" s="183" cm="1">
        <f t="array" aca="1" ref="K71" ca="1">INDIRECT("R[40]C["&amp;$A$70&amp;"]",FALSE)</f>
        <v>431.32625837671696</v>
      </c>
      <c r="L71" s="183" cm="1">
        <f t="array" aca="1" ref="L71" ca="1">INDIRECT("R[40]C["&amp;$A$70&amp;"]",FALSE)</f>
        <v>362.74150085890199</v>
      </c>
      <c r="M71" s="183" cm="1">
        <f t="array" aca="1" ref="M71" ca="1">INDIRECT("R[40]C["&amp;$A$70&amp;"]",FALSE)</f>
        <v>777.49154780170943</v>
      </c>
      <c r="N71" s="183" cm="1">
        <f t="array" aca="1" ref="N71" ca="1">INDIRECT("R[40]C["&amp;$A$70&amp;"]",FALSE)</f>
        <v>756.93860386879726</v>
      </c>
      <c r="O71" s="183" cm="1">
        <f t="array" aca="1" ref="O71" ca="1">INDIRECT("R[40]C["&amp;$A$70&amp;"]",FALSE)</f>
        <v>826.22237280570926</v>
      </c>
      <c r="P71" s="183" cm="1">
        <f t="array" aca="1" ref="P71" ca="1">INDIRECT("R[40]C["&amp;$A$70&amp;"]",FALSE)</f>
        <v>909.09090909090912</v>
      </c>
      <c r="Q71" s="183"/>
      <c r="R71" s="115">
        <f ca="1">SUM(D71:Q71)</f>
        <v>7131.6575431757092</v>
      </c>
    </row>
    <row r="72" spans="1:18" ht="15.5" x14ac:dyDescent="0.35">
      <c r="A72" s="116"/>
      <c r="B72" s="179" t="str">
        <f>[1]Detailed!B66</f>
        <v>VESSELS</v>
      </c>
      <c r="C72" s="184"/>
      <c r="D72" s="184"/>
      <c r="E72" s="184"/>
      <c r="F72" s="184"/>
      <c r="G72" s="184"/>
      <c r="H72" s="184"/>
      <c r="I72" s="184"/>
      <c r="J72" s="184"/>
      <c r="K72" s="184"/>
      <c r="L72" s="184"/>
      <c r="M72" s="184"/>
      <c r="N72" s="184"/>
      <c r="O72" s="184"/>
      <c r="P72" s="184"/>
      <c r="Q72" s="179"/>
      <c r="R72" s="181"/>
    </row>
    <row r="73" spans="1:18" ht="15.5" x14ac:dyDescent="0.35">
      <c r="A73" s="116"/>
      <c r="B73" s="116"/>
      <c r="C73" s="116"/>
      <c r="D73" s="116"/>
      <c r="E73" s="116"/>
      <c r="F73" s="116"/>
      <c r="G73" s="116"/>
      <c r="H73" s="116"/>
      <c r="I73" s="116"/>
      <c r="J73" s="116"/>
      <c r="K73" s="116"/>
      <c r="L73" s="116"/>
      <c r="M73" s="116"/>
      <c r="N73" s="116"/>
      <c r="O73" s="116"/>
      <c r="P73" s="116"/>
      <c r="Q73" s="116"/>
      <c r="R73" s="115">
        <f>SUM(D73:Q73)</f>
        <v>0</v>
      </c>
    </row>
    <row r="74" spans="1:18" ht="15.5" x14ac:dyDescent="0.35">
      <c r="A74" s="116"/>
      <c r="B74" s="116"/>
      <c r="C74" s="116"/>
      <c r="D74" s="116"/>
      <c r="E74" s="116"/>
      <c r="F74" s="116"/>
      <c r="G74" s="116"/>
      <c r="H74" s="116"/>
      <c r="I74" s="116"/>
      <c r="J74" s="116"/>
      <c r="K74" s="116"/>
      <c r="L74" s="116"/>
      <c r="M74" s="116"/>
      <c r="N74" s="116"/>
      <c r="O74" s="116"/>
      <c r="P74" s="116"/>
      <c r="Q74" s="116"/>
      <c r="R74" s="115">
        <f>SUM(D74:Q74)</f>
        <v>0</v>
      </c>
    </row>
    <row r="75" spans="1:18" ht="15.5" x14ac:dyDescent="0.35">
      <c r="A75" s="116"/>
      <c r="B75" s="116"/>
      <c r="C75" s="116"/>
      <c r="D75" s="116"/>
      <c r="E75" s="116"/>
      <c r="F75" s="116"/>
      <c r="G75" s="116"/>
      <c r="H75" s="116"/>
      <c r="I75" s="116"/>
      <c r="J75" s="116"/>
      <c r="K75" s="116"/>
      <c r="L75" s="116"/>
      <c r="M75" s="116"/>
      <c r="N75" s="116"/>
      <c r="O75" s="116"/>
      <c r="P75" s="116"/>
      <c r="Q75" s="116"/>
      <c r="R75" s="116"/>
    </row>
    <row r="76" spans="1:18" ht="15.5" x14ac:dyDescent="0.35">
      <c r="A76" s="116"/>
      <c r="B76" s="116"/>
      <c r="C76" s="116"/>
      <c r="D76" s="116"/>
      <c r="E76" s="116"/>
      <c r="F76" s="116"/>
      <c r="G76" s="116"/>
      <c r="H76" s="116"/>
      <c r="I76" s="116"/>
      <c r="J76" s="116"/>
      <c r="K76" s="116"/>
      <c r="L76" s="116"/>
      <c r="M76" s="116"/>
      <c r="N76" s="116"/>
      <c r="O76" s="116"/>
      <c r="P76" s="116"/>
      <c r="Q76" s="116"/>
      <c r="R76" s="116"/>
    </row>
    <row r="77" spans="1:18" ht="15.5" x14ac:dyDescent="0.35">
      <c r="A77" s="116"/>
      <c r="B77" s="116"/>
      <c r="C77" s="116"/>
      <c r="D77" s="116"/>
      <c r="E77" s="116"/>
      <c r="F77" s="116"/>
      <c r="G77" s="116"/>
      <c r="H77" s="116"/>
      <c r="I77" s="116"/>
      <c r="J77" s="116"/>
      <c r="K77" s="116"/>
      <c r="L77" s="116"/>
      <c r="M77" s="116"/>
      <c r="N77" s="116"/>
      <c r="O77" s="116"/>
      <c r="P77" s="116"/>
      <c r="Q77" s="116"/>
      <c r="R77" s="115"/>
    </row>
    <row r="78" spans="1:18" ht="15.5" x14ac:dyDescent="0.35">
      <c r="A78" s="116"/>
      <c r="B78" s="116"/>
      <c r="C78" s="116"/>
      <c r="D78" s="116"/>
      <c r="E78" s="116"/>
      <c r="F78" s="116"/>
      <c r="G78" s="116"/>
      <c r="H78" s="116"/>
      <c r="I78" s="116"/>
      <c r="J78" s="116"/>
      <c r="K78" s="116"/>
      <c r="L78" s="116"/>
      <c r="M78" s="116"/>
      <c r="N78" s="116"/>
      <c r="O78" s="116"/>
      <c r="P78" s="116"/>
      <c r="Q78" s="116"/>
      <c r="R78" s="115"/>
    </row>
    <row r="79" spans="1:18" ht="15.5" x14ac:dyDescent="0.35">
      <c r="A79" s="116"/>
      <c r="B79" s="116"/>
      <c r="C79" s="116"/>
      <c r="D79" s="116"/>
      <c r="E79" s="116"/>
      <c r="F79" s="116"/>
      <c r="G79" s="116"/>
      <c r="H79" s="116"/>
      <c r="I79" s="116"/>
      <c r="J79" s="116"/>
      <c r="K79" s="116"/>
      <c r="L79" s="116"/>
      <c r="M79" s="116"/>
      <c r="N79" s="116"/>
      <c r="O79" s="116"/>
      <c r="P79" s="116"/>
      <c r="Q79" s="116"/>
      <c r="R79" s="115"/>
    </row>
    <row r="80" spans="1:18" ht="15.5" hidden="1" x14ac:dyDescent="0.35">
      <c r="A80" s="116"/>
      <c r="B80" s="185" t="s">
        <v>109</v>
      </c>
      <c r="C80" s="185"/>
      <c r="D80" s="185"/>
      <c r="E80" s="185"/>
      <c r="F80" s="185"/>
      <c r="G80" s="185"/>
      <c r="H80" s="185"/>
      <c r="I80" s="185"/>
      <c r="J80" s="185"/>
      <c r="K80" s="116"/>
      <c r="L80" s="116"/>
      <c r="M80" s="116"/>
      <c r="N80" s="116"/>
      <c r="O80" s="116"/>
      <c r="P80" s="116"/>
      <c r="Q80" s="116"/>
      <c r="R80" s="115"/>
    </row>
    <row r="81" spans="1:19" ht="15.5" x14ac:dyDescent="0.35">
      <c r="A81" s="116"/>
      <c r="B81" s="120" t="s">
        <v>170</v>
      </c>
      <c r="C81" s="120"/>
      <c r="D81" s="116"/>
      <c r="E81" s="116"/>
      <c r="F81" s="116"/>
      <c r="G81" s="116"/>
      <c r="H81" s="116"/>
      <c r="I81" s="116"/>
      <c r="J81" s="116"/>
      <c r="K81" s="116"/>
      <c r="L81" s="116"/>
      <c r="M81" s="116"/>
      <c r="N81" s="116"/>
      <c r="O81" s="116"/>
      <c r="P81" s="116"/>
      <c r="Q81" s="116"/>
      <c r="R81" s="115"/>
    </row>
    <row r="82" spans="1:19" ht="15.5" x14ac:dyDescent="0.35">
      <c r="A82" s="116"/>
      <c r="B82" s="120" t="s">
        <v>110</v>
      </c>
      <c r="C82" s="120"/>
      <c r="D82" s="183">
        <f>D83</f>
        <v>0</v>
      </c>
      <c r="E82" s="183">
        <f t="shared" ref="E82:Q82" si="9">E83+D82</f>
        <v>513.23076923076928</v>
      </c>
      <c r="F82" s="183">
        <f t="shared" si="9"/>
        <v>2328.2307692307695</v>
      </c>
      <c r="G82" s="183">
        <f t="shared" si="9"/>
        <v>4818.2307692307695</v>
      </c>
      <c r="H82" s="183">
        <f t="shared" si="9"/>
        <v>7818.2307692307695</v>
      </c>
      <c r="I82" s="183">
        <f t="shared" si="9"/>
        <v>10818.23076923077</v>
      </c>
      <c r="J82" s="183">
        <f t="shared" si="9"/>
        <v>12617.923076923078</v>
      </c>
      <c r="K82" s="183">
        <f t="shared" si="9"/>
        <v>15617.923076923078</v>
      </c>
      <c r="L82" s="186">
        <f t="shared" si="9"/>
        <v>18617.923076923078</v>
      </c>
      <c r="M82" s="183">
        <f t="shared" si="9"/>
        <v>21617.923076923078</v>
      </c>
      <c r="N82" s="183">
        <f t="shared" si="9"/>
        <v>24617.923076923078</v>
      </c>
      <c r="O82" s="183">
        <f t="shared" si="9"/>
        <v>27617.923076923078</v>
      </c>
      <c r="P82" s="183">
        <f t="shared" si="9"/>
        <v>30617.923076923078</v>
      </c>
      <c r="Q82" s="183">
        <f t="shared" si="9"/>
        <v>33617.923076923078</v>
      </c>
      <c r="R82" s="115">
        <f>Q82</f>
        <v>33617.923076923078</v>
      </c>
    </row>
    <row r="83" spans="1:19" ht="15.5" x14ac:dyDescent="0.35">
      <c r="A83" s="116"/>
      <c r="B83" s="120" t="s">
        <v>111</v>
      </c>
      <c r="C83" s="120"/>
      <c r="D83" s="183">
        <f t="shared" ref="D83:Q83" si="10">SUMPRODUCT(D86:D88,$B$86:$B$88)</f>
        <v>0</v>
      </c>
      <c r="E83" s="183">
        <f>SUMPRODUCT(E86:E88,$B$86:$B$88)</f>
        <v>513.23076923076928</v>
      </c>
      <c r="F83" s="183">
        <f>SUMPRODUCT(F86:F88,$B$86:$B$88)</f>
        <v>1815</v>
      </c>
      <c r="G83" s="183">
        <f t="shared" si="10"/>
        <v>2490</v>
      </c>
      <c r="H83" s="183">
        <f t="shared" si="10"/>
        <v>3000</v>
      </c>
      <c r="I83" s="183">
        <f>SUMPRODUCT(I86:I88,$B$86:$B$88)</f>
        <v>3000</v>
      </c>
      <c r="J83" s="183">
        <f t="shared" si="10"/>
        <v>1799.6923076923081</v>
      </c>
      <c r="K83" s="183">
        <f t="shared" si="10"/>
        <v>3000</v>
      </c>
      <c r="L83" s="186">
        <f>SUMPRODUCT(L86:L88,$B$86:$B$88)</f>
        <v>3000</v>
      </c>
      <c r="M83" s="183">
        <f t="shared" si="10"/>
        <v>3000</v>
      </c>
      <c r="N83" s="183">
        <f t="shared" si="10"/>
        <v>3000</v>
      </c>
      <c r="O83" s="183">
        <f t="shared" si="10"/>
        <v>3000</v>
      </c>
      <c r="P83" s="183">
        <f t="shared" si="10"/>
        <v>3000</v>
      </c>
      <c r="Q83" s="183">
        <f t="shared" si="10"/>
        <v>3000</v>
      </c>
      <c r="R83" s="115">
        <f>SUM(D83:Q83)</f>
        <v>33617.923076923078</v>
      </c>
    </row>
    <row r="84" spans="1:19" ht="15.5" x14ac:dyDescent="0.35">
      <c r="A84" s="116"/>
      <c r="B84" s="120" t="s">
        <v>84</v>
      </c>
      <c r="C84" s="120"/>
      <c r="D84" s="183">
        <f>ROUNDUP(D83/500,0)</f>
        <v>0</v>
      </c>
      <c r="E84" s="183">
        <f>ROUNDUP(E83/500,0)</f>
        <v>2</v>
      </c>
      <c r="F84" s="183">
        <f>ROUNDUP(F83/800,0)</f>
        <v>3</v>
      </c>
      <c r="G84" s="183">
        <f t="shared" ref="G84:Q84" si="11">ROUNDUP(G83/800,0)</f>
        <v>4</v>
      </c>
      <c r="H84" s="183">
        <f t="shared" si="11"/>
        <v>4</v>
      </c>
      <c r="I84" s="183">
        <f t="shared" si="11"/>
        <v>4</v>
      </c>
      <c r="J84" s="183">
        <f t="shared" si="11"/>
        <v>3</v>
      </c>
      <c r="K84" s="183">
        <f t="shared" si="11"/>
        <v>4</v>
      </c>
      <c r="L84" s="183">
        <f t="shared" si="11"/>
        <v>4</v>
      </c>
      <c r="M84" s="183">
        <f t="shared" si="11"/>
        <v>4</v>
      </c>
      <c r="N84" s="183">
        <f t="shared" si="11"/>
        <v>4</v>
      </c>
      <c r="O84" s="183">
        <f t="shared" si="11"/>
        <v>4</v>
      </c>
      <c r="P84" s="183">
        <f t="shared" si="11"/>
        <v>4</v>
      </c>
      <c r="Q84" s="183">
        <f t="shared" si="11"/>
        <v>4</v>
      </c>
      <c r="R84" s="115">
        <f>SUM(D84:Q84)</f>
        <v>48</v>
      </c>
    </row>
    <row r="85" spans="1:19" ht="15.5" x14ac:dyDescent="0.35">
      <c r="A85" s="116"/>
      <c r="B85" s="179" t="s">
        <v>112</v>
      </c>
      <c r="C85" s="180">
        <f>SUM(C86:C88)</f>
        <v>0</v>
      </c>
      <c r="D85" s="180">
        <f t="shared" ref="D85:Q85" si="12">SUM(D86:D88)</f>
        <v>0</v>
      </c>
      <c r="E85" s="180">
        <f t="shared" si="12"/>
        <v>42.769230769230774</v>
      </c>
      <c r="F85" s="180">
        <f t="shared" si="12"/>
        <v>143</v>
      </c>
      <c r="G85" s="180">
        <f t="shared" si="12"/>
        <v>191</v>
      </c>
      <c r="H85" s="180">
        <f t="shared" si="12"/>
        <v>225</v>
      </c>
      <c r="I85" s="180">
        <f t="shared" si="12"/>
        <v>225</v>
      </c>
      <c r="J85" s="180">
        <f t="shared" si="12"/>
        <v>124.97435897435901</v>
      </c>
      <c r="K85" s="180">
        <f t="shared" si="12"/>
        <v>200</v>
      </c>
      <c r="L85" s="180">
        <f t="shared" si="12"/>
        <v>200</v>
      </c>
      <c r="M85" s="180">
        <f t="shared" si="12"/>
        <v>183.33333333333331</v>
      </c>
      <c r="N85" s="180">
        <f t="shared" si="12"/>
        <v>183.33333333333331</v>
      </c>
      <c r="O85" s="180">
        <f t="shared" si="12"/>
        <v>183.33333333333331</v>
      </c>
      <c r="P85" s="180">
        <f t="shared" si="12"/>
        <v>183.33333333333331</v>
      </c>
      <c r="Q85" s="180">
        <f t="shared" si="12"/>
        <v>183.33333333333331</v>
      </c>
      <c r="R85" s="181">
        <f>SUM(C85:Q85)</f>
        <v>2268.4102564102564</v>
      </c>
    </row>
    <row r="86" spans="1:19" ht="15.5" x14ac:dyDescent="0.35">
      <c r="A86" s="187"/>
      <c r="B86" s="182">
        <v>12</v>
      </c>
      <c r="C86" s="182"/>
      <c r="D86" s="183">
        <f>'EC-UNC'!D86</f>
        <v>0</v>
      </c>
      <c r="E86" s="183">
        <f>IF(SUM('EC-UNC'!$D86:E86)-SUM($D86:D86)-E138&lt;0,SUM('EC-UNC'!$D86:E86)-SUM($D86:D86),E138)</f>
        <v>42.769230769230774</v>
      </c>
      <c r="F86" s="183">
        <f>IF(SUM('EC-UNC'!$D86:F86)-SUM($D86:E86)-F138&lt;0,SUM('EC-UNC'!$D86:F86)-SUM($D86:E86),F138)</f>
        <v>110</v>
      </c>
      <c r="G86" s="183">
        <f>IF(SUM('EC-UNC'!$D86:G86)-SUM($D86:F86)-G138&lt;0,SUM('EC-UNC'!$D86:G86)-SUM($D86:F86),G138)</f>
        <v>125</v>
      </c>
      <c r="H86" s="183">
        <f>IF(SUM('EC-UNC'!$D86:H86)-SUM($D86:G86)-H138&lt;0,SUM('EC-UNC'!$D86:H86)-SUM($D86:G86),H138)</f>
        <v>125</v>
      </c>
      <c r="I86" s="183">
        <f>IF(SUM('EC-UNC'!$D86:I86)-SUM($D86:H86)-I138&lt;0,SUM('EC-UNC'!$D86:I86)-SUM($D86:H86),I138)</f>
        <v>125</v>
      </c>
      <c r="J86" s="183">
        <f>IF(SUM('EC-UNC'!$D86:J86)-SUM($D86:I86)-J138&lt;0,SUM('EC-UNC'!$D86:J86)-SUM($D86:I86),J138)</f>
        <v>24.974358974359006</v>
      </c>
      <c r="K86" s="183">
        <f>IF(SUM('EC-UNC'!$D86:K86)-SUM($D86:J86)-K138&lt;0,SUM('EC-UNC'!$D86:K86)-SUM($D86:J86),K138)</f>
        <v>0</v>
      </c>
      <c r="L86" s="186">
        <f>IF(SUM('EC-UNC'!$D86:L86)-SUM($D86:K86)-L138&lt;0,SUM('EC-UNC'!$D86:L86)-SUM($D86:K86),L138)</f>
        <v>0</v>
      </c>
      <c r="M86" s="183">
        <f>IF(SUM('EC-UNC'!$D86:M86)-SUM($D86:L86)-M138&lt;0,SUM('EC-UNC'!$D86:M86)-SUM($D86:L86),M138)</f>
        <v>0</v>
      </c>
      <c r="N86" s="183">
        <f>IF(SUM('EC-UNC'!$D86:N86)-SUM($D86:M86)-N138&lt;0,SUM('EC-UNC'!$D86:N86)-SUM($D86:M86),N138)</f>
        <v>0</v>
      </c>
      <c r="O86" s="183">
        <f>IF(SUM('EC-UNC'!$D86:O86)-SUM($D86:N86)-O138&lt;0,SUM('EC-UNC'!$D86:O86)-SUM($D86:N86),O138)</f>
        <v>0</v>
      </c>
      <c r="P86" s="183">
        <f>IF(SUM('EC-UNC'!$D86:P86)-SUM($D86:O86)-P138&lt;0,SUM('EC-UNC'!$D86:P86)-SUM($D86:O86),P138)</f>
        <v>0</v>
      </c>
      <c r="Q86" s="183">
        <f>IF(SUM('EC-UNC'!$D86:Q86)-SUM($D86:P86)-Q138&lt;0,SUM('EC-UNC'!$D86:Q86)-SUM($D86:P86),Q138)</f>
        <v>0</v>
      </c>
      <c r="R86" s="115">
        <f>SUM(D86:Q86)</f>
        <v>552.74358974358972</v>
      </c>
      <c r="S86" s="22"/>
    </row>
    <row r="87" spans="1:19" ht="15.5" x14ac:dyDescent="0.35">
      <c r="A87" s="116"/>
      <c r="B87" s="182">
        <v>15</v>
      </c>
      <c r="C87" s="182"/>
      <c r="D87" s="183">
        <f>'EC-UNC'!D87</f>
        <v>0</v>
      </c>
      <c r="E87" s="183">
        <f>IF(SUM('EC-UNC'!$D87:E87)-SUM($D87:D87)-E139&lt;0,SUM('EC-UNC'!$D87:E87)-SUM($D87:D87),E139)</f>
        <v>0</v>
      </c>
      <c r="F87" s="183">
        <f>IF(SUM('EC-UNC'!$D87:F87)-SUM($D87:E87)-F139&lt;0,SUM('EC-UNC'!$D87:F87)-SUM($D87:E87),F139)</f>
        <v>33</v>
      </c>
      <c r="G87" s="183">
        <f>IF(SUM('EC-UNC'!$D87:G87)-SUM($D87:F87)-G139&lt;0,SUM('EC-UNC'!$D87:G87)-SUM($D87:F87),G139)</f>
        <v>66</v>
      </c>
      <c r="H87" s="183">
        <f>IF(SUM('EC-UNC'!$D87:H87)-SUM($D87:G87)-H139&lt;0,SUM('EC-UNC'!$D87:H87)-SUM($D87:G87),H139)</f>
        <v>100</v>
      </c>
      <c r="I87" s="183">
        <f>IF(SUM('EC-UNC'!$D87:I87)-SUM($D87:H87)-I139&lt;0,SUM('EC-UNC'!$D87:I87)-SUM($D87:H87),I139)</f>
        <v>100</v>
      </c>
      <c r="J87" s="183">
        <f>IF(SUM('EC-UNC'!$D87:J87)-SUM($D87:I87)-J139&lt;0,SUM('EC-UNC'!$D87:J87)-SUM($D87:I87),J139)</f>
        <v>100</v>
      </c>
      <c r="K87" s="183">
        <f>IF(SUM('EC-UNC'!$D87:K87)-SUM($D87:J87)-K139&lt;0,SUM('EC-UNC'!$D87:K87)-SUM($D87:J87),K139)</f>
        <v>200</v>
      </c>
      <c r="L87" s="186">
        <f>IF(SUM('EC-UNC'!$D87:L87)-SUM($D87:K87)-L139&lt;0,SUM('EC-UNC'!$D87:L87)-SUM($D87:K87),L139)</f>
        <v>200</v>
      </c>
      <c r="M87" s="183">
        <f>IF(SUM('EC-UNC'!$D87:M87)-SUM($D87:L87)-M139&lt;0,SUM('EC-UNC'!$D87:M87)-SUM($D87:L87),M139)</f>
        <v>100</v>
      </c>
      <c r="N87" s="183">
        <f>IF(SUM('EC-UNC'!$D87:N87)-SUM($D87:M87)-N139&lt;0,SUM('EC-UNC'!$D87:N87)-SUM($D87:M87),N139)</f>
        <v>100</v>
      </c>
      <c r="O87" s="183">
        <f>IF(SUM('EC-UNC'!$D87:O87)-SUM($D87:N87)-O139&lt;0,SUM('EC-UNC'!$D87:O87)-SUM($D87:N87),O139)</f>
        <v>100</v>
      </c>
      <c r="P87" s="183">
        <f>IF(SUM('EC-UNC'!$D87:P87)-SUM($D87:O87)-P139&lt;0,SUM('EC-UNC'!$D87:P87)-SUM($D87:O87),P139)</f>
        <v>100</v>
      </c>
      <c r="Q87" s="183">
        <f>IF(SUM('EC-UNC'!$D87:Q87)-SUM($D87:P87)-Q139&lt;0,SUM('EC-UNC'!$D87:Q87)-SUM($D87:P87),Q139)</f>
        <v>100</v>
      </c>
      <c r="R87" s="115">
        <f>SUM(D87:Q87)</f>
        <v>1299</v>
      </c>
      <c r="S87" s="22"/>
    </row>
    <row r="88" spans="1:19" ht="15.5" x14ac:dyDescent="0.35">
      <c r="A88" s="116"/>
      <c r="B88" s="182">
        <v>18</v>
      </c>
      <c r="C88" s="182"/>
      <c r="D88" s="183">
        <f>'EC-UNC'!D88</f>
        <v>0</v>
      </c>
      <c r="E88" s="183">
        <f>IF(SUM('EC-UNC'!$D88:E88)-SUM($D88:D88)-E140&lt;0,SUM('EC-UNC'!$D88:E88)-SUM($D88:D88),E140)</f>
        <v>0</v>
      </c>
      <c r="F88" s="183">
        <f>IF(SUM('EC-UNC'!$D88:F88)-SUM($D88:E88)-F140&lt;0,SUM('EC-UNC'!$D88:F88)-SUM($D88:E88),F140)</f>
        <v>0</v>
      </c>
      <c r="G88" s="183">
        <f>IF(SUM('EC-UNC'!$D88:G88)-SUM($D88:F88)-G140&lt;0,SUM('EC-UNC'!$D88:G88)-SUM($D88:F88),G140)</f>
        <v>0</v>
      </c>
      <c r="H88" s="183">
        <f>IF(SUM('EC-UNC'!$D88:H88)-SUM($D88:G88)-H140&lt;0,SUM('EC-UNC'!$D88:H88)-SUM($D88:G88),H140)</f>
        <v>0</v>
      </c>
      <c r="I88" s="183">
        <f>IF(SUM('EC-UNC'!$D88:I88)-SUM($D88:H88)-I140&lt;0,SUM('EC-UNC'!$D88:I88)-SUM($D88:H88),I140)</f>
        <v>0</v>
      </c>
      <c r="J88" s="183">
        <f>IF(SUM('EC-UNC'!$D88:J88)-SUM($D88:I88)-J140&lt;0,SUM('EC-UNC'!$D88:J88)-SUM($D88:I88),J140)</f>
        <v>0</v>
      </c>
      <c r="K88" s="183">
        <f>IF(SUM('EC-UNC'!$D88:K88)-SUM($D88:J88)-K140&lt;0,SUM('EC-UNC'!$D88:K88)-SUM($D88:J88),K140)</f>
        <v>0</v>
      </c>
      <c r="L88" s="186">
        <f>IF(SUM('EC-UNC'!$D88:L88)-SUM($D88:K88)-L140&lt;0,SUM('EC-UNC'!$D88:L88)-SUM($D88:K88),L140)</f>
        <v>0</v>
      </c>
      <c r="M88" s="183">
        <f>IF(SUM('EC-UNC'!$D88:M88)-SUM($D88:L88)-M140&lt;0,SUM('EC-UNC'!$D88:M88)-SUM($D88:L88),M140)</f>
        <v>83.333333333333329</v>
      </c>
      <c r="N88" s="183">
        <f>IF(SUM('EC-UNC'!$D88:N88)-SUM($D88:M88)-N140&lt;0,SUM('EC-UNC'!$D88:N88)-SUM($D88:M88),N140)</f>
        <v>83.333333333333329</v>
      </c>
      <c r="O88" s="183">
        <f>IF(SUM('EC-UNC'!$D88:O88)-SUM($D88:N88)-O140&lt;0,SUM('EC-UNC'!$D88:O88)-SUM($D88:N88),O140)</f>
        <v>83.333333333333329</v>
      </c>
      <c r="P88" s="183">
        <f>IF(SUM('EC-UNC'!$D88:P88)-SUM($D88:O88)-P140&lt;0,SUM('EC-UNC'!$D88:P88)-SUM($D88:O88),P140)</f>
        <v>83.333333333333329</v>
      </c>
      <c r="Q88" s="183">
        <f>IF(SUM('EC-UNC'!$D88:Q88)-SUM($D88:P88)-Q140&lt;0,SUM('EC-UNC'!$D88:Q88)-SUM($D88:P88),Q140)</f>
        <v>83.333333333333329</v>
      </c>
      <c r="R88" s="115">
        <f>SUM(D88:Q88)</f>
        <v>416.66666666666663</v>
      </c>
      <c r="S88" s="22"/>
    </row>
    <row r="89" spans="1:19" ht="15.5" x14ac:dyDescent="0.35">
      <c r="A89" s="116"/>
      <c r="B89" s="179" t="s">
        <v>113</v>
      </c>
      <c r="C89" s="179"/>
      <c r="D89" s="180"/>
      <c r="E89" s="180"/>
      <c r="F89" s="180"/>
      <c r="G89" s="180"/>
      <c r="H89" s="180"/>
      <c r="I89" s="180"/>
      <c r="J89" s="180"/>
      <c r="K89" s="180"/>
      <c r="L89" s="188"/>
      <c r="M89" s="180"/>
      <c r="N89" s="180"/>
      <c r="O89" s="180"/>
      <c r="P89" s="180"/>
      <c r="Q89" s="180"/>
      <c r="R89" s="181"/>
      <c r="S89" s="22"/>
    </row>
    <row r="90" spans="1:19" ht="15.5" x14ac:dyDescent="0.35">
      <c r="A90" s="116"/>
      <c r="B90" s="182">
        <v>12</v>
      </c>
      <c r="C90" s="182"/>
      <c r="D90" s="183">
        <f t="shared" ref="D90:Q92" si="13">3*D86</f>
        <v>0</v>
      </c>
      <c r="E90" s="183">
        <f t="shared" si="13"/>
        <v>128.30769230769232</v>
      </c>
      <c r="F90" s="183">
        <f t="shared" si="13"/>
        <v>330</v>
      </c>
      <c r="G90" s="183">
        <f t="shared" si="13"/>
        <v>375</v>
      </c>
      <c r="H90" s="183">
        <f t="shared" si="13"/>
        <v>375</v>
      </c>
      <c r="I90" s="183">
        <f t="shared" si="13"/>
        <v>375</v>
      </c>
      <c r="J90" s="183">
        <f t="shared" si="13"/>
        <v>74.923076923077019</v>
      </c>
      <c r="K90" s="183">
        <f t="shared" si="13"/>
        <v>0</v>
      </c>
      <c r="L90" s="186">
        <f t="shared" si="13"/>
        <v>0</v>
      </c>
      <c r="M90" s="183">
        <f t="shared" si="13"/>
        <v>0</v>
      </c>
      <c r="N90" s="183">
        <f t="shared" si="13"/>
        <v>0</v>
      </c>
      <c r="O90" s="183">
        <f t="shared" si="13"/>
        <v>0</v>
      </c>
      <c r="P90" s="183">
        <f t="shared" si="13"/>
        <v>0</v>
      </c>
      <c r="Q90" s="183">
        <f t="shared" si="13"/>
        <v>0</v>
      </c>
      <c r="R90" s="115">
        <f>SUM(D90:Q90)</f>
        <v>1658.2307692307695</v>
      </c>
    </row>
    <row r="91" spans="1:19" ht="15.5" x14ac:dyDescent="0.35">
      <c r="A91" s="116"/>
      <c r="B91" s="182">
        <v>15</v>
      </c>
      <c r="C91" s="182"/>
      <c r="D91" s="183">
        <f t="shared" si="13"/>
        <v>0</v>
      </c>
      <c r="E91" s="183">
        <f t="shared" si="13"/>
        <v>0</v>
      </c>
      <c r="F91" s="183">
        <f t="shared" si="13"/>
        <v>99</v>
      </c>
      <c r="G91" s="183">
        <f t="shared" si="13"/>
        <v>198</v>
      </c>
      <c r="H91" s="183">
        <f t="shared" si="13"/>
        <v>300</v>
      </c>
      <c r="I91" s="183">
        <f t="shared" si="13"/>
        <v>300</v>
      </c>
      <c r="J91" s="183">
        <f t="shared" si="13"/>
        <v>300</v>
      </c>
      <c r="K91" s="183">
        <f t="shared" si="13"/>
        <v>600</v>
      </c>
      <c r="L91" s="186">
        <f t="shared" si="13"/>
        <v>600</v>
      </c>
      <c r="M91" s="183">
        <f t="shared" si="13"/>
        <v>300</v>
      </c>
      <c r="N91" s="183">
        <f t="shared" si="13"/>
        <v>300</v>
      </c>
      <c r="O91" s="183">
        <f t="shared" si="13"/>
        <v>300</v>
      </c>
      <c r="P91" s="183">
        <f t="shared" si="13"/>
        <v>300</v>
      </c>
      <c r="Q91" s="183">
        <f t="shared" si="13"/>
        <v>300</v>
      </c>
      <c r="R91" s="115">
        <f>SUM(D91:Q91)</f>
        <v>3897</v>
      </c>
    </row>
    <row r="92" spans="1:19" ht="15.5" x14ac:dyDescent="0.35">
      <c r="A92" s="116"/>
      <c r="B92" s="182">
        <v>18</v>
      </c>
      <c r="C92" s="182"/>
      <c r="D92" s="183">
        <f t="shared" si="13"/>
        <v>0</v>
      </c>
      <c r="E92" s="183">
        <f t="shared" si="13"/>
        <v>0</v>
      </c>
      <c r="F92" s="183">
        <f t="shared" si="13"/>
        <v>0</v>
      </c>
      <c r="G92" s="183">
        <f t="shared" si="13"/>
        <v>0</v>
      </c>
      <c r="H92" s="183">
        <f t="shared" si="13"/>
        <v>0</v>
      </c>
      <c r="I92" s="183">
        <f t="shared" si="13"/>
        <v>0</v>
      </c>
      <c r="J92" s="183">
        <f t="shared" si="13"/>
        <v>0</v>
      </c>
      <c r="K92" s="183">
        <f t="shared" si="13"/>
        <v>0</v>
      </c>
      <c r="L92" s="186">
        <f t="shared" si="13"/>
        <v>0</v>
      </c>
      <c r="M92" s="183">
        <f t="shared" si="13"/>
        <v>250</v>
      </c>
      <c r="N92" s="183">
        <f t="shared" si="13"/>
        <v>250</v>
      </c>
      <c r="O92" s="183">
        <f t="shared" si="13"/>
        <v>250</v>
      </c>
      <c r="P92" s="183">
        <f t="shared" si="13"/>
        <v>250</v>
      </c>
      <c r="Q92" s="183">
        <f t="shared" si="13"/>
        <v>250</v>
      </c>
      <c r="R92" s="115">
        <f>SUM(D92:Q92)</f>
        <v>1250</v>
      </c>
    </row>
    <row r="93" spans="1:19" ht="15.5" x14ac:dyDescent="0.35">
      <c r="A93" s="116"/>
      <c r="B93" s="179" t="s">
        <v>114</v>
      </c>
      <c r="C93" s="179"/>
      <c r="D93" s="180"/>
      <c r="E93" s="180"/>
      <c r="F93" s="180"/>
      <c r="G93" s="180"/>
      <c r="H93" s="180"/>
      <c r="I93" s="180"/>
      <c r="J93" s="180"/>
      <c r="K93" s="180"/>
      <c r="L93" s="188"/>
      <c r="M93" s="180"/>
      <c r="N93" s="180"/>
      <c r="O93" s="180"/>
      <c r="P93" s="180"/>
      <c r="Q93" s="180"/>
      <c r="R93" s="181"/>
    </row>
    <row r="94" spans="1:19" ht="15.5" x14ac:dyDescent="0.35">
      <c r="A94" s="116"/>
      <c r="B94" s="182">
        <v>12</v>
      </c>
      <c r="C94" s="182"/>
      <c r="D94" s="183">
        <f t="shared" ref="D94:Q96" si="14">D86</f>
        <v>0</v>
      </c>
      <c r="E94" s="183">
        <f t="shared" si="14"/>
        <v>42.769230769230774</v>
      </c>
      <c r="F94" s="183">
        <f t="shared" si="14"/>
        <v>110</v>
      </c>
      <c r="G94" s="183">
        <f t="shared" si="14"/>
        <v>125</v>
      </c>
      <c r="H94" s="183">
        <f t="shared" si="14"/>
        <v>125</v>
      </c>
      <c r="I94" s="183">
        <f t="shared" si="14"/>
        <v>125</v>
      </c>
      <c r="J94" s="183">
        <f t="shared" si="14"/>
        <v>24.974358974359006</v>
      </c>
      <c r="K94" s="183">
        <f t="shared" si="14"/>
        <v>0</v>
      </c>
      <c r="L94" s="186">
        <f t="shared" si="14"/>
        <v>0</v>
      </c>
      <c r="M94" s="183">
        <f t="shared" si="14"/>
        <v>0</v>
      </c>
      <c r="N94" s="183">
        <f t="shared" si="14"/>
        <v>0</v>
      </c>
      <c r="O94" s="183">
        <f t="shared" si="14"/>
        <v>0</v>
      </c>
      <c r="P94" s="183">
        <f t="shared" si="14"/>
        <v>0</v>
      </c>
      <c r="Q94" s="183">
        <f t="shared" si="14"/>
        <v>0</v>
      </c>
      <c r="R94" s="115">
        <f>SUM(D94:Q94)</f>
        <v>552.74358974358972</v>
      </c>
    </row>
    <row r="95" spans="1:19" ht="15.5" x14ac:dyDescent="0.35">
      <c r="A95" s="116"/>
      <c r="B95" s="182">
        <v>15</v>
      </c>
      <c r="C95" s="182"/>
      <c r="D95" s="183">
        <f t="shared" si="14"/>
        <v>0</v>
      </c>
      <c r="E95" s="183">
        <f t="shared" si="14"/>
        <v>0</v>
      </c>
      <c r="F95" s="183">
        <f t="shared" si="14"/>
        <v>33</v>
      </c>
      <c r="G95" s="183">
        <f t="shared" si="14"/>
        <v>66</v>
      </c>
      <c r="H95" s="183">
        <f t="shared" si="14"/>
        <v>100</v>
      </c>
      <c r="I95" s="183">
        <f t="shared" si="14"/>
        <v>100</v>
      </c>
      <c r="J95" s="183">
        <f t="shared" si="14"/>
        <v>100</v>
      </c>
      <c r="K95" s="183">
        <f t="shared" si="14"/>
        <v>200</v>
      </c>
      <c r="L95" s="186">
        <f t="shared" si="14"/>
        <v>200</v>
      </c>
      <c r="M95" s="183">
        <f t="shared" si="14"/>
        <v>100</v>
      </c>
      <c r="N95" s="183">
        <f t="shared" si="14"/>
        <v>100</v>
      </c>
      <c r="O95" s="183">
        <f t="shared" si="14"/>
        <v>100</v>
      </c>
      <c r="P95" s="183">
        <f t="shared" si="14"/>
        <v>100</v>
      </c>
      <c r="Q95" s="183">
        <f t="shared" si="14"/>
        <v>100</v>
      </c>
      <c r="R95" s="115">
        <f>SUM(D95:Q95)</f>
        <v>1299</v>
      </c>
    </row>
    <row r="96" spans="1:19" ht="15.5" x14ac:dyDescent="0.35">
      <c r="A96" s="116"/>
      <c r="B96" s="182">
        <v>18</v>
      </c>
      <c r="C96" s="182"/>
      <c r="D96" s="183">
        <f t="shared" si="14"/>
        <v>0</v>
      </c>
      <c r="E96" s="183">
        <f t="shared" si="14"/>
        <v>0</v>
      </c>
      <c r="F96" s="183">
        <f t="shared" si="14"/>
        <v>0</v>
      </c>
      <c r="G96" s="183">
        <f t="shared" si="14"/>
        <v>0</v>
      </c>
      <c r="H96" s="183">
        <f t="shared" si="14"/>
        <v>0</v>
      </c>
      <c r="I96" s="183">
        <f t="shared" si="14"/>
        <v>0</v>
      </c>
      <c r="J96" s="183">
        <f t="shared" si="14"/>
        <v>0</v>
      </c>
      <c r="K96" s="183">
        <f t="shared" si="14"/>
        <v>0</v>
      </c>
      <c r="L96" s="186">
        <f t="shared" si="14"/>
        <v>0</v>
      </c>
      <c r="M96" s="183">
        <f t="shared" si="14"/>
        <v>83.333333333333329</v>
      </c>
      <c r="N96" s="183">
        <f t="shared" si="14"/>
        <v>83.333333333333329</v>
      </c>
      <c r="O96" s="183">
        <f t="shared" si="14"/>
        <v>83.333333333333329</v>
      </c>
      <c r="P96" s="183">
        <f t="shared" si="14"/>
        <v>83.333333333333329</v>
      </c>
      <c r="Q96" s="183">
        <f t="shared" si="14"/>
        <v>83.333333333333329</v>
      </c>
      <c r="R96" s="115">
        <f>SUM(D96:Q96)</f>
        <v>416.66666666666663</v>
      </c>
    </row>
    <row r="97" spans="1:18" ht="15.5" x14ac:dyDescent="0.35">
      <c r="A97" s="116"/>
      <c r="B97" s="179" t="s">
        <v>115</v>
      </c>
      <c r="C97" s="179"/>
      <c r="D97" s="180"/>
      <c r="E97" s="180"/>
      <c r="F97" s="180"/>
      <c r="G97" s="180"/>
      <c r="H97" s="180"/>
      <c r="I97" s="180"/>
      <c r="J97" s="180"/>
      <c r="K97" s="180"/>
      <c r="L97" s="188"/>
      <c r="M97" s="180"/>
      <c r="N97" s="180"/>
      <c r="O97" s="180"/>
      <c r="P97" s="180"/>
      <c r="Q97" s="180"/>
      <c r="R97" s="181"/>
    </row>
    <row r="98" spans="1:18" ht="15.5" x14ac:dyDescent="0.35">
      <c r="A98" s="116"/>
      <c r="B98" s="182">
        <v>12</v>
      </c>
      <c r="C98" s="182"/>
      <c r="D98" s="183">
        <f t="shared" ref="D98:Q100" si="15">D86</f>
        <v>0</v>
      </c>
      <c r="E98" s="183">
        <f t="shared" si="15"/>
        <v>42.769230769230774</v>
      </c>
      <c r="F98" s="183">
        <f t="shared" si="15"/>
        <v>110</v>
      </c>
      <c r="G98" s="183">
        <f t="shared" si="15"/>
        <v>125</v>
      </c>
      <c r="H98" s="183">
        <f t="shared" si="15"/>
        <v>125</v>
      </c>
      <c r="I98" s="183">
        <f t="shared" si="15"/>
        <v>125</v>
      </c>
      <c r="J98" s="183">
        <f t="shared" si="15"/>
        <v>24.974358974359006</v>
      </c>
      <c r="K98" s="183">
        <f t="shared" si="15"/>
        <v>0</v>
      </c>
      <c r="L98" s="186">
        <f t="shared" si="15"/>
        <v>0</v>
      </c>
      <c r="M98" s="183">
        <f t="shared" si="15"/>
        <v>0</v>
      </c>
      <c r="N98" s="183">
        <f t="shared" si="15"/>
        <v>0</v>
      </c>
      <c r="O98" s="183">
        <f t="shared" si="15"/>
        <v>0</v>
      </c>
      <c r="P98" s="183">
        <f t="shared" si="15"/>
        <v>0</v>
      </c>
      <c r="Q98" s="183">
        <f t="shared" si="15"/>
        <v>0</v>
      </c>
      <c r="R98" s="115">
        <f>SUM(D98:Q98)</f>
        <v>552.74358974358972</v>
      </c>
    </row>
    <row r="99" spans="1:18" ht="15.5" x14ac:dyDescent="0.35">
      <c r="A99" s="116"/>
      <c r="B99" s="182">
        <v>15</v>
      </c>
      <c r="C99" s="182"/>
      <c r="D99" s="183">
        <f t="shared" si="15"/>
        <v>0</v>
      </c>
      <c r="E99" s="183">
        <f t="shared" si="15"/>
        <v>0</v>
      </c>
      <c r="F99" s="183">
        <f t="shared" si="15"/>
        <v>33</v>
      </c>
      <c r="G99" s="183">
        <f t="shared" si="15"/>
        <v>66</v>
      </c>
      <c r="H99" s="183">
        <f t="shared" si="15"/>
        <v>100</v>
      </c>
      <c r="I99" s="183">
        <f t="shared" si="15"/>
        <v>100</v>
      </c>
      <c r="J99" s="183">
        <f t="shared" si="15"/>
        <v>100</v>
      </c>
      <c r="K99" s="183">
        <f t="shared" si="15"/>
        <v>200</v>
      </c>
      <c r="L99" s="186">
        <f t="shared" si="15"/>
        <v>200</v>
      </c>
      <c r="M99" s="183">
        <f t="shared" si="15"/>
        <v>100</v>
      </c>
      <c r="N99" s="183">
        <f t="shared" si="15"/>
        <v>100</v>
      </c>
      <c r="O99" s="183">
        <f t="shared" si="15"/>
        <v>100</v>
      </c>
      <c r="P99" s="183">
        <f t="shared" si="15"/>
        <v>100</v>
      </c>
      <c r="Q99" s="183">
        <f t="shared" si="15"/>
        <v>100</v>
      </c>
      <c r="R99" s="115">
        <f>SUM(D99:Q99)</f>
        <v>1299</v>
      </c>
    </row>
    <row r="100" spans="1:18" ht="15.5" x14ac:dyDescent="0.35">
      <c r="A100" s="116"/>
      <c r="B100" s="182">
        <v>18</v>
      </c>
      <c r="C100" s="182"/>
      <c r="D100" s="183">
        <f t="shared" si="15"/>
        <v>0</v>
      </c>
      <c r="E100" s="183">
        <f t="shared" si="15"/>
        <v>0</v>
      </c>
      <c r="F100" s="183">
        <f t="shared" si="15"/>
        <v>0</v>
      </c>
      <c r="G100" s="183">
        <f t="shared" si="15"/>
        <v>0</v>
      </c>
      <c r="H100" s="183">
        <f t="shared" si="15"/>
        <v>0</v>
      </c>
      <c r="I100" s="183">
        <f t="shared" si="15"/>
        <v>0</v>
      </c>
      <c r="J100" s="183">
        <f t="shared" si="15"/>
        <v>0</v>
      </c>
      <c r="K100" s="183">
        <f t="shared" si="15"/>
        <v>0</v>
      </c>
      <c r="L100" s="186">
        <f t="shared" si="15"/>
        <v>0</v>
      </c>
      <c r="M100" s="183">
        <f t="shared" si="15"/>
        <v>83.333333333333329</v>
      </c>
      <c r="N100" s="183">
        <f t="shared" si="15"/>
        <v>83.333333333333329</v>
      </c>
      <c r="O100" s="183">
        <f t="shared" si="15"/>
        <v>83.333333333333329</v>
      </c>
      <c r="P100" s="183">
        <f t="shared" si="15"/>
        <v>83.333333333333329</v>
      </c>
      <c r="Q100" s="183">
        <f t="shared" si="15"/>
        <v>83.333333333333329</v>
      </c>
      <c r="R100" s="115">
        <f>SUM(D100:Q100)</f>
        <v>416.66666666666663</v>
      </c>
    </row>
    <row r="101" spans="1:18" ht="15.5" x14ac:dyDescent="0.35">
      <c r="A101" s="116"/>
      <c r="B101" s="179" t="s">
        <v>116</v>
      </c>
      <c r="C101" s="179"/>
      <c r="D101" s="180"/>
      <c r="E101" s="180"/>
      <c r="F101" s="180"/>
      <c r="G101" s="180"/>
      <c r="H101" s="180"/>
      <c r="I101" s="180"/>
      <c r="J101" s="180"/>
      <c r="K101" s="180"/>
      <c r="L101" s="188"/>
      <c r="M101" s="180"/>
      <c r="N101" s="180"/>
      <c r="O101" s="180"/>
      <c r="P101" s="180"/>
      <c r="Q101" s="180"/>
      <c r="R101" s="181"/>
    </row>
    <row r="102" spans="1:18" ht="15.5" x14ac:dyDescent="0.35">
      <c r="A102" s="116"/>
      <c r="B102" s="116" t="s">
        <v>257</v>
      </c>
      <c r="C102" s="116"/>
      <c r="D102" s="183">
        <f>IF(SUM('EC-UNC'!D$86:D$88)=0,0,'EC-UNC'!D102*SUM(D$86:D$88)/SUM('EC-UNC'!D$86:D$88))</f>
        <v>0</v>
      </c>
      <c r="E102" s="183">
        <f>IF(SUM('EC-UNC'!E$86:E$88)=0,0,'EC-UNC'!E102*SUM(E$86:E$88)/SUM('EC-UNC'!E$86:E$88))</f>
        <v>32.769230769230774</v>
      </c>
      <c r="F102" s="183">
        <f>IF(SUM('EC-UNC'!F$86:F$88)=0,0,'EC-UNC'!F102*SUM(F$86:F$88)/SUM('EC-UNC'!F$86:F$88))</f>
        <v>97.002764431344275</v>
      </c>
      <c r="G102" s="183">
        <f>IF(SUM('EC-UNC'!G$86:G$88)=0,0,'EC-UNC'!G102*SUM(G$86:G$88)/SUM('EC-UNC'!G$86:G$88))</f>
        <v>118.28938871196038</v>
      </c>
      <c r="H102" s="183">
        <f>IF(SUM('EC-UNC'!H$86:H$88)=0,0,'EC-UNC'!H102*SUM(H$86:H$88)/SUM('EC-UNC'!H$86:H$88))</f>
        <v>148.3793763676149</v>
      </c>
      <c r="I102" s="183">
        <f>IF(SUM('EC-UNC'!I$86:I$88)=0,0,'EC-UNC'!I102*SUM(I$86:I$88)/SUM('EC-UNC'!I$86:I$88))</f>
        <v>112.9570336707292</v>
      </c>
      <c r="J102" s="183">
        <f>IF(SUM('EC-UNC'!J$86:J$88)=0,0,'EC-UNC'!J102*SUM(J$86:J$88)/SUM('EC-UNC'!J$86:J$88))</f>
        <v>75.563143101704156</v>
      </c>
      <c r="K102" s="183">
        <f>IF(SUM('EC-UNC'!K$86:K$88)=0,0,'EC-UNC'!K102*SUM(K$86:K$88)/SUM('EC-UNC'!K$86:K$88))</f>
        <v>196.49520488230164</v>
      </c>
      <c r="L102" s="183">
        <f>IF(SUM('EC-UNC'!L$86:L$88)=0,0,'EC-UNC'!L102*SUM(L$86:L$88)/SUM('EC-UNC'!L$86:L$88))</f>
        <v>166.2355458115421</v>
      </c>
      <c r="M102" s="183">
        <f>IF(SUM('EC-UNC'!M$86:M$88)=0,0,'EC-UNC'!M102*SUM(M$86:M$88)/SUM('EC-UNC'!M$86:M$88))</f>
        <v>106.865271870244</v>
      </c>
      <c r="N102" s="183">
        <f>IF(SUM('EC-UNC'!N$86:N$88)=0,0,'EC-UNC'!N102*SUM(N$86:N$88)/SUM('EC-UNC'!N$86:N$88))</f>
        <v>118.0473889376599</v>
      </c>
      <c r="O102" s="183">
        <f>IF(SUM('EC-UNC'!O$86:O$88)=0,0,'EC-UNC'!O102*SUM(O$86:O$88)/SUM('EC-UNC'!O$86:O$88))</f>
        <v>128.33333333333329</v>
      </c>
      <c r="P102" s="183">
        <f>IF(SUM('EC-UNC'!P$86:P$88)=0,0,'EC-UNC'!P102*SUM(P$86:P$88)/SUM('EC-UNC'!P$86:P$88))</f>
        <v>137.35529308511735</v>
      </c>
      <c r="Q102" s="183">
        <f>IF(SUM('EC-UNC'!Q$86:Q$88)=0,0,'EC-UNC'!Q102*SUM(Q$86:Q$88)/SUM('EC-UNC'!Q$86:Q$88))</f>
        <v>128.33333333333331</v>
      </c>
      <c r="R102" s="115">
        <f>SUM(D102:Q102)</f>
        <v>1566.6263083061153</v>
      </c>
    </row>
    <row r="103" spans="1:18" ht="15.5" x14ac:dyDescent="0.35">
      <c r="A103" s="116"/>
      <c r="B103" s="116" t="s">
        <v>258</v>
      </c>
      <c r="C103" s="116"/>
      <c r="D103" s="183">
        <f>IF(SUM('EC-UNC'!D$86:D$88)=0,0,'EC-UNC'!D103*SUM(D$86:D$88)/SUM('EC-UNC'!D$86:D$88))</f>
        <v>0</v>
      </c>
      <c r="E103" s="183">
        <f>IF(SUM('EC-UNC'!E$86:E$88)=0,0,'EC-UNC'!E103*SUM(E$86:E$88)/SUM('EC-UNC'!E$86:E$88))</f>
        <v>32.769230769230774</v>
      </c>
      <c r="F103" s="183">
        <f>IF(SUM('EC-UNC'!F$86:F$88)=0,0,'EC-UNC'!F103*SUM(F$86:F$88)/SUM('EC-UNC'!F$86:F$88))</f>
        <v>97.002764431344275</v>
      </c>
      <c r="G103" s="183">
        <f>IF(SUM('EC-UNC'!G$86:G$88)=0,0,'EC-UNC'!G103*SUM(G$86:G$88)/SUM('EC-UNC'!G$86:G$88))</f>
        <v>118.28938871196038</v>
      </c>
      <c r="H103" s="183">
        <f>IF(SUM('EC-UNC'!H$86:H$88)=0,0,'EC-UNC'!H103*SUM(H$86:H$88)/SUM('EC-UNC'!H$86:H$88))</f>
        <v>148.3793763676149</v>
      </c>
      <c r="I103" s="183">
        <f>IF(SUM('EC-UNC'!I$86:I$88)=0,0,'EC-UNC'!I103*SUM(I$86:I$88)/SUM('EC-UNC'!I$86:I$88))</f>
        <v>112.9570336707292</v>
      </c>
      <c r="J103" s="183">
        <f>IF(SUM('EC-UNC'!J$86:J$88)=0,0,'EC-UNC'!J103*SUM(J$86:J$88)/SUM('EC-UNC'!J$86:J$88))</f>
        <v>75.563143101704156</v>
      </c>
      <c r="K103" s="183">
        <f>IF(SUM('EC-UNC'!K$86:K$88)=0,0,'EC-UNC'!K103*SUM(K$86:K$88)/SUM('EC-UNC'!K$86:K$88))</f>
        <v>196.49520488230164</v>
      </c>
      <c r="L103" s="183">
        <f>IF(SUM('EC-UNC'!L$86:L$88)=0,0,'EC-UNC'!L103*SUM(L$86:L$88)/SUM('EC-UNC'!L$86:L$88))</f>
        <v>166.2355458115421</v>
      </c>
      <c r="M103" s="183">
        <f>IF(SUM('EC-UNC'!M$86:M$88)=0,0,'EC-UNC'!M103*SUM(M$86:M$88)/SUM('EC-UNC'!M$86:M$88))</f>
        <v>106.865271870244</v>
      </c>
      <c r="N103" s="183">
        <f>IF(SUM('EC-UNC'!N$86:N$88)=0,0,'EC-UNC'!N103*SUM(N$86:N$88)/SUM('EC-UNC'!N$86:N$88))</f>
        <v>118.0473889376599</v>
      </c>
      <c r="O103" s="183">
        <f>IF(SUM('EC-UNC'!O$86:O$88)=0,0,'EC-UNC'!O103*SUM(O$86:O$88)/SUM('EC-UNC'!O$86:O$88))</f>
        <v>128.33333333333329</v>
      </c>
      <c r="P103" s="183">
        <f>IF(SUM('EC-UNC'!P$86:P$88)=0,0,'EC-UNC'!P103*SUM(P$86:P$88)/SUM('EC-UNC'!P$86:P$88))</f>
        <v>137.35529308511735</v>
      </c>
      <c r="Q103" s="183">
        <f>IF(SUM('EC-UNC'!Q$86:Q$88)=0,0,'EC-UNC'!Q103*SUM(Q$86:Q$88)/SUM('EC-UNC'!Q$86:Q$88))</f>
        <v>128.33333333333331</v>
      </c>
      <c r="R103" s="115">
        <f>SUM(D103:Q103)</f>
        <v>1566.6263083061153</v>
      </c>
    </row>
    <row r="104" spans="1:18" ht="15.5" x14ac:dyDescent="0.35">
      <c r="A104" s="116"/>
      <c r="B104" s="116" t="s">
        <v>117</v>
      </c>
      <c r="C104" s="116"/>
      <c r="D104" s="183">
        <f>IF(SUM('EC-UNC'!D$86:D$88)=0,0,'EC-UNC'!D104*SUM(D$86:D$88)/SUM('EC-UNC'!D$86:D$88))</f>
        <v>0</v>
      </c>
      <c r="E104" s="183">
        <f>IF(SUM('EC-UNC'!E$86:E$88)=0,0,'EC-UNC'!E104*SUM(E$86:E$88)/SUM('EC-UNC'!E$86:E$88))</f>
        <v>0</v>
      </c>
      <c r="F104" s="183">
        <f>IF(SUM('EC-UNC'!F$86:F$88)=0,0,'EC-UNC'!F104*SUM(F$86:F$88)/SUM('EC-UNC'!F$86:F$88))</f>
        <v>12.318158311063328</v>
      </c>
      <c r="G104" s="183">
        <f>IF(SUM('EC-UNC'!G$86:G$88)=0,0,'EC-UNC'!G104*SUM(G$86:G$88)/SUM('EC-UNC'!G$86:G$88))</f>
        <v>7.9076433121019116</v>
      </c>
      <c r="H104" s="183">
        <f>IF(SUM('EC-UNC'!H$86:H$88)=0,0,'EC-UNC'!H104*SUM(H$86:H$88)/SUM('EC-UNC'!H$86:H$88))</f>
        <v>10.154540481400439</v>
      </c>
      <c r="I104" s="183">
        <f>IF(SUM('EC-UNC'!I$86:I$88)=0,0,'EC-UNC'!I104*SUM(I$86:I$88)/SUM('EC-UNC'!I$86:I$88))</f>
        <v>6.2280520553604628</v>
      </c>
      <c r="J104" s="183">
        <f>IF(SUM('EC-UNC'!J$86:J$88)=0,0,'EC-UNC'!J104*SUM(J$86:J$88)/SUM('EC-UNC'!J$86:J$88))</f>
        <v>15.404117337778386</v>
      </c>
      <c r="K104" s="183">
        <f>IF(SUM('EC-UNC'!K$86:K$88)=0,0,'EC-UNC'!K104*SUM(K$86:K$88)/SUM('EC-UNC'!K$86:K$88))</f>
        <v>13.391455972101133</v>
      </c>
      <c r="L104" s="183">
        <f>IF(SUM('EC-UNC'!L$86:L$88)=0,0,'EC-UNC'!L104*SUM(L$86:L$88)/SUM('EC-UNC'!L$86:L$88))</f>
        <v>6.1662897484526349</v>
      </c>
      <c r="M104" s="183">
        <f>IF(SUM('EC-UNC'!M$86:M$88)=0,0,'EC-UNC'!M104*SUM(M$86:M$88)/SUM('EC-UNC'!M$86:M$88))</f>
        <v>13.740208365867497</v>
      </c>
      <c r="N104" s="183">
        <f>IF(SUM('EC-UNC'!N$86:N$88)=0,0,'EC-UNC'!N104*SUM(N$86:N$88)/SUM('EC-UNC'!N$86:N$88))</f>
        <v>23.642770851622469</v>
      </c>
      <c r="O104" s="183">
        <f>IF(SUM('EC-UNC'!O$86:O$88)=0,0,'EC-UNC'!O104*SUM(O$86:O$88)/SUM('EC-UNC'!O$86:O$88))</f>
        <v>27.499999999999996</v>
      </c>
      <c r="P104" s="183">
        <f>IF(SUM('EC-UNC'!P$86:P$88)=0,0,'EC-UNC'!P104*SUM(P$86:P$88)/SUM('EC-UNC'!P$86:P$88))</f>
        <v>22.989020124107959</v>
      </c>
      <c r="Q104" s="183">
        <f>IF(SUM('EC-UNC'!Q$86:Q$88)=0,0,'EC-UNC'!Q104*SUM(Q$86:Q$88)/SUM('EC-UNC'!Q$86:Q$88))</f>
        <v>27.499999999999996</v>
      </c>
      <c r="R104" s="115">
        <f>SUM(D104:Q104)</f>
        <v>186.94225655985622</v>
      </c>
    </row>
    <row r="105" spans="1:18" ht="15.5" x14ac:dyDescent="0.35">
      <c r="A105" s="116"/>
      <c r="B105" s="116" t="s">
        <v>118</v>
      </c>
      <c r="C105" s="116"/>
      <c r="D105" s="183">
        <f>IF(SUM('EC-UNC'!D$86:D$88)=0,0,'EC-UNC'!D105*SUM(D$86:D$88)/SUM('EC-UNC'!D$86:D$88))</f>
        <v>0</v>
      </c>
      <c r="E105" s="183">
        <f>IF(SUM('EC-UNC'!E$86:E$88)=0,0,'EC-UNC'!E105*SUM(E$86:E$88)/SUM('EC-UNC'!E$86:E$88))</f>
        <v>10</v>
      </c>
      <c r="F105" s="183">
        <f>IF(SUM('EC-UNC'!F$86:F$88)=0,0,'EC-UNC'!F105*SUM(F$86:F$88)/SUM('EC-UNC'!F$86:F$88))</f>
        <v>33.679077257592397</v>
      </c>
      <c r="G105" s="183">
        <f>IF(SUM('EC-UNC'!G$86:G$88)=0,0,'EC-UNC'!G105*SUM(G$86:G$88)/SUM('EC-UNC'!G$86:G$88))</f>
        <v>50.30562190375089</v>
      </c>
      <c r="H105" s="183">
        <f>IF(SUM('EC-UNC'!H$86:H$88)=0,0,'EC-UNC'!H105*SUM(H$86:H$88)/SUM('EC-UNC'!H$86:H$88))</f>
        <v>46.15700218818381</v>
      </c>
      <c r="I105" s="183">
        <f>IF(SUM('EC-UNC'!I$86:I$88)=0,0,'EC-UNC'!I105*SUM(I$86:I$88)/SUM('EC-UNC'!I$86:I$88))</f>
        <v>105.81491427391038</v>
      </c>
      <c r="J105" s="183">
        <f>IF(SUM('EC-UNC'!J$86:J$88)=0,0,'EC-UNC'!J105*SUM(J$86:J$88)/SUM('EC-UNC'!J$86:J$88))</f>
        <v>27.20627689010611</v>
      </c>
      <c r="K105" s="183">
        <f>IF(SUM('EC-UNC'!K$86:K$88)=0,0,'EC-UNC'!K105*SUM(K$86:K$88)/SUM('EC-UNC'!K$86:K$88))</f>
        <v>13.391455972101133</v>
      </c>
      <c r="L105" s="183">
        <f>IF(SUM('EC-UNC'!L$86:L$88)=0,0,'EC-UNC'!L105*SUM(L$86:L$88)/SUM('EC-UNC'!L$86:L$88))</f>
        <v>14.064469518847215</v>
      </c>
      <c r="M105" s="183">
        <f>IF(SUM('EC-UNC'!M$86:M$88)=0,0,'EC-UNC'!M105*SUM(M$86:M$88)/SUM('EC-UNC'!M$86:M$88))</f>
        <v>13.740208365867497</v>
      </c>
      <c r="N105" s="183">
        <f>IF(SUM('EC-UNC'!N$86:N$88)=0,0,'EC-UNC'!N105*SUM(N$86:N$88)/SUM('EC-UNC'!N$86:N$88))</f>
        <v>41.643173544050946</v>
      </c>
      <c r="O105" s="183">
        <f>IF(SUM('EC-UNC'!O$86:O$88)=0,0,'EC-UNC'!O105*SUM(O$86:O$88)/SUM('EC-UNC'!O$86:O$88))</f>
        <v>27.499999999999996</v>
      </c>
      <c r="P105" s="183">
        <f>IF(SUM('EC-UNC'!P$86:P$88)=0,0,'EC-UNC'!P105*SUM(P$86:P$88)/SUM('EC-UNC'!P$86:P$88))</f>
        <v>22.989020124107959</v>
      </c>
      <c r="Q105" s="183">
        <f>IF(SUM('EC-UNC'!Q$86:Q$88)=0,0,'EC-UNC'!Q105*SUM(Q$86:Q$88)/SUM('EC-UNC'!Q$86:Q$88))</f>
        <v>27.499999999999996</v>
      </c>
      <c r="R105" s="115">
        <f>SUM(D105:Q105)</f>
        <v>433.99122003851835</v>
      </c>
    </row>
    <row r="106" spans="1:18" ht="15.5" x14ac:dyDescent="0.35">
      <c r="A106" s="116"/>
      <c r="B106" s="116" t="s">
        <v>354</v>
      </c>
      <c r="C106" s="116"/>
      <c r="D106" s="183">
        <f>IF(SUM('EC-UNC'!D$86:D$88)=0,0,'EC-UNC'!D106*SUM(D$86:D$88)/SUM('EC-UNC'!D$86:D$88))</f>
        <v>0</v>
      </c>
      <c r="E106" s="183">
        <f>IF(SUM('EC-UNC'!E$86:E$88)=0,0,'EC-UNC'!E106*SUM(E$86:E$88)/SUM('EC-UNC'!E$86:E$88))</f>
        <v>2</v>
      </c>
      <c r="F106" s="183">
        <f>IF(SUM('EC-UNC'!F$86:F$88)=0,0,'EC-UNC'!F106*SUM(F$86:F$88)/SUM('EC-UNC'!F$86:F$88))</f>
        <v>4.2268190283060445</v>
      </c>
      <c r="G106" s="183">
        <f>IF(SUM('EC-UNC'!G$86:G$88)=0,0,'EC-UNC'!G106*SUM(G$86:G$88)/SUM('EC-UNC'!G$86:G$88))</f>
        <v>5.9307324840764339</v>
      </c>
      <c r="H106" s="183">
        <f>IF(SUM('EC-UNC'!H$86:H$88)=0,0,'EC-UNC'!H106*SUM(H$86:H$88)/SUM('EC-UNC'!H$86:H$88))</f>
        <v>6.4619803063457333</v>
      </c>
      <c r="I106" s="183">
        <f>IF(SUM('EC-UNC'!I$86:I$88)=0,0,'EC-UNC'!I106*SUM(I$86:I$88)/SUM('EC-UNC'!I$86:I$88))</f>
        <v>5.8097500516422231</v>
      </c>
      <c r="J106" s="183">
        <f>IF(SUM('EC-UNC'!J$86:J$88)=0,0,'EC-UNC'!J106*SUM(J$86:J$88)/SUM('EC-UNC'!J$86:J$88))</f>
        <v>2.6656486848848604</v>
      </c>
      <c r="K106" s="183">
        <f>IF(SUM('EC-UNC'!K$86:K$88)=0,0,'EC-UNC'!K106*SUM(K$86:K$88)/SUM('EC-UNC'!K$86:K$88))</f>
        <v>6.5387968613775067</v>
      </c>
      <c r="L106" s="183">
        <f>IF(SUM('EC-UNC'!L$86:L$88)=0,0,'EC-UNC'!L106*SUM(L$86:L$88)/SUM('EC-UNC'!L$86:L$88))</f>
        <v>6.9783114437221183</v>
      </c>
      <c r="M106" s="183">
        <f>IF(SUM('EC-UNC'!M$86:M$88)=0,0,'EC-UNC'!M106*SUM(M$86:M$88)/SUM('EC-UNC'!M$86:M$88))</f>
        <v>3.2976500078082003</v>
      </c>
      <c r="N106" s="183">
        <f>IF(SUM('EC-UNC'!N$86:N$88)=0,0,'EC-UNC'!N106*SUM(N$86:N$88)/SUM('EC-UNC'!N$86:N$88))</f>
        <v>6.0983860053399708</v>
      </c>
      <c r="O106" s="183">
        <f>IF(SUM('EC-UNC'!O$86:O$88)=0,0,'EC-UNC'!O106*SUM(O$86:O$88)/SUM('EC-UNC'!O$86:O$88))</f>
        <v>5.5508830950378476</v>
      </c>
      <c r="P106" s="183">
        <f>IF(SUM('EC-UNC'!P$86:P$88)=0,0,'EC-UNC'!P106*SUM(P$86:P$88)/SUM('EC-UNC'!P$86:P$88))</f>
        <v>6.7581636817563817</v>
      </c>
      <c r="Q106" s="183">
        <f>IF(SUM('EC-UNC'!Q$86:Q$88)=0,0,'EC-UNC'!Q106*SUM(Q$86:Q$88)/SUM('EC-UNC'!Q$86:Q$88))</f>
        <v>7.1428571428571415</v>
      </c>
      <c r="R106" s="115">
        <f>SUM(D106:Q106)</f>
        <v>69.459978793154463</v>
      </c>
    </row>
    <row r="107" spans="1:18" ht="15.5" x14ac:dyDescent="0.35">
      <c r="A107" s="116"/>
      <c r="B107" s="179" t="s">
        <v>119</v>
      </c>
      <c r="C107" s="179"/>
      <c r="D107" s="180"/>
      <c r="E107" s="180"/>
      <c r="F107" s="180"/>
      <c r="G107" s="180"/>
      <c r="H107" s="180"/>
      <c r="I107" s="180"/>
      <c r="J107" s="180"/>
      <c r="K107" s="180"/>
      <c r="L107" s="188"/>
      <c r="M107" s="180"/>
      <c r="N107" s="180"/>
      <c r="O107" s="180"/>
      <c r="P107" s="180"/>
      <c r="Q107" s="180"/>
      <c r="R107" s="181"/>
    </row>
    <row r="108" spans="1:18" ht="15.5" x14ac:dyDescent="0.35">
      <c r="A108" s="116"/>
      <c r="B108" s="116" t="s">
        <v>271</v>
      </c>
      <c r="C108" s="116"/>
      <c r="D108" s="183">
        <f>IF('EC-UNC'!D$83=0,0,'EC-UNC'!D108*D$83/'EC-UNC'!D$83)</f>
        <v>0</v>
      </c>
      <c r="E108" s="183">
        <f>IF('EC-UNC'!E$83=0,0,'EC-UNC'!E108*E$83/'EC-UNC'!E$83)</f>
        <v>2</v>
      </c>
      <c r="F108" s="183">
        <f>IF('EC-UNC'!F$83=0,0,'EC-UNC'!F108*F$83/'EC-UNC'!F$83)</f>
        <v>4.2314068144245534</v>
      </c>
      <c r="G108" s="183">
        <f>IF('EC-UNC'!G$83=0,0,'EC-UNC'!G108*G$83/'EC-UNC'!G$83)</f>
        <v>3.9469994106529565</v>
      </c>
      <c r="H108" s="183">
        <f>IF('EC-UNC'!H$83=0,0,'EC-UNC'!H108*H$83/'EC-UNC'!H$83)</f>
        <v>6.0449050086355784</v>
      </c>
      <c r="I108" s="183">
        <f>IF('EC-UNC'!I$83=0,0,'EC-UNC'!I108*I$83/'EC-UNC'!I$83)</f>
        <v>5.1642222681264203</v>
      </c>
      <c r="J108" s="183">
        <f>IF('EC-UNC'!J$83=0,0,'EC-UNC'!J108*J$83/'EC-UNC'!J$83)</f>
        <v>2.5591102433962329</v>
      </c>
      <c r="K108" s="183">
        <f>IF('EC-UNC'!K$83=0,0,'EC-UNC'!K108*K$83/'EC-UNC'!K$83)</f>
        <v>6.5387968613775067</v>
      </c>
      <c r="L108" s="183">
        <f>IF('EC-UNC'!L$83=0,0,'EC-UNC'!L108*L$83/'EC-UNC'!L$83)</f>
        <v>5.0751355954342676</v>
      </c>
      <c r="M108" s="183">
        <f>IF('EC-UNC'!M$83=0,0,'EC-UNC'!M108*M$83/'EC-UNC'!M$83)</f>
        <v>2.9978636434619998</v>
      </c>
      <c r="N108" s="183">
        <f>IF('EC-UNC'!N$83=0,0,'EC-UNC'!N108*N$83/'EC-UNC'!N$83)</f>
        <v>5.5439872775817927</v>
      </c>
      <c r="O108" s="183">
        <f>IF('EC-UNC'!O$83=0,0,'EC-UNC'!O108*O$83/'EC-UNC'!O$83)</f>
        <v>5.046257359125315</v>
      </c>
      <c r="P108" s="183">
        <f>IF('EC-UNC'!P$83=0,0,'EC-UNC'!P108*P$83/'EC-UNC'!P$83)</f>
        <v>6.1437851652330755</v>
      </c>
      <c r="Q108" s="183">
        <f>IF('EC-UNC'!Q$83=0,0,'EC-UNC'!Q108*Q$83/'EC-UNC'!Q$83)</f>
        <v>6.4935064935064934</v>
      </c>
      <c r="R108" s="115">
        <f>SUM(D108:Q108)</f>
        <v>61.785976140956187</v>
      </c>
    </row>
    <row r="109" spans="1:18" ht="15.5" x14ac:dyDescent="0.35">
      <c r="A109" s="116"/>
      <c r="B109" s="179" t="s">
        <v>120</v>
      </c>
      <c r="C109" s="179"/>
      <c r="D109" s="180"/>
      <c r="E109" s="180"/>
      <c r="F109" s="180"/>
      <c r="G109" s="180"/>
      <c r="H109" s="180"/>
      <c r="I109" s="180"/>
      <c r="J109" s="180"/>
      <c r="K109" s="180"/>
      <c r="L109" s="188"/>
      <c r="M109" s="180"/>
      <c r="N109" s="180"/>
      <c r="O109" s="180"/>
      <c r="P109" s="180"/>
      <c r="Q109" s="180"/>
      <c r="R109" s="181"/>
    </row>
    <row r="110" spans="1:18" ht="15.5" x14ac:dyDescent="0.35">
      <c r="A110" s="116"/>
      <c r="B110" s="116" t="s">
        <v>357</v>
      </c>
      <c r="C110" s="116"/>
      <c r="D110" s="183">
        <v>0</v>
      </c>
      <c r="E110" s="183">
        <f>IF('EC-UNC'!E$83=0,0,'EC-UNC'!E110*E$83/'EC-UNC'!E$83)</f>
        <v>125.50240000000001</v>
      </c>
      <c r="F110" s="183">
        <f>IF('EC-UNC'!F$83=0,0,'EC-UNC'!F110*F$83/'EC-UNC'!F$83)</f>
        <v>364.85470323269982</v>
      </c>
      <c r="G110" s="183">
        <f>IF('EC-UNC'!G$83=0,0,'EC-UNC'!G110*G$83/'EC-UNC'!G$83)</f>
        <v>477.31533802101336</v>
      </c>
      <c r="H110" s="183">
        <f>IF('EC-UNC'!H$83=0,0,'EC-UNC'!H110*H$83/'EC-UNC'!H$83)</f>
        <v>449.285872193437</v>
      </c>
      <c r="I110" s="183">
        <f>IF('EC-UNC'!I$83=0,0,'EC-UNC'!I110*I$83/'EC-UNC'!I$83)</f>
        <v>431.36800385595268</v>
      </c>
      <c r="J110" s="183">
        <f>IF('EC-UNC'!J$83=0,0,'EC-UNC'!J110*J$83/'EC-UNC'!J$83)</f>
        <v>321.48076173670285</v>
      </c>
      <c r="K110" s="183">
        <f>IF('EC-UNC'!K$83=0,0,'EC-UNC'!K110*K$83/'EC-UNC'!K$83)</f>
        <v>439.20000000000005</v>
      </c>
      <c r="L110" s="183">
        <f>IF('EC-UNC'!L$83=0,0,'EC-UNC'!L110*L$83/'EC-UNC'!L$83)</f>
        <v>605.35943188095837</v>
      </c>
      <c r="M110" s="183">
        <f>IF('EC-UNC'!M$83=0,0,'EC-UNC'!M110*M$83/'EC-UNC'!M$83)</f>
        <v>268.20284742722362</v>
      </c>
      <c r="N110" s="183">
        <f>IF('EC-UNC'!N$83=0,0,'EC-UNC'!N110*N$83/'EC-UNC'!N$83)</f>
        <v>480.5809114581495</v>
      </c>
      <c r="O110" s="183">
        <f>IF('EC-UNC'!O$83=0,0,'EC-UNC'!O110*O$83/'EC-UNC'!O$83)</f>
        <v>366</v>
      </c>
      <c r="P110" s="183">
        <f>IF('EC-UNC'!P$83=0,0,'EC-UNC'!P110*P$83/'EC-UNC'!P$83)</f>
        <v>365.99999999999994</v>
      </c>
      <c r="Q110" s="183">
        <f>IF('EC-UNC'!Q$83=0,0,'EC-UNC'!Q110*Q$83/'EC-UNC'!Q$83)</f>
        <v>366</v>
      </c>
      <c r="R110" s="115">
        <f>SUM(D110:Q110)</f>
        <v>5061.1502698061377</v>
      </c>
    </row>
    <row r="111" spans="1:18" ht="15.5" x14ac:dyDescent="0.35">
      <c r="A111" s="116"/>
      <c r="B111" s="116" t="s">
        <v>358</v>
      </c>
      <c r="C111" s="116"/>
      <c r="D111" s="183">
        <v>0</v>
      </c>
      <c r="E111" s="183">
        <f>IF('EC-UNC'!E$83=0,0,'EC-UNC'!E111*E$83/'EC-UNC'!E$83)</f>
        <v>256</v>
      </c>
      <c r="F111" s="183">
        <f>IF('EC-UNC'!F$83=0,0,'EC-UNC'!F111*F$83/'EC-UNC'!F$83)</f>
        <v>392.0032820015582</v>
      </c>
      <c r="G111" s="183">
        <f>IF('EC-UNC'!G$83=0,0,'EC-UNC'!G111*G$83/'EC-UNC'!G$83)</f>
        <v>332.53470034751155</v>
      </c>
      <c r="H111" s="183">
        <f>IF('EC-UNC'!H$83=0,0,'EC-UNC'!H111*H$83/'EC-UNC'!H$83)</f>
        <v>430.63816925734022</v>
      </c>
      <c r="I111" s="183">
        <f>IF('EC-UNC'!I$83=0,0,'EC-UNC'!I111*I$83/'EC-UNC'!I$83)</f>
        <v>543.2761826068994</v>
      </c>
      <c r="J111" s="183">
        <f>IF('EC-UNC'!J$83=0,0,'EC-UNC'!J111*J$83/'EC-UNC'!J$83)</f>
        <v>210.69963952495658</v>
      </c>
      <c r="K111" s="183">
        <f>IF('EC-UNC'!K$83=0,0,'EC-UNC'!K111*K$83/'EC-UNC'!K$83)</f>
        <v>902.69437663469932</v>
      </c>
      <c r="L111" s="183">
        <f>IF('EC-UNC'!L$83=0,0,'EC-UNC'!L111*L$83/'EC-UNC'!L$83)</f>
        <v>431.32625837671696</v>
      </c>
      <c r="M111" s="183">
        <f>IF('EC-UNC'!M$83=0,0,'EC-UNC'!M111*M$83/'EC-UNC'!M$83)</f>
        <v>362.74150085890199</v>
      </c>
      <c r="N111" s="183">
        <f>IF('EC-UNC'!N$83=0,0,'EC-UNC'!N111*N$83/'EC-UNC'!N$83)</f>
        <v>777.49154780170943</v>
      </c>
      <c r="O111" s="183">
        <f>IF('EC-UNC'!O$83=0,0,'EC-UNC'!O111*O$83/'EC-UNC'!O$83)</f>
        <v>756.93860386879726</v>
      </c>
      <c r="P111" s="183">
        <f>IF('EC-UNC'!P$83=0,0,'EC-UNC'!P111*P$83/'EC-UNC'!P$83)</f>
        <v>826.22237280570926</v>
      </c>
      <c r="Q111" s="183">
        <f>IF('EC-UNC'!Q$83=0,0,'EC-UNC'!Q111*Q$83/'EC-UNC'!Q$83)</f>
        <v>909.09090909090912</v>
      </c>
      <c r="R111" s="115">
        <f>SUM(D111:Q111)</f>
        <v>7131.6575431757092</v>
      </c>
    </row>
    <row r="112" spans="1:18" ht="15.5" x14ac:dyDescent="0.35">
      <c r="A112" s="116"/>
      <c r="B112" s="179" t="s">
        <v>137</v>
      </c>
      <c r="C112" s="179"/>
      <c r="D112" s="180"/>
      <c r="E112" s="180"/>
      <c r="F112" s="180"/>
      <c r="G112" s="180"/>
      <c r="H112" s="180"/>
      <c r="I112" s="180"/>
      <c r="J112" s="180"/>
      <c r="K112" s="180"/>
      <c r="L112" s="188"/>
      <c r="M112" s="180"/>
      <c r="N112" s="180"/>
      <c r="O112" s="180"/>
      <c r="P112" s="180"/>
      <c r="Q112" s="180"/>
      <c r="R112" s="181"/>
    </row>
    <row r="113" spans="1:18" ht="15.5" x14ac:dyDescent="0.35">
      <c r="A113" s="116"/>
      <c r="B113" s="116" t="s">
        <v>121</v>
      </c>
      <c r="C113" s="116"/>
      <c r="D113" s="183">
        <f>D86*Assumptions!$K$25/24</f>
        <v>0</v>
      </c>
      <c r="E113" s="183">
        <f>E86*Assumptions!$K$25/24</f>
        <v>64.15384615384616</v>
      </c>
      <c r="F113" s="183">
        <f>F86*Assumptions!$K$25/24</f>
        <v>165</v>
      </c>
      <c r="G113" s="183">
        <f>G86*Assumptions!$K$25/24</f>
        <v>187.5</v>
      </c>
      <c r="H113" s="183">
        <f>H86*Assumptions!$K$25/24</f>
        <v>187.5</v>
      </c>
      <c r="I113" s="183">
        <f>I86*Assumptions!$K$25/24</f>
        <v>187.5</v>
      </c>
      <c r="J113" s="183">
        <f>J86*Assumptions!$K$25/24</f>
        <v>37.46153846153851</v>
      </c>
      <c r="K113" s="183">
        <f>K86*Assumptions!$K$25/24</f>
        <v>0</v>
      </c>
      <c r="L113" s="186">
        <f>L86*Assumptions!$K$25/24</f>
        <v>0</v>
      </c>
      <c r="M113" s="183">
        <f>M86*Assumptions!$K$25/24</f>
        <v>0</v>
      </c>
      <c r="N113" s="183">
        <f>N86*Assumptions!$K$25/24</f>
        <v>0</v>
      </c>
      <c r="O113" s="183">
        <f>O86*Assumptions!$K$25/24</f>
        <v>0</v>
      </c>
      <c r="P113" s="183">
        <f>P86*Assumptions!$K$25/24</f>
        <v>0</v>
      </c>
      <c r="Q113" s="183">
        <f>Q86*Assumptions!$K$25/24</f>
        <v>0</v>
      </c>
      <c r="R113" s="115"/>
    </row>
    <row r="114" spans="1:18" ht="15.5" x14ac:dyDescent="0.35">
      <c r="A114" s="116"/>
      <c r="B114" s="116" t="s">
        <v>122</v>
      </c>
      <c r="C114" s="116"/>
      <c r="D114" s="183">
        <f>D87*Assumptions!$K$25/24</f>
        <v>0</v>
      </c>
      <c r="E114" s="183">
        <f>E87*Assumptions!$K$25/24</f>
        <v>0</v>
      </c>
      <c r="F114" s="183">
        <f>F87*Assumptions!$K$25/24</f>
        <v>49.5</v>
      </c>
      <c r="G114" s="183">
        <f>G87*Assumptions!$K$25/24</f>
        <v>99</v>
      </c>
      <c r="H114" s="183">
        <f>H87*Assumptions!$K$25/24</f>
        <v>150</v>
      </c>
      <c r="I114" s="183">
        <f>I87*Assumptions!$K$25/24</f>
        <v>150</v>
      </c>
      <c r="J114" s="183">
        <f>J87*Assumptions!$K$25/24</f>
        <v>150</v>
      </c>
      <c r="K114" s="183">
        <f>K87*Assumptions!$K$25/24</f>
        <v>300</v>
      </c>
      <c r="L114" s="186">
        <f>L87*Assumptions!$K$25/24</f>
        <v>300</v>
      </c>
      <c r="M114" s="183">
        <f>M87*Assumptions!$K$25/24</f>
        <v>150</v>
      </c>
      <c r="N114" s="183">
        <f>N87*Assumptions!$K$25/24</f>
        <v>150</v>
      </c>
      <c r="O114" s="183">
        <f>O87*Assumptions!$K$25/24</f>
        <v>150</v>
      </c>
      <c r="P114" s="183">
        <f>P87*Assumptions!$K$25/24</f>
        <v>150</v>
      </c>
      <c r="Q114" s="183">
        <f>Q87*Assumptions!$K$25/24</f>
        <v>150</v>
      </c>
      <c r="R114" s="115"/>
    </row>
    <row r="115" spans="1:18" ht="15.5" x14ac:dyDescent="0.35">
      <c r="A115" s="116"/>
      <c r="B115" s="116" t="s">
        <v>123</v>
      </c>
      <c r="C115" s="116"/>
      <c r="D115" s="183">
        <f>D88*Assumptions!$K$25/24</f>
        <v>0</v>
      </c>
      <c r="E115" s="183">
        <f>E88*Assumptions!$K$25/24</f>
        <v>0</v>
      </c>
      <c r="F115" s="183">
        <f>F88*Assumptions!$K$25/24</f>
        <v>0</v>
      </c>
      <c r="G115" s="183">
        <f>G88*Assumptions!$K$25/24</f>
        <v>0</v>
      </c>
      <c r="H115" s="183">
        <f>H88*Assumptions!$K$25/24</f>
        <v>0</v>
      </c>
      <c r="I115" s="183">
        <f>I88*Assumptions!$K$25/24</f>
        <v>0</v>
      </c>
      <c r="J115" s="183">
        <f>J88*Assumptions!$K$25/24</f>
        <v>0</v>
      </c>
      <c r="K115" s="183">
        <f>K88*Assumptions!$K$25/24</f>
        <v>0</v>
      </c>
      <c r="L115" s="186">
        <f>L88*Assumptions!$K$25/24</f>
        <v>0</v>
      </c>
      <c r="M115" s="183">
        <f>M88*Assumptions!$K$25/24</f>
        <v>125</v>
      </c>
      <c r="N115" s="183">
        <f>N88*Assumptions!$K$25/24</f>
        <v>125</v>
      </c>
      <c r="O115" s="183">
        <f>O88*Assumptions!$K$25/24</f>
        <v>125</v>
      </c>
      <c r="P115" s="183">
        <f>P88*Assumptions!$K$25/24</f>
        <v>125</v>
      </c>
      <c r="Q115" s="183">
        <f>Q88*Assumptions!$K$25/24</f>
        <v>125</v>
      </c>
      <c r="R115" s="115"/>
    </row>
    <row r="116" spans="1:18" ht="15.5" x14ac:dyDescent="0.35">
      <c r="A116" s="116"/>
      <c r="B116" s="116" t="s">
        <v>140</v>
      </c>
      <c r="C116" s="116"/>
      <c r="D116" s="183">
        <f>(D102+D105)*Assumptions!$K$26/24</f>
        <v>0</v>
      </c>
      <c r="E116" s="183">
        <f>(E102+E105)*Assumptions!$K$26/24</f>
        <v>64.15384615384616</v>
      </c>
      <c r="F116" s="183">
        <f>(F102+F105)*Assumptions!$K$26/24</f>
        <v>196.02276253340503</v>
      </c>
      <c r="G116" s="183">
        <f>(G102+G105)*Assumptions!$K$26/24</f>
        <v>252.89251592356689</v>
      </c>
      <c r="H116" s="183">
        <f>(H102+H105)*Assumptions!$K$26/24</f>
        <v>291.80456783369806</v>
      </c>
      <c r="I116" s="183">
        <f>(I102+I105)*Assumptions!$K$26/24</f>
        <v>328.15792191695937</v>
      </c>
      <c r="J116" s="183">
        <f>(J102+J105)*Assumptions!$K$26/24</f>
        <v>154.15412998771541</v>
      </c>
      <c r="K116" s="183">
        <f>(K102+K105)*Assumptions!$K$26/24</f>
        <v>314.82999128160418</v>
      </c>
      <c r="L116" s="186">
        <f>(L102+L105)*Assumptions!$K$26/24</f>
        <v>270.45002299558394</v>
      </c>
      <c r="M116" s="183">
        <f>(M102+M105)*Assumptions!$K$26/24</f>
        <v>180.90822035416727</v>
      </c>
      <c r="N116" s="183">
        <f>(N102+N105)*Assumptions!$K$26/24</f>
        <v>239.53584372256628</v>
      </c>
      <c r="O116" s="183">
        <f>(O102+O105)*Assumptions!$K$26/24</f>
        <v>233.74999999999991</v>
      </c>
      <c r="P116" s="183">
        <f>(P102+P105)*Assumptions!$K$26/24</f>
        <v>240.51646981383794</v>
      </c>
      <c r="Q116" s="183">
        <f>(Q102+Q105)*Assumptions!$K$26/24</f>
        <v>233.74999999999997</v>
      </c>
      <c r="R116" s="115"/>
    </row>
    <row r="117" spans="1:18" ht="15.5" x14ac:dyDescent="0.35">
      <c r="A117" s="116"/>
      <c r="B117" s="116" t="s">
        <v>293</v>
      </c>
      <c r="C117" s="116"/>
      <c r="D117" s="107"/>
      <c r="E117" s="108">
        <f>SUM(E113:E116)</f>
        <v>128.30769230769232</v>
      </c>
      <c r="F117" s="108">
        <f t="shared" ref="F117:Q117" si="16">SUM(F113:F116)</f>
        <v>410.52276253340506</v>
      </c>
      <c r="G117" s="108">
        <f t="shared" si="16"/>
        <v>539.39251592356686</v>
      </c>
      <c r="H117" s="108">
        <f t="shared" si="16"/>
        <v>629.304567833698</v>
      </c>
      <c r="I117" s="108">
        <f t="shared" si="16"/>
        <v>665.65792191695937</v>
      </c>
      <c r="J117" s="108">
        <f t="shared" si="16"/>
        <v>341.61566844925392</v>
      </c>
      <c r="K117" s="108">
        <f>SUM(K113:K116)</f>
        <v>614.82999128160418</v>
      </c>
      <c r="L117" s="108">
        <f t="shared" si="16"/>
        <v>570.45002299558394</v>
      </c>
      <c r="M117" s="108">
        <f t="shared" si="16"/>
        <v>455.90822035416727</v>
      </c>
      <c r="N117" s="108">
        <f t="shared" si="16"/>
        <v>514.53584372256626</v>
      </c>
      <c r="O117" s="108">
        <f t="shared" si="16"/>
        <v>508.74999999999989</v>
      </c>
      <c r="P117" s="108">
        <f t="shared" si="16"/>
        <v>515.51646981383794</v>
      </c>
      <c r="Q117" s="108">
        <f t="shared" si="16"/>
        <v>508.75</v>
      </c>
      <c r="R117" s="115"/>
    </row>
    <row r="118" spans="1:18" ht="15.5" x14ac:dyDescent="0.35">
      <c r="A118" s="116"/>
      <c r="B118" s="116" t="s">
        <v>138</v>
      </c>
      <c r="C118" s="116"/>
      <c r="D118" s="183">
        <f>D108*Assumptions!$K$27/24</f>
        <v>0</v>
      </c>
      <c r="E118" s="183">
        <f>E108*Assumptions!$K$27/24</f>
        <v>20</v>
      </c>
      <c r="F118" s="183">
        <f>F108*Assumptions!$K$27/24</f>
        <v>42.314068144245532</v>
      </c>
      <c r="G118" s="183">
        <f>G108*Assumptions!$K$27/24</f>
        <v>39.469994106529562</v>
      </c>
      <c r="H118" s="183">
        <f>H108*Assumptions!$K$27/24</f>
        <v>60.449050086355783</v>
      </c>
      <c r="I118" s="183">
        <f>I108*Assumptions!$K$27/24</f>
        <v>51.642222681264201</v>
      </c>
      <c r="J118" s="183">
        <f>J108*Assumptions!$K$27/24</f>
        <v>25.59110243396233</v>
      </c>
      <c r="K118" s="183">
        <f>K108*Assumptions!$K$27/24</f>
        <v>65.387968613775072</v>
      </c>
      <c r="L118" s="186">
        <f>L108*Assumptions!$K$27/24</f>
        <v>50.751355954342678</v>
      </c>
      <c r="M118" s="183">
        <f>M108*Assumptions!$K$27/24</f>
        <v>29.97863643462</v>
      </c>
      <c r="N118" s="183">
        <f>N108*Assumptions!$K$27/24</f>
        <v>55.439872775817925</v>
      </c>
      <c r="O118" s="183">
        <f>O108*Assumptions!$K$27/24</f>
        <v>50.462573591253147</v>
      </c>
      <c r="P118" s="183">
        <f>P108*Assumptions!$K$27/24</f>
        <v>61.437851652330757</v>
      </c>
      <c r="Q118" s="183">
        <f>Q108*Assumptions!$K$27/24</f>
        <v>64.935064935064943</v>
      </c>
      <c r="R118" s="115"/>
    </row>
    <row r="119" spans="1:18" ht="15.5" x14ac:dyDescent="0.35">
      <c r="A119" s="116"/>
      <c r="B119" s="116" t="s">
        <v>195</v>
      </c>
      <c r="C119" s="116"/>
      <c r="D119" s="183">
        <f>(ROUNDUP(D83/400,1)+D84)*Assumptions!$K$45+SUM(D110:D111)/Assumptions!$K$44</f>
        <v>0</v>
      </c>
      <c r="E119" s="183">
        <f>(ROUNDUP(E83/400,1)+E84)*Assumptions!$K$45+SUM(E110:E111)/Assumptions!$K$44</f>
        <v>161.37560000000002</v>
      </c>
      <c r="F119" s="183">
        <f>(ROUNDUP(F83/400,1)+F84)*Assumptions!$K$45+SUM(F110:F111)/Assumptions!$K$44</f>
        <v>341.21449630856449</v>
      </c>
      <c r="G119" s="183">
        <f>(ROUNDUP(G83/400,1)+G84)*Assumptions!$K$45+SUM(G110:G111)/Assumptions!$K$44</f>
        <v>408.46250959213125</v>
      </c>
      <c r="H119" s="183">
        <f>(ROUNDUP(H83/400,1)+H84)*Assumptions!$K$45+SUM(H110:H111)/Assumptions!$K$44</f>
        <v>449.98101036269429</v>
      </c>
      <c r="I119" s="183">
        <f>(ROUNDUP(I83/400,1)+I84)*Assumptions!$K$45+SUM(I110:I111)/Assumptions!$K$44</f>
        <v>473.66104661571302</v>
      </c>
      <c r="J119" s="183">
        <f>(ROUNDUP(J83/400,1)+J84)*Assumptions!$K$45+SUM(J110:J111)/Assumptions!$K$44</f>
        <v>283.04510031541486</v>
      </c>
      <c r="K119" s="183">
        <f>(ROUNDUP(K83/400,1)+K84)*Assumptions!$K$45+SUM(K110:K111)/Assumptions!$K$44</f>
        <v>565.47359415867481</v>
      </c>
      <c r="L119" s="186">
        <f>(ROUNDUP(L83/400,1)+L84)*Assumptions!$K$45+SUM(L110:L111)/Assumptions!$K$44</f>
        <v>489.17142256441883</v>
      </c>
      <c r="M119" s="183">
        <f>(ROUNDUP(M83/400,1)+M84)*Assumptions!$K$45+SUM(M110:M111)/Assumptions!$K$44</f>
        <v>387.73608707153141</v>
      </c>
      <c r="N119" s="183">
        <f>(ROUNDUP(N83/400,1)+N84)*Assumptions!$K$45+SUM(N110:N111)/Assumptions!$K$44</f>
        <v>544.51811481496475</v>
      </c>
      <c r="O119" s="183">
        <f>(ROUNDUP(O83/400,1)+O84)*Assumptions!$K$45+SUM(O110:O111)/Assumptions!$K$44</f>
        <v>510.73465096719929</v>
      </c>
      <c r="P119" s="183">
        <f>(ROUNDUP(P83/400,1)+P84)*Assumptions!$K$45+SUM(P110:P111)/Assumptions!$K$44</f>
        <v>528.05559320142731</v>
      </c>
      <c r="Q119" s="183">
        <f>(ROUNDUP(Q83/400,1)+Q84)*Assumptions!$K$45+SUM(Q110:Q111)/Assumptions!$K$44</f>
        <v>548.77272727272725</v>
      </c>
      <c r="R119" s="115"/>
    </row>
    <row r="120" spans="1:18" ht="15.5" x14ac:dyDescent="0.35">
      <c r="A120" s="116"/>
      <c r="B120" s="106" t="s">
        <v>289</v>
      </c>
      <c r="C120" s="116"/>
      <c r="D120" s="107">
        <f>(ROUNDUP(D84/400,1)+D85)*Assumptions!$K$45+SUM(D111:D111)/Assumptions!$K$44</f>
        <v>0</v>
      </c>
      <c r="E120" s="108">
        <f>E102*Assumptions!$K$28/24</f>
        <v>49.15384615384616</v>
      </c>
      <c r="F120" s="108">
        <f>F102*Assumptions!$K$28/24</f>
        <v>145.50414664701643</v>
      </c>
      <c r="G120" s="108">
        <f>G102*Assumptions!$K$28/24</f>
        <v>177.43408306794058</v>
      </c>
      <c r="H120" s="108">
        <f>H102*Assumptions!$K$28/24</f>
        <v>222.56906455142234</v>
      </c>
      <c r="I120" s="108">
        <f>I102*Assumptions!$K$28/24</f>
        <v>169.43555050609379</v>
      </c>
      <c r="J120" s="108">
        <f>J102*Assumptions!$K$28/24</f>
        <v>113.34471465255622</v>
      </c>
      <c r="K120" s="108">
        <f>K102*Assumptions!$K$28/24</f>
        <v>294.74280732345244</v>
      </c>
      <c r="L120" s="108">
        <f>L102*Assumptions!$K$28/24</f>
        <v>249.35331871731316</v>
      </c>
      <c r="M120" s="108">
        <f>M102*Assumptions!$K$28/24</f>
        <v>160.29790780536601</v>
      </c>
      <c r="N120" s="108">
        <f>N102*Assumptions!$K$28/24</f>
        <v>177.07108340648986</v>
      </c>
      <c r="O120" s="108">
        <f>O102*Assumptions!$K$28/24</f>
        <v>192.49999999999991</v>
      </c>
      <c r="P120" s="108">
        <f>P102*Assumptions!$K$28/24</f>
        <v>206.03293962767603</v>
      </c>
      <c r="Q120" s="108">
        <f>Q102*Assumptions!$K$28/24</f>
        <v>192.49999999999997</v>
      </c>
      <c r="R120" s="115"/>
    </row>
    <row r="121" spans="1:18" ht="15.5" x14ac:dyDescent="0.35">
      <c r="A121" s="116"/>
      <c r="B121" s="179" t="s">
        <v>141</v>
      </c>
      <c r="C121" s="179"/>
      <c r="D121" s="180"/>
      <c r="E121" s="180"/>
      <c r="F121" s="180"/>
      <c r="G121" s="180"/>
      <c r="H121" s="180"/>
      <c r="I121" s="180"/>
      <c r="J121" s="180"/>
      <c r="K121" s="180"/>
      <c r="L121" s="188"/>
      <c r="M121" s="180"/>
      <c r="N121" s="180"/>
      <c r="O121" s="180"/>
      <c r="P121" s="180"/>
      <c r="Q121" s="180"/>
      <c r="R121" s="181"/>
    </row>
    <row r="122" spans="1:18" ht="15.5" x14ac:dyDescent="0.35">
      <c r="A122" s="116"/>
      <c r="B122" s="116" t="s">
        <v>121</v>
      </c>
      <c r="C122" s="116"/>
      <c r="D122" s="183">
        <f>ROUNDUP(D113/(Assumptions!$C$36*365),0)</f>
        <v>0</v>
      </c>
      <c r="E122" s="183">
        <f>ROUNDUP(E113/(Assumptions!$C$36*365),0)</f>
        <v>1</v>
      </c>
      <c r="F122" s="183">
        <f>ROUNDUP(F113/(Assumptions!$C$36*365),0)</f>
        <v>1</v>
      </c>
      <c r="G122" s="183">
        <f>ROUNDUP(G113/(Assumptions!$C$36*365),0)</f>
        <v>1</v>
      </c>
      <c r="H122" s="183">
        <f>ROUNDUP(H113/(Assumptions!$C$36*365),0)</f>
        <v>1</v>
      </c>
      <c r="I122" s="183">
        <f>ROUNDUP(I113/(Assumptions!$C$36*365),0)</f>
        <v>1</v>
      </c>
      <c r="J122" s="183">
        <f>ROUNDUP(J113/(Assumptions!$C$36*365),0)</f>
        <v>1</v>
      </c>
      <c r="K122" s="183">
        <f>ROUNDUP(K113/(Assumptions!$C$36*365),0)</f>
        <v>0</v>
      </c>
      <c r="L122" s="186">
        <f>ROUNDUP(L113/(Assumptions!$C$36*365),0)</f>
        <v>0</v>
      </c>
      <c r="M122" s="183">
        <f>ROUNDUP(M113/(Assumptions!$C$36*365),0)</f>
        <v>0</v>
      </c>
      <c r="N122" s="183">
        <f>ROUNDUP(N113/(Assumptions!$C$36*365),0)</f>
        <v>0</v>
      </c>
      <c r="O122" s="183">
        <f>ROUNDUP(O113/(Assumptions!$C$36*365),0)</f>
        <v>0</v>
      </c>
      <c r="P122" s="183">
        <f>ROUNDUP(P113/(Assumptions!$C$36*365),0)</f>
        <v>0</v>
      </c>
      <c r="Q122" s="183">
        <f>ROUNDUP(Q113/(Assumptions!$C$36*365),0)</f>
        <v>0</v>
      </c>
      <c r="R122" s="115"/>
    </row>
    <row r="123" spans="1:18" ht="15.5" x14ac:dyDescent="0.35">
      <c r="A123" s="116"/>
      <c r="B123" s="116" t="s">
        <v>122</v>
      </c>
      <c r="C123" s="116"/>
      <c r="D123" s="183">
        <f>ROUNDUP(D114/(Assumptions!$C$36*365),0)</f>
        <v>0</v>
      </c>
      <c r="E123" s="183">
        <f>ROUNDUP(E114/(Assumptions!$C$36*365),0)</f>
        <v>0</v>
      </c>
      <c r="F123" s="183">
        <f>ROUNDUP(F114/(Assumptions!$C$36*365),0)</f>
        <v>1</v>
      </c>
      <c r="G123" s="183">
        <f>ROUNDUP(G114/(Assumptions!$C$36*365),0)</f>
        <v>1</v>
      </c>
      <c r="H123" s="183">
        <f>ROUNDUP(H114/(Assumptions!$C$36*365),0)</f>
        <v>1</v>
      </c>
      <c r="I123" s="183">
        <f>ROUNDUP(I114/(Assumptions!$C$36*365),0)</f>
        <v>1</v>
      </c>
      <c r="J123" s="183">
        <f>ROUNDUP(J114/(Assumptions!$C$36*365),0)</f>
        <v>1</v>
      </c>
      <c r="K123" s="183">
        <f>ROUNDUP(K114/(Assumptions!$C$36*365),0)</f>
        <v>2</v>
      </c>
      <c r="L123" s="186">
        <f>ROUNDUP(L114/(Assumptions!$C$36*365),0)</f>
        <v>2</v>
      </c>
      <c r="M123" s="183">
        <f>ROUNDUP(M114/(Assumptions!$C$36*365),0)</f>
        <v>1</v>
      </c>
      <c r="N123" s="183">
        <f>ROUNDUP(N114/(Assumptions!$C$36*365),0)</f>
        <v>1</v>
      </c>
      <c r="O123" s="183">
        <f>ROUNDUP(O114/(Assumptions!$C$36*365),0)</f>
        <v>1</v>
      </c>
      <c r="P123" s="183">
        <f>ROUNDUP(P114/(Assumptions!$C$36*365),0)</f>
        <v>1</v>
      </c>
      <c r="Q123" s="183">
        <f>ROUNDUP(Q114/(Assumptions!$C$36*365),0)</f>
        <v>1</v>
      </c>
      <c r="R123" s="115"/>
    </row>
    <row r="124" spans="1:18" ht="15.5" x14ac:dyDescent="0.35">
      <c r="A124" s="116"/>
      <c r="B124" s="116" t="s">
        <v>123</v>
      </c>
      <c r="C124" s="116"/>
      <c r="D124" s="183">
        <f>ROUNDUP(D115/(Assumptions!$C$36*365),0)</f>
        <v>0</v>
      </c>
      <c r="E124" s="183">
        <f>ROUNDUP(E115/(Assumptions!$C$36*365),0)</f>
        <v>0</v>
      </c>
      <c r="F124" s="183">
        <f>ROUNDUP(F115/(Assumptions!$C$36*365),0)</f>
        <v>0</v>
      </c>
      <c r="G124" s="183">
        <f>ROUNDUP(G115/(Assumptions!$C$36*365),0)</f>
        <v>0</v>
      </c>
      <c r="H124" s="183">
        <f>ROUNDUP(H115/(Assumptions!$C$36*365),0)</f>
        <v>0</v>
      </c>
      <c r="I124" s="183">
        <f>ROUNDUP(I115/(Assumptions!$C$36*365),0)</f>
        <v>0</v>
      </c>
      <c r="J124" s="183">
        <f>ROUNDUP(J115/(Assumptions!$C$36*365),0)</f>
        <v>0</v>
      </c>
      <c r="K124" s="183">
        <f>ROUNDUP(K115/(Assumptions!$C$36*365),0)</f>
        <v>0</v>
      </c>
      <c r="L124" s="186">
        <f>ROUNDUP(L115/(Assumptions!$C$36*365),0)</f>
        <v>0</v>
      </c>
      <c r="M124" s="183">
        <f>ROUNDUP(M115/(Assumptions!$C$36*365),0)</f>
        <v>1</v>
      </c>
      <c r="N124" s="183">
        <f>ROUNDUP(N115/(Assumptions!$C$36*365),0)</f>
        <v>1</v>
      </c>
      <c r="O124" s="183">
        <f>ROUNDUP(O115/(Assumptions!$C$36*365),0)</f>
        <v>1</v>
      </c>
      <c r="P124" s="183">
        <f>ROUNDUP(P115/(Assumptions!$C$36*365),0)</f>
        <v>1</v>
      </c>
      <c r="Q124" s="183">
        <f>ROUNDUP(Q115/(Assumptions!$C$36*365),0)</f>
        <v>1</v>
      </c>
      <c r="R124" s="115"/>
    </row>
    <row r="125" spans="1:18" ht="15.5" x14ac:dyDescent="0.35">
      <c r="A125" s="116"/>
      <c r="B125" s="116" t="s">
        <v>140</v>
      </c>
      <c r="C125" s="116"/>
      <c r="D125" s="183">
        <f>ROUNDUP(D116/(Assumptions!$C$36*365),0)</f>
        <v>0</v>
      </c>
      <c r="E125" s="183">
        <f>ROUNDUP(E116/(Assumptions!$C$36*365),0)</f>
        <v>1</v>
      </c>
      <c r="F125" s="183">
        <f>ROUNDUP(F116/(Assumptions!$C$36*365),0)</f>
        <v>1</v>
      </c>
      <c r="G125" s="183">
        <f>ROUNDUP(G116/(Assumptions!$C$36*365),0)</f>
        <v>2</v>
      </c>
      <c r="H125" s="183">
        <f>ROUNDUP(H116/(Assumptions!$C$36*365),0)</f>
        <v>2</v>
      </c>
      <c r="I125" s="183">
        <f>ROUNDUP(I116/(Assumptions!$C$36*365),0)</f>
        <v>2</v>
      </c>
      <c r="J125" s="183">
        <f>ROUNDUP(J116/(Assumptions!$C$36*365),0)</f>
        <v>1</v>
      </c>
      <c r="K125" s="183">
        <f>ROUNDUP(K116/(Assumptions!$C$36*365),0)</f>
        <v>2</v>
      </c>
      <c r="L125" s="186">
        <f>ROUNDUP(L116/(Assumptions!$C$36*365),0)</f>
        <v>2</v>
      </c>
      <c r="M125" s="183">
        <f>ROUNDUP(M116/(Assumptions!$C$36*365),0)</f>
        <v>1</v>
      </c>
      <c r="N125" s="183">
        <f>ROUNDUP(N116/(Assumptions!$C$36*365),0)</f>
        <v>1</v>
      </c>
      <c r="O125" s="183">
        <f>ROUNDUP(O116/(Assumptions!$C$36*365),0)</f>
        <v>1</v>
      </c>
      <c r="P125" s="183">
        <f>ROUNDUP(P116/(Assumptions!$C$36*365),0)</f>
        <v>1</v>
      </c>
      <c r="Q125" s="183">
        <f>ROUNDUP(Q116/(Assumptions!$C$36*365),0)</f>
        <v>1</v>
      </c>
      <c r="R125" s="115"/>
    </row>
    <row r="126" spans="1:18" ht="15.5" x14ac:dyDescent="0.35">
      <c r="A126" s="116"/>
      <c r="B126" s="189" t="s">
        <v>149</v>
      </c>
      <c r="C126" s="125"/>
      <c r="D126" s="124">
        <f>SUM(D122:D125)</f>
        <v>0</v>
      </c>
      <c r="E126" s="124">
        <f t="shared" ref="E126:Q126" si="17">SUM(E122:E125)</f>
        <v>2</v>
      </c>
      <c r="F126" s="124">
        <f t="shared" si="17"/>
        <v>3</v>
      </c>
      <c r="G126" s="124">
        <f t="shared" si="17"/>
        <v>4</v>
      </c>
      <c r="H126" s="124">
        <f t="shared" si="17"/>
        <v>4</v>
      </c>
      <c r="I126" s="124">
        <f>SUM(I122:I125)</f>
        <v>4</v>
      </c>
      <c r="J126" s="124">
        <f t="shared" si="17"/>
        <v>3</v>
      </c>
      <c r="K126" s="124">
        <f t="shared" si="17"/>
        <v>4</v>
      </c>
      <c r="L126" s="190">
        <f t="shared" si="17"/>
        <v>4</v>
      </c>
      <c r="M126" s="124">
        <f t="shared" si="17"/>
        <v>3</v>
      </c>
      <c r="N126" s="124">
        <f t="shared" si="17"/>
        <v>3</v>
      </c>
      <c r="O126" s="124">
        <f t="shared" si="17"/>
        <v>3</v>
      </c>
      <c r="P126" s="124">
        <f t="shared" si="17"/>
        <v>3</v>
      </c>
      <c r="Q126" s="124">
        <f t="shared" si="17"/>
        <v>3</v>
      </c>
      <c r="R126" s="191"/>
    </row>
    <row r="127" spans="1:18" ht="15.5" x14ac:dyDescent="0.35">
      <c r="A127" s="116"/>
      <c r="B127" s="105"/>
      <c r="C127" s="106"/>
      <c r="D127" s="107"/>
      <c r="E127" s="108">
        <f>ROUNDUP(E117/(Assumptions!$C$36*365),0)</f>
        <v>1</v>
      </c>
      <c r="F127" s="108">
        <f>ROUNDUP(F117/(Assumptions!$C$36*365),0)</f>
        <v>2</v>
      </c>
      <c r="G127" s="108">
        <f>ROUNDUP(G117/(Assumptions!$C$36*365),0)</f>
        <v>3</v>
      </c>
      <c r="H127" s="108">
        <f>ROUNDUP(H117/(Assumptions!$C$36*365),0)</f>
        <v>3</v>
      </c>
      <c r="I127" s="108">
        <f>ROUNDUP(I117/(Assumptions!$C$36*365),0)</f>
        <v>3</v>
      </c>
      <c r="J127" s="108">
        <f>ROUNDUP(J117/(Assumptions!$C$36*365),0)</f>
        <v>2</v>
      </c>
      <c r="K127" s="108">
        <f>ROUNDUP(K117/(Assumptions!$C$36*365),0)</f>
        <v>3</v>
      </c>
      <c r="L127" s="108">
        <f>ROUNDUP(L117/(Assumptions!$C$36*365),0)</f>
        <v>3</v>
      </c>
      <c r="M127" s="108">
        <f>ROUNDUP(M117/(Assumptions!$C$36*365),0)</f>
        <v>2</v>
      </c>
      <c r="N127" s="108">
        <f>ROUNDUP(N117/(Assumptions!$C$36*365),0)</f>
        <v>3</v>
      </c>
      <c r="O127" s="108">
        <f>ROUNDUP(O117/(Assumptions!$C$36*365),0)</f>
        <v>3</v>
      </c>
      <c r="P127" s="108">
        <f>ROUNDUP(P117/(Assumptions!$C$36*365),0)</f>
        <v>3</v>
      </c>
      <c r="Q127" s="108">
        <f>ROUNDUP(Q117/(Assumptions!$C$36*365),0)</f>
        <v>3</v>
      </c>
      <c r="R127" s="113"/>
    </row>
    <row r="128" spans="1:18" ht="15.5" x14ac:dyDescent="0.35">
      <c r="A128" s="116"/>
      <c r="B128" s="116" t="s">
        <v>138</v>
      </c>
      <c r="C128" s="116"/>
      <c r="D128" s="183">
        <f>ROUNDUP(D118/(Assumptions!$C$36*365),0)</f>
        <v>0</v>
      </c>
      <c r="E128" s="183">
        <f>ROUNDUP(E118/(Assumptions!$C$36*365),0)</f>
        <v>1</v>
      </c>
      <c r="F128" s="183">
        <f>ROUNDUP(F118/(Assumptions!$C$36*365),0)</f>
        <v>1</v>
      </c>
      <c r="G128" s="183">
        <f>ROUNDUP(G118/(Assumptions!$C$36*365),0)</f>
        <v>1</v>
      </c>
      <c r="H128" s="183">
        <f>ROUNDUP(H118/(Assumptions!$C$36*365),0)</f>
        <v>1</v>
      </c>
      <c r="I128" s="183">
        <f>ROUNDUP(I118/(Assumptions!$C$36*365),0)</f>
        <v>1</v>
      </c>
      <c r="J128" s="183">
        <f>ROUNDUP(J118/(Assumptions!$C$36*365),0)</f>
        <v>1</v>
      </c>
      <c r="K128" s="183">
        <f>ROUNDUP(K118/(Assumptions!$C$36*365),0)</f>
        <v>1</v>
      </c>
      <c r="L128" s="186">
        <f>ROUNDUP(L118/(Assumptions!$C$36*365),0)</f>
        <v>1</v>
      </c>
      <c r="M128" s="183">
        <f>ROUNDUP(M118/(Assumptions!$C$36*365),0)</f>
        <v>1</v>
      </c>
      <c r="N128" s="183">
        <f>ROUNDUP(N118/(Assumptions!$C$36*365),0)</f>
        <v>1</v>
      </c>
      <c r="O128" s="183">
        <f>ROUNDUP(O118/(Assumptions!$C$36*365),0)</f>
        <v>1</v>
      </c>
      <c r="P128" s="183">
        <f>ROUNDUP(P118/(Assumptions!$C$36*365),0)</f>
        <v>1</v>
      </c>
      <c r="Q128" s="183">
        <f>ROUNDUP(Q118/(Assumptions!$C$36*365),0)</f>
        <v>1</v>
      </c>
      <c r="R128" s="115"/>
    </row>
    <row r="129" spans="1:18" ht="15.5" x14ac:dyDescent="0.35">
      <c r="A129" s="116"/>
      <c r="B129" s="116" t="s">
        <v>142</v>
      </c>
      <c r="C129" s="116"/>
      <c r="D129" s="183">
        <f>D126*2</f>
        <v>0</v>
      </c>
      <c r="E129" s="183">
        <f t="shared" ref="E129:Q129" si="18">E126*2</f>
        <v>4</v>
      </c>
      <c r="F129" s="183">
        <f t="shared" si="18"/>
        <v>6</v>
      </c>
      <c r="G129" s="183">
        <f t="shared" si="18"/>
        <v>8</v>
      </c>
      <c r="H129" s="183">
        <f t="shared" si="18"/>
        <v>8</v>
      </c>
      <c r="I129" s="183">
        <f t="shared" si="18"/>
        <v>8</v>
      </c>
      <c r="J129" s="183">
        <f t="shared" si="18"/>
        <v>6</v>
      </c>
      <c r="K129" s="183">
        <f t="shared" si="18"/>
        <v>8</v>
      </c>
      <c r="L129" s="186">
        <f t="shared" si="18"/>
        <v>8</v>
      </c>
      <c r="M129" s="183">
        <f t="shared" si="18"/>
        <v>6</v>
      </c>
      <c r="N129" s="183">
        <f t="shared" si="18"/>
        <v>6</v>
      </c>
      <c r="O129" s="183">
        <f t="shared" si="18"/>
        <v>6</v>
      </c>
      <c r="P129" s="183">
        <f t="shared" si="18"/>
        <v>6</v>
      </c>
      <c r="Q129" s="183">
        <f t="shared" si="18"/>
        <v>6</v>
      </c>
      <c r="R129" s="115"/>
    </row>
    <row r="130" spans="1:18" ht="15.5" x14ac:dyDescent="0.35">
      <c r="A130" s="116"/>
      <c r="B130" s="116" t="s">
        <v>179</v>
      </c>
      <c r="C130" s="116"/>
      <c r="D130" s="183">
        <v>0</v>
      </c>
      <c r="E130" s="183">
        <f>E$84*Assumptions!$K$35+D$84*Assumptions!$K$36+SUM($C$84:C$84)*Assumptions!$K$37+Assumptions!$K$38</f>
        <v>6</v>
      </c>
      <c r="F130" s="183">
        <f>F$84*Assumptions!$K$35+E$84*Assumptions!$K$36+SUM($C$84:D$84)*Assumptions!$K$37+Assumptions!$K$38</f>
        <v>12</v>
      </c>
      <c r="G130" s="183">
        <f>G$84*Assumptions!$K$35+F$84*Assumptions!$K$36+SUM($C$84:E$84)*Assumptions!$K$37+Assumptions!$K$38</f>
        <v>18</v>
      </c>
      <c r="H130" s="183">
        <f>H$84*Assumptions!$K$35+G$84*Assumptions!$K$36+SUM($C$84:F$84)*Assumptions!$K$37+Assumptions!$K$38</f>
        <v>23</v>
      </c>
      <c r="I130" s="183">
        <f>I$84*Assumptions!$K$35+H$84*Assumptions!$K$36+SUM($C$84:G$84)*Assumptions!$K$37+Assumptions!$K$38</f>
        <v>27</v>
      </c>
      <c r="J130" s="183">
        <f>J$84*Assumptions!$K$35+I$84*Assumptions!$K$36+SUM($C$84:H$84)*Assumptions!$K$37+Assumptions!$K$38</f>
        <v>29</v>
      </c>
      <c r="K130" s="183">
        <f>K$84*Assumptions!$K$35+J$84*Assumptions!$K$36+SUM($C$84:I$84)*Assumptions!$K$37+Assumptions!$K$38</f>
        <v>33</v>
      </c>
      <c r="L130" s="183">
        <f>L$84*Assumptions!$K$35+K$84*Assumptions!$K$36+SUM($C$84:J$84)*Assumptions!$K$37+Assumptions!$K$38</f>
        <v>38</v>
      </c>
      <c r="M130" s="183">
        <f>M$84*Assumptions!$K$35+L$84*Assumptions!$K$36+SUM($C$84:K$84)*Assumptions!$K$37+Assumptions!$K$38</f>
        <v>42</v>
      </c>
      <c r="N130" s="183">
        <f>N$84*Assumptions!$K$35+M$84*Assumptions!$K$36+SUM($C$84:L$84)*Assumptions!$K$37+Assumptions!$K$38</f>
        <v>46</v>
      </c>
      <c r="O130" s="183">
        <f>O$84*Assumptions!$K$35+N$84*Assumptions!$K$36+SUM($C$84:M$84)*Assumptions!$K$37+Assumptions!$K$38</f>
        <v>50</v>
      </c>
      <c r="P130" s="183">
        <f>P$84*Assumptions!$K$35+O$84*Assumptions!$K$36+SUM($C$84:N$84)*Assumptions!$K$37+Assumptions!$K$38</f>
        <v>54</v>
      </c>
      <c r="Q130" s="183">
        <f>Q$84*Assumptions!$K$35+P$84*Assumptions!$K$36+SUM($C$84:O$84)*Assumptions!$K$37+Assumptions!$K$38</f>
        <v>58</v>
      </c>
      <c r="R130" s="115">
        <f>Q130</f>
        <v>58</v>
      </c>
    </row>
    <row r="131" spans="1:18" ht="15.5" x14ac:dyDescent="0.35">
      <c r="B131" s="106" t="s">
        <v>343</v>
      </c>
      <c r="C131" s="106"/>
      <c r="D131" s="108">
        <v>0</v>
      </c>
      <c r="E131" s="108">
        <f>ROUNDUP((SUM($E86:E88)+D131)/Assumptions!$K$41,0)</f>
        <v>1</v>
      </c>
      <c r="F131" s="108">
        <f>ROUNDUP((SUM($E86:F88)+E131)/Assumptions!$K$41,0)</f>
        <v>1</v>
      </c>
      <c r="G131" s="108">
        <f>ROUNDUP((SUM($E86:G88)+F131)/Assumptions!$K$41,0)</f>
        <v>2</v>
      </c>
      <c r="H131" s="108">
        <f>ROUNDUP((SUM($E86:H88)+G131)/Assumptions!$K$41,0)</f>
        <v>4</v>
      </c>
      <c r="I131" s="108">
        <f>ROUNDUP((SUM($E86:I88)+H131)/Assumptions!$K$41,0)</f>
        <v>5</v>
      </c>
      <c r="J131" s="108">
        <f>ROUNDUP((SUM($E86:J88)+I131)/Assumptions!$K$41,0)</f>
        <v>5</v>
      </c>
      <c r="K131" s="108">
        <f>ROUNDUP((SUM($E86:K88)+J131)/Assumptions!$K$41,0)</f>
        <v>6</v>
      </c>
      <c r="L131" s="108">
        <f>ROUNDUP((SUM($E86:L88)+K131)/Assumptions!$K$41,0)</f>
        <v>7</v>
      </c>
      <c r="M131" s="108">
        <f>ROUNDUP((SUM($E86:M88)+L131)/Assumptions!$K$41,0)</f>
        <v>8</v>
      </c>
      <c r="N131" s="108">
        <f>ROUNDUP((SUM($E86:N88)+M131)/Assumptions!$K$41,0)</f>
        <v>9</v>
      </c>
      <c r="O131" s="108">
        <f>ROUNDUP((SUM($E86:O88)+N131)/Assumptions!$K$41,0)</f>
        <v>10</v>
      </c>
      <c r="P131" s="108">
        <f>ROUNDUP((SUM($E86:P88)+O131)/Assumptions!$K$41,0)</f>
        <v>11</v>
      </c>
      <c r="Q131" s="108">
        <f>ROUNDUP((SUM($E86:Q88)+P131)/Assumptions!$K$41,0)</f>
        <v>12</v>
      </c>
      <c r="R131" s="113">
        <f>Q131</f>
        <v>12</v>
      </c>
    </row>
    <row r="132" spans="1:18" ht="15.5" x14ac:dyDescent="0.35">
      <c r="A132" s="116"/>
      <c r="B132" s="116" t="s">
        <v>195</v>
      </c>
      <c r="C132" s="116"/>
      <c r="D132" s="183">
        <f>ROUNDUP(D119/(Assumptions!$C$36*365),0)</f>
        <v>0</v>
      </c>
      <c r="E132" s="183">
        <f>ROUNDUP(E119/(Assumptions!$C$36*365),0)</f>
        <v>1</v>
      </c>
      <c r="F132" s="183">
        <f>ROUNDUP(F119/(Assumptions!$C$36*365),0)</f>
        <v>2</v>
      </c>
      <c r="G132" s="183">
        <f>ROUNDUP(G119/(Assumptions!$C$36*365),0)</f>
        <v>2</v>
      </c>
      <c r="H132" s="183">
        <f>ROUNDUP(H119/(Assumptions!$C$36*365),0)</f>
        <v>2</v>
      </c>
      <c r="I132" s="183">
        <f>ROUNDUP(I119/(Assumptions!$C$36*365),0)</f>
        <v>2</v>
      </c>
      <c r="J132" s="183">
        <f>ROUNDUP(J119/(Assumptions!$C$36*365),0)</f>
        <v>2</v>
      </c>
      <c r="K132" s="183">
        <f>ROUNDUP(K119/(Assumptions!$C$36*365),0)</f>
        <v>3</v>
      </c>
      <c r="L132" s="183">
        <f>ROUNDUP(L119/(Assumptions!$C$36*365),0)</f>
        <v>3</v>
      </c>
      <c r="M132" s="183">
        <f>ROUNDUP(M119/(Assumptions!$C$36*365),0)</f>
        <v>2</v>
      </c>
      <c r="N132" s="183">
        <f>ROUNDUP(N119/(Assumptions!$C$36*365),0)</f>
        <v>3</v>
      </c>
      <c r="O132" s="183">
        <f>ROUNDUP(O119/(Assumptions!$C$36*365),0)</f>
        <v>3</v>
      </c>
      <c r="P132" s="183">
        <f>ROUNDUP(P119/(Assumptions!$C$36*365),0)</f>
        <v>3</v>
      </c>
      <c r="Q132" s="183">
        <f>ROUNDUP(Q119/(Assumptions!$C$36*365),0)</f>
        <v>3</v>
      </c>
      <c r="R132" s="115">
        <f>R85*Assumptions!Y52+Q85*Assumptions!Y53+SUM($C85:P85)*Assumptions!Y54</f>
        <v>0</v>
      </c>
    </row>
    <row r="133" spans="1:18" ht="15.5" x14ac:dyDescent="0.35">
      <c r="A133" s="116"/>
      <c r="B133" s="106" t="s">
        <v>305</v>
      </c>
      <c r="C133" s="106"/>
      <c r="D133" s="107"/>
      <c r="E133" s="108">
        <f>ROUNDUP(E120/(Assumptions!$C$36*365),0)</f>
        <v>1</v>
      </c>
      <c r="F133" s="108">
        <f>ROUNDUP(F120/(Assumptions!$C$36*365),0)</f>
        <v>1</v>
      </c>
      <c r="G133" s="108">
        <f>ROUNDUP(G120/(Assumptions!$C$36*365),0)</f>
        <v>1</v>
      </c>
      <c r="H133" s="108">
        <f>ROUNDUP(H120/(Assumptions!$C$36*365),0)</f>
        <v>1</v>
      </c>
      <c r="I133" s="108">
        <f>ROUNDUP(I120/(Assumptions!$C$36*365),0)</f>
        <v>1</v>
      </c>
      <c r="J133" s="108">
        <f>ROUNDUP(J120/(Assumptions!$C$36*365),0)</f>
        <v>1</v>
      </c>
      <c r="K133" s="108">
        <f>ROUNDUP(K120/(Assumptions!$C$36*365),0)</f>
        <v>2</v>
      </c>
      <c r="L133" s="108">
        <f>ROUNDUP(L120/(Assumptions!$C$36*365),0)</f>
        <v>2</v>
      </c>
      <c r="M133" s="108">
        <f>ROUNDUP(M120/(Assumptions!$C$36*365),0)</f>
        <v>1</v>
      </c>
      <c r="N133" s="108">
        <f>ROUNDUP(N120/(Assumptions!$C$36*365),0)</f>
        <v>1</v>
      </c>
      <c r="O133" s="108">
        <f>ROUNDUP(O120/(Assumptions!$C$36*365),0)</f>
        <v>1</v>
      </c>
      <c r="P133" s="108">
        <f>ROUNDUP(P120/(Assumptions!$C$36*365),0)</f>
        <v>1</v>
      </c>
      <c r="Q133" s="108">
        <f>ROUNDUP(Q120/(Assumptions!$C$36*365),0)</f>
        <v>1</v>
      </c>
      <c r="R133" s="114"/>
    </row>
    <row r="134" spans="1:18" ht="15.5" x14ac:dyDescent="0.35">
      <c r="A134" s="116"/>
      <c r="B134" s="116"/>
      <c r="C134" s="116"/>
      <c r="D134" s="116"/>
      <c r="E134" s="116"/>
      <c r="F134" s="116"/>
      <c r="G134" s="116"/>
      <c r="H134" s="116"/>
      <c r="I134" s="116"/>
      <c r="J134" s="116"/>
      <c r="K134" s="116"/>
      <c r="L134" s="116"/>
      <c r="M134" s="116"/>
      <c r="N134" s="116"/>
      <c r="O134" s="116"/>
      <c r="P134" s="116"/>
      <c r="Q134" s="116"/>
      <c r="R134" s="116"/>
    </row>
    <row r="135" spans="1:18" ht="15.5" x14ac:dyDescent="0.35">
      <c r="A135" s="116"/>
      <c r="B135" s="116"/>
      <c r="C135" s="116"/>
      <c r="D135" s="116"/>
      <c r="E135" s="116"/>
      <c r="F135" s="116"/>
      <c r="G135" s="116"/>
      <c r="H135" s="116"/>
      <c r="I135" s="116"/>
      <c r="J135" s="116"/>
      <c r="K135" s="116"/>
      <c r="L135" s="116"/>
      <c r="M135" s="116"/>
      <c r="N135" s="116"/>
      <c r="O135" s="116"/>
      <c r="P135" s="116"/>
      <c r="Q135" s="116"/>
      <c r="R135" s="116"/>
    </row>
    <row r="136" spans="1:18" ht="15.5" x14ac:dyDescent="0.35">
      <c r="A136" s="116"/>
      <c r="B136" s="116" t="s">
        <v>185</v>
      </c>
      <c r="C136" s="116"/>
      <c r="D136" s="116"/>
      <c r="E136" s="116"/>
      <c r="F136" s="116"/>
      <c r="G136" s="116"/>
      <c r="H136" s="116"/>
      <c r="I136" s="116"/>
      <c r="J136" s="116"/>
      <c r="K136" s="116"/>
      <c r="L136" s="116"/>
      <c r="M136" s="116"/>
      <c r="N136" s="116"/>
      <c r="O136" s="116"/>
      <c r="P136" s="116"/>
      <c r="Q136" s="116"/>
      <c r="R136" s="116"/>
    </row>
    <row r="137" spans="1:18" ht="15.5" x14ac:dyDescent="0.35">
      <c r="A137" s="116"/>
      <c r="B137" s="179" t="s">
        <v>186</v>
      </c>
      <c r="C137" s="179"/>
      <c r="D137" s="179"/>
      <c r="E137" s="179"/>
      <c r="F137" s="179"/>
      <c r="G137" s="179"/>
      <c r="H137" s="179"/>
      <c r="I137" s="179"/>
      <c r="J137" s="179"/>
      <c r="K137" s="179"/>
      <c r="L137" s="179"/>
      <c r="M137" s="179"/>
      <c r="N137" s="179"/>
      <c r="O137" s="179"/>
      <c r="P137" s="179"/>
      <c r="Q137" s="179"/>
      <c r="R137" s="179"/>
    </row>
    <row r="138" spans="1:18" ht="15.5" x14ac:dyDescent="0.35">
      <c r="A138" s="116"/>
      <c r="B138" s="116">
        <v>12</v>
      </c>
      <c r="C138" s="116"/>
      <c r="D138" s="115"/>
      <c r="E138" s="115">
        <f>Assumptions!$D$11/$B138*Assumptions!F11</f>
        <v>82.5</v>
      </c>
      <c r="F138" s="115">
        <f>Assumptions!$C$11/$B138/2*IF(Assumptions!F11*2&gt;1,1,Assumptions!F11*2)</f>
        <v>110</v>
      </c>
      <c r="G138" s="115">
        <f>Assumptions!$D$11/$B138/2</f>
        <v>125</v>
      </c>
      <c r="H138" s="115">
        <f>Assumptions!$D$11/$B138/2</f>
        <v>125</v>
      </c>
      <c r="I138" s="115">
        <f>Assumptions!$D$11/$B138/2</f>
        <v>125</v>
      </c>
      <c r="J138" s="115">
        <f>Assumptions!$D$11/$B138/2</f>
        <v>125</v>
      </c>
      <c r="K138" s="115"/>
      <c r="L138" s="115"/>
      <c r="M138" s="115"/>
      <c r="N138" s="115"/>
      <c r="O138" s="115"/>
      <c r="P138" s="115"/>
      <c r="Q138" s="115"/>
      <c r="R138" s="116"/>
    </row>
    <row r="139" spans="1:18" ht="15.5" x14ac:dyDescent="0.35">
      <c r="A139" s="116"/>
      <c r="B139" s="116">
        <v>15</v>
      </c>
      <c r="C139" s="116"/>
      <c r="D139" s="115"/>
      <c r="E139" s="115"/>
      <c r="F139" s="115">
        <f>Assumptions!$D$11/$B139/2*Assumptions!$F$11</f>
        <v>33</v>
      </c>
      <c r="G139" s="115">
        <f>Assumptions!$D$11/$B139/2*IF(Assumptions!$F$11*2&gt;1,1,Assumptions!$F$11*2)</f>
        <v>66</v>
      </c>
      <c r="H139" s="115">
        <f>Assumptions!$D$11/$B139/2</f>
        <v>100</v>
      </c>
      <c r="I139" s="115">
        <f>Assumptions!$D$11/$B139/2</f>
        <v>100</v>
      </c>
      <c r="J139" s="115">
        <f>Assumptions!$D$11/$B139/2</f>
        <v>100</v>
      </c>
      <c r="K139" s="115">
        <f>Assumptions!$D$11/$B139</f>
        <v>200</v>
      </c>
      <c r="L139" s="115">
        <f>Assumptions!$D$11/$B139</f>
        <v>200</v>
      </c>
      <c r="M139" s="115">
        <f>Assumptions!$D$11/$B139/2</f>
        <v>100</v>
      </c>
      <c r="N139" s="115">
        <f>Assumptions!$D$11/$B139/2</f>
        <v>100</v>
      </c>
      <c r="O139" s="115">
        <f>Assumptions!$D$11/$B139/2</f>
        <v>100</v>
      </c>
      <c r="P139" s="115">
        <f>Assumptions!$D$11/$B139/2</f>
        <v>100</v>
      </c>
      <c r="Q139" s="115">
        <f>Assumptions!$D$11/$B139/2</f>
        <v>100</v>
      </c>
      <c r="R139" s="116"/>
    </row>
    <row r="140" spans="1:18" ht="15.5" x14ac:dyDescent="0.35">
      <c r="A140" s="116"/>
      <c r="B140" s="116">
        <v>18</v>
      </c>
      <c r="C140" s="116"/>
      <c r="D140" s="115"/>
      <c r="E140" s="115"/>
      <c r="F140" s="115"/>
      <c r="G140" s="115"/>
      <c r="H140" s="115"/>
      <c r="I140" s="115"/>
      <c r="J140" s="115"/>
      <c r="K140" s="115"/>
      <c r="L140" s="115"/>
      <c r="M140" s="115">
        <f>Assumptions!$D$11/$B140/2</f>
        <v>83.333333333333329</v>
      </c>
      <c r="N140" s="115">
        <f>Assumptions!$D$11/$B140/2</f>
        <v>83.333333333333329</v>
      </c>
      <c r="O140" s="115">
        <f>Assumptions!$D$11/$B140/2</f>
        <v>83.333333333333329</v>
      </c>
      <c r="P140" s="115">
        <f>Assumptions!$D$11/$B140/2</f>
        <v>83.333333333333329</v>
      </c>
      <c r="Q140" s="115">
        <f>Assumptions!$D$11/$B140/2</f>
        <v>83.333333333333329</v>
      </c>
      <c r="R140" s="116"/>
    </row>
    <row r="141" spans="1:18" ht="15.5" x14ac:dyDescent="0.35">
      <c r="A141" s="116"/>
      <c r="B141" s="116"/>
      <c r="C141" s="116"/>
      <c r="D141" s="116"/>
      <c r="E141" s="116"/>
      <c r="F141" s="115"/>
      <c r="G141" s="115"/>
      <c r="H141" s="115"/>
      <c r="I141" s="115"/>
      <c r="J141" s="115"/>
      <c r="K141" s="115"/>
      <c r="L141" s="115"/>
      <c r="M141" s="115"/>
      <c r="N141" s="115"/>
      <c r="O141" s="115"/>
      <c r="P141" s="115"/>
      <c r="Q141" s="115"/>
      <c r="R141" s="116"/>
    </row>
    <row r="142" spans="1:18" ht="15.5" x14ac:dyDescent="0.35">
      <c r="A142" s="116"/>
      <c r="B142" s="116"/>
      <c r="C142" s="116"/>
      <c r="D142" s="116"/>
      <c r="E142" s="116"/>
      <c r="F142" s="116"/>
      <c r="G142" s="116"/>
      <c r="H142" s="116"/>
      <c r="I142" s="116"/>
      <c r="J142" s="116"/>
      <c r="K142" s="116"/>
      <c r="L142" s="116"/>
      <c r="M142" s="116"/>
      <c r="N142" s="116"/>
      <c r="O142" s="116"/>
      <c r="P142" s="116"/>
      <c r="Q142" s="116"/>
      <c r="R142" s="116"/>
    </row>
    <row r="143" spans="1:18" ht="15.5" x14ac:dyDescent="0.35">
      <c r="A143" s="116"/>
      <c r="B143" s="116"/>
      <c r="C143" s="116"/>
      <c r="D143" s="116"/>
      <c r="E143" s="116"/>
      <c r="F143" s="192"/>
      <c r="G143" s="192"/>
      <c r="H143" s="192"/>
      <c r="I143" s="192"/>
      <c r="J143" s="192"/>
      <c r="K143" s="192"/>
      <c r="L143" s="192"/>
      <c r="M143" s="192"/>
      <c r="N143" s="192"/>
      <c r="O143" s="192"/>
      <c r="P143" s="192"/>
      <c r="Q143" s="192"/>
      <c r="R143" s="116"/>
    </row>
    <row r="144" spans="1:18" ht="15.5" x14ac:dyDescent="0.35">
      <c r="A144" s="116"/>
      <c r="B144" s="116"/>
      <c r="C144" s="116"/>
      <c r="D144" s="116"/>
      <c r="E144" s="116">
        <f>E138*$B138+E139*$B139+E140*$B140</f>
        <v>990</v>
      </c>
      <c r="F144" s="116">
        <f>F138*$B138+F139*$B139+F140*$B140</f>
        <v>1815</v>
      </c>
      <c r="G144" s="116">
        <f t="shared" ref="G144:Q144" si="19">G138*$B138+G139*$B139+G140*$B140</f>
        <v>2490</v>
      </c>
      <c r="H144" s="116">
        <f t="shared" si="19"/>
        <v>3000</v>
      </c>
      <c r="I144" s="116">
        <f t="shared" si="19"/>
        <v>3000</v>
      </c>
      <c r="J144" s="116">
        <f t="shared" si="19"/>
        <v>3000</v>
      </c>
      <c r="K144" s="116">
        <f t="shared" si="19"/>
        <v>3000</v>
      </c>
      <c r="L144" s="116">
        <f t="shared" si="19"/>
        <v>3000</v>
      </c>
      <c r="M144" s="116">
        <f t="shared" si="19"/>
        <v>3000</v>
      </c>
      <c r="N144" s="116">
        <f t="shared" si="19"/>
        <v>3000</v>
      </c>
      <c r="O144" s="116">
        <f t="shared" si="19"/>
        <v>3000</v>
      </c>
      <c r="P144" s="116">
        <f t="shared" si="19"/>
        <v>3000</v>
      </c>
      <c r="Q144" s="116">
        <f t="shared" si="19"/>
        <v>3000</v>
      </c>
      <c r="R144" s="116"/>
    </row>
    <row r="145" spans="1:18" ht="15.5" x14ac:dyDescent="0.35">
      <c r="A145" s="116"/>
      <c r="B145" s="116"/>
      <c r="C145" s="116"/>
      <c r="D145" s="116"/>
      <c r="E145" s="116"/>
      <c r="F145" s="192"/>
      <c r="G145" s="192"/>
      <c r="H145" s="192"/>
      <c r="I145" s="192"/>
      <c r="J145" s="192"/>
      <c r="K145" s="192"/>
      <c r="L145" s="192"/>
      <c r="M145" s="192"/>
      <c r="N145" s="192"/>
      <c r="O145" s="192"/>
      <c r="P145" s="192"/>
      <c r="Q145" s="192"/>
      <c r="R145" s="116"/>
    </row>
    <row r="146" spans="1:18" ht="15.5" x14ac:dyDescent="0.35">
      <c r="A146" s="116"/>
      <c r="B146" s="116"/>
      <c r="C146" s="116"/>
      <c r="D146" s="116"/>
      <c r="E146" s="116"/>
      <c r="F146" s="192"/>
      <c r="G146" s="192"/>
      <c r="H146" s="192"/>
      <c r="I146" s="192"/>
      <c r="J146" s="192"/>
      <c r="K146" s="192"/>
      <c r="L146" s="192"/>
      <c r="M146" s="192"/>
      <c r="N146" s="192"/>
      <c r="O146" s="192"/>
      <c r="P146" s="192"/>
      <c r="Q146" s="192"/>
      <c r="R146" s="116"/>
    </row>
    <row r="147" spans="1:18" ht="15.5" x14ac:dyDescent="0.35">
      <c r="A147" s="116"/>
      <c r="B147" s="116"/>
      <c r="C147" s="116"/>
      <c r="D147" s="116"/>
      <c r="E147" s="116"/>
      <c r="F147" s="116"/>
      <c r="G147" s="116"/>
      <c r="H147" s="116"/>
      <c r="I147" s="116"/>
      <c r="J147" s="116"/>
      <c r="K147" s="116"/>
      <c r="L147" s="116"/>
      <c r="M147" s="116"/>
      <c r="N147" s="116"/>
      <c r="O147" s="116"/>
      <c r="P147" s="116"/>
      <c r="Q147" s="116"/>
      <c r="R147" s="116"/>
    </row>
    <row r="148" spans="1:18" ht="15.5" x14ac:dyDescent="0.35">
      <c r="A148" s="116"/>
      <c r="B148" s="116"/>
      <c r="C148" s="116"/>
      <c r="D148" s="116"/>
      <c r="E148" s="116"/>
      <c r="F148" s="116"/>
      <c r="G148" s="116"/>
      <c r="H148" s="116"/>
      <c r="I148" s="116"/>
      <c r="J148" s="116"/>
      <c r="K148" s="116"/>
      <c r="L148" s="116"/>
      <c r="M148" s="116"/>
      <c r="N148" s="116"/>
      <c r="O148" s="116"/>
      <c r="P148" s="116"/>
      <c r="Q148" s="116"/>
      <c r="R148" s="116"/>
    </row>
    <row r="149" spans="1:18" ht="15.5" x14ac:dyDescent="0.35">
      <c r="A149" s="116"/>
      <c r="B149" s="116"/>
      <c r="C149" s="116"/>
      <c r="D149" s="116"/>
      <c r="E149" s="116"/>
      <c r="F149" s="116"/>
      <c r="G149" s="116"/>
      <c r="H149" s="116"/>
      <c r="I149" s="116"/>
      <c r="J149" s="116"/>
      <c r="K149" s="116"/>
      <c r="L149" s="116"/>
      <c r="M149" s="116"/>
      <c r="N149" s="116"/>
      <c r="O149" s="116"/>
      <c r="P149" s="116"/>
      <c r="Q149" s="116"/>
      <c r="R149" s="116"/>
    </row>
    <row r="150" spans="1:18" ht="15.5" x14ac:dyDescent="0.35">
      <c r="A150" s="116"/>
      <c r="B150" s="116"/>
      <c r="C150" s="116"/>
      <c r="D150" s="116"/>
      <c r="E150" s="116"/>
      <c r="F150" s="116"/>
      <c r="G150" s="116"/>
      <c r="H150" s="116"/>
      <c r="I150" s="116"/>
      <c r="J150" s="116"/>
      <c r="K150" s="116"/>
      <c r="L150" s="116"/>
      <c r="M150" s="116"/>
      <c r="N150" s="116"/>
      <c r="O150" s="116"/>
      <c r="P150" s="116"/>
      <c r="Q150" s="116"/>
      <c r="R150" s="116"/>
    </row>
    <row r="151" spans="1:18" ht="15.5" x14ac:dyDescent="0.35">
      <c r="A151" s="116"/>
      <c r="B151" s="116"/>
      <c r="C151" s="116"/>
      <c r="D151" s="116"/>
      <c r="E151" s="116"/>
      <c r="F151" s="116"/>
      <c r="G151" s="116"/>
      <c r="H151" s="116"/>
      <c r="I151" s="116"/>
      <c r="J151" s="116"/>
      <c r="K151" s="116"/>
      <c r="L151" s="116"/>
      <c r="M151" s="116"/>
      <c r="N151" s="116"/>
      <c r="O151" s="116"/>
      <c r="P151" s="116"/>
      <c r="Q151" s="116"/>
      <c r="R151" s="116"/>
    </row>
    <row r="152" spans="1:18" ht="15.5" x14ac:dyDescent="0.35">
      <c r="A152" s="116"/>
      <c r="B152" s="116"/>
      <c r="C152" s="116"/>
      <c r="D152" s="116"/>
      <c r="E152" s="116"/>
      <c r="F152" s="116"/>
      <c r="G152" s="116"/>
      <c r="H152" s="116"/>
      <c r="I152" s="116"/>
      <c r="J152" s="116"/>
      <c r="K152" s="116"/>
      <c r="L152" s="116"/>
      <c r="M152" s="116"/>
      <c r="N152" s="116"/>
      <c r="O152" s="116"/>
      <c r="P152" s="116"/>
      <c r="Q152" s="116"/>
      <c r="R152" s="116"/>
    </row>
    <row r="153" spans="1:18" ht="15.5" x14ac:dyDescent="0.35">
      <c r="A153" s="116"/>
      <c r="B153" s="116"/>
      <c r="C153" s="116"/>
      <c r="D153" s="116"/>
      <c r="E153" s="116"/>
      <c r="F153" s="116"/>
      <c r="G153" s="116"/>
      <c r="H153" s="116"/>
      <c r="I153" s="116"/>
      <c r="J153" s="116"/>
      <c r="K153" s="116"/>
      <c r="L153" s="116"/>
      <c r="M153" s="116"/>
      <c r="N153" s="116"/>
      <c r="O153" s="116"/>
      <c r="P153" s="116"/>
      <c r="Q153" s="116"/>
      <c r="R153" s="116"/>
    </row>
    <row r="154" spans="1:18" ht="15.5" x14ac:dyDescent="0.35">
      <c r="A154" s="116"/>
      <c r="B154" s="116"/>
      <c r="C154" s="116"/>
      <c r="D154" s="116"/>
      <c r="E154" s="116"/>
      <c r="F154" s="116"/>
      <c r="G154" s="116"/>
      <c r="H154" s="116"/>
      <c r="I154" s="116"/>
      <c r="J154" s="116"/>
      <c r="K154" s="116"/>
      <c r="L154" s="116"/>
      <c r="M154" s="116"/>
      <c r="N154" s="116"/>
      <c r="O154" s="116"/>
      <c r="P154" s="116"/>
      <c r="Q154" s="116"/>
      <c r="R154" s="116"/>
    </row>
    <row r="155" spans="1:18" ht="15.5" x14ac:dyDescent="0.35">
      <c r="A155" s="116"/>
      <c r="B155" s="116"/>
      <c r="C155" s="116"/>
      <c r="D155" s="116"/>
      <c r="E155" s="116"/>
      <c r="F155" s="116"/>
      <c r="G155" s="116"/>
      <c r="H155" s="116"/>
      <c r="I155" s="116"/>
      <c r="J155" s="116"/>
      <c r="K155" s="116"/>
      <c r="L155" s="116"/>
      <c r="M155" s="116"/>
      <c r="N155" s="116"/>
      <c r="O155" s="116"/>
      <c r="P155" s="116"/>
      <c r="Q155" s="116"/>
      <c r="R155" s="116"/>
    </row>
    <row r="156" spans="1:18" ht="15.5" x14ac:dyDescent="0.35">
      <c r="A156" s="116"/>
      <c r="B156" s="116"/>
      <c r="C156" s="116"/>
      <c r="D156" s="116"/>
      <c r="E156" s="116"/>
      <c r="F156" s="116"/>
      <c r="G156" s="116"/>
      <c r="H156" s="116"/>
      <c r="I156" s="116"/>
      <c r="J156" s="116"/>
      <c r="K156" s="116"/>
      <c r="L156" s="116"/>
      <c r="M156" s="116"/>
      <c r="N156" s="116"/>
      <c r="O156" s="116"/>
      <c r="P156" s="116"/>
      <c r="Q156" s="116"/>
      <c r="R156" s="116"/>
    </row>
    <row r="157" spans="1:18" ht="15.5" x14ac:dyDescent="0.35">
      <c r="A157" s="116"/>
      <c r="B157" s="116"/>
      <c r="C157" s="116"/>
      <c r="D157" s="116"/>
      <c r="E157" s="116"/>
      <c r="F157" s="116"/>
      <c r="G157" s="116"/>
      <c r="H157" s="116"/>
      <c r="I157" s="116"/>
      <c r="J157" s="116"/>
      <c r="K157" s="116"/>
      <c r="L157" s="116"/>
      <c r="M157" s="116"/>
      <c r="N157" s="116"/>
      <c r="O157" s="116"/>
      <c r="P157" s="116"/>
      <c r="Q157" s="116"/>
      <c r="R157" s="116"/>
    </row>
    <row r="158" spans="1:18" ht="15.5" x14ac:dyDescent="0.35">
      <c r="A158" s="116"/>
      <c r="B158" s="116"/>
      <c r="C158" s="116"/>
      <c r="D158" s="116"/>
      <c r="E158" s="116"/>
      <c r="F158" s="116"/>
      <c r="G158" s="116"/>
      <c r="H158" s="116"/>
      <c r="I158" s="116"/>
      <c r="J158" s="116"/>
      <c r="K158" s="116"/>
      <c r="L158" s="116"/>
      <c r="M158" s="116"/>
      <c r="N158" s="116"/>
      <c r="O158" s="116"/>
      <c r="P158" s="116"/>
      <c r="Q158" s="116"/>
      <c r="R158" s="116"/>
    </row>
    <row r="159" spans="1:18" ht="15.5" x14ac:dyDescent="0.35">
      <c r="A159" s="116"/>
      <c r="B159" s="116"/>
      <c r="C159" s="116"/>
      <c r="D159" s="116"/>
      <c r="E159" s="116"/>
      <c r="F159" s="116"/>
      <c r="G159" s="116"/>
      <c r="H159" s="116"/>
      <c r="I159" s="116"/>
      <c r="J159" s="116"/>
      <c r="K159" s="116"/>
      <c r="L159" s="116"/>
      <c r="M159" s="116"/>
      <c r="N159" s="116"/>
      <c r="O159" s="116"/>
      <c r="P159" s="116"/>
      <c r="Q159" s="116"/>
      <c r="R159" s="116"/>
    </row>
    <row r="160" spans="1:18" ht="15.5" x14ac:dyDescent="0.35">
      <c r="A160" s="116"/>
      <c r="B160" s="116"/>
      <c r="C160" s="116"/>
      <c r="D160" s="116"/>
      <c r="E160" s="116"/>
      <c r="F160" s="116"/>
      <c r="G160" s="116"/>
      <c r="H160" s="116"/>
      <c r="I160" s="116"/>
      <c r="J160" s="116"/>
      <c r="K160" s="116"/>
      <c r="L160" s="116"/>
      <c r="M160" s="116"/>
      <c r="N160" s="116"/>
      <c r="O160" s="116"/>
      <c r="P160" s="116"/>
      <c r="Q160" s="116"/>
      <c r="R160" s="116"/>
    </row>
    <row r="161" spans="1:18" ht="15.5" x14ac:dyDescent="0.35">
      <c r="A161" s="116"/>
      <c r="B161" s="116"/>
      <c r="C161" s="116"/>
      <c r="D161" s="116"/>
      <c r="E161" s="116"/>
      <c r="F161" s="116"/>
      <c r="G161" s="116"/>
      <c r="H161" s="116"/>
      <c r="I161" s="116"/>
      <c r="J161" s="116"/>
      <c r="K161" s="116"/>
      <c r="L161" s="116"/>
      <c r="M161" s="116"/>
      <c r="N161" s="116"/>
      <c r="O161" s="116"/>
      <c r="P161" s="116"/>
      <c r="Q161" s="116"/>
      <c r="R161" s="116"/>
    </row>
    <row r="162" spans="1:18" ht="15.5" x14ac:dyDescent="0.35">
      <c r="A162" s="116"/>
      <c r="B162" s="116"/>
      <c r="C162" s="116"/>
      <c r="D162" s="116"/>
      <c r="E162" s="116"/>
      <c r="F162" s="116"/>
      <c r="G162" s="116"/>
      <c r="H162" s="116"/>
      <c r="I162" s="116"/>
      <c r="J162" s="116"/>
      <c r="K162" s="116"/>
      <c r="L162" s="116"/>
      <c r="M162" s="116"/>
      <c r="N162" s="116"/>
      <c r="O162" s="116"/>
      <c r="P162" s="116"/>
      <c r="Q162" s="116"/>
      <c r="R162" s="116"/>
    </row>
    <row r="163" spans="1:18" ht="15.5" x14ac:dyDescent="0.35">
      <c r="A163" s="116"/>
      <c r="B163" s="116"/>
      <c r="C163" s="116"/>
      <c r="D163" s="116"/>
      <c r="E163" s="116"/>
      <c r="F163" s="116"/>
      <c r="G163" s="116"/>
      <c r="H163" s="116"/>
      <c r="I163" s="116"/>
      <c r="J163" s="116"/>
      <c r="K163" s="116"/>
      <c r="L163" s="116"/>
      <c r="M163" s="116"/>
      <c r="N163" s="116"/>
      <c r="O163" s="116"/>
      <c r="P163" s="116"/>
      <c r="Q163" s="116"/>
      <c r="R163" s="116"/>
    </row>
    <row r="164" spans="1:18" ht="15.5" x14ac:dyDescent="0.35">
      <c r="A164" s="116"/>
      <c r="B164" s="116"/>
      <c r="C164" s="116"/>
      <c r="D164" s="116"/>
      <c r="E164" s="116"/>
      <c r="F164" s="116"/>
      <c r="G164" s="116"/>
      <c r="H164" s="116"/>
      <c r="I164" s="116"/>
      <c r="J164" s="116"/>
      <c r="K164" s="116"/>
      <c r="L164" s="116"/>
      <c r="M164" s="116"/>
      <c r="N164" s="116"/>
      <c r="O164" s="116"/>
      <c r="P164" s="116"/>
      <c r="Q164" s="116"/>
      <c r="R164" s="116"/>
    </row>
    <row r="165" spans="1:18" ht="15.5" x14ac:dyDescent="0.35">
      <c r="A165" s="116"/>
      <c r="B165" s="116"/>
      <c r="C165" s="116"/>
      <c r="D165" s="116"/>
      <c r="E165" s="116"/>
      <c r="F165" s="116"/>
      <c r="G165" s="116"/>
      <c r="H165" s="116"/>
      <c r="I165" s="116"/>
      <c r="J165" s="116"/>
      <c r="K165" s="116"/>
      <c r="L165" s="116"/>
      <c r="M165" s="116"/>
      <c r="N165" s="116"/>
      <c r="O165" s="116"/>
      <c r="P165" s="116"/>
      <c r="Q165" s="116"/>
      <c r="R165" s="116"/>
    </row>
    <row r="166" spans="1:18" ht="15.5" x14ac:dyDescent="0.35">
      <c r="A166" s="116"/>
      <c r="B166" s="116"/>
      <c r="C166" s="116"/>
      <c r="D166" s="116"/>
      <c r="E166" s="116"/>
      <c r="F166" s="116"/>
      <c r="G166" s="116"/>
      <c r="H166" s="116"/>
      <c r="I166" s="116"/>
      <c r="J166" s="116"/>
      <c r="K166" s="116"/>
      <c r="L166" s="116"/>
      <c r="M166" s="116"/>
      <c r="N166" s="116"/>
      <c r="O166" s="116"/>
      <c r="P166" s="116"/>
      <c r="Q166" s="116"/>
      <c r="R166" s="116"/>
    </row>
    <row r="167" spans="1:18" ht="15.5" x14ac:dyDescent="0.35">
      <c r="A167" s="116"/>
      <c r="B167" s="116"/>
      <c r="C167" s="116"/>
      <c r="D167" s="116"/>
      <c r="E167" s="116"/>
      <c r="F167" s="116"/>
      <c r="G167" s="116"/>
      <c r="H167" s="116"/>
      <c r="I167" s="116"/>
      <c r="J167" s="116"/>
      <c r="K167" s="116"/>
      <c r="L167" s="116"/>
      <c r="M167" s="116"/>
      <c r="N167" s="116"/>
      <c r="O167" s="116"/>
      <c r="P167" s="116"/>
      <c r="Q167" s="116"/>
      <c r="R167" s="116"/>
    </row>
    <row r="168" spans="1:18" ht="15.5" x14ac:dyDescent="0.35">
      <c r="A168" s="116"/>
      <c r="B168" s="116"/>
      <c r="C168" s="116"/>
      <c r="D168" s="116"/>
      <c r="E168" s="116"/>
      <c r="F168" s="116"/>
      <c r="G168" s="116"/>
      <c r="H168" s="116"/>
      <c r="I168" s="116"/>
      <c r="J168" s="116"/>
      <c r="K168" s="116"/>
      <c r="L168" s="116"/>
      <c r="M168" s="116"/>
      <c r="N168" s="116"/>
      <c r="O168" s="116"/>
      <c r="P168" s="116"/>
      <c r="Q168" s="116"/>
      <c r="R168" s="116"/>
    </row>
    <row r="169" spans="1:18" ht="15.5" x14ac:dyDescent="0.35">
      <c r="A169" s="116"/>
      <c r="B169" s="116"/>
      <c r="C169" s="116"/>
      <c r="D169" s="116"/>
      <c r="E169" s="116"/>
      <c r="F169" s="116"/>
      <c r="G169" s="116"/>
      <c r="H169" s="116"/>
      <c r="I169" s="116"/>
      <c r="J169" s="116"/>
      <c r="K169" s="116"/>
      <c r="L169" s="116"/>
      <c r="M169" s="116"/>
      <c r="N169" s="116"/>
      <c r="O169" s="116"/>
      <c r="P169" s="116"/>
      <c r="Q169" s="116"/>
      <c r="R169" s="116"/>
    </row>
    <row r="170" spans="1:18" ht="15.5" x14ac:dyDescent="0.35">
      <c r="A170" s="116"/>
      <c r="B170" s="116"/>
      <c r="C170" s="116"/>
      <c r="D170" s="116"/>
      <c r="E170" s="116"/>
      <c r="F170" s="116"/>
      <c r="G170" s="116"/>
      <c r="H170" s="116"/>
      <c r="I170" s="116"/>
      <c r="J170" s="116"/>
      <c r="K170" s="116"/>
      <c r="L170" s="116"/>
      <c r="M170" s="116"/>
      <c r="N170" s="116"/>
      <c r="O170" s="116"/>
      <c r="P170" s="116"/>
      <c r="Q170" s="116"/>
      <c r="R170" s="116"/>
    </row>
    <row r="171" spans="1:18" ht="15.5" x14ac:dyDescent="0.35">
      <c r="A171" s="116"/>
      <c r="B171" s="116"/>
      <c r="C171" s="116"/>
      <c r="D171" s="116"/>
      <c r="E171" s="116"/>
      <c r="F171" s="116"/>
      <c r="G171" s="116"/>
      <c r="H171" s="116"/>
      <c r="I171" s="116"/>
      <c r="J171" s="116"/>
      <c r="K171" s="116"/>
      <c r="L171" s="116"/>
      <c r="M171" s="116"/>
      <c r="N171" s="116"/>
      <c r="O171" s="116"/>
      <c r="P171" s="116"/>
      <c r="Q171" s="116"/>
      <c r="R171" s="116"/>
    </row>
    <row r="172" spans="1:18" ht="15.5" x14ac:dyDescent="0.35">
      <c r="A172" s="116"/>
      <c r="B172" s="116"/>
      <c r="C172" s="116"/>
      <c r="D172" s="116"/>
      <c r="E172" s="116"/>
      <c r="F172" s="116"/>
      <c r="G172" s="116"/>
      <c r="H172" s="116"/>
      <c r="I172" s="116"/>
      <c r="J172" s="116"/>
      <c r="K172" s="116"/>
      <c r="L172" s="116"/>
      <c r="M172" s="116"/>
      <c r="N172" s="116"/>
      <c r="O172" s="116"/>
      <c r="P172" s="116"/>
      <c r="Q172" s="116"/>
      <c r="R172" s="116"/>
    </row>
    <row r="173" spans="1:18" ht="15.5" x14ac:dyDescent="0.35">
      <c r="A173" s="116"/>
      <c r="B173" s="116"/>
      <c r="C173" s="116"/>
      <c r="D173" s="116"/>
      <c r="E173" s="116"/>
      <c r="F173" s="116"/>
      <c r="G173" s="116"/>
      <c r="H173" s="116"/>
      <c r="I173" s="116"/>
      <c r="J173" s="116"/>
      <c r="K173" s="116"/>
      <c r="L173" s="116"/>
      <c r="M173" s="116"/>
      <c r="N173" s="116"/>
      <c r="O173" s="116"/>
      <c r="P173" s="116"/>
      <c r="Q173" s="116"/>
      <c r="R173" s="116"/>
    </row>
    <row r="174" spans="1:18" ht="15.5" x14ac:dyDescent="0.35">
      <c r="A174" s="116"/>
      <c r="B174" s="116"/>
      <c r="C174" s="116"/>
      <c r="D174" s="116"/>
      <c r="E174" s="116"/>
      <c r="F174" s="116"/>
      <c r="G174" s="116"/>
      <c r="H174" s="116"/>
      <c r="I174" s="116"/>
      <c r="J174" s="116"/>
      <c r="K174" s="116"/>
      <c r="L174" s="116"/>
      <c r="M174" s="116"/>
      <c r="N174" s="116"/>
      <c r="O174" s="116"/>
      <c r="P174" s="116"/>
      <c r="Q174" s="116"/>
      <c r="R174" s="116"/>
    </row>
  </sheetData>
  <conditionalFormatting sqref="D77:Q80">
    <cfRule type="colorScale" priority="83">
      <colorScale>
        <cfvo type="min"/>
        <cfvo type="max"/>
        <color rgb="FFFCFCFF"/>
        <color rgb="FF00B050"/>
      </colorScale>
    </cfRule>
  </conditionalFormatting>
  <conditionalFormatting sqref="C10:Q12">
    <cfRule type="colorScale" priority="36">
      <colorScale>
        <cfvo type="min"/>
        <cfvo type="max"/>
        <color theme="0"/>
        <color rgb="FF5D9732"/>
      </colorScale>
    </cfRule>
  </conditionalFormatting>
  <conditionalFormatting sqref="C18:Q20">
    <cfRule type="colorScale" priority="35">
      <colorScale>
        <cfvo type="min"/>
        <cfvo type="max"/>
        <color theme="0"/>
        <color rgb="FF5D9732"/>
      </colorScale>
    </cfRule>
  </conditionalFormatting>
  <conditionalFormatting sqref="C30:Q32">
    <cfRule type="colorScale" priority="34">
      <colorScale>
        <cfvo type="min"/>
        <cfvo type="max"/>
        <color theme="0"/>
        <color rgb="FF5D9732"/>
      </colorScale>
    </cfRule>
  </conditionalFormatting>
  <conditionalFormatting sqref="C34:Q35">
    <cfRule type="colorScale" priority="33">
      <colorScale>
        <cfvo type="min"/>
        <cfvo type="max"/>
        <color theme="0"/>
        <color rgb="FF5D9732"/>
      </colorScale>
    </cfRule>
  </conditionalFormatting>
  <conditionalFormatting sqref="C14:Q16">
    <cfRule type="colorScale" priority="32">
      <colorScale>
        <cfvo type="min"/>
        <cfvo type="max"/>
        <color theme="0"/>
        <color rgb="FF5D9732"/>
      </colorScale>
    </cfRule>
  </conditionalFormatting>
  <conditionalFormatting sqref="C22:Q24">
    <cfRule type="colorScale" priority="31">
      <colorScale>
        <cfvo type="min"/>
        <cfvo type="max"/>
        <color theme="0"/>
        <color rgb="FF5D9732"/>
      </colorScale>
    </cfRule>
  </conditionalFormatting>
  <conditionalFormatting sqref="C26:Q29">
    <cfRule type="colorScale" priority="30">
      <colorScale>
        <cfvo type="min"/>
        <cfvo type="max"/>
        <color theme="0"/>
        <color rgb="FF5D9732"/>
      </colorScale>
    </cfRule>
  </conditionalFormatting>
  <conditionalFormatting sqref="D67:Q67">
    <cfRule type="colorScale" priority="29">
      <colorScale>
        <cfvo type="min"/>
        <cfvo type="max"/>
        <color rgb="FFFCFCFF"/>
        <color rgb="FF00B050"/>
      </colorScale>
    </cfRule>
  </conditionalFormatting>
  <conditionalFormatting sqref="C50:Q52">
    <cfRule type="colorScale" priority="28">
      <colorScale>
        <cfvo type="min"/>
        <cfvo type="max"/>
        <color theme="0"/>
        <color rgb="FF5D9732"/>
      </colorScale>
    </cfRule>
  </conditionalFormatting>
  <conditionalFormatting sqref="Q58:Q60">
    <cfRule type="colorScale" priority="27">
      <colorScale>
        <cfvo type="min"/>
        <cfvo type="max"/>
        <color theme="0"/>
        <color rgb="FF00B050"/>
      </colorScale>
    </cfRule>
  </conditionalFormatting>
  <conditionalFormatting sqref="C68:Q68">
    <cfRule type="colorScale" priority="26">
      <colorScale>
        <cfvo type="min"/>
        <cfvo type="max"/>
        <color theme="0"/>
        <color rgb="FF5D9732"/>
      </colorScale>
    </cfRule>
  </conditionalFormatting>
  <conditionalFormatting sqref="C70:Q71">
    <cfRule type="colorScale" priority="25">
      <colorScale>
        <cfvo type="min"/>
        <cfvo type="max"/>
        <color theme="0"/>
        <color rgb="FF5D9732"/>
      </colorScale>
    </cfRule>
  </conditionalFormatting>
  <conditionalFormatting sqref="C46:Q48">
    <cfRule type="colorScale" priority="24">
      <colorScale>
        <cfvo type="min"/>
        <cfvo type="max"/>
        <color theme="0"/>
        <color rgb="FF5D9732"/>
      </colorScale>
    </cfRule>
  </conditionalFormatting>
  <conditionalFormatting sqref="C54:Q60">
    <cfRule type="colorScale" priority="23">
      <colorScale>
        <cfvo type="min"/>
        <cfvo type="max"/>
        <color theme="0"/>
        <color rgb="FF5D9732"/>
      </colorScale>
    </cfRule>
  </conditionalFormatting>
  <conditionalFormatting sqref="C62:Q65">
    <cfRule type="colorScale" priority="22">
      <colorScale>
        <cfvo type="min"/>
        <cfvo type="max"/>
        <color theme="0"/>
        <color rgb="FF5D9732"/>
      </colorScale>
    </cfRule>
  </conditionalFormatting>
  <conditionalFormatting sqref="C66:P66">
    <cfRule type="colorScale" priority="21">
      <colorScale>
        <cfvo type="min"/>
        <cfvo type="max"/>
        <color rgb="FFFCFCFF"/>
        <color rgb="FF5D9732"/>
      </colorScale>
    </cfRule>
  </conditionalFormatting>
  <conditionalFormatting sqref="D86:Q88">
    <cfRule type="colorScale" priority="20">
      <colorScale>
        <cfvo type="min"/>
        <cfvo type="max"/>
        <color theme="0"/>
        <color rgb="FF5D9732"/>
      </colorScale>
    </cfRule>
  </conditionalFormatting>
  <conditionalFormatting sqref="D90:Q92">
    <cfRule type="colorScale" priority="19">
      <colorScale>
        <cfvo type="min"/>
        <cfvo type="max"/>
        <color theme="0"/>
        <color rgb="FF5D9732"/>
      </colorScale>
    </cfRule>
  </conditionalFormatting>
  <conditionalFormatting sqref="D94:Q96">
    <cfRule type="colorScale" priority="18">
      <colorScale>
        <cfvo type="min"/>
        <cfvo type="max"/>
        <color theme="0"/>
        <color rgb="FF5D9732"/>
      </colorScale>
    </cfRule>
  </conditionalFormatting>
  <conditionalFormatting sqref="D98:Q100">
    <cfRule type="colorScale" priority="17">
      <colorScale>
        <cfvo type="min"/>
        <cfvo type="max"/>
        <color theme="0"/>
        <color rgb="FF5D9732"/>
      </colorScale>
    </cfRule>
  </conditionalFormatting>
  <conditionalFormatting sqref="D102:Q106">
    <cfRule type="colorScale" priority="15">
      <colorScale>
        <cfvo type="min"/>
        <cfvo type="max"/>
        <color theme="0"/>
        <color rgb="FF5D9732"/>
      </colorScale>
    </cfRule>
  </conditionalFormatting>
  <conditionalFormatting sqref="E107:Q107">
    <cfRule type="colorScale" priority="14">
      <colorScale>
        <cfvo type="min"/>
        <cfvo type="max"/>
        <color theme="0"/>
        <color rgb="FF5D9732"/>
      </colorScale>
    </cfRule>
  </conditionalFormatting>
  <conditionalFormatting sqref="D113:Q116 D118:Q119">
    <cfRule type="colorScale" priority="13">
      <colorScale>
        <cfvo type="min"/>
        <cfvo type="max"/>
        <color rgb="FFFCFCFF"/>
        <color rgb="FF5D9732"/>
      </colorScale>
    </cfRule>
  </conditionalFormatting>
  <conditionalFormatting sqref="D122:Q126 D128:Q128">
    <cfRule type="colorScale" priority="12">
      <colorScale>
        <cfvo type="min"/>
        <cfvo type="max"/>
        <color rgb="FFFCFCFF"/>
        <color rgb="FF5D9732"/>
      </colorScale>
    </cfRule>
  </conditionalFormatting>
  <conditionalFormatting sqref="E129:Q130 E132:Q132">
    <cfRule type="colorScale" priority="11">
      <colorScale>
        <cfvo type="min"/>
        <cfvo type="max"/>
        <color rgb="FFFCFCFF"/>
        <color rgb="FF5D9732"/>
      </colorScale>
    </cfRule>
  </conditionalFormatting>
  <conditionalFormatting sqref="E110:Q111">
    <cfRule type="colorScale" priority="10">
      <colorScale>
        <cfvo type="min"/>
        <cfvo type="max"/>
        <color theme="0"/>
        <color rgb="FF5D9732"/>
      </colorScale>
    </cfRule>
  </conditionalFormatting>
  <conditionalFormatting sqref="D108:Q108">
    <cfRule type="colorScale" priority="9">
      <colorScale>
        <cfvo type="min"/>
        <cfvo type="max"/>
        <color theme="0"/>
        <color rgb="FF5D9732"/>
      </colorScale>
    </cfRule>
  </conditionalFormatting>
  <conditionalFormatting sqref="D84:Q84">
    <cfRule type="colorScale" priority="8">
      <colorScale>
        <cfvo type="min"/>
        <cfvo type="max"/>
        <color theme="0"/>
        <color rgb="FF5D9732"/>
      </colorScale>
    </cfRule>
  </conditionalFormatting>
  <conditionalFormatting sqref="D117:Q117">
    <cfRule type="colorScale" priority="7">
      <colorScale>
        <cfvo type="min"/>
        <cfvo type="max"/>
        <color rgb="FFFCFCFF"/>
        <color rgb="FF5D9732"/>
      </colorScale>
    </cfRule>
  </conditionalFormatting>
  <conditionalFormatting sqref="D120:Q120">
    <cfRule type="colorScale" priority="6">
      <colorScale>
        <cfvo type="min"/>
        <cfvo type="max"/>
        <color rgb="FFFCFCFF"/>
        <color rgb="FF5D9732"/>
      </colorScale>
    </cfRule>
  </conditionalFormatting>
  <conditionalFormatting sqref="D127:Q127">
    <cfRule type="colorScale" priority="5">
      <colorScale>
        <cfvo type="min"/>
        <cfvo type="max"/>
        <color rgb="FFFCFCFF"/>
        <color rgb="FF5D9732"/>
      </colorScale>
    </cfRule>
  </conditionalFormatting>
  <conditionalFormatting sqref="E133:Q133">
    <cfRule type="colorScale" priority="4">
      <colorScale>
        <cfvo type="min"/>
        <cfvo type="max"/>
        <color rgb="FFFCFCFF"/>
        <color rgb="FF5D9732"/>
      </colorScale>
    </cfRule>
  </conditionalFormatting>
  <conditionalFormatting sqref="E133:Q133">
    <cfRule type="colorScale" priority="3">
      <colorScale>
        <cfvo type="min"/>
        <cfvo type="max"/>
        <color theme="0"/>
        <color rgb="FF5D9732"/>
      </colorScale>
    </cfRule>
  </conditionalFormatting>
  <conditionalFormatting sqref="D131:Q131">
    <cfRule type="colorScale" priority="1">
      <colorScale>
        <cfvo type="min"/>
        <cfvo type="max"/>
        <color theme="0"/>
        <color rgb="FF5D9732"/>
      </colorScale>
    </cfRule>
  </conditionalFormatting>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14A069-E631-42AB-A123-AA2D3E61D6A3}">
  <sheetPr codeName="Sheet20">
    <tabColor rgb="FF8CC63F"/>
  </sheetPr>
  <dimension ref="A1:S146"/>
  <sheetViews>
    <sheetView topLeftCell="B1" zoomScale="70" zoomScaleNormal="70" workbookViewId="0">
      <pane ySplit="6" topLeftCell="A97" activePane="bottomLeft" state="frozen"/>
      <selection pane="bottomLeft" activeCell="D112" sqref="D112"/>
    </sheetView>
  </sheetViews>
  <sheetFormatPr defaultRowHeight="14.5" x14ac:dyDescent="0.35"/>
  <cols>
    <col min="2" max="2" width="18.453125" customWidth="1"/>
    <col min="3" max="3" width="8.6328125" hidden="1" customWidth="1"/>
    <col min="4" max="5" width="8.90625" bestFit="1" customWidth="1"/>
    <col min="6" max="17" width="9.36328125" bestFit="1" customWidth="1"/>
  </cols>
  <sheetData>
    <row r="1" spans="1:19" x14ac:dyDescent="0.35">
      <c r="Q1" s="19"/>
      <c r="R1" s="19"/>
    </row>
    <row r="2" spans="1:19" x14ac:dyDescent="0.35">
      <c r="B2" s="7" t="s">
        <v>187</v>
      </c>
      <c r="Q2" s="19"/>
      <c r="R2" s="19"/>
    </row>
    <row r="3" spans="1:19" x14ac:dyDescent="0.35">
      <c r="Q3" s="19"/>
      <c r="R3" s="19"/>
    </row>
    <row r="4" spans="1:19" x14ac:dyDescent="0.35">
      <c r="Q4" s="19"/>
      <c r="R4" s="19"/>
    </row>
    <row r="5" spans="1:19" x14ac:dyDescent="0.35">
      <c r="C5" t="s">
        <v>105</v>
      </c>
    </row>
    <row r="6" spans="1:19" ht="21" x14ac:dyDescent="0.5">
      <c r="C6" s="81">
        <v>2021</v>
      </c>
      <c r="D6" s="81">
        <v>2022</v>
      </c>
      <c r="E6" s="81">
        <f t="shared" ref="E6:Q6" si="0">D6+1</f>
        <v>2023</v>
      </c>
      <c r="F6" s="81">
        <f t="shared" si="0"/>
        <v>2024</v>
      </c>
      <c r="G6" s="81">
        <f t="shared" si="0"/>
        <v>2025</v>
      </c>
      <c r="H6" s="81">
        <f t="shared" si="0"/>
        <v>2026</v>
      </c>
      <c r="I6" s="81">
        <f t="shared" si="0"/>
        <v>2027</v>
      </c>
      <c r="J6" s="81">
        <f t="shared" si="0"/>
        <v>2028</v>
      </c>
      <c r="K6" s="81">
        <f t="shared" si="0"/>
        <v>2029</v>
      </c>
      <c r="L6" s="82">
        <f t="shared" si="0"/>
        <v>2030</v>
      </c>
      <c r="M6" s="81">
        <f t="shared" si="0"/>
        <v>2031</v>
      </c>
      <c r="N6" s="81">
        <f t="shared" si="0"/>
        <v>2032</v>
      </c>
      <c r="O6" s="81">
        <f t="shared" si="0"/>
        <v>2033</v>
      </c>
      <c r="P6" s="81">
        <f t="shared" si="0"/>
        <v>2034</v>
      </c>
      <c r="Q6" s="81">
        <f t="shared" si="0"/>
        <v>2035</v>
      </c>
      <c r="R6" s="81" t="s">
        <v>106</v>
      </c>
    </row>
    <row r="7" spans="1:19" ht="15.5" x14ac:dyDescent="0.35">
      <c r="A7" t="s">
        <v>132</v>
      </c>
      <c r="B7" s="117" t="s">
        <v>107</v>
      </c>
      <c r="C7" s="117"/>
      <c r="D7" s="118"/>
      <c r="E7" s="118"/>
      <c r="F7" s="118"/>
      <c r="G7" s="118"/>
      <c r="H7" s="118"/>
      <c r="I7" s="118"/>
      <c r="J7" s="118"/>
      <c r="K7" s="118"/>
      <c r="L7" s="118"/>
      <c r="M7" s="118"/>
      <c r="N7" s="118"/>
      <c r="O7" s="118"/>
      <c r="P7" s="118"/>
      <c r="Q7" s="118"/>
      <c r="R7" s="119"/>
    </row>
    <row r="8" spans="1:19" ht="15.5" x14ac:dyDescent="0.35">
      <c r="B8" s="120" t="s">
        <v>108</v>
      </c>
      <c r="C8" s="120"/>
      <c r="D8" s="116"/>
      <c r="E8" s="116"/>
      <c r="F8" s="116"/>
      <c r="G8" s="116"/>
      <c r="H8" s="116"/>
      <c r="I8" s="116"/>
      <c r="J8" s="116"/>
      <c r="K8" s="116"/>
      <c r="L8" s="116"/>
      <c r="M8" s="116"/>
      <c r="N8" s="116"/>
      <c r="O8" s="116"/>
      <c r="P8" s="116"/>
      <c r="Q8" s="116"/>
      <c r="R8" s="115"/>
    </row>
    <row r="9" spans="1:19" ht="15.5" x14ac:dyDescent="0.35">
      <c r="B9" s="129" t="s">
        <v>350</v>
      </c>
      <c r="C9" s="180">
        <f ca="1">SUM(C10:C12)</f>
        <v>42.769230769230774</v>
      </c>
      <c r="D9" s="180">
        <f t="shared" ref="D9:Q9" ca="1" si="1">SUM(D10:D12)</f>
        <v>121.66666666666667</v>
      </c>
      <c r="E9" s="180">
        <f t="shared" ca="1" si="1"/>
        <v>150</v>
      </c>
      <c r="F9" s="180">
        <f t="shared" ca="1" si="1"/>
        <v>150</v>
      </c>
      <c r="G9" s="180">
        <f t="shared" ca="1" si="1"/>
        <v>150</v>
      </c>
      <c r="H9" s="180">
        <f t="shared" ca="1" si="1"/>
        <v>150</v>
      </c>
      <c r="I9" s="180">
        <f t="shared" ca="1" si="1"/>
        <v>150</v>
      </c>
      <c r="J9" s="180">
        <f t="shared" ca="1" si="1"/>
        <v>104.97435897435905</v>
      </c>
      <c r="K9" s="180">
        <f t="shared" ca="1" si="1"/>
        <v>122.22222222222223</v>
      </c>
      <c r="L9" s="180">
        <f t="shared" ca="1" si="1"/>
        <v>122.22222222222223</v>
      </c>
      <c r="M9" s="180">
        <f t="shared" ca="1" si="1"/>
        <v>122.22222222222223</v>
      </c>
      <c r="N9" s="180">
        <f t="shared" ca="1" si="1"/>
        <v>122.22222222222223</v>
      </c>
      <c r="O9" s="180">
        <f t="shared" ca="1" si="1"/>
        <v>122.22222222222223</v>
      </c>
      <c r="P9" s="180">
        <f t="shared" si="1"/>
        <v>0</v>
      </c>
      <c r="Q9" s="180">
        <f t="shared" si="1"/>
        <v>0</v>
      </c>
      <c r="R9" s="181">
        <f ca="1">SUM(C9:Q9)</f>
        <v>1630.5213675213674</v>
      </c>
    </row>
    <row r="10" spans="1:19" ht="15.5" x14ac:dyDescent="0.35">
      <c r="A10" s="57">
        <f>MAX(Assumptions!C$45:C$47)</f>
        <v>1</v>
      </c>
      <c r="B10" s="111">
        <v>12</v>
      </c>
      <c r="C10" s="183" cm="1">
        <f t="array" aca="1" ref="C10" ca="1">INDIRECT("R[36]C["&amp;$A$10&amp;"]",FALSE)</f>
        <v>42.769230769230774</v>
      </c>
      <c r="D10" s="183" cm="1">
        <f t="array" aca="1" ref="D10" ca="1">INDIRECT("R[36]C["&amp;$A$10&amp;"]",FALSE)</f>
        <v>55</v>
      </c>
      <c r="E10" s="183" cm="1">
        <f t="array" aca="1" ref="E10" ca="1">INDIRECT("R[36]C["&amp;$A$10&amp;"]",FALSE)</f>
        <v>83.333333333333329</v>
      </c>
      <c r="F10" s="183" cm="1">
        <f t="array" aca="1" ref="F10" ca="1">INDIRECT("R[36]C["&amp;$A$10&amp;"]",FALSE)</f>
        <v>83.333333333333329</v>
      </c>
      <c r="G10" s="183" cm="1">
        <f t="array" aca="1" ref="G10" ca="1">INDIRECT("R[36]C["&amp;$A$10&amp;"]",FALSE)</f>
        <v>83.333333333333329</v>
      </c>
      <c r="H10" s="183" cm="1">
        <f t="array" aca="1" ref="H10" ca="1">INDIRECT("R[36]C["&amp;$A$10&amp;"]",FALSE)</f>
        <v>83.333333333333329</v>
      </c>
      <c r="I10" s="183" cm="1">
        <f t="array" aca="1" ref="I10" ca="1">INDIRECT("R[36]C["&amp;$A$10&amp;"]",FALSE)</f>
        <v>83.333333333333329</v>
      </c>
      <c r="J10" s="183" cm="1">
        <f t="array" aca="1" ref="J10" ca="1">INDIRECT("R[36]C["&amp;$A$10&amp;"]",FALSE)</f>
        <v>38.307692307692378</v>
      </c>
      <c r="K10" s="183" cm="1">
        <f t="array" aca="1" ref="K10" ca="1">INDIRECT("R[36]C["&amp;$A$10&amp;"]",FALSE)</f>
        <v>0</v>
      </c>
      <c r="L10" s="183" cm="1">
        <f t="array" aca="1" ref="L10" ca="1">INDIRECT("R[36]C["&amp;$A$10&amp;"]",FALSE)</f>
        <v>0</v>
      </c>
      <c r="M10" s="183" cm="1">
        <f t="array" aca="1" ref="M10" ca="1">INDIRECT("R[36]C["&amp;$A$10&amp;"]",FALSE)</f>
        <v>0</v>
      </c>
      <c r="N10" s="183" cm="1">
        <f t="array" aca="1" ref="N10" ca="1">INDIRECT("R[36]C["&amp;$A$10&amp;"]",FALSE)</f>
        <v>0</v>
      </c>
      <c r="O10" s="183" cm="1">
        <f t="array" aca="1" ref="O10" ca="1">INDIRECT("R[36]C["&amp;$A$10&amp;"]",FALSE)</f>
        <v>0</v>
      </c>
      <c r="P10" s="115"/>
      <c r="Q10" s="115"/>
      <c r="R10" s="115">
        <f ca="1">SUM(C10:P10)</f>
        <v>552.74358974358972</v>
      </c>
    </row>
    <row r="11" spans="1:19" ht="15.5" x14ac:dyDescent="0.35">
      <c r="A11" s="57">
        <f>MAX(Assumptions!C$45:C$47)</f>
        <v>1</v>
      </c>
      <c r="B11" s="111">
        <v>15</v>
      </c>
      <c r="C11" s="183" cm="1">
        <f t="array" aca="1" ref="C11" ca="1">INDIRECT("R[36]C["&amp;$A$11&amp;"]",FALSE)</f>
        <v>0</v>
      </c>
      <c r="D11" s="183" cm="1">
        <f t="array" aca="1" ref="D11" ca="1">INDIRECT("R[36]C["&amp;$A$11&amp;"]",FALSE)</f>
        <v>66.666666666666671</v>
      </c>
      <c r="E11" s="183" cm="1">
        <f t="array" aca="1" ref="E11" ca="1">INDIRECT("R[36]C["&amp;$A$11&amp;"]",FALSE)</f>
        <v>66.666666666666671</v>
      </c>
      <c r="F11" s="183" cm="1">
        <f t="array" aca="1" ref="F11" ca="1">INDIRECT("R[36]C["&amp;$A$11&amp;"]",FALSE)</f>
        <v>66.666666666666671</v>
      </c>
      <c r="G11" s="183" cm="1">
        <f t="array" aca="1" ref="G11" ca="1">INDIRECT("R[36]C["&amp;$A$11&amp;"]",FALSE)</f>
        <v>66.666666666666671</v>
      </c>
      <c r="H11" s="183" cm="1">
        <f t="array" aca="1" ref="H11" ca="1">INDIRECT("R[36]C["&amp;$A$11&amp;"]",FALSE)</f>
        <v>66.666666666666671</v>
      </c>
      <c r="I11" s="183" cm="1">
        <f t="array" aca="1" ref="I11" ca="1">INDIRECT("R[36]C["&amp;$A$11&amp;"]",FALSE)</f>
        <v>66.666666666666671</v>
      </c>
      <c r="J11" s="183" cm="1">
        <f t="array" aca="1" ref="J11" ca="1">INDIRECT("R[36]C["&amp;$A$11&amp;"]",FALSE)</f>
        <v>66.666666666666671</v>
      </c>
      <c r="K11" s="183" cm="1">
        <f t="array" aca="1" ref="K11" ca="1">INDIRECT("R[36]C["&amp;$A$11&amp;"]",FALSE)</f>
        <v>66.666666666666671</v>
      </c>
      <c r="L11" s="183" cm="1">
        <f t="array" aca="1" ref="L11" ca="1">INDIRECT("R[36]C["&amp;$A$11&amp;"]",FALSE)</f>
        <v>66.666666666666671</v>
      </c>
      <c r="M11" s="183" cm="1">
        <f t="array" aca="1" ref="M11" ca="1">INDIRECT("R[36]C["&amp;$A$11&amp;"]",FALSE)</f>
        <v>66.666666666666671</v>
      </c>
      <c r="N11" s="183" cm="1">
        <f t="array" aca="1" ref="N11" ca="1">INDIRECT("R[36]C["&amp;$A$11&amp;"]",FALSE)</f>
        <v>66.666666666666671</v>
      </c>
      <c r="O11" s="183" cm="1">
        <f t="array" aca="1" ref="O11" ca="1">INDIRECT("R[36]C["&amp;$A$11&amp;"]",FALSE)</f>
        <v>66.666666666666671</v>
      </c>
      <c r="P11" s="115"/>
      <c r="Q11" s="115"/>
      <c r="R11" s="115">
        <f t="shared" ref="R11:R12" ca="1" si="2">SUM(C11:P11)</f>
        <v>799.99999999999989</v>
      </c>
    </row>
    <row r="12" spans="1:19" ht="15.5" x14ac:dyDescent="0.35">
      <c r="A12" s="57">
        <f>MAX(Assumptions!C$45:C$47)</f>
        <v>1</v>
      </c>
      <c r="B12" s="111">
        <v>18</v>
      </c>
      <c r="C12" s="183" cm="1">
        <f t="array" aca="1" ref="C12" ca="1">INDIRECT("R[36]C["&amp;$A$12&amp;"]",FALSE)</f>
        <v>0</v>
      </c>
      <c r="D12" s="183" cm="1">
        <f t="array" aca="1" ref="D12" ca="1">INDIRECT("R[36]C["&amp;$A$12&amp;"]",FALSE)</f>
        <v>0</v>
      </c>
      <c r="E12" s="183" cm="1">
        <f t="array" aca="1" ref="E12" ca="1">INDIRECT("R[36]C["&amp;$A$12&amp;"]",FALSE)</f>
        <v>0</v>
      </c>
      <c r="F12" s="183" cm="1">
        <f t="array" aca="1" ref="F12" ca="1">INDIRECT("R[36]C["&amp;$A$12&amp;"]",FALSE)</f>
        <v>0</v>
      </c>
      <c r="G12" s="183" cm="1">
        <f t="array" aca="1" ref="G12" ca="1">INDIRECT("R[36]C["&amp;$A$12&amp;"]",FALSE)</f>
        <v>0</v>
      </c>
      <c r="H12" s="183" cm="1">
        <f t="array" aca="1" ref="H12" ca="1">INDIRECT("R[36]C["&amp;$A$12&amp;"]",FALSE)</f>
        <v>0</v>
      </c>
      <c r="I12" s="183" cm="1">
        <f t="array" aca="1" ref="I12" ca="1">INDIRECT("R[36]C["&amp;$A$12&amp;"]",FALSE)</f>
        <v>0</v>
      </c>
      <c r="J12" s="183" cm="1">
        <f t="array" aca="1" ref="J12" ca="1">INDIRECT("R[36]C["&amp;$A$12&amp;"]",FALSE)</f>
        <v>0</v>
      </c>
      <c r="K12" s="183" cm="1">
        <f t="array" aca="1" ref="K12" ca="1">INDIRECT("R[36]C["&amp;$A$12&amp;"]",FALSE)</f>
        <v>55.555555555555557</v>
      </c>
      <c r="L12" s="183" cm="1">
        <f t="array" aca="1" ref="L12" ca="1">INDIRECT("R[36]C["&amp;$A$12&amp;"]",FALSE)</f>
        <v>55.555555555555557</v>
      </c>
      <c r="M12" s="183" cm="1">
        <f t="array" aca="1" ref="M12" ca="1">INDIRECT("R[36]C["&amp;$A$12&amp;"]",FALSE)</f>
        <v>55.555555555555557</v>
      </c>
      <c r="N12" s="183" cm="1">
        <f t="array" aca="1" ref="N12" ca="1">INDIRECT("R[36]C["&amp;$A$12&amp;"]",FALSE)</f>
        <v>55.555555555555557</v>
      </c>
      <c r="O12" s="183" cm="1">
        <f t="array" aca="1" ref="O12" ca="1">INDIRECT("R[36]C["&amp;$A$12&amp;"]",FALSE)</f>
        <v>55.555555555555557</v>
      </c>
      <c r="P12" s="115"/>
      <c r="Q12" s="115"/>
      <c r="R12" s="115">
        <f t="shared" ca="1" si="2"/>
        <v>277.77777777777777</v>
      </c>
      <c r="S12" t="s">
        <v>91</v>
      </c>
    </row>
    <row r="13" spans="1:19" ht="15.5" x14ac:dyDescent="0.35">
      <c r="B13" s="129" t="s">
        <v>351</v>
      </c>
      <c r="C13" s="179"/>
      <c r="D13" s="179"/>
      <c r="E13" s="179"/>
      <c r="F13" s="179"/>
      <c r="G13" s="179"/>
      <c r="H13" s="179"/>
      <c r="I13" s="179"/>
      <c r="J13" s="179"/>
      <c r="K13" s="179"/>
      <c r="L13" s="179"/>
      <c r="M13" s="179"/>
      <c r="N13" s="179"/>
      <c r="O13" s="179"/>
      <c r="P13" s="179"/>
      <c r="Q13" s="179"/>
      <c r="R13" s="181"/>
    </row>
    <row r="14" spans="1:19" ht="15.5" x14ac:dyDescent="0.35">
      <c r="A14" s="57">
        <f>Assumptions!C$45</f>
        <v>1</v>
      </c>
      <c r="B14" s="111">
        <v>12</v>
      </c>
      <c r="C14" s="183" cm="1">
        <f t="array" aca="1" ref="C14" ca="1">INDIRECT("R[36]C["&amp;$A$14&amp;"]",FALSE)</f>
        <v>128.30769230769232</v>
      </c>
      <c r="D14" s="183" cm="1">
        <f t="array" aca="1" ref="D14" ca="1">INDIRECT("R[36]C["&amp;$A$14&amp;"]",FALSE)</f>
        <v>165</v>
      </c>
      <c r="E14" s="183" cm="1">
        <f t="array" aca="1" ref="E14" ca="1">INDIRECT("R[36]C["&amp;$A$14&amp;"]",FALSE)</f>
        <v>250</v>
      </c>
      <c r="F14" s="183" cm="1">
        <f t="array" aca="1" ref="F14" ca="1">INDIRECT("R[36]C["&amp;$A$14&amp;"]",FALSE)</f>
        <v>250</v>
      </c>
      <c r="G14" s="183" cm="1">
        <f t="array" aca="1" ref="G14" ca="1">INDIRECT("R[36]C["&amp;$A$14&amp;"]",FALSE)</f>
        <v>250</v>
      </c>
      <c r="H14" s="183" cm="1">
        <f t="array" aca="1" ref="H14" ca="1">INDIRECT("R[36]C["&amp;$A$14&amp;"]",FALSE)</f>
        <v>250</v>
      </c>
      <c r="I14" s="183" cm="1">
        <f t="array" aca="1" ref="I14" ca="1">INDIRECT("R[36]C["&amp;$A$14&amp;"]",FALSE)</f>
        <v>250</v>
      </c>
      <c r="J14" s="183" cm="1">
        <f t="array" aca="1" ref="J14" ca="1">INDIRECT("R[36]C["&amp;$A$14&amp;"]",FALSE)</f>
        <v>114.92307692307713</v>
      </c>
      <c r="K14" s="183" cm="1">
        <f t="array" aca="1" ref="K14" ca="1">INDIRECT("R[36]C["&amp;$A$14&amp;"]",FALSE)</f>
        <v>0</v>
      </c>
      <c r="L14" s="183" cm="1">
        <f t="array" aca="1" ref="L14" ca="1">INDIRECT("R[36]C["&amp;$A$14&amp;"]",FALSE)</f>
        <v>0</v>
      </c>
      <c r="M14" s="183" cm="1">
        <f t="array" aca="1" ref="M14" ca="1">INDIRECT("R[36]C["&amp;$A$14&amp;"]",FALSE)</f>
        <v>0</v>
      </c>
      <c r="N14" s="183" cm="1">
        <f t="array" aca="1" ref="N14" ca="1">INDIRECT("R[36]C["&amp;$A$14&amp;"]",FALSE)</f>
        <v>0</v>
      </c>
      <c r="O14" s="183" cm="1">
        <f t="array" aca="1" ref="O14" ca="1">INDIRECT("R[36]C["&amp;$A$14&amp;"]",FALSE)</f>
        <v>0</v>
      </c>
      <c r="P14" s="116"/>
      <c r="Q14" s="116"/>
      <c r="R14" s="115">
        <f ca="1">SUM(C14:P14)</f>
        <v>1658.2307692307695</v>
      </c>
    </row>
    <row r="15" spans="1:19" ht="15.5" x14ac:dyDescent="0.35">
      <c r="A15" s="57">
        <f>Assumptions!C$45</f>
        <v>1</v>
      </c>
      <c r="B15" s="111">
        <v>15</v>
      </c>
      <c r="C15" s="183" cm="1">
        <f t="array" aca="1" ref="C15" ca="1">INDIRECT("R[36]C["&amp;$A$15&amp;"]",FALSE)</f>
        <v>0</v>
      </c>
      <c r="D15" s="183" cm="1">
        <f t="array" aca="1" ref="D15" ca="1">INDIRECT("R[36]C["&amp;$A$15&amp;"]",FALSE)</f>
        <v>200</v>
      </c>
      <c r="E15" s="183" cm="1">
        <f t="array" aca="1" ref="E15" ca="1">INDIRECT("R[36]C["&amp;$A$15&amp;"]",FALSE)</f>
        <v>200</v>
      </c>
      <c r="F15" s="183" cm="1">
        <f t="array" aca="1" ref="F15" ca="1">INDIRECT("R[36]C["&amp;$A$15&amp;"]",FALSE)</f>
        <v>200</v>
      </c>
      <c r="G15" s="183" cm="1">
        <f t="array" aca="1" ref="G15" ca="1">INDIRECT("R[36]C["&amp;$A$15&amp;"]",FALSE)</f>
        <v>200</v>
      </c>
      <c r="H15" s="183" cm="1">
        <f t="array" aca="1" ref="H15" ca="1">INDIRECT("R[36]C["&amp;$A$15&amp;"]",FALSE)</f>
        <v>200</v>
      </c>
      <c r="I15" s="183" cm="1">
        <f t="array" aca="1" ref="I15" ca="1">INDIRECT("R[36]C["&amp;$A$15&amp;"]",FALSE)</f>
        <v>200</v>
      </c>
      <c r="J15" s="183" cm="1">
        <f t="array" aca="1" ref="J15" ca="1">INDIRECT("R[36]C["&amp;$A$15&amp;"]",FALSE)</f>
        <v>200</v>
      </c>
      <c r="K15" s="183" cm="1">
        <f t="array" aca="1" ref="K15" ca="1">INDIRECT("R[36]C["&amp;$A$15&amp;"]",FALSE)</f>
        <v>200</v>
      </c>
      <c r="L15" s="183" cm="1">
        <f t="array" aca="1" ref="L15" ca="1">INDIRECT("R[36]C["&amp;$A$15&amp;"]",FALSE)</f>
        <v>200</v>
      </c>
      <c r="M15" s="183" cm="1">
        <f t="array" aca="1" ref="M15" ca="1">INDIRECT("R[36]C["&amp;$A$15&amp;"]",FALSE)</f>
        <v>200</v>
      </c>
      <c r="N15" s="183" cm="1">
        <f t="array" aca="1" ref="N15" ca="1">INDIRECT("R[36]C["&amp;$A$15&amp;"]",FALSE)</f>
        <v>200</v>
      </c>
      <c r="O15" s="183" cm="1">
        <f t="array" aca="1" ref="O15" ca="1">INDIRECT("R[36]C["&amp;$A$15&amp;"]",FALSE)</f>
        <v>200</v>
      </c>
      <c r="P15" s="116"/>
      <c r="Q15" s="116"/>
      <c r="R15" s="115">
        <f t="shared" ref="R15:R16" ca="1" si="3">SUM(C15:P15)</f>
        <v>2400</v>
      </c>
    </row>
    <row r="16" spans="1:19" ht="15.5" x14ac:dyDescent="0.35">
      <c r="A16" s="57">
        <f>Assumptions!C$45</f>
        <v>1</v>
      </c>
      <c r="B16" s="111">
        <v>18</v>
      </c>
      <c r="C16" s="183" cm="1">
        <f t="array" aca="1" ref="C16" ca="1">INDIRECT("R[36]C["&amp;$A$16&amp;"]",FALSE)</f>
        <v>0</v>
      </c>
      <c r="D16" s="183" cm="1">
        <f t="array" aca="1" ref="D16" ca="1">INDIRECT("R[36]C["&amp;$A$16&amp;"]",FALSE)</f>
        <v>0</v>
      </c>
      <c r="E16" s="183" cm="1">
        <f t="array" aca="1" ref="E16" ca="1">INDIRECT("R[36]C["&amp;$A$16&amp;"]",FALSE)</f>
        <v>0</v>
      </c>
      <c r="F16" s="183" cm="1">
        <f t="array" aca="1" ref="F16" ca="1">INDIRECT("R[36]C["&amp;$A$16&amp;"]",FALSE)</f>
        <v>0</v>
      </c>
      <c r="G16" s="183" cm="1">
        <f t="array" aca="1" ref="G16" ca="1">INDIRECT("R[36]C["&amp;$A$16&amp;"]",FALSE)</f>
        <v>0</v>
      </c>
      <c r="H16" s="183" cm="1">
        <f t="array" aca="1" ref="H16" ca="1">INDIRECT("R[36]C["&amp;$A$16&amp;"]",FALSE)</f>
        <v>0</v>
      </c>
      <c r="I16" s="183" cm="1">
        <f t="array" aca="1" ref="I16" ca="1">INDIRECT("R[36]C["&amp;$A$16&amp;"]",FALSE)</f>
        <v>0</v>
      </c>
      <c r="J16" s="183" cm="1">
        <f t="array" aca="1" ref="J16" ca="1">INDIRECT("R[36]C["&amp;$A$16&amp;"]",FALSE)</f>
        <v>0</v>
      </c>
      <c r="K16" s="183" cm="1">
        <f t="array" aca="1" ref="K16" ca="1">INDIRECT("R[36]C["&amp;$A$16&amp;"]",FALSE)</f>
        <v>166.66666666666669</v>
      </c>
      <c r="L16" s="183" cm="1">
        <f t="array" aca="1" ref="L16" ca="1">INDIRECT("R[36]C["&amp;$A$16&amp;"]",FALSE)</f>
        <v>166.66666666666669</v>
      </c>
      <c r="M16" s="183" cm="1">
        <f t="array" aca="1" ref="M16" ca="1">INDIRECT("R[36]C["&amp;$A$16&amp;"]",FALSE)</f>
        <v>166.66666666666669</v>
      </c>
      <c r="N16" s="183" cm="1">
        <f t="array" aca="1" ref="N16" ca="1">INDIRECT("R[36]C["&amp;$A$16&amp;"]",FALSE)</f>
        <v>166.66666666666669</v>
      </c>
      <c r="O16" s="183" cm="1">
        <f t="array" aca="1" ref="O16" ca="1">INDIRECT("R[36]C["&amp;$A$16&amp;"]",FALSE)</f>
        <v>166.66666666666669</v>
      </c>
      <c r="P16" s="116"/>
      <c r="Q16" s="116"/>
      <c r="R16" s="115">
        <f t="shared" ca="1" si="3"/>
        <v>833.33333333333348</v>
      </c>
    </row>
    <row r="17" spans="1:18" ht="15.5" x14ac:dyDescent="0.35">
      <c r="B17" s="129" t="s">
        <v>114</v>
      </c>
      <c r="C17" s="179"/>
      <c r="D17" s="179"/>
      <c r="E17" s="179"/>
      <c r="F17" s="179"/>
      <c r="G17" s="179"/>
      <c r="H17" s="179"/>
      <c r="I17" s="179"/>
      <c r="J17" s="179"/>
      <c r="K17" s="179"/>
      <c r="L17" s="179"/>
      <c r="M17" s="179"/>
      <c r="N17" s="179"/>
      <c r="O17" s="179"/>
      <c r="P17" s="179"/>
      <c r="Q17" s="179"/>
      <c r="R17" s="181"/>
    </row>
    <row r="18" spans="1:18" ht="15.5" x14ac:dyDescent="0.35">
      <c r="A18" s="57">
        <f>Assumptions!C46</f>
        <v>1</v>
      </c>
      <c r="B18" s="111">
        <v>12</v>
      </c>
      <c r="C18" s="183" cm="1">
        <f t="array" aca="1" ref="C18" ca="1">INDIRECT("R[36]C["&amp;$A$18&amp;"]",FALSE)</f>
        <v>42.769230769230774</v>
      </c>
      <c r="D18" s="183" cm="1">
        <f t="array" aca="1" ref="D18" ca="1">INDIRECT("R[36]C["&amp;$A$18&amp;"]",FALSE)</f>
        <v>55</v>
      </c>
      <c r="E18" s="183" cm="1">
        <f t="array" aca="1" ref="E18" ca="1">INDIRECT("R[36]C["&amp;$A$18&amp;"]",FALSE)</f>
        <v>83.333333333333329</v>
      </c>
      <c r="F18" s="183" cm="1">
        <f t="array" aca="1" ref="F18" ca="1">INDIRECT("R[36]C["&amp;$A$18&amp;"]",FALSE)</f>
        <v>83.333333333333329</v>
      </c>
      <c r="G18" s="183" cm="1">
        <f t="array" aca="1" ref="G18" ca="1">INDIRECT("R[36]C["&amp;$A$18&amp;"]",FALSE)</f>
        <v>83.333333333333329</v>
      </c>
      <c r="H18" s="183" cm="1">
        <f t="array" aca="1" ref="H18" ca="1">INDIRECT("R[36]C["&amp;$A$18&amp;"]",FALSE)</f>
        <v>83.333333333333329</v>
      </c>
      <c r="I18" s="183" cm="1">
        <f t="array" aca="1" ref="I18" ca="1">INDIRECT("R[36]C["&amp;$A$18&amp;"]",FALSE)</f>
        <v>83.333333333333329</v>
      </c>
      <c r="J18" s="183" cm="1">
        <f t="array" aca="1" ref="J18" ca="1">INDIRECT("R[36]C["&amp;$A$18&amp;"]",FALSE)</f>
        <v>38.307692307692378</v>
      </c>
      <c r="K18" s="183" cm="1">
        <f t="array" aca="1" ref="K18" ca="1">INDIRECT("R[36]C["&amp;$A$18&amp;"]",FALSE)</f>
        <v>0</v>
      </c>
      <c r="L18" s="183" cm="1">
        <f t="array" aca="1" ref="L18" ca="1">INDIRECT("R[36]C["&amp;$A$18&amp;"]",FALSE)</f>
        <v>0</v>
      </c>
      <c r="M18" s="183" cm="1">
        <f t="array" aca="1" ref="M18" ca="1">INDIRECT("R[36]C["&amp;$A$18&amp;"]",FALSE)</f>
        <v>0</v>
      </c>
      <c r="N18" s="183" cm="1">
        <f t="array" aca="1" ref="N18" ca="1">INDIRECT("R[36]C["&amp;$A$18&amp;"]",FALSE)</f>
        <v>0</v>
      </c>
      <c r="O18" s="183" cm="1">
        <f t="array" aca="1" ref="O18" ca="1">INDIRECT("R[36]C["&amp;$A$18&amp;"]",FALSE)</f>
        <v>0</v>
      </c>
      <c r="P18" s="116"/>
      <c r="Q18" s="116"/>
      <c r="R18" s="115">
        <f ca="1">SUM(C18:P18)</f>
        <v>552.74358974358972</v>
      </c>
    </row>
    <row r="19" spans="1:18" ht="15.5" x14ac:dyDescent="0.35">
      <c r="A19" s="57">
        <f>A18</f>
        <v>1</v>
      </c>
      <c r="B19" s="111">
        <v>15</v>
      </c>
      <c r="C19" s="183" cm="1">
        <f t="array" aca="1" ref="C19" ca="1">INDIRECT("R[36]C["&amp;$A$19&amp;"]",FALSE)</f>
        <v>0</v>
      </c>
      <c r="D19" s="183" cm="1">
        <f t="array" aca="1" ref="D19" ca="1">INDIRECT("R[36]C["&amp;$A$19&amp;"]",FALSE)</f>
        <v>66.666666666666671</v>
      </c>
      <c r="E19" s="183" cm="1">
        <f t="array" aca="1" ref="E19" ca="1">INDIRECT("R[36]C["&amp;$A$19&amp;"]",FALSE)</f>
        <v>66.666666666666671</v>
      </c>
      <c r="F19" s="183" cm="1">
        <f t="array" aca="1" ref="F19" ca="1">INDIRECT("R[36]C["&amp;$A$19&amp;"]",FALSE)</f>
        <v>66.666666666666671</v>
      </c>
      <c r="G19" s="183" cm="1">
        <f t="array" aca="1" ref="G19" ca="1">INDIRECT("R[36]C["&amp;$A$19&amp;"]",FALSE)</f>
        <v>66.666666666666671</v>
      </c>
      <c r="H19" s="183" cm="1">
        <f t="array" aca="1" ref="H19" ca="1">INDIRECT("R[36]C["&amp;$A$19&amp;"]",FALSE)</f>
        <v>66.666666666666671</v>
      </c>
      <c r="I19" s="183" cm="1">
        <f t="array" aca="1" ref="I19" ca="1">INDIRECT("R[36]C["&amp;$A$19&amp;"]",FALSE)</f>
        <v>66.666666666666671</v>
      </c>
      <c r="J19" s="183" cm="1">
        <f t="array" aca="1" ref="J19" ca="1">INDIRECT("R[36]C["&amp;$A$19&amp;"]",FALSE)</f>
        <v>66.666666666666671</v>
      </c>
      <c r="K19" s="183" cm="1">
        <f t="array" aca="1" ref="K19" ca="1">INDIRECT("R[36]C["&amp;$A$19&amp;"]",FALSE)</f>
        <v>66.666666666666671</v>
      </c>
      <c r="L19" s="183" cm="1">
        <f t="array" aca="1" ref="L19" ca="1">INDIRECT("R[36]C["&amp;$A$19&amp;"]",FALSE)</f>
        <v>66.666666666666671</v>
      </c>
      <c r="M19" s="183" cm="1">
        <f t="array" aca="1" ref="M19" ca="1">INDIRECT("R[36]C["&amp;$A$19&amp;"]",FALSE)</f>
        <v>66.666666666666671</v>
      </c>
      <c r="N19" s="183" cm="1">
        <f t="array" aca="1" ref="N19" ca="1">INDIRECT("R[36]C["&amp;$A$19&amp;"]",FALSE)</f>
        <v>66.666666666666671</v>
      </c>
      <c r="O19" s="183" cm="1">
        <f t="array" aca="1" ref="O19" ca="1">INDIRECT("R[36]C["&amp;$A$19&amp;"]",FALSE)</f>
        <v>66.666666666666671</v>
      </c>
      <c r="P19" s="116"/>
      <c r="Q19" s="116"/>
      <c r="R19" s="115">
        <f t="shared" ref="R19:R20" ca="1" si="4">SUM(C19:P19)</f>
        <v>799.99999999999989</v>
      </c>
    </row>
    <row r="20" spans="1:18" ht="15.5" x14ac:dyDescent="0.35">
      <c r="A20" s="57">
        <f>A18</f>
        <v>1</v>
      </c>
      <c r="B20" s="111">
        <v>18</v>
      </c>
      <c r="C20" s="183" cm="1">
        <f t="array" aca="1" ref="C20" ca="1">INDIRECT("R[36]C["&amp;$A$20&amp;"]",FALSE)</f>
        <v>0</v>
      </c>
      <c r="D20" s="183" cm="1">
        <f t="array" aca="1" ref="D20" ca="1">INDIRECT("R[36]C["&amp;$A$20&amp;"]",FALSE)</f>
        <v>0</v>
      </c>
      <c r="E20" s="183" cm="1">
        <f t="array" aca="1" ref="E20" ca="1">INDIRECT("R[36]C["&amp;$A$20&amp;"]",FALSE)</f>
        <v>0</v>
      </c>
      <c r="F20" s="183" cm="1">
        <f t="array" aca="1" ref="F20" ca="1">INDIRECT("R[36]C["&amp;$A$20&amp;"]",FALSE)</f>
        <v>0</v>
      </c>
      <c r="G20" s="183" cm="1">
        <f t="array" aca="1" ref="G20" ca="1">INDIRECT("R[36]C["&amp;$A$20&amp;"]",FALSE)</f>
        <v>0</v>
      </c>
      <c r="H20" s="183" cm="1">
        <f t="array" aca="1" ref="H20" ca="1">INDIRECT("R[36]C["&amp;$A$20&amp;"]",FALSE)</f>
        <v>0</v>
      </c>
      <c r="I20" s="183" cm="1">
        <f t="array" aca="1" ref="I20" ca="1">INDIRECT("R[36]C["&amp;$A$20&amp;"]",FALSE)</f>
        <v>0</v>
      </c>
      <c r="J20" s="183" cm="1">
        <f t="array" aca="1" ref="J20" ca="1">INDIRECT("R[36]C["&amp;$A$20&amp;"]",FALSE)</f>
        <v>0</v>
      </c>
      <c r="K20" s="183" cm="1">
        <f t="array" aca="1" ref="K20" ca="1">INDIRECT("R[36]C["&amp;$A$20&amp;"]",FALSE)</f>
        <v>55.555555555555557</v>
      </c>
      <c r="L20" s="183" cm="1">
        <f t="array" aca="1" ref="L20" ca="1">INDIRECT("R[36]C["&amp;$A$20&amp;"]",FALSE)</f>
        <v>55.555555555555557</v>
      </c>
      <c r="M20" s="183" cm="1">
        <f t="array" aca="1" ref="M20" ca="1">INDIRECT("R[36]C["&amp;$A$20&amp;"]",FALSE)</f>
        <v>55.555555555555557</v>
      </c>
      <c r="N20" s="183" cm="1">
        <f t="array" aca="1" ref="N20" ca="1">INDIRECT("R[36]C["&amp;$A$20&amp;"]",FALSE)</f>
        <v>55.555555555555557</v>
      </c>
      <c r="O20" s="183" cm="1">
        <f t="array" aca="1" ref="O20" ca="1">INDIRECT("R[36]C["&amp;$A$20&amp;"]",FALSE)</f>
        <v>55.555555555555557</v>
      </c>
      <c r="P20" s="116"/>
      <c r="Q20" s="116"/>
      <c r="R20" s="115">
        <f t="shared" ca="1" si="4"/>
        <v>277.77777777777777</v>
      </c>
    </row>
    <row r="21" spans="1:18" ht="15.5" x14ac:dyDescent="0.35">
      <c r="B21" s="129" t="s">
        <v>352</v>
      </c>
      <c r="C21" s="179"/>
      <c r="D21" s="179"/>
      <c r="E21" s="179"/>
      <c r="F21" s="179"/>
      <c r="G21" s="179"/>
      <c r="H21" s="179"/>
      <c r="I21" s="179"/>
      <c r="J21" s="179"/>
      <c r="K21" s="179"/>
      <c r="L21" s="179"/>
      <c r="M21" s="179"/>
      <c r="N21" s="179"/>
      <c r="O21" s="179"/>
      <c r="P21" s="179"/>
      <c r="Q21" s="179"/>
      <c r="R21" s="181"/>
    </row>
    <row r="22" spans="1:18" ht="15.5" x14ac:dyDescent="0.35">
      <c r="A22" s="57">
        <f>Assumptions!C47</f>
        <v>1</v>
      </c>
      <c r="B22" s="111">
        <v>12</v>
      </c>
      <c r="C22" s="183" cm="1">
        <f t="array" aca="1" ref="C22" ca="1">INDIRECT("R[36]C["&amp;$A$22&amp;"]",FALSE)</f>
        <v>42.769230769230774</v>
      </c>
      <c r="D22" s="183" cm="1">
        <f t="array" aca="1" ref="D22" ca="1">INDIRECT("R[36]C["&amp;$A$18&amp;"]",FALSE)</f>
        <v>55</v>
      </c>
      <c r="E22" s="183" cm="1">
        <f t="array" aca="1" ref="E22" ca="1">INDIRECT("R[36]C["&amp;$A$18&amp;"]",FALSE)</f>
        <v>83.333333333333329</v>
      </c>
      <c r="F22" s="183" cm="1">
        <f t="array" aca="1" ref="F22" ca="1">INDIRECT("R[36]C["&amp;$A$18&amp;"]",FALSE)</f>
        <v>83.333333333333329</v>
      </c>
      <c r="G22" s="183" cm="1">
        <f t="array" aca="1" ref="G22" ca="1">INDIRECT("R[36]C["&amp;$A$18&amp;"]",FALSE)</f>
        <v>83.333333333333329</v>
      </c>
      <c r="H22" s="183" cm="1">
        <f t="array" aca="1" ref="H22" ca="1">INDIRECT("R[36]C["&amp;$A$18&amp;"]",FALSE)</f>
        <v>83.333333333333329</v>
      </c>
      <c r="I22" s="183" cm="1">
        <f t="array" aca="1" ref="I22" ca="1">INDIRECT("R[36]C["&amp;$A$18&amp;"]",FALSE)</f>
        <v>83.333333333333329</v>
      </c>
      <c r="J22" s="183" cm="1">
        <f t="array" aca="1" ref="J22" ca="1">INDIRECT("R[36]C["&amp;$A$18&amp;"]",FALSE)</f>
        <v>38.307692307692378</v>
      </c>
      <c r="K22" s="183" cm="1">
        <f t="array" aca="1" ref="K22" ca="1">INDIRECT("R[36]C["&amp;$A$18&amp;"]",FALSE)</f>
        <v>0</v>
      </c>
      <c r="L22" s="183" cm="1">
        <f t="array" aca="1" ref="L22" ca="1">INDIRECT("R[36]C["&amp;$A$18&amp;"]",FALSE)</f>
        <v>0</v>
      </c>
      <c r="M22" s="183" cm="1">
        <f t="array" aca="1" ref="M22" ca="1">INDIRECT("R[36]C["&amp;$A$18&amp;"]",FALSE)</f>
        <v>0</v>
      </c>
      <c r="N22" s="183" cm="1">
        <f t="array" aca="1" ref="N22" ca="1">INDIRECT("R[36]C["&amp;$A$18&amp;"]",FALSE)</f>
        <v>0</v>
      </c>
      <c r="O22" s="183" cm="1">
        <f t="array" aca="1" ref="O22" ca="1">INDIRECT("R[36]C["&amp;$A$18&amp;"]",FALSE)</f>
        <v>0</v>
      </c>
      <c r="P22" s="182"/>
      <c r="Q22" s="182"/>
      <c r="R22" s="115">
        <f ca="1">SUM(C22:P22)</f>
        <v>552.74358974358972</v>
      </c>
    </row>
    <row r="23" spans="1:18" ht="15.5" x14ac:dyDescent="0.35">
      <c r="A23" s="57">
        <f>A22</f>
        <v>1</v>
      </c>
      <c r="B23" s="111">
        <v>15</v>
      </c>
      <c r="C23" s="183" cm="1">
        <f t="array" aca="1" ref="C23" ca="1">INDIRECT("R[36]C["&amp;$A$23&amp;"]",FALSE)</f>
        <v>0</v>
      </c>
      <c r="D23" s="183" cm="1">
        <f t="array" aca="1" ref="D23" ca="1">INDIRECT("R[36]C["&amp;$A$19&amp;"]",FALSE)</f>
        <v>66.666666666666671</v>
      </c>
      <c r="E23" s="183" cm="1">
        <f t="array" aca="1" ref="E23" ca="1">INDIRECT("R[36]C["&amp;$A$19&amp;"]",FALSE)</f>
        <v>66.666666666666671</v>
      </c>
      <c r="F23" s="183" cm="1">
        <f t="array" aca="1" ref="F23" ca="1">INDIRECT("R[36]C["&amp;$A$19&amp;"]",FALSE)</f>
        <v>66.666666666666671</v>
      </c>
      <c r="G23" s="183" cm="1">
        <f t="array" aca="1" ref="G23" ca="1">INDIRECT("R[36]C["&amp;$A$19&amp;"]",FALSE)</f>
        <v>66.666666666666671</v>
      </c>
      <c r="H23" s="183" cm="1">
        <f t="array" aca="1" ref="H23" ca="1">INDIRECT("R[36]C["&amp;$A$19&amp;"]",FALSE)</f>
        <v>66.666666666666671</v>
      </c>
      <c r="I23" s="183" cm="1">
        <f t="array" aca="1" ref="I23" ca="1">INDIRECT("R[36]C["&amp;$A$19&amp;"]",FALSE)</f>
        <v>66.666666666666671</v>
      </c>
      <c r="J23" s="183" cm="1">
        <f t="array" aca="1" ref="J23" ca="1">INDIRECT("R[36]C["&amp;$A$19&amp;"]",FALSE)</f>
        <v>66.666666666666671</v>
      </c>
      <c r="K23" s="183" cm="1">
        <f t="array" aca="1" ref="K23" ca="1">INDIRECT("R[36]C["&amp;$A$19&amp;"]",FALSE)</f>
        <v>66.666666666666671</v>
      </c>
      <c r="L23" s="183" cm="1">
        <f t="array" aca="1" ref="L23" ca="1">INDIRECT("R[36]C["&amp;$A$19&amp;"]",FALSE)</f>
        <v>66.666666666666671</v>
      </c>
      <c r="M23" s="183" cm="1">
        <f t="array" aca="1" ref="M23" ca="1">INDIRECT("R[36]C["&amp;$A$19&amp;"]",FALSE)</f>
        <v>66.666666666666671</v>
      </c>
      <c r="N23" s="183" cm="1">
        <f t="array" aca="1" ref="N23" ca="1">INDIRECT("R[36]C["&amp;$A$19&amp;"]",FALSE)</f>
        <v>66.666666666666671</v>
      </c>
      <c r="O23" s="183" cm="1">
        <f t="array" aca="1" ref="O23" ca="1">INDIRECT("R[36]C["&amp;$A$19&amp;"]",FALSE)</f>
        <v>66.666666666666671</v>
      </c>
      <c r="P23" s="182"/>
      <c r="Q23" s="182"/>
      <c r="R23" s="115">
        <f t="shared" ref="R23:R24" ca="1" si="5">SUM(C23:P23)</f>
        <v>799.99999999999989</v>
      </c>
    </row>
    <row r="24" spans="1:18" ht="15.5" x14ac:dyDescent="0.35">
      <c r="A24" s="57">
        <f>A22</f>
        <v>1</v>
      </c>
      <c r="B24" s="111">
        <v>18</v>
      </c>
      <c r="C24" s="183" cm="1">
        <f t="array" aca="1" ref="C24" ca="1">INDIRECT("R[36]C["&amp;$A$24&amp;"]",FALSE)</f>
        <v>0</v>
      </c>
      <c r="D24" s="183" cm="1">
        <f t="array" aca="1" ref="D24" ca="1">INDIRECT("R[36]C["&amp;$A$20&amp;"]",FALSE)</f>
        <v>0</v>
      </c>
      <c r="E24" s="183" cm="1">
        <f t="array" aca="1" ref="E24" ca="1">INDIRECT("R[36]C["&amp;$A$20&amp;"]",FALSE)</f>
        <v>0</v>
      </c>
      <c r="F24" s="183" cm="1">
        <f t="array" aca="1" ref="F24" ca="1">INDIRECT("R[36]C["&amp;$A$20&amp;"]",FALSE)</f>
        <v>0</v>
      </c>
      <c r="G24" s="183" cm="1">
        <f t="array" aca="1" ref="G24" ca="1">INDIRECT("R[36]C["&amp;$A$20&amp;"]",FALSE)</f>
        <v>0</v>
      </c>
      <c r="H24" s="183" cm="1">
        <f t="array" aca="1" ref="H24" ca="1">INDIRECT("R[36]C["&amp;$A$20&amp;"]",FALSE)</f>
        <v>0</v>
      </c>
      <c r="I24" s="183" cm="1">
        <f t="array" aca="1" ref="I24" ca="1">INDIRECT("R[36]C["&amp;$A$20&amp;"]",FALSE)</f>
        <v>0</v>
      </c>
      <c r="J24" s="183" cm="1">
        <f t="array" aca="1" ref="J24" ca="1">INDIRECT("R[36]C["&amp;$A$20&amp;"]",FALSE)</f>
        <v>0</v>
      </c>
      <c r="K24" s="183" cm="1">
        <f t="array" aca="1" ref="K24" ca="1">INDIRECT("R[36]C["&amp;$A$20&amp;"]",FALSE)</f>
        <v>55.555555555555557</v>
      </c>
      <c r="L24" s="183" cm="1">
        <f t="array" aca="1" ref="L24" ca="1">INDIRECT("R[36]C["&amp;$A$20&amp;"]",FALSE)</f>
        <v>55.555555555555557</v>
      </c>
      <c r="M24" s="183" cm="1">
        <f t="array" aca="1" ref="M24" ca="1">INDIRECT("R[36]C["&amp;$A$20&amp;"]",FALSE)</f>
        <v>55.555555555555557</v>
      </c>
      <c r="N24" s="183" cm="1">
        <f t="array" aca="1" ref="N24" ca="1">INDIRECT("R[36]C["&amp;$A$20&amp;"]",FALSE)</f>
        <v>55.555555555555557</v>
      </c>
      <c r="O24" s="183" cm="1">
        <f t="array" aca="1" ref="O24" ca="1">INDIRECT("R[36]C["&amp;$A$20&amp;"]",FALSE)</f>
        <v>55.555555555555557</v>
      </c>
      <c r="P24" s="182"/>
      <c r="Q24" s="182"/>
      <c r="R24" s="115">
        <f t="shared" ca="1" si="5"/>
        <v>277.77777777777777</v>
      </c>
    </row>
    <row r="25" spans="1:18" ht="15.5" x14ac:dyDescent="0.35">
      <c r="B25" s="129" t="s">
        <v>116</v>
      </c>
      <c r="C25" s="184"/>
      <c r="D25" s="184"/>
      <c r="E25" s="184"/>
      <c r="F25" s="184"/>
      <c r="G25" s="184"/>
      <c r="H25" s="184"/>
      <c r="I25" s="184"/>
      <c r="J25" s="184"/>
      <c r="K25" s="184"/>
      <c r="L25" s="184"/>
      <c r="M25" s="184"/>
      <c r="N25" s="184"/>
      <c r="O25" s="184"/>
      <c r="P25" s="184"/>
      <c r="Q25" s="184"/>
      <c r="R25" s="181"/>
    </row>
    <row r="26" spans="1:18" ht="15.5" x14ac:dyDescent="0.35">
      <c r="A26" s="57">
        <f>Assumptions!C51</f>
        <v>1</v>
      </c>
      <c r="B26" s="106" t="s">
        <v>257</v>
      </c>
      <c r="C26" s="183" cm="1">
        <f t="array" aca="1" ref="C26" ca="1">INDIRECT("R[36]C["&amp;$A$26&amp;"]",FALSE)</f>
        <v>32.769230769230774</v>
      </c>
      <c r="D26" s="183" cm="1">
        <f t="array" aca="1" ref="D26" ca="1">INDIRECT("R[36]C["&amp;$A$18&amp;"]",FALSE)</f>
        <v>82.531489551143721</v>
      </c>
      <c r="E26" s="183" cm="1">
        <f t="array" aca="1" ref="E26" ca="1">INDIRECT("R[36]C["&amp;$A$18&amp;"]",FALSE)</f>
        <v>92.897425690021251</v>
      </c>
      <c r="F26" s="183" cm="1">
        <f t="array" aca="1" ref="F26" ca="1">INDIRECT("R[36]C["&amp;$A$18&amp;"]",FALSE)</f>
        <v>98.919584245076578</v>
      </c>
      <c r="G26" s="183" cm="1">
        <f t="array" aca="1" ref="G26" ca="1">INDIRECT("R[36]C["&amp;$A$18&amp;"]",FALSE)</f>
        <v>75.304689113819464</v>
      </c>
      <c r="H26" s="183" cm="1">
        <f t="array" aca="1" ref="H26" ca="1">INDIRECT("R[36]C["&amp;$A$18&amp;"]",FALSE)</f>
        <v>90.694375696546828</v>
      </c>
      <c r="I26" s="183" cm="1">
        <f t="array" aca="1" ref="I26" ca="1">INDIRECT("R[36]C["&amp;$A$18&amp;"]",FALSE)</f>
        <v>147.37140366172625</v>
      </c>
      <c r="J26" s="183" cm="1">
        <f t="array" aca="1" ref="J26" ca="1">INDIRECT("R[36]C["&amp;$A$18&amp;"]",FALSE)</f>
        <v>87.252349301596638</v>
      </c>
      <c r="K26" s="183" cm="1">
        <f t="array" aca="1" ref="K26" ca="1">INDIRECT("R[36]C["&amp;$A$18&amp;"]",FALSE)</f>
        <v>56.951842847654682</v>
      </c>
      <c r="L26" s="183" cm="1">
        <f t="array" aca="1" ref="L26" ca="1">INDIRECT("R[36]C["&amp;$A$18&amp;"]",FALSE)</f>
        <v>74.677879416978016</v>
      </c>
      <c r="M26" s="183" cm="1">
        <f t="array" aca="1" ref="M26" ca="1">INDIRECT("R[36]C["&amp;$A$18&amp;"]",FALSE)</f>
        <v>85.555555555555557</v>
      </c>
      <c r="N26" s="183" cm="1">
        <f t="array" aca="1" ref="N26" ca="1">INDIRECT("R[36]C["&amp;$A$18&amp;"]",FALSE)</f>
        <v>95.742706522542591</v>
      </c>
      <c r="O26" s="183" cm="1">
        <f t="array" aca="1" ref="O26" ca="1">INDIRECT("R[36]C["&amp;$A$18&amp;"]",FALSE)</f>
        <v>85.555555555555543</v>
      </c>
      <c r="P26" s="183"/>
      <c r="Q26" s="183"/>
      <c r="R26" s="115">
        <f ca="1">SUM(C26:Q26)</f>
        <v>1106.2240879274477</v>
      </c>
    </row>
    <row r="27" spans="1:18" ht="15.5" x14ac:dyDescent="0.35">
      <c r="A27" s="57">
        <f>A26</f>
        <v>1</v>
      </c>
      <c r="B27" s="106" t="s">
        <v>258</v>
      </c>
      <c r="C27" s="183" cm="1">
        <f t="array" aca="1" ref="C27" ca="1">INDIRECT("R[36]C["&amp;$A$27&amp;"]",FALSE)</f>
        <v>32.769230769230774</v>
      </c>
      <c r="D27" s="183" cm="1">
        <f t="array" aca="1" ref="D27" ca="1">INDIRECT("R[36]C["&amp;$A$19&amp;"]",FALSE)</f>
        <v>82.531489551143721</v>
      </c>
      <c r="E27" s="183" cm="1">
        <f t="array" aca="1" ref="E27" ca="1">INDIRECT("R[36]C["&amp;$A$19&amp;"]",FALSE)</f>
        <v>92.897425690021251</v>
      </c>
      <c r="F27" s="183" cm="1">
        <f t="array" aca="1" ref="F27" ca="1">INDIRECT("R[36]C["&amp;$A$19&amp;"]",FALSE)</f>
        <v>98.919584245076578</v>
      </c>
      <c r="G27" s="183" cm="1">
        <f t="array" aca="1" ref="G27" ca="1">INDIRECT("R[36]C["&amp;$A$19&amp;"]",FALSE)</f>
        <v>75.304689113819464</v>
      </c>
      <c r="H27" s="183" cm="1">
        <f t="array" aca="1" ref="H27" ca="1">INDIRECT("R[36]C["&amp;$A$19&amp;"]",FALSE)</f>
        <v>90.694375696546828</v>
      </c>
      <c r="I27" s="183" cm="1">
        <f t="array" aca="1" ref="I27" ca="1">INDIRECT("R[36]C["&amp;$A$19&amp;"]",FALSE)</f>
        <v>147.37140366172625</v>
      </c>
      <c r="J27" s="183" cm="1">
        <f t="array" aca="1" ref="J27" ca="1">INDIRECT("R[36]C["&amp;$A$19&amp;"]",FALSE)</f>
        <v>87.252349301596638</v>
      </c>
      <c r="K27" s="183" cm="1">
        <f t="array" aca="1" ref="K27" ca="1">INDIRECT("R[36]C["&amp;$A$19&amp;"]",FALSE)</f>
        <v>56.951842847654682</v>
      </c>
      <c r="L27" s="183" cm="1">
        <f t="array" aca="1" ref="L27" ca="1">INDIRECT("R[36]C["&amp;$A$19&amp;"]",FALSE)</f>
        <v>74.677879416978016</v>
      </c>
      <c r="M27" s="183" cm="1">
        <f t="array" aca="1" ref="M27" ca="1">INDIRECT("R[36]C["&amp;$A$19&amp;"]",FALSE)</f>
        <v>85.555555555555557</v>
      </c>
      <c r="N27" s="183" cm="1">
        <f t="array" aca="1" ref="N27" ca="1">INDIRECT("R[36]C["&amp;$A$19&amp;"]",FALSE)</f>
        <v>95.742706522542591</v>
      </c>
      <c r="O27" s="183" cm="1">
        <f t="array" aca="1" ref="O27" ca="1">INDIRECT("R[36]C["&amp;$A$19&amp;"]",FALSE)</f>
        <v>85.555555555555543</v>
      </c>
      <c r="P27" s="183"/>
      <c r="Q27" s="183"/>
      <c r="R27" s="115">
        <f t="shared" ref="R27:R30" ca="1" si="6">SUM(C27:Q27)</f>
        <v>1106.2240879274477</v>
      </c>
    </row>
    <row r="28" spans="1:18" ht="15.5" x14ac:dyDescent="0.35">
      <c r="A28" s="57">
        <f>Assumptions!C53</f>
        <v>1</v>
      </c>
      <c r="B28" s="106" t="s">
        <v>353</v>
      </c>
      <c r="C28" s="183" cm="1">
        <f t="array" aca="1" ref="C28" ca="1">INDIRECT("R[36]C["&amp;$A$28&amp;"]",FALSE)</f>
        <v>0</v>
      </c>
      <c r="D28" s="183" cm="1">
        <f t="array" aca="1" ref="D28" ca="1">INDIRECT("R[36]C["&amp;$A$28&amp;"]",FALSE)</f>
        <v>10.480484343911691</v>
      </c>
      <c r="E28" s="183" cm="1">
        <f t="array" aca="1" ref="E28" ca="1">INDIRECT("R[36]C["&amp;$A$28&amp;"]",FALSE)</f>
        <v>6.2101910828025488</v>
      </c>
      <c r="F28" s="183" cm="1">
        <f t="array" aca="1" ref="F28" ca="1">INDIRECT("R[36]C["&amp;$A$28&amp;"]",FALSE)</f>
        <v>6.769693654266959</v>
      </c>
      <c r="G28" s="183" cm="1">
        <f t="array" aca="1" ref="G28" ca="1">INDIRECT("R[36]C["&amp;$A$28&amp;"]",FALSE)</f>
        <v>4.1520347035736425</v>
      </c>
      <c r="H28" s="183" cm="1">
        <f t="array" aca="1" ref="H28" ca="1">INDIRECT("R[36]C["&amp;$A$28&amp;"]",FALSE)</f>
        <v>18.488733366024526</v>
      </c>
      <c r="I28" s="183" cm="1">
        <f t="array" aca="1" ref="I28" ca="1">INDIRECT("R[36]C["&amp;$A$28&amp;"]",FALSE)</f>
        <v>10.043591979075849</v>
      </c>
      <c r="J28" s="183" cm="1">
        <f t="array" aca="1" ref="J28" ca="1">INDIRECT("R[36]C["&amp;$A$28&amp;"]",FALSE)</f>
        <v>3.236511567969885</v>
      </c>
      <c r="K28" s="183" cm="1">
        <f t="array" aca="1" ref="K28" ca="1">INDIRECT("R[36]C["&amp;$A$28&amp;"]",FALSE)</f>
        <v>0</v>
      </c>
      <c r="L28" s="183" cm="1">
        <f t="array" aca="1" ref="L28" ca="1">INDIRECT("R[36]C["&amp;$A$28&amp;"]",FALSE)</f>
        <v>14.254204781366754</v>
      </c>
      <c r="M28" s="183" cm="1">
        <f t="array" aca="1" ref="M28" ca="1">INDIRECT("R[36]C["&amp;$A$28&amp;"]",FALSE)</f>
        <v>18.333333333333332</v>
      </c>
      <c r="N28" s="183" cm="1">
        <f t="array" aca="1" ref="N28" ca="1">INDIRECT("R[36]C["&amp;$A$28&amp;"]",FALSE)</f>
        <v>13.239757849839823</v>
      </c>
      <c r="O28" s="183" cm="1">
        <f t="array" aca="1" ref="O28" ca="1">INDIRECT("R[36]C["&amp;$A$28&amp;"]",FALSE)</f>
        <v>18.333333333333336</v>
      </c>
      <c r="P28" s="183"/>
      <c r="Q28" s="183"/>
      <c r="R28" s="115">
        <f t="shared" ca="1" si="6"/>
        <v>123.54186999549833</v>
      </c>
    </row>
    <row r="29" spans="1:18" ht="15.5" x14ac:dyDescent="0.35">
      <c r="A29" s="57">
        <f>Assumptions!C52</f>
        <v>1</v>
      </c>
      <c r="B29" s="106" t="s">
        <v>117</v>
      </c>
      <c r="C29" s="183" cm="1">
        <f t="array" aca="1" ref="C29" ca="1">INDIRECT("R[36]C["&amp;$A$29&amp;"]",FALSE)</f>
        <v>10</v>
      </c>
      <c r="D29" s="183" cm="1">
        <f t="array" aca="1" ref="D29" ca="1">INDIRECT("R[36]C["&amp;$A$29&amp;"]",FALSE)</f>
        <v>28.654692771611241</v>
      </c>
      <c r="E29" s="183" cm="1">
        <f t="array" aca="1" ref="E29" ca="1">INDIRECT("R[36]C["&amp;$A$29&amp;"]",FALSE)</f>
        <v>39.507032908704893</v>
      </c>
      <c r="F29" s="183" cm="1">
        <f t="array" aca="1" ref="F29" ca="1">INDIRECT("R[36]C["&amp;$A$29&amp;"]",FALSE)</f>
        <v>30.771334792122541</v>
      </c>
      <c r="G29" s="183" cm="1">
        <f t="array" aca="1" ref="G29" ca="1">INDIRECT("R[36]C["&amp;$A$29&amp;"]",FALSE)</f>
        <v>70.543276182606917</v>
      </c>
      <c r="H29" s="183" cm="1">
        <f t="array" aca="1" ref="H29" ca="1">INDIRECT("R[36]C["&amp;$A$29&amp;"]",FALSE)</f>
        <v>32.654230571834361</v>
      </c>
      <c r="I29" s="183" cm="1">
        <f t="array" aca="1" ref="I29" ca="1">INDIRECT("R[36]C["&amp;$A$29&amp;"]",FALSE)</f>
        <v>10.043591979075849</v>
      </c>
      <c r="J29" s="183" cm="1">
        <f t="array" aca="1" ref="J29" ca="1">INDIRECT("R[36]C["&amp;$A$29&amp;"]",FALSE)</f>
        <v>7.3820433602769917</v>
      </c>
      <c r="K29" s="183" cm="1">
        <f t="array" aca="1" ref="K29" ca="1">INDIRECT("R[36]C["&amp;$A$29&amp;"]",FALSE)</f>
        <v>0</v>
      </c>
      <c r="L29" s="183" cm="1">
        <f t="array" aca="1" ref="L29" ca="1">INDIRECT("R[36]C["&amp;$A$29&amp;"]",FALSE)</f>
        <v>33.290138023877454</v>
      </c>
      <c r="M29" s="183" cm="1">
        <f t="array" aca="1" ref="M29" ca="1">INDIRECT("R[36]C["&amp;$A$29&amp;"]",FALSE)</f>
        <v>18.333333333333332</v>
      </c>
      <c r="N29" s="183" cm="1">
        <f t="array" aca="1" ref="N29" ca="1">INDIRECT("R[36]C["&amp;$A$29&amp;"]",FALSE)</f>
        <v>13.239757849839823</v>
      </c>
      <c r="O29" s="183" cm="1">
        <f t="array" aca="1" ref="O29" ca="1">INDIRECT("R[36]C["&amp;$A$29&amp;"]",FALSE)</f>
        <v>18.333333333333336</v>
      </c>
      <c r="P29" s="183"/>
      <c r="Q29" s="183"/>
      <c r="R29" s="115">
        <f t="shared" ca="1" si="6"/>
        <v>312.75276510661666</v>
      </c>
    </row>
    <row r="30" spans="1:18" ht="15.5" x14ac:dyDescent="0.35">
      <c r="A30" s="57">
        <f>Assumptions!C54</f>
        <v>1</v>
      </c>
      <c r="B30" s="106" t="s">
        <v>354</v>
      </c>
      <c r="C30" s="183" cm="1">
        <f t="array" aca="1" ref="C30" ca="1">INDIRECT("R[36]C["&amp;$A$30&amp;"]",FALSE)</f>
        <v>2</v>
      </c>
      <c r="D30" s="183" cm="1">
        <f t="array" aca="1" ref="D30" ca="1">INDIRECT("R[36]C["&amp;$A$30&amp;"]",FALSE)</f>
        <v>3.596244627812835</v>
      </c>
      <c r="E30" s="183" cm="1">
        <f t="array" aca="1" ref="E30" ca="1">INDIRECT("R[36]C["&amp;$A$30&amp;"]",FALSE)</f>
        <v>4.6576433121019116</v>
      </c>
      <c r="F30" s="183" cm="1">
        <f t="array" aca="1" ref="F30" ca="1">INDIRECT("R[36]C["&amp;$A$30&amp;"]",FALSE)</f>
        <v>4.3079868708971558</v>
      </c>
      <c r="G30" s="183" cm="1">
        <f t="array" aca="1" ref="G30" ca="1">INDIRECT("R[36]C["&amp;$A$30&amp;"]",FALSE)</f>
        <v>3.8731667010948154</v>
      </c>
      <c r="H30" s="183" cm="1">
        <f t="array" aca="1" ref="H30" ca="1">INDIRECT("R[36]C["&amp;$A$30&amp;"]",FALSE)</f>
        <v>3.1994347161625831</v>
      </c>
      <c r="I30" s="183" cm="1">
        <f t="array" aca="1" ref="I30" ca="1">INDIRECT("R[36]C["&amp;$A$30&amp;"]",FALSE)</f>
        <v>4.9040976460331294</v>
      </c>
      <c r="J30" s="183" cm="1">
        <f t="array" aca="1" ref="J30" ca="1">INDIRECT("R[36]C["&amp;$A$30&amp;"]",FALSE)</f>
        <v>3.662718852640817</v>
      </c>
      <c r="K30" s="183" cm="1">
        <f t="array" aca="1" ref="K30" ca="1">INDIRECT("R[36]C["&amp;$A$30&amp;"]",FALSE)</f>
        <v>1.4645792711920564</v>
      </c>
      <c r="L30" s="183" cm="1">
        <f t="array" aca="1" ref="L30" ca="1">INDIRECT("R[36]C["&amp;$A$30&amp;"]",FALSE)</f>
        <v>3.8695290611540667</v>
      </c>
      <c r="M30" s="183" cm="1">
        <f t="array" aca="1" ref="M30" ca="1">INDIRECT("R[36]C["&amp;$A$30&amp;"]",FALSE)</f>
        <v>4.123711340206186</v>
      </c>
      <c r="N30" s="183" cm="1">
        <f t="array" aca="1" ref="N30" ca="1">INDIRECT("R[36]C["&amp;$A$30&amp;"]",FALSE)</f>
        <v>4.578590610895616</v>
      </c>
      <c r="O30" s="183" cm="1">
        <f t="array" aca="1" ref="O30" ca="1">INDIRECT("R[36]C["&amp;$A$30&amp;"]",FALSE)</f>
        <v>4.7619047619047619</v>
      </c>
      <c r="P30" s="183"/>
      <c r="Q30" s="183"/>
      <c r="R30" s="115">
        <f t="shared" ca="1" si="6"/>
        <v>48.999607772095935</v>
      </c>
    </row>
    <row r="31" spans="1:18" ht="15.5" x14ac:dyDescent="0.35">
      <c r="B31" s="129" t="s">
        <v>119</v>
      </c>
      <c r="C31" s="184"/>
      <c r="D31" s="180"/>
      <c r="E31" s="180"/>
      <c r="F31" s="180"/>
      <c r="G31" s="180"/>
      <c r="H31" s="180"/>
      <c r="I31" s="180"/>
      <c r="J31" s="180"/>
      <c r="K31" s="180"/>
      <c r="L31" s="180"/>
      <c r="M31" s="180"/>
      <c r="N31" s="180"/>
      <c r="O31" s="180"/>
      <c r="P31" s="180"/>
      <c r="Q31" s="180"/>
      <c r="R31" s="181"/>
    </row>
    <row r="32" spans="1:18" ht="15.5" x14ac:dyDescent="0.35">
      <c r="A32" s="57">
        <f>Assumptions!C48</f>
        <v>2</v>
      </c>
      <c r="B32" s="106" t="s">
        <v>355</v>
      </c>
      <c r="C32" s="183" cm="1">
        <f t="array" aca="1" ref="C32" ca="1">INDIRECT("R[36]C["&amp;$A$32&amp;"]",FALSE)</f>
        <v>3.8700470038263131</v>
      </c>
      <c r="D32" s="183" cm="1">
        <f t="array" aca="1" ref="D32" ca="1">INDIRECT("R[36]C["&amp;$A$32&amp;"]",FALSE)</f>
        <v>3.1702806511268724</v>
      </c>
      <c r="E32" s="183" cm="1">
        <f t="array" aca="1" ref="E32" ca="1">INDIRECT("R[36]C["&amp;$A$32&amp;"]",FALSE)</f>
        <v>4.0299366724237187</v>
      </c>
      <c r="F32" s="183" cm="1">
        <f t="array" aca="1" ref="F32" ca="1">INDIRECT("R[36]C["&amp;$A$32&amp;"]",FALSE)</f>
        <v>3.4428148454176135</v>
      </c>
      <c r="G32" s="183" cm="1">
        <f t="array" aca="1" ref="G32" ca="1">INDIRECT("R[36]C["&amp;$A$32&amp;"]",FALSE)</f>
        <v>2.8439419699222959</v>
      </c>
      <c r="H32" s="183" cm="1">
        <f t="array" aca="1" ref="H32" ca="1">INDIRECT("R[36]C["&amp;$A$32&amp;"]",FALSE)</f>
        <v>4.3591979075850045</v>
      </c>
      <c r="I32" s="183" cm="1">
        <f t="array" aca="1" ref="I32" ca="1">INDIRECT("R[36]C["&amp;$A$32&amp;"]",FALSE)</f>
        <v>2.4693787963836082</v>
      </c>
      <c r="J32" s="183" cm="1">
        <f t="array" aca="1" ref="J32" ca="1">INDIRECT("R[36]C["&amp;$A$32&amp;"]",FALSE)</f>
        <v>1.3314357010836877</v>
      </c>
      <c r="K32" s="183" cm="1">
        <f t="array" aca="1" ref="K32" ca="1">INDIRECT("R[36]C["&amp;$A$32&amp;"]",FALSE)</f>
        <v>3.5177536919582422</v>
      </c>
      <c r="L32" s="183" cm="1">
        <f t="array" aca="1" ref="L32" ca="1">INDIRECT("R[36]C["&amp;$A$32&amp;"]",FALSE)</f>
        <v>3.7488284910965324</v>
      </c>
      <c r="M32" s="183" cm="1">
        <f t="array" aca="1" ref="M32" ca="1">INDIRECT("R[36]C["&amp;$A$32&amp;"]",FALSE)</f>
        <v>4.1623551008141959</v>
      </c>
      <c r="N32" s="183" cm="1">
        <f t="array" aca="1" ref="N32" ca="1">INDIRECT("R[36]C["&amp;$A$32&amp;"]",FALSE)</f>
        <v>4.329004329004329</v>
      </c>
      <c r="O32" s="183" cm="1">
        <f t="array" aca="1" ref="O32" ca="1">INDIRECT("R[36]C["&amp;$A$32&amp;"]",FALSE)</f>
        <v>0</v>
      </c>
      <c r="P32" s="183"/>
      <c r="Q32" s="183"/>
      <c r="R32" s="115">
        <f ca="1">SUM(C32:Q32)</f>
        <v>41.274975160642413</v>
      </c>
    </row>
    <row r="33" spans="1:19" ht="15.5" x14ac:dyDescent="0.35">
      <c r="B33" s="129" t="s">
        <v>356</v>
      </c>
      <c r="C33" s="184"/>
      <c r="D33" s="184"/>
      <c r="E33" s="184"/>
      <c r="F33" s="184"/>
      <c r="G33" s="184"/>
      <c r="H33" s="184"/>
      <c r="I33" s="184"/>
      <c r="J33" s="184"/>
      <c r="K33" s="184"/>
      <c r="L33" s="184"/>
      <c r="M33" s="184"/>
      <c r="N33" s="184"/>
      <c r="O33" s="184"/>
      <c r="P33" s="184"/>
      <c r="Q33" s="184"/>
      <c r="R33" s="181"/>
    </row>
    <row r="34" spans="1:19" ht="15.5" x14ac:dyDescent="0.35">
      <c r="A34" s="57">
        <f>Assumptions!C49</f>
        <v>1</v>
      </c>
      <c r="B34" s="106" t="s">
        <v>357</v>
      </c>
      <c r="C34" s="183" cm="1">
        <f t="array" aca="1" ref="C34" ca="1">INDIRECT("R[36]C["&amp;$A$34&amp;"]",FALSE)</f>
        <v>125.50240000000001</v>
      </c>
      <c r="D34" s="183" cm="1">
        <f t="array" aca="1" ref="D34" ca="1">INDIRECT("R[36]C["&amp;$A$34&amp;"]",FALSE)</f>
        <v>333.69631259850235</v>
      </c>
      <c r="E34" s="183" cm="1">
        <f t="array" aca="1" ref="E34" ca="1">INDIRECT("R[36]C["&amp;$A$34&amp;"]",FALSE)</f>
        <v>383.38581367149669</v>
      </c>
      <c r="F34" s="183" cm="1">
        <f t="array" aca="1" ref="F34" ca="1">INDIRECT("R[36]C["&amp;$A$34&amp;"]",FALSE)</f>
        <v>299.52391479562465</v>
      </c>
      <c r="G34" s="183" cm="1">
        <f t="array" aca="1" ref="G34" ca="1">INDIRECT("R[36]C["&amp;$A$34&amp;"]",FALSE)</f>
        <v>287.57866923730182</v>
      </c>
      <c r="H34" s="183" cm="1">
        <f t="array" aca="1" ref="H34" ca="1">INDIRECT("R[36]C["&amp;$A$34&amp;"]",FALSE)</f>
        <v>357.26191678724018</v>
      </c>
      <c r="I34" s="183" cm="1">
        <f t="array" aca="1" ref="I34" ca="1">INDIRECT("R[36]C["&amp;$A$34&amp;"]",FALSE)</f>
        <v>292.8</v>
      </c>
      <c r="J34" s="183" cm="1">
        <f t="array" aca="1" ref="J34" ca="1">INDIRECT("R[36]C["&amp;$A$34&amp;"]",FALSE)</f>
        <v>294.54616870187368</v>
      </c>
      <c r="K34" s="183" cm="1">
        <f t="array" aca="1" ref="K34" ca="1">INDIRECT("R[36]C["&amp;$A$34&amp;"]",FALSE)</f>
        <v>113.69658808495427</v>
      </c>
      <c r="L34" s="183" cm="1">
        <f t="array" aca="1" ref="L34" ca="1">INDIRECT("R[36]C["&amp;$A$34&amp;"]",FALSE)</f>
        <v>365.17254367319356</v>
      </c>
      <c r="M34" s="183" cm="1">
        <f t="array" aca="1" ref="M34" ca="1">INDIRECT("R[36]C["&amp;$A$34&amp;"]",FALSE)</f>
        <v>244</v>
      </c>
      <c r="N34" s="183" cm="1">
        <f t="array" aca="1" ref="N34" ca="1">INDIRECT("R[36]C["&amp;$A$34&amp;"]",FALSE)</f>
        <v>244</v>
      </c>
      <c r="O34" s="183" cm="1">
        <f t="array" aca="1" ref="O34" ca="1">INDIRECT("R[36]C["&amp;$A$34&amp;"]",FALSE)</f>
        <v>244.00000000000003</v>
      </c>
      <c r="P34" s="183"/>
      <c r="Q34" s="183"/>
      <c r="R34" s="115">
        <f ca="1">SUM(C34:Q34)</f>
        <v>3585.1643275501874</v>
      </c>
    </row>
    <row r="35" spans="1:19" ht="15.5" x14ac:dyDescent="0.35">
      <c r="A35" s="57">
        <f>Assumptions!C50</f>
        <v>1</v>
      </c>
      <c r="B35" s="106" t="s">
        <v>358</v>
      </c>
      <c r="C35" s="183" cm="1">
        <f t="array" aca="1" ref="C35" ca="1">INDIRECT("R[36]C["&amp;$A$35&amp;"]",FALSE)</f>
        <v>256</v>
      </c>
      <c r="D35" s="183" cm="1">
        <f t="array" aca="1" ref="D35" ca="1">INDIRECT("R[36]C["&amp;$A$35&amp;"]",FALSE)</f>
        <v>358.52641769839482</v>
      </c>
      <c r="E35" s="183" cm="1">
        <f t="array" aca="1" ref="E35" ca="1">INDIRECT("R[36]C["&amp;$A$35&amp;"]",FALSE)</f>
        <v>267.09614485743901</v>
      </c>
      <c r="F35" s="183" cm="1">
        <f t="array" aca="1" ref="F35" ca="1">INDIRECT("R[36]C["&amp;$A$35&amp;"]",FALSE)</f>
        <v>287.09211283822685</v>
      </c>
      <c r="G35" s="183" cm="1">
        <f t="array" aca="1" ref="G35" ca="1">INDIRECT("R[36]C["&amp;$A$35&amp;"]",FALSE)</f>
        <v>362.18412173793297</v>
      </c>
      <c r="H35" s="183" cm="1">
        <f t="array" aca="1" ref="H35" ca="1">INDIRECT("R[36]C["&amp;$A$35&amp;"]",FALSE)</f>
        <v>234.15073635018251</v>
      </c>
      <c r="I35" s="183" cm="1">
        <f t="array" aca="1" ref="I35" ca="1">INDIRECT("R[36]C["&amp;$A$35&amp;"]",FALSE)</f>
        <v>601.79625108979951</v>
      </c>
      <c r="J35" s="183" cm="1">
        <f t="array" aca="1" ref="J35" ca="1">INDIRECT("R[36]C["&amp;$A$35&amp;"]",FALSE)</f>
        <v>209.86787381939962</v>
      </c>
      <c r="K35" s="183" cm="1">
        <f t="array" aca="1" ref="K35" ca="1">INDIRECT("R[36]C["&amp;$A$35&amp;"]",FALSE)</f>
        <v>83.880449168272321</v>
      </c>
      <c r="L35" s="183" cm="1">
        <f t="array" aca="1" ref="L35" ca="1">INDIRECT("R[36]C["&amp;$A$35&amp;"]",FALSE)</f>
        <v>470.44385853262554</v>
      </c>
      <c r="M35" s="183" cm="1">
        <f t="array" aca="1" ref="M35" ca="1">INDIRECT("R[36]C["&amp;$A$35&amp;"]",FALSE)</f>
        <v>562.32427366447985</v>
      </c>
      <c r="N35" s="183" cm="1">
        <f t="array" aca="1" ref="N35" ca="1">INDIRECT("R[36]C["&amp;$A$35&amp;"]",FALSE)</f>
        <v>516.69395043957013</v>
      </c>
      <c r="O35" s="183" cm="1">
        <f t="array" aca="1" ref="O35" ca="1">INDIRECT("R[36]C["&amp;$A$35&amp;"]",FALSE)</f>
        <v>606.06060606060601</v>
      </c>
      <c r="P35" s="183"/>
      <c r="Q35" s="183"/>
      <c r="R35" s="115">
        <f ca="1">SUM(C35:Q35)</f>
        <v>4816.1167962569289</v>
      </c>
    </row>
    <row r="36" spans="1:19" ht="15.5" x14ac:dyDescent="0.35">
      <c r="B36" s="129"/>
      <c r="C36" s="179"/>
      <c r="D36" s="179"/>
      <c r="E36" s="179"/>
      <c r="F36" s="179"/>
      <c r="G36" s="179"/>
      <c r="H36" s="179"/>
      <c r="I36" s="179"/>
      <c r="J36" s="179"/>
      <c r="K36" s="179"/>
      <c r="L36" s="179"/>
      <c r="M36" s="179"/>
      <c r="N36" s="179"/>
      <c r="O36" s="179"/>
      <c r="P36" s="179"/>
      <c r="Q36" s="179"/>
      <c r="R36" s="181"/>
    </row>
    <row r="37" spans="1:19" ht="15.5" x14ac:dyDescent="0.35">
      <c r="B37" s="116"/>
      <c r="C37" s="116"/>
      <c r="D37" s="115"/>
      <c r="E37" s="115"/>
      <c r="F37" s="115"/>
      <c r="G37" s="115"/>
      <c r="H37" s="115"/>
      <c r="I37" s="115"/>
      <c r="J37" s="115"/>
      <c r="K37" s="115"/>
      <c r="L37" s="115"/>
      <c r="M37" s="115"/>
      <c r="N37" s="115"/>
      <c r="O37" s="115"/>
      <c r="P37" s="115"/>
      <c r="Q37" s="115"/>
      <c r="R37" s="115"/>
    </row>
    <row r="38" spans="1:19" ht="15.5" x14ac:dyDescent="0.35">
      <c r="B38" s="116"/>
      <c r="C38" s="116"/>
      <c r="D38" s="115"/>
      <c r="E38" s="115"/>
      <c r="F38" s="115"/>
      <c r="G38" s="115"/>
      <c r="H38" s="115"/>
      <c r="I38" s="115"/>
      <c r="J38" s="115"/>
      <c r="K38" s="115"/>
      <c r="L38" s="115"/>
      <c r="M38" s="115"/>
      <c r="N38" s="115"/>
      <c r="O38" s="115"/>
      <c r="P38" s="115"/>
      <c r="Q38" s="115"/>
      <c r="R38" s="115"/>
    </row>
    <row r="39" spans="1:19" ht="15.5" x14ac:dyDescent="0.35">
      <c r="B39" s="116" t="s">
        <v>235</v>
      </c>
      <c r="C39" s="116"/>
      <c r="D39" s="115"/>
      <c r="E39" s="115"/>
      <c r="F39" s="115"/>
      <c r="G39" s="115"/>
      <c r="H39" s="115"/>
      <c r="I39" s="115"/>
      <c r="J39" s="115"/>
      <c r="K39" s="115"/>
      <c r="L39" s="115"/>
      <c r="M39" s="115"/>
      <c r="N39" s="115"/>
      <c r="O39" s="115"/>
      <c r="P39" s="115"/>
      <c r="Q39" s="115"/>
      <c r="R39" s="115"/>
    </row>
    <row r="40" spans="1:19" ht="15.5" x14ac:dyDescent="0.35">
      <c r="B40" s="116"/>
      <c r="C40" s="116"/>
      <c r="D40" s="115"/>
      <c r="E40" s="115"/>
      <c r="F40" s="115"/>
      <c r="G40" s="115"/>
      <c r="H40" s="115"/>
      <c r="I40" s="115"/>
      <c r="J40" s="115"/>
      <c r="K40" s="115"/>
      <c r="L40" s="115"/>
      <c r="M40" s="115"/>
      <c r="N40" s="115"/>
      <c r="O40" s="115"/>
      <c r="P40" s="115"/>
      <c r="Q40" s="115"/>
      <c r="R40" s="115"/>
    </row>
    <row r="41" spans="1:19" ht="15.5" x14ac:dyDescent="0.35">
      <c r="B41" s="116"/>
      <c r="C41" s="116"/>
      <c r="D41" s="115"/>
      <c r="E41" s="115"/>
      <c r="F41" s="115"/>
      <c r="G41" s="115"/>
      <c r="H41" s="115"/>
      <c r="I41" s="115"/>
      <c r="J41" s="115"/>
      <c r="K41" s="115"/>
      <c r="L41" s="115"/>
      <c r="M41" s="115"/>
      <c r="N41" s="115"/>
      <c r="O41" s="115"/>
      <c r="P41" s="115"/>
      <c r="Q41" s="115"/>
      <c r="R41" s="115"/>
    </row>
    <row r="42" spans="1:19" ht="15.5" x14ac:dyDescent="0.35">
      <c r="B42" s="116"/>
      <c r="C42" s="116"/>
      <c r="D42" s="116"/>
      <c r="E42" s="116"/>
      <c r="F42" s="116"/>
      <c r="G42" s="116"/>
      <c r="H42" s="116"/>
      <c r="I42" s="116"/>
      <c r="J42" s="116"/>
      <c r="K42" s="116"/>
      <c r="L42" s="116"/>
      <c r="M42" s="116"/>
      <c r="N42" s="116"/>
      <c r="O42" s="116"/>
      <c r="P42" s="116"/>
      <c r="Q42" s="116"/>
      <c r="R42" s="115"/>
    </row>
    <row r="43" spans="1:19" ht="15.5" x14ac:dyDescent="0.35">
      <c r="B43" s="116"/>
      <c r="C43" s="116"/>
      <c r="D43" s="116"/>
      <c r="E43" s="116"/>
      <c r="F43" s="116"/>
      <c r="G43" s="116"/>
      <c r="H43" s="116"/>
      <c r="I43" s="116"/>
      <c r="J43" s="116"/>
      <c r="K43" s="116"/>
      <c r="L43" s="116"/>
      <c r="M43" s="116"/>
      <c r="N43" s="116"/>
      <c r="O43" s="116"/>
      <c r="P43" s="116"/>
      <c r="Q43" s="116"/>
      <c r="R43" s="115"/>
    </row>
    <row r="44" spans="1:19" ht="15.5" x14ac:dyDescent="0.35">
      <c r="B44" s="120" t="s">
        <v>193</v>
      </c>
      <c r="C44" s="120"/>
      <c r="D44" s="116"/>
      <c r="E44" s="116"/>
      <c r="F44" s="116"/>
      <c r="G44" s="116"/>
      <c r="H44" s="116"/>
      <c r="I44" s="116"/>
      <c r="J44" s="116"/>
      <c r="K44" s="116"/>
      <c r="L44" s="116"/>
      <c r="M44" s="116"/>
      <c r="N44" s="116"/>
      <c r="O44" s="116"/>
      <c r="P44" s="116"/>
      <c r="Q44" s="116"/>
      <c r="R44" s="115"/>
    </row>
    <row r="45" spans="1:19" ht="15.5" x14ac:dyDescent="0.35">
      <c r="B45" s="129" t="s">
        <v>112</v>
      </c>
      <c r="C45" s="180">
        <f ca="1">SUM(C46:C48)</f>
        <v>0</v>
      </c>
      <c r="D45" s="180">
        <f t="shared" ref="D45:Q45" ca="1" si="7">SUM(D46:D48)</f>
        <v>42.769230769230774</v>
      </c>
      <c r="E45" s="180">
        <f t="shared" ca="1" si="7"/>
        <v>121.66666666666667</v>
      </c>
      <c r="F45" s="180">
        <f t="shared" ca="1" si="7"/>
        <v>150</v>
      </c>
      <c r="G45" s="180">
        <f t="shared" ca="1" si="7"/>
        <v>150</v>
      </c>
      <c r="H45" s="180">
        <f t="shared" ca="1" si="7"/>
        <v>150</v>
      </c>
      <c r="I45" s="180">
        <f t="shared" ca="1" si="7"/>
        <v>150</v>
      </c>
      <c r="J45" s="180">
        <f t="shared" ca="1" si="7"/>
        <v>150</v>
      </c>
      <c r="K45" s="180">
        <f t="shared" ca="1" si="7"/>
        <v>104.97435897435905</v>
      </c>
      <c r="L45" s="180">
        <f t="shared" ca="1" si="7"/>
        <v>122.22222222222223</v>
      </c>
      <c r="M45" s="180">
        <f t="shared" ca="1" si="7"/>
        <v>122.22222222222223</v>
      </c>
      <c r="N45" s="180">
        <f t="shared" ca="1" si="7"/>
        <v>122.22222222222223</v>
      </c>
      <c r="O45" s="180">
        <f t="shared" ca="1" si="7"/>
        <v>122.22222222222223</v>
      </c>
      <c r="P45" s="180">
        <f t="shared" ca="1" si="7"/>
        <v>122.22222222222223</v>
      </c>
      <c r="Q45" s="180">
        <f t="shared" si="7"/>
        <v>0</v>
      </c>
      <c r="R45" s="181">
        <f ca="1">SUM(C45:Q45)</f>
        <v>1630.5213675213674</v>
      </c>
    </row>
    <row r="46" spans="1:19" ht="15.5" x14ac:dyDescent="0.35">
      <c r="A46" s="57">
        <f>Assumptions!C55</f>
        <v>1</v>
      </c>
      <c r="B46" s="123">
        <v>12</v>
      </c>
      <c r="C46" s="183" cm="1">
        <f t="array" aca="1" ref="C46" ca="1">INDIRECT("R[40]C["&amp;$A$46&amp;"]",FALSE)</f>
        <v>0</v>
      </c>
      <c r="D46" s="183" cm="1">
        <f t="array" aca="1" ref="D46" ca="1">INDIRECT("R[40]C["&amp;$A$46&amp;"]",FALSE)</f>
        <v>42.769230769230774</v>
      </c>
      <c r="E46" s="183" cm="1">
        <f t="array" aca="1" ref="E46" ca="1">INDIRECT("R[40]C["&amp;$A$46&amp;"]",FALSE)</f>
        <v>55</v>
      </c>
      <c r="F46" s="183" cm="1">
        <f t="array" aca="1" ref="F46" ca="1">INDIRECT("R[40]C["&amp;$A$46&amp;"]",FALSE)</f>
        <v>83.333333333333329</v>
      </c>
      <c r="G46" s="183" cm="1">
        <f t="array" aca="1" ref="G46" ca="1">INDIRECT("R[40]C["&amp;$A$46&amp;"]",FALSE)</f>
        <v>83.333333333333329</v>
      </c>
      <c r="H46" s="183" cm="1">
        <f t="array" aca="1" ref="H46" ca="1">INDIRECT("R[40]C["&amp;$A$46&amp;"]",FALSE)</f>
        <v>83.333333333333329</v>
      </c>
      <c r="I46" s="183" cm="1">
        <f t="array" aca="1" ref="I46" ca="1">INDIRECT("R[40]C["&amp;$A$46&amp;"]",FALSE)</f>
        <v>83.333333333333329</v>
      </c>
      <c r="J46" s="183" cm="1">
        <f t="array" aca="1" ref="J46" ca="1">INDIRECT("R[40]C["&amp;$A$46&amp;"]",FALSE)</f>
        <v>83.333333333333329</v>
      </c>
      <c r="K46" s="183" cm="1">
        <f t="array" aca="1" ref="K46" ca="1">INDIRECT("R[40]C["&amp;$A$46&amp;"]",FALSE)</f>
        <v>38.307692307692378</v>
      </c>
      <c r="L46" s="183" cm="1">
        <f t="array" aca="1" ref="L46" ca="1">INDIRECT("R[40]C["&amp;$A$46&amp;"]",FALSE)</f>
        <v>0</v>
      </c>
      <c r="M46" s="183" cm="1">
        <f t="array" aca="1" ref="M46" ca="1">INDIRECT("R[40]C["&amp;$A$46&amp;"]",FALSE)</f>
        <v>0</v>
      </c>
      <c r="N46" s="183" cm="1">
        <f t="array" aca="1" ref="N46" ca="1">INDIRECT("R[40]C["&amp;$A$46&amp;"]",FALSE)</f>
        <v>0</v>
      </c>
      <c r="O46" s="183" cm="1">
        <f t="array" aca="1" ref="O46" ca="1">INDIRECT("R[40]C["&amp;$A$46&amp;"]",FALSE)</f>
        <v>0</v>
      </c>
      <c r="P46" s="183" cm="1">
        <f t="array" aca="1" ref="P46" ca="1">INDIRECT("R[40]C["&amp;$A$46&amp;"]",FALSE)</f>
        <v>0</v>
      </c>
      <c r="Q46" s="116"/>
      <c r="R46" s="115">
        <f ca="1">SUM(D46:P46)</f>
        <v>552.74358974358972</v>
      </c>
    </row>
    <row r="47" spans="1:19" ht="15.5" x14ac:dyDescent="0.35">
      <c r="A47" s="57">
        <f>A46</f>
        <v>1</v>
      </c>
      <c r="B47" s="123">
        <v>15</v>
      </c>
      <c r="C47" s="183" cm="1">
        <f t="array" aca="1" ref="C47" ca="1">INDIRECT("R[40]C["&amp;$A$46&amp;"]",FALSE)</f>
        <v>0</v>
      </c>
      <c r="D47" s="183" cm="1">
        <f t="array" aca="1" ref="D47" ca="1">INDIRECT("R[40]C["&amp;$A$46&amp;"]",FALSE)</f>
        <v>0</v>
      </c>
      <c r="E47" s="183" cm="1">
        <f t="array" aca="1" ref="E47" ca="1">INDIRECT("R[40]C["&amp;$A$46&amp;"]",FALSE)</f>
        <v>66.666666666666671</v>
      </c>
      <c r="F47" s="183" cm="1">
        <f t="array" aca="1" ref="F47" ca="1">INDIRECT("R[40]C["&amp;$A$46&amp;"]",FALSE)</f>
        <v>66.666666666666671</v>
      </c>
      <c r="G47" s="183" cm="1">
        <f t="array" aca="1" ref="G47" ca="1">INDIRECT("R[40]C["&amp;$A$46&amp;"]",FALSE)</f>
        <v>66.666666666666671</v>
      </c>
      <c r="H47" s="183" cm="1">
        <f t="array" aca="1" ref="H47" ca="1">INDIRECT("R[40]C["&amp;$A$46&amp;"]",FALSE)</f>
        <v>66.666666666666671</v>
      </c>
      <c r="I47" s="183" cm="1">
        <f t="array" aca="1" ref="I47" ca="1">INDIRECT("R[40]C["&amp;$A$46&amp;"]",FALSE)</f>
        <v>66.666666666666671</v>
      </c>
      <c r="J47" s="183" cm="1">
        <f t="array" aca="1" ref="J47" ca="1">INDIRECT("R[40]C["&amp;$A$46&amp;"]",FALSE)</f>
        <v>66.666666666666671</v>
      </c>
      <c r="K47" s="183" cm="1">
        <f t="array" aca="1" ref="K47" ca="1">INDIRECT("R[40]C["&amp;$A$46&amp;"]",FALSE)</f>
        <v>66.666666666666671</v>
      </c>
      <c r="L47" s="183" cm="1">
        <f t="array" aca="1" ref="L47" ca="1">INDIRECT("R[40]C["&amp;$A$46&amp;"]",FALSE)</f>
        <v>66.666666666666671</v>
      </c>
      <c r="M47" s="183" cm="1">
        <f t="array" aca="1" ref="M47" ca="1">INDIRECT("R[40]C["&amp;$A$46&amp;"]",FALSE)</f>
        <v>66.666666666666671</v>
      </c>
      <c r="N47" s="183" cm="1">
        <f t="array" aca="1" ref="N47" ca="1">INDIRECT("R[40]C["&amp;$A$46&amp;"]",FALSE)</f>
        <v>66.666666666666671</v>
      </c>
      <c r="O47" s="183" cm="1">
        <f t="array" aca="1" ref="O47" ca="1">INDIRECT("R[40]C["&amp;$A$46&amp;"]",FALSE)</f>
        <v>66.666666666666671</v>
      </c>
      <c r="P47" s="183" cm="1">
        <f t="array" aca="1" ref="P47" ca="1">INDIRECT("R[40]C["&amp;$A$46&amp;"]",FALSE)</f>
        <v>66.666666666666671</v>
      </c>
      <c r="Q47" s="116"/>
      <c r="R47" s="115">
        <f ca="1">SUM(D47:P47)</f>
        <v>799.99999999999989</v>
      </c>
    </row>
    <row r="48" spans="1:19" ht="15.5" x14ac:dyDescent="0.35">
      <c r="A48" s="57">
        <f>A47</f>
        <v>1</v>
      </c>
      <c r="B48" s="123">
        <v>18</v>
      </c>
      <c r="C48" s="183" cm="1">
        <f t="array" aca="1" ref="C48" ca="1">INDIRECT("R[40]C["&amp;$A$46&amp;"]",FALSE)</f>
        <v>0</v>
      </c>
      <c r="D48" s="183" cm="1">
        <f t="array" aca="1" ref="D48" ca="1">INDIRECT("R[40]C["&amp;$A$46&amp;"]",FALSE)</f>
        <v>0</v>
      </c>
      <c r="E48" s="183" cm="1">
        <f t="array" aca="1" ref="E48" ca="1">INDIRECT("R[40]C["&amp;$A$46&amp;"]",FALSE)</f>
        <v>0</v>
      </c>
      <c r="F48" s="183" cm="1">
        <f t="array" aca="1" ref="F48" ca="1">INDIRECT("R[40]C["&amp;$A$46&amp;"]",FALSE)</f>
        <v>0</v>
      </c>
      <c r="G48" s="183" cm="1">
        <f t="array" aca="1" ref="G48" ca="1">INDIRECT("R[40]C["&amp;$A$46&amp;"]",FALSE)</f>
        <v>0</v>
      </c>
      <c r="H48" s="183" cm="1">
        <f t="array" aca="1" ref="H48" ca="1">INDIRECT("R[40]C["&amp;$A$46&amp;"]",FALSE)</f>
        <v>0</v>
      </c>
      <c r="I48" s="183" cm="1">
        <f t="array" aca="1" ref="I48" ca="1">INDIRECT("R[40]C["&amp;$A$46&amp;"]",FALSE)</f>
        <v>0</v>
      </c>
      <c r="J48" s="183" cm="1">
        <f t="array" aca="1" ref="J48" ca="1">INDIRECT("R[40]C["&amp;$A$46&amp;"]",FALSE)</f>
        <v>0</v>
      </c>
      <c r="K48" s="183" cm="1">
        <f t="array" aca="1" ref="K48" ca="1">INDIRECT("R[40]C["&amp;$A$46&amp;"]",FALSE)</f>
        <v>0</v>
      </c>
      <c r="L48" s="183" cm="1">
        <f t="array" aca="1" ref="L48" ca="1">INDIRECT("R[40]C["&amp;$A$46&amp;"]",FALSE)</f>
        <v>55.555555555555557</v>
      </c>
      <c r="M48" s="183" cm="1">
        <f t="array" aca="1" ref="M48" ca="1">INDIRECT("R[40]C["&amp;$A$46&amp;"]",FALSE)</f>
        <v>55.555555555555557</v>
      </c>
      <c r="N48" s="183" cm="1">
        <f t="array" aca="1" ref="N48" ca="1">INDIRECT("R[40]C["&amp;$A$46&amp;"]",FALSE)</f>
        <v>55.555555555555557</v>
      </c>
      <c r="O48" s="183" cm="1">
        <f t="array" aca="1" ref="O48" ca="1">INDIRECT("R[40]C["&amp;$A$46&amp;"]",FALSE)</f>
        <v>55.555555555555557</v>
      </c>
      <c r="P48" s="183" cm="1">
        <f t="array" aca="1" ref="P48" ca="1">INDIRECT("R[40]C["&amp;$A$46&amp;"]",FALSE)</f>
        <v>55.555555555555557</v>
      </c>
      <c r="Q48" s="116"/>
      <c r="R48" s="115">
        <f ca="1">SUM(D48:P48)</f>
        <v>277.77777777777777</v>
      </c>
      <c r="S48" t="s">
        <v>91</v>
      </c>
    </row>
    <row r="49" spans="1:18" ht="15.5" x14ac:dyDescent="0.35">
      <c r="B49" s="129" t="s">
        <v>351</v>
      </c>
      <c r="C49" s="179"/>
      <c r="D49" s="179"/>
      <c r="E49" s="179"/>
      <c r="F49" s="179"/>
      <c r="G49" s="179"/>
      <c r="H49" s="179"/>
      <c r="I49" s="179"/>
      <c r="J49" s="179"/>
      <c r="K49" s="179"/>
      <c r="L49" s="179"/>
      <c r="M49" s="179"/>
      <c r="N49" s="179"/>
      <c r="O49" s="179"/>
      <c r="P49" s="179"/>
      <c r="Q49" s="179"/>
      <c r="R49" s="181"/>
    </row>
    <row r="50" spans="1:18" ht="15.5" x14ac:dyDescent="0.35">
      <c r="A50" s="57">
        <f>A48</f>
        <v>1</v>
      </c>
      <c r="B50" s="123">
        <v>12</v>
      </c>
      <c r="C50" s="183" cm="1">
        <f t="array" aca="1" ref="C50" ca="1">INDIRECT("R[40]C["&amp;$A$50&amp;"]",FALSE)</f>
        <v>0</v>
      </c>
      <c r="D50" s="183" cm="1">
        <f t="array" aca="1" ref="D50" ca="1">INDIRECT("R[40]C["&amp;$A$50&amp;"]",FALSE)</f>
        <v>128.30769230769232</v>
      </c>
      <c r="E50" s="183" cm="1">
        <f t="array" aca="1" ref="E50" ca="1">INDIRECT("R[40]C["&amp;$A$50&amp;"]",FALSE)</f>
        <v>165</v>
      </c>
      <c r="F50" s="183" cm="1">
        <f t="array" aca="1" ref="F50" ca="1">INDIRECT("R[40]C["&amp;$A$50&amp;"]",FALSE)</f>
        <v>250</v>
      </c>
      <c r="G50" s="183" cm="1">
        <f t="array" aca="1" ref="G50" ca="1">INDIRECT("R[40]C["&amp;$A$50&amp;"]",FALSE)</f>
        <v>250</v>
      </c>
      <c r="H50" s="183" cm="1">
        <f t="array" aca="1" ref="H50" ca="1">INDIRECT("R[40]C["&amp;$A$50&amp;"]",FALSE)</f>
        <v>250</v>
      </c>
      <c r="I50" s="183" cm="1">
        <f t="array" aca="1" ref="I50" ca="1">INDIRECT("R[40]C["&amp;$A$50&amp;"]",FALSE)</f>
        <v>250</v>
      </c>
      <c r="J50" s="183" cm="1">
        <f t="array" aca="1" ref="J50" ca="1">INDIRECT("R[40]C["&amp;$A$50&amp;"]",FALSE)</f>
        <v>250</v>
      </c>
      <c r="K50" s="183" cm="1">
        <f t="array" aca="1" ref="K50" ca="1">INDIRECT("R[40]C["&amp;$A$50&amp;"]",FALSE)</f>
        <v>114.92307692307713</v>
      </c>
      <c r="L50" s="183" cm="1">
        <f t="array" aca="1" ref="L50" ca="1">INDIRECT("R[40]C["&amp;$A$50&amp;"]",FALSE)</f>
        <v>0</v>
      </c>
      <c r="M50" s="183" cm="1">
        <f t="array" aca="1" ref="M50" ca="1">INDIRECT("R[40]C["&amp;$A$50&amp;"]",FALSE)</f>
        <v>0</v>
      </c>
      <c r="N50" s="183" cm="1">
        <f t="array" aca="1" ref="N50" ca="1">INDIRECT("R[40]C["&amp;$A$50&amp;"]",FALSE)</f>
        <v>0</v>
      </c>
      <c r="O50" s="183" cm="1">
        <f t="array" aca="1" ref="O50" ca="1">INDIRECT("R[40]C["&amp;$A$50&amp;"]",FALSE)</f>
        <v>0</v>
      </c>
      <c r="P50" s="183" cm="1">
        <f t="array" aca="1" ref="P50" ca="1">INDIRECT("R[40]C["&amp;$A$50&amp;"]",FALSE)</f>
        <v>0</v>
      </c>
      <c r="Q50" s="115"/>
      <c r="R50" s="115">
        <f ca="1">SUM(D50:P50)</f>
        <v>1658.2307692307695</v>
      </c>
    </row>
    <row r="51" spans="1:18" ht="15.5" x14ac:dyDescent="0.35">
      <c r="A51" s="57">
        <f>A50</f>
        <v>1</v>
      </c>
      <c r="B51" s="123">
        <v>15</v>
      </c>
      <c r="C51" s="183" cm="1">
        <f t="array" aca="1" ref="C51" ca="1">INDIRECT("R[40]C["&amp;$A$50&amp;"]",FALSE)</f>
        <v>0</v>
      </c>
      <c r="D51" s="183" cm="1">
        <f t="array" aca="1" ref="D51" ca="1">INDIRECT("R[40]C["&amp;$A$50&amp;"]",FALSE)</f>
        <v>0</v>
      </c>
      <c r="E51" s="183" cm="1">
        <f t="array" aca="1" ref="E51" ca="1">INDIRECT("R[40]C["&amp;$A$50&amp;"]",FALSE)</f>
        <v>200</v>
      </c>
      <c r="F51" s="183" cm="1">
        <f t="array" aca="1" ref="F51" ca="1">INDIRECT("R[40]C["&amp;$A$50&amp;"]",FALSE)</f>
        <v>200</v>
      </c>
      <c r="G51" s="183" cm="1">
        <f t="array" aca="1" ref="G51" ca="1">INDIRECT("R[40]C["&amp;$A$50&amp;"]",FALSE)</f>
        <v>200</v>
      </c>
      <c r="H51" s="183" cm="1">
        <f t="array" aca="1" ref="H51" ca="1">INDIRECT("R[40]C["&amp;$A$50&amp;"]",FALSE)</f>
        <v>200</v>
      </c>
      <c r="I51" s="183" cm="1">
        <f t="array" aca="1" ref="I51" ca="1">INDIRECT("R[40]C["&amp;$A$50&amp;"]",FALSE)</f>
        <v>200</v>
      </c>
      <c r="J51" s="183" cm="1">
        <f t="array" aca="1" ref="J51" ca="1">INDIRECT("R[40]C["&amp;$A$50&amp;"]",FALSE)</f>
        <v>200</v>
      </c>
      <c r="K51" s="183" cm="1">
        <f t="array" aca="1" ref="K51" ca="1">INDIRECT("R[40]C["&amp;$A$50&amp;"]",FALSE)</f>
        <v>200</v>
      </c>
      <c r="L51" s="183" cm="1">
        <f t="array" aca="1" ref="L51" ca="1">INDIRECT("R[40]C["&amp;$A$50&amp;"]",FALSE)</f>
        <v>200</v>
      </c>
      <c r="M51" s="183" cm="1">
        <f t="array" aca="1" ref="M51" ca="1">INDIRECT("R[40]C["&amp;$A$50&amp;"]",FALSE)</f>
        <v>200</v>
      </c>
      <c r="N51" s="183" cm="1">
        <f t="array" aca="1" ref="N51" ca="1">INDIRECT("R[40]C["&amp;$A$50&amp;"]",FALSE)</f>
        <v>200</v>
      </c>
      <c r="O51" s="183" cm="1">
        <f t="array" aca="1" ref="O51" ca="1">INDIRECT("R[40]C["&amp;$A$50&amp;"]",FALSE)</f>
        <v>200</v>
      </c>
      <c r="P51" s="183" cm="1">
        <f t="array" aca="1" ref="P51" ca="1">INDIRECT("R[40]C["&amp;$A$50&amp;"]",FALSE)</f>
        <v>200</v>
      </c>
      <c r="Q51" s="115"/>
      <c r="R51" s="115">
        <f ca="1">SUM(D51:P51)</f>
        <v>2400</v>
      </c>
    </row>
    <row r="52" spans="1:18" ht="15.5" x14ac:dyDescent="0.35">
      <c r="A52" s="57">
        <f>A51</f>
        <v>1</v>
      </c>
      <c r="B52" s="123">
        <v>18</v>
      </c>
      <c r="C52" s="183" cm="1">
        <f t="array" aca="1" ref="C52" ca="1">INDIRECT("R[40]C["&amp;$A$50&amp;"]",FALSE)</f>
        <v>0</v>
      </c>
      <c r="D52" s="183" cm="1">
        <f t="array" aca="1" ref="D52" ca="1">INDIRECT("R[40]C["&amp;$A$50&amp;"]",FALSE)</f>
        <v>0</v>
      </c>
      <c r="E52" s="183" cm="1">
        <f t="array" aca="1" ref="E52" ca="1">INDIRECT("R[40]C["&amp;$A$50&amp;"]",FALSE)</f>
        <v>0</v>
      </c>
      <c r="F52" s="183" cm="1">
        <f t="array" aca="1" ref="F52" ca="1">INDIRECT("R[40]C["&amp;$A$50&amp;"]",FALSE)</f>
        <v>0</v>
      </c>
      <c r="G52" s="183" cm="1">
        <f t="array" aca="1" ref="G52" ca="1">INDIRECT("R[40]C["&amp;$A$50&amp;"]",FALSE)</f>
        <v>0</v>
      </c>
      <c r="H52" s="183" cm="1">
        <f t="array" aca="1" ref="H52" ca="1">INDIRECT("R[40]C["&amp;$A$50&amp;"]",FALSE)</f>
        <v>0</v>
      </c>
      <c r="I52" s="183" cm="1">
        <f t="array" aca="1" ref="I52" ca="1">INDIRECT("R[40]C["&amp;$A$50&amp;"]",FALSE)</f>
        <v>0</v>
      </c>
      <c r="J52" s="183" cm="1">
        <f t="array" aca="1" ref="J52" ca="1">INDIRECT("R[40]C["&amp;$A$50&amp;"]",FALSE)</f>
        <v>0</v>
      </c>
      <c r="K52" s="183" cm="1">
        <f t="array" aca="1" ref="K52" ca="1">INDIRECT("R[40]C["&amp;$A$50&amp;"]",FALSE)</f>
        <v>0</v>
      </c>
      <c r="L52" s="183" cm="1">
        <f t="array" aca="1" ref="L52" ca="1">INDIRECT("R[40]C["&amp;$A$50&amp;"]",FALSE)</f>
        <v>166.66666666666669</v>
      </c>
      <c r="M52" s="183" cm="1">
        <f t="array" aca="1" ref="M52" ca="1">INDIRECT("R[40]C["&amp;$A$50&amp;"]",FALSE)</f>
        <v>166.66666666666669</v>
      </c>
      <c r="N52" s="183" cm="1">
        <f t="array" aca="1" ref="N52" ca="1">INDIRECT("R[40]C["&amp;$A$50&amp;"]",FALSE)</f>
        <v>166.66666666666669</v>
      </c>
      <c r="O52" s="183" cm="1">
        <f t="array" aca="1" ref="O52" ca="1">INDIRECT("R[40]C["&amp;$A$50&amp;"]",FALSE)</f>
        <v>166.66666666666669</v>
      </c>
      <c r="P52" s="183" cm="1">
        <f t="array" aca="1" ref="P52" ca="1">INDIRECT("R[40]C["&amp;$A$50&amp;"]",FALSE)</f>
        <v>166.66666666666669</v>
      </c>
      <c r="Q52" s="115"/>
      <c r="R52" s="115">
        <f ca="1">SUM(D52:P52)</f>
        <v>833.33333333333348</v>
      </c>
    </row>
    <row r="53" spans="1:18" ht="15.5" x14ac:dyDescent="0.35">
      <c r="B53" s="129" t="s">
        <v>114</v>
      </c>
      <c r="C53" s="179"/>
      <c r="D53" s="179"/>
      <c r="E53" s="179"/>
      <c r="F53" s="179"/>
      <c r="G53" s="179"/>
      <c r="H53" s="179"/>
      <c r="I53" s="179"/>
      <c r="J53" s="179"/>
      <c r="K53" s="179"/>
      <c r="L53" s="179"/>
      <c r="M53" s="179"/>
      <c r="N53" s="179"/>
      <c r="O53" s="179"/>
      <c r="P53" s="179"/>
      <c r="Q53" s="179"/>
      <c r="R53" s="181"/>
    </row>
    <row r="54" spans="1:18" ht="15.5" x14ac:dyDescent="0.35">
      <c r="A54" s="57">
        <f>A52</f>
        <v>1</v>
      </c>
      <c r="B54" s="123">
        <v>12</v>
      </c>
      <c r="C54" s="183" cm="1">
        <f t="array" aca="1" ref="C54" ca="1">INDIRECT("R[40]C["&amp;$A$46&amp;"]",FALSE)</f>
        <v>0</v>
      </c>
      <c r="D54" s="183" cm="1">
        <f t="array" aca="1" ref="D54" ca="1">INDIRECT("R[40]C["&amp;$A$46&amp;"]",FALSE)</f>
        <v>42.769230769230774</v>
      </c>
      <c r="E54" s="183" cm="1">
        <f t="array" aca="1" ref="E54" ca="1">INDIRECT("R[40]C["&amp;$A$46&amp;"]",FALSE)</f>
        <v>55</v>
      </c>
      <c r="F54" s="183" cm="1">
        <f t="array" aca="1" ref="F54" ca="1">INDIRECT("R[40]C["&amp;$A$46&amp;"]",FALSE)</f>
        <v>83.333333333333329</v>
      </c>
      <c r="G54" s="183" cm="1">
        <f t="array" aca="1" ref="G54" ca="1">INDIRECT("R[40]C["&amp;$A$46&amp;"]",FALSE)</f>
        <v>83.333333333333329</v>
      </c>
      <c r="H54" s="183" cm="1">
        <f t="array" aca="1" ref="H54" ca="1">INDIRECT("R[40]C["&amp;$A$46&amp;"]",FALSE)</f>
        <v>83.333333333333329</v>
      </c>
      <c r="I54" s="183" cm="1">
        <f t="array" aca="1" ref="I54" ca="1">INDIRECT("R[40]C["&amp;$A$46&amp;"]",FALSE)</f>
        <v>83.333333333333329</v>
      </c>
      <c r="J54" s="183" cm="1">
        <f t="array" aca="1" ref="J54" ca="1">INDIRECT("R[40]C["&amp;$A$46&amp;"]",FALSE)</f>
        <v>83.333333333333329</v>
      </c>
      <c r="K54" s="183" cm="1">
        <f t="array" aca="1" ref="K54" ca="1">INDIRECT("R[40]C["&amp;$A$46&amp;"]",FALSE)</f>
        <v>38.307692307692378</v>
      </c>
      <c r="L54" s="183" cm="1">
        <f t="array" aca="1" ref="L54" ca="1">INDIRECT("R[40]C["&amp;$A$46&amp;"]",FALSE)</f>
        <v>0</v>
      </c>
      <c r="M54" s="183" cm="1">
        <f t="array" aca="1" ref="M54" ca="1">INDIRECT("R[40]C["&amp;$A$46&amp;"]",FALSE)</f>
        <v>0</v>
      </c>
      <c r="N54" s="183" cm="1">
        <f t="array" aca="1" ref="N54" ca="1">INDIRECT("R[40]C["&amp;$A$46&amp;"]",FALSE)</f>
        <v>0</v>
      </c>
      <c r="O54" s="183" cm="1">
        <f t="array" aca="1" ref="O54" ca="1">INDIRECT("R[40]C["&amp;$A$46&amp;"]",FALSE)</f>
        <v>0</v>
      </c>
      <c r="P54" s="183" cm="1">
        <f t="array" aca="1" ref="P54" ca="1">INDIRECT("R[40]C["&amp;$A$46&amp;"]",FALSE)</f>
        <v>0</v>
      </c>
      <c r="Q54" s="182"/>
      <c r="R54" s="115">
        <f ca="1">SUM(D54:P54)</f>
        <v>552.74358974358972</v>
      </c>
    </row>
    <row r="55" spans="1:18" ht="15.5" x14ac:dyDescent="0.35">
      <c r="A55" s="57">
        <f>A54</f>
        <v>1</v>
      </c>
      <c r="B55" s="123">
        <v>15</v>
      </c>
      <c r="C55" s="183" cm="1">
        <f t="array" aca="1" ref="C55" ca="1">INDIRECT("R[40]C["&amp;$A$46&amp;"]",FALSE)</f>
        <v>0</v>
      </c>
      <c r="D55" s="183" cm="1">
        <f t="array" aca="1" ref="D55" ca="1">INDIRECT("R[40]C["&amp;$A$46&amp;"]",FALSE)</f>
        <v>0</v>
      </c>
      <c r="E55" s="183" cm="1">
        <f t="array" aca="1" ref="E55" ca="1">INDIRECT("R[40]C["&amp;$A$46&amp;"]",FALSE)</f>
        <v>66.666666666666671</v>
      </c>
      <c r="F55" s="183" cm="1">
        <f t="array" aca="1" ref="F55" ca="1">INDIRECT("R[40]C["&amp;$A$46&amp;"]",FALSE)</f>
        <v>66.666666666666671</v>
      </c>
      <c r="G55" s="183" cm="1">
        <f t="array" aca="1" ref="G55" ca="1">INDIRECT("R[40]C["&amp;$A$46&amp;"]",FALSE)</f>
        <v>66.666666666666671</v>
      </c>
      <c r="H55" s="183" cm="1">
        <f t="array" aca="1" ref="H55" ca="1">INDIRECT("R[40]C["&amp;$A$46&amp;"]",FALSE)</f>
        <v>66.666666666666671</v>
      </c>
      <c r="I55" s="183" cm="1">
        <f t="array" aca="1" ref="I55" ca="1">INDIRECT("R[40]C["&amp;$A$46&amp;"]",FALSE)</f>
        <v>66.666666666666671</v>
      </c>
      <c r="J55" s="183" cm="1">
        <f t="array" aca="1" ref="J55" ca="1">INDIRECT("R[40]C["&amp;$A$46&amp;"]",FALSE)</f>
        <v>66.666666666666671</v>
      </c>
      <c r="K55" s="183" cm="1">
        <f t="array" aca="1" ref="K55" ca="1">INDIRECT("R[40]C["&amp;$A$46&amp;"]",FALSE)</f>
        <v>66.666666666666671</v>
      </c>
      <c r="L55" s="183" cm="1">
        <f t="array" aca="1" ref="L55" ca="1">INDIRECT("R[40]C["&amp;$A$46&amp;"]",FALSE)</f>
        <v>66.666666666666671</v>
      </c>
      <c r="M55" s="183" cm="1">
        <f t="array" aca="1" ref="M55" ca="1">INDIRECT("R[40]C["&amp;$A$46&amp;"]",FALSE)</f>
        <v>66.666666666666671</v>
      </c>
      <c r="N55" s="183" cm="1">
        <f t="array" aca="1" ref="N55" ca="1">INDIRECT("R[40]C["&amp;$A$46&amp;"]",FALSE)</f>
        <v>66.666666666666671</v>
      </c>
      <c r="O55" s="183" cm="1">
        <f t="array" aca="1" ref="O55" ca="1">INDIRECT("R[40]C["&amp;$A$46&amp;"]",FALSE)</f>
        <v>66.666666666666671</v>
      </c>
      <c r="P55" s="183" cm="1">
        <f t="array" aca="1" ref="P55" ca="1">INDIRECT("R[40]C["&amp;$A$46&amp;"]",FALSE)</f>
        <v>66.666666666666671</v>
      </c>
      <c r="Q55" s="182"/>
      <c r="R55" s="115">
        <f ca="1">SUM(D55:P55)</f>
        <v>799.99999999999989</v>
      </c>
    </row>
    <row r="56" spans="1:18" ht="15.5" x14ac:dyDescent="0.35">
      <c r="A56" s="57">
        <f>A55</f>
        <v>1</v>
      </c>
      <c r="B56" s="123">
        <v>18</v>
      </c>
      <c r="C56" s="183" cm="1">
        <f t="array" aca="1" ref="C56" ca="1">INDIRECT("R[40]C["&amp;$A$46&amp;"]",FALSE)</f>
        <v>0</v>
      </c>
      <c r="D56" s="183" cm="1">
        <f t="array" aca="1" ref="D56" ca="1">INDIRECT("R[40]C["&amp;$A$46&amp;"]",FALSE)</f>
        <v>0</v>
      </c>
      <c r="E56" s="183" cm="1">
        <f t="array" aca="1" ref="E56" ca="1">INDIRECT("R[40]C["&amp;$A$46&amp;"]",FALSE)</f>
        <v>0</v>
      </c>
      <c r="F56" s="183" cm="1">
        <f t="array" aca="1" ref="F56" ca="1">INDIRECT("R[40]C["&amp;$A$46&amp;"]",FALSE)</f>
        <v>0</v>
      </c>
      <c r="G56" s="183" cm="1">
        <f t="array" aca="1" ref="G56" ca="1">INDIRECT("R[40]C["&amp;$A$46&amp;"]",FALSE)</f>
        <v>0</v>
      </c>
      <c r="H56" s="183" cm="1">
        <f t="array" aca="1" ref="H56" ca="1">INDIRECT("R[40]C["&amp;$A$46&amp;"]",FALSE)</f>
        <v>0</v>
      </c>
      <c r="I56" s="183" cm="1">
        <f t="array" aca="1" ref="I56" ca="1">INDIRECT("R[40]C["&amp;$A$46&amp;"]",FALSE)</f>
        <v>0</v>
      </c>
      <c r="J56" s="183" cm="1">
        <f t="array" aca="1" ref="J56" ca="1">INDIRECT("R[40]C["&amp;$A$46&amp;"]",FALSE)</f>
        <v>0</v>
      </c>
      <c r="K56" s="183" cm="1">
        <f t="array" aca="1" ref="K56" ca="1">INDIRECT("R[40]C["&amp;$A$46&amp;"]",FALSE)</f>
        <v>0</v>
      </c>
      <c r="L56" s="183" cm="1">
        <f t="array" aca="1" ref="L56" ca="1">INDIRECT("R[40]C["&amp;$A$46&amp;"]",FALSE)</f>
        <v>55.555555555555557</v>
      </c>
      <c r="M56" s="183" cm="1">
        <f t="array" aca="1" ref="M56" ca="1">INDIRECT("R[40]C["&amp;$A$46&amp;"]",FALSE)</f>
        <v>55.555555555555557</v>
      </c>
      <c r="N56" s="183" cm="1">
        <f t="array" aca="1" ref="N56" ca="1">INDIRECT("R[40]C["&amp;$A$46&amp;"]",FALSE)</f>
        <v>55.555555555555557</v>
      </c>
      <c r="O56" s="183" cm="1">
        <f t="array" aca="1" ref="O56" ca="1">INDIRECT("R[40]C["&amp;$A$46&amp;"]",FALSE)</f>
        <v>55.555555555555557</v>
      </c>
      <c r="P56" s="183" cm="1">
        <f t="array" aca="1" ref="P56" ca="1">INDIRECT("R[40]C["&amp;$A$46&amp;"]",FALSE)</f>
        <v>55.555555555555557</v>
      </c>
      <c r="Q56" s="182"/>
      <c r="R56" s="115">
        <f ca="1">SUM(D56:P56)</f>
        <v>277.77777777777777</v>
      </c>
    </row>
    <row r="57" spans="1:18" ht="15.5" x14ac:dyDescent="0.35">
      <c r="B57" s="129" t="s">
        <v>352</v>
      </c>
      <c r="C57" s="179"/>
      <c r="D57" s="179"/>
      <c r="E57" s="179"/>
      <c r="F57" s="179"/>
      <c r="G57" s="179"/>
      <c r="H57" s="179"/>
      <c r="I57" s="179"/>
      <c r="J57" s="179"/>
      <c r="K57" s="179"/>
      <c r="L57" s="179"/>
      <c r="M57" s="179"/>
      <c r="N57" s="179"/>
      <c r="O57" s="179"/>
      <c r="P57" s="179"/>
      <c r="Q57" s="179"/>
      <c r="R57" s="181"/>
    </row>
    <row r="58" spans="1:18" ht="15.5" x14ac:dyDescent="0.35">
      <c r="A58" s="57">
        <f>A56</f>
        <v>1</v>
      </c>
      <c r="B58" s="123">
        <v>12</v>
      </c>
      <c r="C58" s="183" cm="1">
        <f t="array" aca="1" ref="C58" ca="1">INDIRECT("R[40]C["&amp;$A$58&amp;"]",FALSE)</f>
        <v>0</v>
      </c>
      <c r="D58" s="183" cm="1">
        <f t="array" aca="1" ref="D58" ca="1">INDIRECT("R[40]C["&amp;$A$58&amp;"]",FALSE)</f>
        <v>42.769230769230774</v>
      </c>
      <c r="E58" s="183" cm="1">
        <f t="array" aca="1" ref="E58" ca="1">INDIRECT("R[40]C["&amp;$A$58&amp;"]",FALSE)</f>
        <v>55</v>
      </c>
      <c r="F58" s="183" cm="1">
        <f t="array" aca="1" ref="F58" ca="1">INDIRECT("R[40]C["&amp;$A$58&amp;"]",FALSE)</f>
        <v>83.333333333333329</v>
      </c>
      <c r="G58" s="183" cm="1">
        <f t="array" aca="1" ref="G58" ca="1">INDIRECT("R[40]C["&amp;$A$58&amp;"]",FALSE)</f>
        <v>83.333333333333329</v>
      </c>
      <c r="H58" s="183" cm="1">
        <f t="array" aca="1" ref="H58" ca="1">INDIRECT("R[40]C["&amp;$A$58&amp;"]",FALSE)</f>
        <v>83.333333333333329</v>
      </c>
      <c r="I58" s="183" cm="1">
        <f t="array" aca="1" ref="I58" ca="1">INDIRECT("R[40]C["&amp;$A$58&amp;"]",FALSE)</f>
        <v>83.333333333333329</v>
      </c>
      <c r="J58" s="183" cm="1">
        <f t="array" aca="1" ref="J58" ca="1">INDIRECT("R[40]C["&amp;$A$58&amp;"]",FALSE)</f>
        <v>83.333333333333329</v>
      </c>
      <c r="K58" s="183" cm="1">
        <f t="array" aca="1" ref="K58" ca="1">INDIRECT("R[40]C["&amp;$A$58&amp;"]",FALSE)</f>
        <v>38.307692307692378</v>
      </c>
      <c r="L58" s="183" cm="1">
        <f t="array" aca="1" ref="L58" ca="1">INDIRECT("R[40]C["&amp;$A$58&amp;"]",FALSE)</f>
        <v>0</v>
      </c>
      <c r="M58" s="183" cm="1">
        <f t="array" aca="1" ref="M58" ca="1">INDIRECT("R[40]C["&amp;$A$58&amp;"]",FALSE)</f>
        <v>0</v>
      </c>
      <c r="N58" s="183" cm="1">
        <f t="array" aca="1" ref="N58" ca="1">INDIRECT("R[40]C["&amp;$A$58&amp;"]",FALSE)</f>
        <v>0</v>
      </c>
      <c r="O58" s="183" cm="1">
        <f t="array" aca="1" ref="O58" ca="1">INDIRECT("R[40]C["&amp;$A$58&amp;"]",FALSE)</f>
        <v>0</v>
      </c>
      <c r="P58" s="183" cm="1">
        <f t="array" aca="1" ref="P58" ca="1">INDIRECT("R[40]C["&amp;$A$58&amp;"]",FALSE)</f>
        <v>0</v>
      </c>
      <c r="Q58" s="116"/>
      <c r="R58" s="115">
        <f ca="1">SUM(D58:P58)</f>
        <v>552.74358974358972</v>
      </c>
    </row>
    <row r="59" spans="1:18" ht="15.5" x14ac:dyDescent="0.35">
      <c r="A59" s="57">
        <f>A56</f>
        <v>1</v>
      </c>
      <c r="B59" s="123">
        <v>15</v>
      </c>
      <c r="C59" s="183" cm="1">
        <f t="array" aca="1" ref="C59" ca="1">INDIRECT("R[40]C["&amp;$A$58&amp;"]",FALSE)</f>
        <v>0</v>
      </c>
      <c r="D59" s="183" cm="1">
        <f t="array" aca="1" ref="D59" ca="1">INDIRECT("R[40]C["&amp;$A$58&amp;"]",FALSE)</f>
        <v>0</v>
      </c>
      <c r="E59" s="183" cm="1">
        <f t="array" aca="1" ref="E59" ca="1">INDIRECT("R[40]C["&amp;$A$58&amp;"]",FALSE)</f>
        <v>66.666666666666671</v>
      </c>
      <c r="F59" s="183" cm="1">
        <f t="array" aca="1" ref="F59" ca="1">INDIRECT("R[40]C["&amp;$A$58&amp;"]",FALSE)</f>
        <v>66.666666666666671</v>
      </c>
      <c r="G59" s="183" cm="1">
        <f t="array" aca="1" ref="G59" ca="1">INDIRECT("R[40]C["&amp;$A$58&amp;"]",FALSE)</f>
        <v>66.666666666666671</v>
      </c>
      <c r="H59" s="183" cm="1">
        <f t="array" aca="1" ref="H59" ca="1">INDIRECT("R[40]C["&amp;$A$58&amp;"]",FALSE)</f>
        <v>66.666666666666671</v>
      </c>
      <c r="I59" s="183" cm="1">
        <f t="array" aca="1" ref="I59" ca="1">INDIRECT("R[40]C["&amp;$A$58&amp;"]",FALSE)</f>
        <v>66.666666666666671</v>
      </c>
      <c r="J59" s="183" cm="1">
        <f t="array" aca="1" ref="J59" ca="1">INDIRECT("R[40]C["&amp;$A$58&amp;"]",FALSE)</f>
        <v>66.666666666666671</v>
      </c>
      <c r="K59" s="183" cm="1">
        <f t="array" aca="1" ref="K59" ca="1">INDIRECT("R[40]C["&amp;$A$58&amp;"]",FALSE)</f>
        <v>66.666666666666671</v>
      </c>
      <c r="L59" s="183" cm="1">
        <f t="array" aca="1" ref="L59" ca="1">INDIRECT("R[40]C["&amp;$A$58&amp;"]",FALSE)</f>
        <v>66.666666666666671</v>
      </c>
      <c r="M59" s="183" cm="1">
        <f t="array" aca="1" ref="M59" ca="1">INDIRECT("R[40]C["&amp;$A$58&amp;"]",FALSE)</f>
        <v>66.666666666666671</v>
      </c>
      <c r="N59" s="183" cm="1">
        <f t="array" aca="1" ref="N59" ca="1">INDIRECT("R[40]C["&amp;$A$58&amp;"]",FALSE)</f>
        <v>66.666666666666671</v>
      </c>
      <c r="O59" s="183" cm="1">
        <f t="array" aca="1" ref="O59" ca="1">INDIRECT("R[40]C["&amp;$A$58&amp;"]",FALSE)</f>
        <v>66.666666666666671</v>
      </c>
      <c r="P59" s="183" cm="1">
        <f t="array" aca="1" ref="P59" ca="1">INDIRECT("R[40]C["&amp;$A$58&amp;"]",FALSE)</f>
        <v>66.666666666666671</v>
      </c>
      <c r="Q59" s="116"/>
      <c r="R59" s="115">
        <f ca="1">SUM(D59:P59)</f>
        <v>799.99999999999989</v>
      </c>
    </row>
    <row r="60" spans="1:18" ht="15.5" x14ac:dyDescent="0.35">
      <c r="A60" s="57">
        <f>A56</f>
        <v>1</v>
      </c>
      <c r="B60" s="123">
        <v>18</v>
      </c>
      <c r="C60" s="183" cm="1">
        <f t="array" aca="1" ref="C60" ca="1">INDIRECT("R[40]C["&amp;$A$58&amp;"]",FALSE)</f>
        <v>0</v>
      </c>
      <c r="D60" s="183" cm="1">
        <f t="array" aca="1" ref="D60" ca="1">INDIRECT("R[40]C["&amp;$A$58&amp;"]",FALSE)</f>
        <v>0</v>
      </c>
      <c r="E60" s="183" cm="1">
        <f t="array" aca="1" ref="E60" ca="1">INDIRECT("R[40]C["&amp;$A$58&amp;"]",FALSE)</f>
        <v>0</v>
      </c>
      <c r="F60" s="183" cm="1">
        <f t="array" aca="1" ref="F60" ca="1">INDIRECT("R[40]C["&amp;$A$58&amp;"]",FALSE)</f>
        <v>0</v>
      </c>
      <c r="G60" s="183" cm="1">
        <f t="array" aca="1" ref="G60" ca="1">INDIRECT("R[40]C["&amp;$A$58&amp;"]",FALSE)</f>
        <v>0</v>
      </c>
      <c r="H60" s="183" cm="1">
        <f t="array" aca="1" ref="H60" ca="1">INDIRECT("R[40]C["&amp;$A$58&amp;"]",FALSE)</f>
        <v>0</v>
      </c>
      <c r="I60" s="183" cm="1">
        <f t="array" aca="1" ref="I60" ca="1">INDIRECT("R[40]C["&amp;$A$58&amp;"]",FALSE)</f>
        <v>0</v>
      </c>
      <c r="J60" s="183" cm="1">
        <f t="array" aca="1" ref="J60" ca="1">INDIRECT("R[40]C["&amp;$A$58&amp;"]",FALSE)</f>
        <v>0</v>
      </c>
      <c r="K60" s="183" cm="1">
        <f t="array" aca="1" ref="K60" ca="1">INDIRECT("R[40]C["&amp;$A$58&amp;"]",FALSE)</f>
        <v>0</v>
      </c>
      <c r="L60" s="183" cm="1">
        <f t="array" aca="1" ref="L60" ca="1">INDIRECT("R[40]C["&amp;$A$58&amp;"]",FALSE)</f>
        <v>55.555555555555557</v>
      </c>
      <c r="M60" s="183" cm="1">
        <f t="array" aca="1" ref="M60" ca="1">INDIRECT("R[40]C["&amp;$A$58&amp;"]",FALSE)</f>
        <v>55.555555555555557</v>
      </c>
      <c r="N60" s="183" cm="1">
        <f t="array" aca="1" ref="N60" ca="1">INDIRECT("R[40]C["&amp;$A$58&amp;"]",FALSE)</f>
        <v>55.555555555555557</v>
      </c>
      <c r="O60" s="183" cm="1">
        <f t="array" aca="1" ref="O60" ca="1">INDIRECT("R[40]C["&amp;$A$58&amp;"]",FALSE)</f>
        <v>55.555555555555557</v>
      </c>
      <c r="P60" s="183" cm="1">
        <f t="array" aca="1" ref="P60" ca="1">INDIRECT("R[40]C["&amp;$A$58&amp;"]",FALSE)</f>
        <v>55.555555555555557</v>
      </c>
      <c r="Q60" s="116"/>
      <c r="R60" s="115">
        <f ca="1">SUM(D60:P60)</f>
        <v>277.77777777777777</v>
      </c>
    </row>
    <row r="61" spans="1:18" ht="15.5" x14ac:dyDescent="0.35">
      <c r="B61" s="129" t="s">
        <v>116</v>
      </c>
      <c r="C61" s="179"/>
      <c r="D61" s="179"/>
      <c r="E61" s="179"/>
      <c r="F61" s="179"/>
      <c r="G61" s="179"/>
      <c r="H61" s="179"/>
      <c r="I61" s="179"/>
      <c r="J61" s="179"/>
      <c r="K61" s="179"/>
      <c r="L61" s="179"/>
      <c r="M61" s="179"/>
      <c r="N61" s="179"/>
      <c r="O61" s="179"/>
      <c r="P61" s="179"/>
      <c r="Q61" s="179"/>
      <c r="R61" s="181"/>
    </row>
    <row r="62" spans="1:18" ht="15.5" x14ac:dyDescent="0.35">
      <c r="A62" s="57">
        <f>A60</f>
        <v>1</v>
      </c>
      <c r="B62" s="125" t="s">
        <v>257</v>
      </c>
      <c r="C62" s="183" cm="1">
        <f t="array" aca="1" ref="C62" ca="1">INDIRECT("R[40]C["&amp;$A$62&amp;"]",FALSE)</f>
        <v>0</v>
      </c>
      <c r="D62" s="183" cm="1">
        <f t="array" aca="1" ref="D62" ca="1">INDIRECT("R[40]C["&amp;$A$62&amp;"]",FALSE)</f>
        <v>32.769230769230774</v>
      </c>
      <c r="E62" s="183" cm="1">
        <f t="array" aca="1" ref="E62" ca="1">INDIRECT("R[40]C["&amp;$A$62&amp;"]",FALSE)</f>
        <v>82.531489551143721</v>
      </c>
      <c r="F62" s="183" cm="1">
        <f t="array" aca="1" ref="F62" ca="1">INDIRECT("R[40]C["&amp;$A$62&amp;"]",FALSE)</f>
        <v>92.897425690021251</v>
      </c>
      <c r="G62" s="183" cm="1">
        <f t="array" aca="1" ref="G62" ca="1">INDIRECT("R[40]C["&amp;$A$62&amp;"]",FALSE)</f>
        <v>98.919584245076578</v>
      </c>
      <c r="H62" s="183" cm="1">
        <f t="array" aca="1" ref="H62" ca="1">INDIRECT("R[40]C["&amp;$A$62&amp;"]",FALSE)</f>
        <v>75.304689113819464</v>
      </c>
      <c r="I62" s="183" cm="1">
        <f t="array" aca="1" ref="I62" ca="1">INDIRECT("R[40]C["&amp;$A$62&amp;"]",FALSE)</f>
        <v>90.694375696546828</v>
      </c>
      <c r="J62" s="183" cm="1">
        <f t="array" aca="1" ref="J62" ca="1">INDIRECT("R[40]C["&amp;$A$62&amp;"]",FALSE)</f>
        <v>147.37140366172625</v>
      </c>
      <c r="K62" s="183" cm="1">
        <f t="array" aca="1" ref="K62" ca="1">INDIRECT("R[40]C["&amp;$A$62&amp;"]",FALSE)</f>
        <v>87.252349301596638</v>
      </c>
      <c r="L62" s="183" cm="1">
        <f t="array" aca="1" ref="L62" ca="1">INDIRECT("R[40]C["&amp;$A$62&amp;"]",FALSE)</f>
        <v>56.951842847654682</v>
      </c>
      <c r="M62" s="183" cm="1">
        <f t="array" aca="1" ref="M62" ca="1">INDIRECT("R[40]C["&amp;$A$62&amp;"]",FALSE)</f>
        <v>74.677879416978016</v>
      </c>
      <c r="N62" s="183" cm="1">
        <f t="array" aca="1" ref="N62" ca="1">INDIRECT("R[40]C["&amp;$A$62&amp;"]",FALSE)</f>
        <v>85.555555555555557</v>
      </c>
      <c r="O62" s="183" cm="1">
        <f t="array" aca="1" ref="O62" ca="1">INDIRECT("R[40]C["&amp;$A$62&amp;"]",FALSE)</f>
        <v>95.742706522542591</v>
      </c>
      <c r="P62" s="183" cm="1">
        <f t="array" aca="1" ref="P62" ca="1">INDIRECT("R[40]C["&amp;$A$62&amp;"]",FALSE)</f>
        <v>85.555555555555543</v>
      </c>
      <c r="Q62" s="183"/>
      <c r="R62" s="115">
        <f ca="1">SUM(D62:Q62)</f>
        <v>1106.2240879274477</v>
      </c>
    </row>
    <row r="63" spans="1:18" ht="15.5" x14ac:dyDescent="0.35">
      <c r="A63" s="57">
        <f>A60</f>
        <v>1</v>
      </c>
      <c r="B63" s="125" t="s">
        <v>258</v>
      </c>
      <c r="C63" s="183" cm="1">
        <f t="array" aca="1" ref="C63" ca="1">INDIRECT("R[40]C["&amp;$A$62&amp;"]",FALSE)</f>
        <v>0</v>
      </c>
      <c r="D63" s="183" cm="1">
        <f t="array" aca="1" ref="D63" ca="1">INDIRECT("R[40]C["&amp;$A$62&amp;"]",FALSE)</f>
        <v>32.769230769230774</v>
      </c>
      <c r="E63" s="183" cm="1">
        <f t="array" aca="1" ref="E63" ca="1">INDIRECT("R[40]C["&amp;$A$62&amp;"]",FALSE)</f>
        <v>82.531489551143721</v>
      </c>
      <c r="F63" s="183" cm="1">
        <f t="array" aca="1" ref="F63" ca="1">INDIRECT("R[40]C["&amp;$A$62&amp;"]",FALSE)</f>
        <v>92.897425690021251</v>
      </c>
      <c r="G63" s="183" cm="1">
        <f t="array" aca="1" ref="G63" ca="1">INDIRECT("R[40]C["&amp;$A$62&amp;"]",FALSE)</f>
        <v>98.919584245076578</v>
      </c>
      <c r="H63" s="183" cm="1">
        <f t="array" aca="1" ref="H63" ca="1">INDIRECT("R[40]C["&amp;$A$62&amp;"]",FALSE)</f>
        <v>75.304689113819464</v>
      </c>
      <c r="I63" s="183" cm="1">
        <f t="array" aca="1" ref="I63" ca="1">INDIRECT("R[40]C["&amp;$A$62&amp;"]",FALSE)</f>
        <v>90.694375696546828</v>
      </c>
      <c r="J63" s="183" cm="1">
        <f t="array" aca="1" ref="J63" ca="1">INDIRECT("R[40]C["&amp;$A$62&amp;"]",FALSE)</f>
        <v>147.37140366172625</v>
      </c>
      <c r="K63" s="183" cm="1">
        <f t="array" aca="1" ref="K63" ca="1">INDIRECT("R[40]C["&amp;$A$62&amp;"]",FALSE)</f>
        <v>87.252349301596638</v>
      </c>
      <c r="L63" s="183" cm="1">
        <f t="array" aca="1" ref="L63" ca="1">INDIRECT("R[40]C["&amp;$A$62&amp;"]",FALSE)</f>
        <v>56.951842847654682</v>
      </c>
      <c r="M63" s="183" cm="1">
        <f t="array" aca="1" ref="M63" ca="1">INDIRECT("R[40]C["&amp;$A$62&amp;"]",FALSE)</f>
        <v>74.677879416978016</v>
      </c>
      <c r="N63" s="183" cm="1">
        <f t="array" aca="1" ref="N63" ca="1">INDIRECT("R[40]C["&amp;$A$62&amp;"]",FALSE)</f>
        <v>85.555555555555557</v>
      </c>
      <c r="O63" s="183" cm="1">
        <f t="array" aca="1" ref="O63" ca="1">INDIRECT("R[40]C["&amp;$A$62&amp;"]",FALSE)</f>
        <v>95.742706522542591</v>
      </c>
      <c r="P63" s="183" cm="1">
        <f t="array" aca="1" ref="P63" ca="1">INDIRECT("R[40]C["&amp;$A$62&amp;"]",FALSE)</f>
        <v>85.555555555555543</v>
      </c>
      <c r="Q63" s="183"/>
      <c r="R63" s="115"/>
    </row>
    <row r="64" spans="1:18" ht="15.5" x14ac:dyDescent="0.35">
      <c r="A64" s="57">
        <f>A60</f>
        <v>1</v>
      </c>
      <c r="B64" s="125" t="s">
        <v>353</v>
      </c>
      <c r="C64" s="183" cm="1">
        <f t="array" aca="1" ref="C64" ca="1">INDIRECT("R[40]C["&amp;$A$62&amp;"]",FALSE)</f>
        <v>0</v>
      </c>
      <c r="D64" s="183" cm="1">
        <f t="array" aca="1" ref="D64" ca="1">INDIRECT("R[40]C["&amp;$A$62&amp;"]",FALSE)</f>
        <v>0</v>
      </c>
      <c r="E64" s="183" cm="1">
        <f t="array" aca="1" ref="E64" ca="1">INDIRECT("R[40]C["&amp;$A$62&amp;"]",FALSE)</f>
        <v>10.480484343911691</v>
      </c>
      <c r="F64" s="183" cm="1">
        <f t="array" aca="1" ref="F64" ca="1">INDIRECT("R[40]C["&amp;$A$62&amp;"]",FALSE)</f>
        <v>6.2101910828025488</v>
      </c>
      <c r="G64" s="183" cm="1">
        <f t="array" aca="1" ref="G64" ca="1">INDIRECT("R[40]C["&amp;$A$62&amp;"]",FALSE)</f>
        <v>6.769693654266959</v>
      </c>
      <c r="H64" s="183" cm="1">
        <f t="array" aca="1" ref="H64" ca="1">INDIRECT("R[40]C["&amp;$A$62&amp;"]",FALSE)</f>
        <v>4.1520347035736425</v>
      </c>
      <c r="I64" s="183" cm="1">
        <f t="array" aca="1" ref="I64" ca="1">INDIRECT("R[40]C["&amp;$A$62&amp;"]",FALSE)</f>
        <v>18.488733366024526</v>
      </c>
      <c r="J64" s="183" cm="1">
        <f t="array" aca="1" ref="J64" ca="1">INDIRECT("R[40]C["&amp;$A$62&amp;"]",FALSE)</f>
        <v>10.043591979075849</v>
      </c>
      <c r="K64" s="183" cm="1">
        <f t="array" aca="1" ref="K64" ca="1">INDIRECT("R[40]C["&amp;$A$62&amp;"]",FALSE)</f>
        <v>3.236511567969885</v>
      </c>
      <c r="L64" s="183" cm="1">
        <f t="array" aca="1" ref="L64" ca="1">INDIRECT("R[40]C["&amp;$A$62&amp;"]",FALSE)</f>
        <v>0</v>
      </c>
      <c r="M64" s="183" cm="1">
        <f t="array" aca="1" ref="M64" ca="1">INDIRECT("R[40]C["&amp;$A$62&amp;"]",FALSE)</f>
        <v>14.254204781366754</v>
      </c>
      <c r="N64" s="183" cm="1">
        <f t="array" aca="1" ref="N64" ca="1">INDIRECT("R[40]C["&amp;$A$62&amp;"]",FALSE)</f>
        <v>18.333333333333332</v>
      </c>
      <c r="O64" s="183" cm="1">
        <f t="array" aca="1" ref="O64" ca="1">INDIRECT("R[40]C["&amp;$A$62&amp;"]",FALSE)</f>
        <v>13.239757849839823</v>
      </c>
      <c r="P64" s="183" cm="1">
        <f t="array" aca="1" ref="P64" ca="1">INDIRECT("R[40]C["&amp;$A$62&amp;"]",FALSE)</f>
        <v>18.333333333333336</v>
      </c>
      <c r="Q64" s="183"/>
      <c r="R64" s="115">
        <f ca="1">SUM(D64:Q64)</f>
        <v>123.54186999549833</v>
      </c>
    </row>
    <row r="65" spans="1:18" ht="15.5" x14ac:dyDescent="0.35">
      <c r="A65" s="57">
        <f>A60</f>
        <v>1</v>
      </c>
      <c r="B65" s="125" t="s">
        <v>117</v>
      </c>
      <c r="C65" s="183" cm="1">
        <f t="array" aca="1" ref="C65" ca="1">INDIRECT("R[40]C["&amp;$A$62&amp;"]",FALSE)</f>
        <v>0</v>
      </c>
      <c r="D65" s="183" cm="1">
        <f t="array" aca="1" ref="D65" ca="1">INDIRECT("R[40]C["&amp;$A$62&amp;"]",FALSE)</f>
        <v>10</v>
      </c>
      <c r="E65" s="183" cm="1">
        <f t="array" aca="1" ref="E65" ca="1">INDIRECT("R[40]C["&amp;$A$62&amp;"]",FALSE)</f>
        <v>28.654692771611241</v>
      </c>
      <c r="F65" s="183" cm="1">
        <f t="array" aca="1" ref="F65" ca="1">INDIRECT("R[40]C["&amp;$A$62&amp;"]",FALSE)</f>
        <v>39.507032908704893</v>
      </c>
      <c r="G65" s="183" cm="1">
        <f t="array" aca="1" ref="G65" ca="1">INDIRECT("R[40]C["&amp;$A$62&amp;"]",FALSE)</f>
        <v>30.771334792122541</v>
      </c>
      <c r="H65" s="183" cm="1">
        <f t="array" aca="1" ref="H65" ca="1">INDIRECT("R[40]C["&amp;$A$62&amp;"]",FALSE)</f>
        <v>70.543276182606917</v>
      </c>
      <c r="I65" s="183" cm="1">
        <f t="array" aca="1" ref="I65" ca="1">INDIRECT("R[40]C["&amp;$A$62&amp;"]",FALSE)</f>
        <v>32.654230571834361</v>
      </c>
      <c r="J65" s="183" cm="1">
        <f t="array" aca="1" ref="J65" ca="1">INDIRECT("R[40]C["&amp;$A$62&amp;"]",FALSE)</f>
        <v>10.043591979075849</v>
      </c>
      <c r="K65" s="183" cm="1">
        <f t="array" aca="1" ref="K65" ca="1">INDIRECT("R[40]C["&amp;$A$62&amp;"]",FALSE)</f>
        <v>7.3820433602769917</v>
      </c>
      <c r="L65" s="183" cm="1">
        <f t="array" aca="1" ref="L65" ca="1">INDIRECT("R[40]C["&amp;$A$62&amp;"]",FALSE)</f>
        <v>0</v>
      </c>
      <c r="M65" s="183" cm="1">
        <f t="array" aca="1" ref="M65" ca="1">INDIRECT("R[40]C["&amp;$A$62&amp;"]",FALSE)</f>
        <v>33.290138023877454</v>
      </c>
      <c r="N65" s="183" cm="1">
        <f t="array" aca="1" ref="N65" ca="1">INDIRECT("R[40]C["&amp;$A$62&amp;"]",FALSE)</f>
        <v>18.333333333333332</v>
      </c>
      <c r="O65" s="183" cm="1">
        <f t="array" aca="1" ref="O65" ca="1">INDIRECT("R[40]C["&amp;$A$62&amp;"]",FALSE)</f>
        <v>13.239757849839823</v>
      </c>
      <c r="P65" s="183" cm="1">
        <f t="array" aca="1" ref="P65" ca="1">INDIRECT("R[40]C["&amp;$A$62&amp;"]",FALSE)</f>
        <v>18.333333333333336</v>
      </c>
      <c r="Q65" s="183"/>
      <c r="R65" s="115">
        <f ca="1">SUM(D65:Q65)</f>
        <v>312.75276510661666</v>
      </c>
    </row>
    <row r="66" spans="1:18" ht="15.5" x14ac:dyDescent="0.35">
      <c r="A66" s="57">
        <f>A60</f>
        <v>1</v>
      </c>
      <c r="B66" s="125" t="s">
        <v>354</v>
      </c>
      <c r="C66" s="183" cm="1">
        <f t="array" aca="1" ref="C66" ca="1">INDIRECT("R[40]C["&amp;$A$62&amp;"]",FALSE)</f>
        <v>0</v>
      </c>
      <c r="D66" s="183" cm="1">
        <f t="array" aca="1" ref="D66" ca="1">INDIRECT("R[40]C["&amp;$A$62&amp;"]",FALSE)</f>
        <v>2</v>
      </c>
      <c r="E66" s="183" cm="1">
        <f t="array" aca="1" ref="E66" ca="1">INDIRECT("R[40]C["&amp;$A$62&amp;"]",FALSE)</f>
        <v>3.596244627812835</v>
      </c>
      <c r="F66" s="183" cm="1">
        <f t="array" aca="1" ref="F66" ca="1">INDIRECT("R[40]C["&amp;$A$62&amp;"]",FALSE)</f>
        <v>4.6576433121019116</v>
      </c>
      <c r="G66" s="183" cm="1">
        <f t="array" aca="1" ref="G66" ca="1">INDIRECT("R[40]C["&amp;$A$62&amp;"]",FALSE)</f>
        <v>4.3079868708971558</v>
      </c>
      <c r="H66" s="183" cm="1">
        <f t="array" aca="1" ref="H66" ca="1">INDIRECT("R[40]C["&amp;$A$62&amp;"]",FALSE)</f>
        <v>3.8731667010948154</v>
      </c>
      <c r="I66" s="183" cm="1">
        <f t="array" aca="1" ref="I66" ca="1">INDIRECT("R[40]C["&amp;$A$62&amp;"]",FALSE)</f>
        <v>3.1994347161625831</v>
      </c>
      <c r="J66" s="183" cm="1">
        <f t="array" aca="1" ref="J66" ca="1">INDIRECT("R[40]C["&amp;$A$62&amp;"]",FALSE)</f>
        <v>4.9040976460331294</v>
      </c>
      <c r="K66" s="183" cm="1">
        <f t="array" aca="1" ref="K66" ca="1">INDIRECT("R[40]C["&amp;$A$62&amp;"]",FALSE)</f>
        <v>3.662718852640817</v>
      </c>
      <c r="L66" s="183" cm="1">
        <f t="array" aca="1" ref="L66" ca="1">INDIRECT("R[40]C["&amp;$A$62&amp;"]",FALSE)</f>
        <v>1.4645792711920564</v>
      </c>
      <c r="M66" s="183" cm="1">
        <f t="array" aca="1" ref="M66" ca="1">INDIRECT("R[40]C["&amp;$A$62&amp;"]",FALSE)</f>
        <v>3.8695290611540667</v>
      </c>
      <c r="N66" s="183" cm="1">
        <f t="array" aca="1" ref="N66" ca="1">INDIRECT("R[40]C["&amp;$A$62&amp;"]",FALSE)</f>
        <v>4.123711340206186</v>
      </c>
      <c r="O66" s="183" cm="1">
        <f t="array" aca="1" ref="O66" ca="1">INDIRECT("R[40]C["&amp;$A$62&amp;"]",FALSE)</f>
        <v>4.578590610895616</v>
      </c>
      <c r="P66" s="183" cm="1">
        <f t="array" aca="1" ref="P66" ca="1">INDIRECT("R[40]C["&amp;$A$62&amp;"]",FALSE)</f>
        <v>4.7619047619047619</v>
      </c>
      <c r="Q66" s="183"/>
      <c r="R66" s="115">
        <f ca="1">SUM(D66:Q66)</f>
        <v>48.999607772095935</v>
      </c>
    </row>
    <row r="67" spans="1:18" ht="15.5" x14ac:dyDescent="0.35">
      <c r="B67" s="129" t="s">
        <v>119</v>
      </c>
      <c r="C67" s="184"/>
      <c r="D67" s="180"/>
      <c r="E67" s="180"/>
      <c r="F67" s="180"/>
      <c r="G67" s="180"/>
      <c r="H67" s="180"/>
      <c r="I67" s="180"/>
      <c r="J67" s="180"/>
      <c r="K67" s="180"/>
      <c r="L67" s="180"/>
      <c r="M67" s="180"/>
      <c r="N67" s="180"/>
      <c r="O67" s="180"/>
      <c r="P67" s="180"/>
      <c r="Q67" s="180"/>
      <c r="R67" s="181"/>
    </row>
    <row r="68" spans="1:18" ht="15.5" x14ac:dyDescent="0.35">
      <c r="A68" s="57">
        <f>A59</f>
        <v>1</v>
      </c>
      <c r="B68" s="125" t="s">
        <v>355</v>
      </c>
      <c r="C68" s="183" cm="1">
        <f t="array" aca="1" ref="C68" ca="1">INDIRECT("R[40]C["&amp;$A$68&amp;"]",FALSE)</f>
        <v>0</v>
      </c>
      <c r="D68" s="183" cm="1">
        <f t="array" aca="1" ref="D68" ca="1">INDIRECT("R[40]C["&amp;$A$68&amp;"]",FALSE)</f>
        <v>2</v>
      </c>
      <c r="E68" s="183" cm="1">
        <f t="array" aca="1" ref="E68" ca="1">INDIRECT("R[40]C["&amp;$A$68&amp;"]",FALSE)</f>
        <v>3.8700470038263131</v>
      </c>
      <c r="F68" s="183" cm="1">
        <f t="array" aca="1" ref="F68" ca="1">INDIRECT("R[40]C["&amp;$A$68&amp;"]",FALSE)</f>
        <v>3.1702806511268724</v>
      </c>
      <c r="G68" s="183" cm="1">
        <f t="array" aca="1" ref="G68" ca="1">INDIRECT("R[40]C["&amp;$A$68&amp;"]",FALSE)</f>
        <v>4.0299366724237187</v>
      </c>
      <c r="H68" s="183" cm="1">
        <f t="array" aca="1" ref="H68" ca="1">INDIRECT("R[40]C["&amp;$A$68&amp;"]",FALSE)</f>
        <v>3.4428148454176135</v>
      </c>
      <c r="I68" s="183" cm="1">
        <f t="array" aca="1" ref="I68" ca="1">INDIRECT("R[40]C["&amp;$A$68&amp;"]",FALSE)</f>
        <v>2.8439419699222959</v>
      </c>
      <c r="J68" s="183" cm="1">
        <f t="array" aca="1" ref="J68" ca="1">INDIRECT("R[40]C["&amp;$A$68&amp;"]",FALSE)</f>
        <v>4.3591979075850045</v>
      </c>
      <c r="K68" s="183" cm="1">
        <f t="array" aca="1" ref="K68" ca="1">INDIRECT("R[40]C["&amp;$A$68&amp;"]",FALSE)</f>
        <v>2.4693787963836082</v>
      </c>
      <c r="L68" s="183" cm="1">
        <f t="array" aca="1" ref="L68" ca="1">INDIRECT("R[40]C["&amp;$A$68&amp;"]",FALSE)</f>
        <v>1.3314357010836877</v>
      </c>
      <c r="M68" s="183" cm="1">
        <f t="array" aca="1" ref="M68" ca="1">INDIRECT("R[40]C["&amp;$A$68&amp;"]",FALSE)</f>
        <v>3.5177536919582422</v>
      </c>
      <c r="N68" s="183" cm="1">
        <f t="array" aca="1" ref="N68" ca="1">INDIRECT("R[40]C["&amp;$A$68&amp;"]",FALSE)</f>
        <v>3.7488284910965324</v>
      </c>
      <c r="O68" s="183" cm="1">
        <f t="array" aca="1" ref="O68" ca="1">INDIRECT("R[40]C["&amp;$A$68&amp;"]",FALSE)</f>
        <v>4.1623551008141959</v>
      </c>
      <c r="P68" s="183" cm="1">
        <f t="array" aca="1" ref="P68" ca="1">INDIRECT("R[40]C["&amp;$A$68&amp;"]",FALSE)</f>
        <v>4.329004329004329</v>
      </c>
      <c r="Q68" s="183"/>
      <c r="R68" s="115">
        <f ca="1">SUM(D68:Q68)</f>
        <v>43.274975160642413</v>
      </c>
    </row>
    <row r="69" spans="1:18" ht="15.5" x14ac:dyDescent="0.35">
      <c r="B69" s="129" t="s">
        <v>356</v>
      </c>
      <c r="C69" s="184"/>
      <c r="D69" s="184"/>
      <c r="E69" s="184"/>
      <c r="F69" s="184"/>
      <c r="G69" s="184"/>
      <c r="H69" s="184"/>
      <c r="I69" s="184"/>
      <c r="J69" s="184"/>
      <c r="K69" s="184"/>
      <c r="L69" s="184"/>
      <c r="M69" s="184"/>
      <c r="N69" s="184"/>
      <c r="O69" s="184"/>
      <c r="P69" s="184"/>
      <c r="Q69" s="184"/>
      <c r="R69" s="181"/>
    </row>
    <row r="70" spans="1:18" ht="15.5" x14ac:dyDescent="0.35">
      <c r="A70" s="57">
        <f>A59</f>
        <v>1</v>
      </c>
      <c r="B70" s="125" t="s">
        <v>357</v>
      </c>
      <c r="C70" s="183" cm="1">
        <f t="array" aca="1" ref="C70" ca="1">INDIRECT("R[40]C["&amp;$A$70&amp;"]",FALSE)</f>
        <v>0</v>
      </c>
      <c r="D70" s="183" cm="1">
        <f t="array" aca="1" ref="D70" ca="1">INDIRECT("R[40]C["&amp;$A$70&amp;"]",FALSE)</f>
        <v>125.50240000000001</v>
      </c>
      <c r="E70" s="183" cm="1">
        <f t="array" aca="1" ref="E70" ca="1">INDIRECT("R[40]C["&amp;$A$70&amp;"]",FALSE)</f>
        <v>333.69631259850235</v>
      </c>
      <c r="F70" s="183" cm="1">
        <f t="array" aca="1" ref="F70" ca="1">INDIRECT("R[40]C["&amp;$A$70&amp;"]",FALSE)</f>
        <v>383.38581367149669</v>
      </c>
      <c r="G70" s="183" cm="1">
        <f t="array" aca="1" ref="G70" ca="1">INDIRECT("R[40]C["&amp;$A$70&amp;"]",FALSE)</f>
        <v>299.52391479562465</v>
      </c>
      <c r="H70" s="183" cm="1">
        <f t="array" aca="1" ref="H70" ca="1">INDIRECT("R[40]C["&amp;$A$70&amp;"]",FALSE)</f>
        <v>287.57866923730182</v>
      </c>
      <c r="I70" s="183" cm="1">
        <f t="array" aca="1" ref="I70" ca="1">INDIRECT("R[40]C["&amp;$A$70&amp;"]",FALSE)</f>
        <v>357.26191678724018</v>
      </c>
      <c r="J70" s="183" cm="1">
        <f t="array" aca="1" ref="J70" ca="1">INDIRECT("R[40]C["&amp;$A$70&amp;"]",FALSE)</f>
        <v>292.8</v>
      </c>
      <c r="K70" s="183" cm="1">
        <f t="array" aca="1" ref="K70" ca="1">INDIRECT("R[40]C["&amp;$A$70&amp;"]",FALSE)</f>
        <v>294.54616870187368</v>
      </c>
      <c r="L70" s="183" cm="1">
        <f t="array" aca="1" ref="L70" ca="1">INDIRECT("R[40]C["&amp;$A$70&amp;"]",FALSE)</f>
        <v>113.69658808495427</v>
      </c>
      <c r="M70" s="183" cm="1">
        <f t="array" aca="1" ref="M70" ca="1">INDIRECT("R[40]C["&amp;$A$70&amp;"]",FALSE)</f>
        <v>365.17254367319356</v>
      </c>
      <c r="N70" s="183" cm="1">
        <f t="array" aca="1" ref="N70" ca="1">INDIRECT("R[40]C["&amp;$A$70&amp;"]",FALSE)</f>
        <v>244</v>
      </c>
      <c r="O70" s="183" cm="1">
        <f t="array" aca="1" ref="O70" ca="1">INDIRECT("R[40]C["&amp;$A$70&amp;"]",FALSE)</f>
        <v>244</v>
      </c>
      <c r="P70" s="183" cm="1">
        <f t="array" aca="1" ref="P70" ca="1">INDIRECT("R[40]C["&amp;$A$70&amp;"]",FALSE)</f>
        <v>244.00000000000003</v>
      </c>
      <c r="Q70" s="183"/>
      <c r="R70" s="115">
        <f ca="1">SUM(D70:Q70)</f>
        <v>3585.1643275501874</v>
      </c>
    </row>
    <row r="71" spans="1:18" ht="15.5" x14ac:dyDescent="0.35">
      <c r="A71" s="57">
        <f>A59</f>
        <v>1</v>
      </c>
      <c r="B71" s="125" t="s">
        <v>358</v>
      </c>
      <c r="C71" s="183" cm="1">
        <f t="array" aca="1" ref="C71" ca="1">INDIRECT("R[40]C["&amp;$A$70&amp;"]",FALSE)</f>
        <v>0</v>
      </c>
      <c r="D71" s="183" cm="1">
        <f t="array" aca="1" ref="D71" ca="1">INDIRECT("R[40]C["&amp;$A$70&amp;"]",FALSE)</f>
        <v>256</v>
      </c>
      <c r="E71" s="183" cm="1">
        <f t="array" aca="1" ref="E71" ca="1">INDIRECT("R[40]C["&amp;$A$70&amp;"]",FALSE)</f>
        <v>358.52641769839482</v>
      </c>
      <c r="F71" s="183" cm="1">
        <f t="array" aca="1" ref="F71" ca="1">INDIRECT("R[40]C["&amp;$A$70&amp;"]",FALSE)</f>
        <v>267.09614485743901</v>
      </c>
      <c r="G71" s="183" cm="1">
        <f t="array" aca="1" ref="G71" ca="1">INDIRECT("R[40]C["&amp;$A$70&amp;"]",FALSE)</f>
        <v>287.09211283822685</v>
      </c>
      <c r="H71" s="183" cm="1">
        <f t="array" aca="1" ref="H71" ca="1">INDIRECT("R[40]C["&amp;$A$70&amp;"]",FALSE)</f>
        <v>362.18412173793297</v>
      </c>
      <c r="I71" s="183" cm="1">
        <f t="array" aca="1" ref="I71" ca="1">INDIRECT("R[40]C["&amp;$A$70&amp;"]",FALSE)</f>
        <v>234.15073635018251</v>
      </c>
      <c r="J71" s="183" cm="1">
        <f t="array" aca="1" ref="J71" ca="1">INDIRECT("R[40]C["&amp;$A$70&amp;"]",FALSE)</f>
        <v>601.79625108979951</v>
      </c>
      <c r="K71" s="183" cm="1">
        <f t="array" aca="1" ref="K71" ca="1">INDIRECT("R[40]C["&amp;$A$70&amp;"]",FALSE)</f>
        <v>209.86787381939962</v>
      </c>
      <c r="L71" s="183" cm="1">
        <f t="array" aca="1" ref="L71" ca="1">INDIRECT("R[40]C["&amp;$A$70&amp;"]",FALSE)</f>
        <v>83.880449168272321</v>
      </c>
      <c r="M71" s="183" cm="1">
        <f t="array" aca="1" ref="M71" ca="1">INDIRECT("R[40]C["&amp;$A$70&amp;"]",FALSE)</f>
        <v>470.44385853262554</v>
      </c>
      <c r="N71" s="183" cm="1">
        <f t="array" aca="1" ref="N71" ca="1">INDIRECT("R[40]C["&amp;$A$70&amp;"]",FALSE)</f>
        <v>562.32427366447985</v>
      </c>
      <c r="O71" s="183" cm="1">
        <f t="array" aca="1" ref="O71" ca="1">INDIRECT("R[40]C["&amp;$A$70&amp;"]",FALSE)</f>
        <v>516.69395043957013</v>
      </c>
      <c r="P71" s="183" cm="1">
        <f t="array" aca="1" ref="P71" ca="1">INDIRECT("R[40]C["&amp;$A$70&amp;"]",FALSE)</f>
        <v>606.06060606060601</v>
      </c>
      <c r="Q71" s="183"/>
      <c r="R71" s="115">
        <f ca="1">SUM(D71:Q71)</f>
        <v>4816.1167962569289</v>
      </c>
    </row>
    <row r="72" spans="1:18" ht="15.5" x14ac:dyDescent="0.35">
      <c r="B72" s="179" t="str">
        <f>[1]Detailed!B66</f>
        <v>VESSELS</v>
      </c>
      <c r="C72" s="179"/>
      <c r="D72" s="179"/>
      <c r="E72" s="179"/>
      <c r="F72" s="179"/>
      <c r="G72" s="179"/>
      <c r="H72" s="179"/>
      <c r="I72" s="179"/>
      <c r="J72" s="179"/>
      <c r="K72" s="179"/>
      <c r="L72" s="179"/>
      <c r="M72" s="179"/>
      <c r="N72" s="179"/>
      <c r="O72" s="179"/>
      <c r="P72" s="179"/>
      <c r="Q72" s="179"/>
      <c r="R72" s="181"/>
    </row>
    <row r="73" spans="1:18" ht="15.5" x14ac:dyDescent="0.35">
      <c r="B73" s="116"/>
      <c r="C73" s="116"/>
      <c r="D73" s="116"/>
      <c r="E73" s="116"/>
      <c r="F73" s="116"/>
      <c r="G73" s="116"/>
      <c r="H73" s="116"/>
      <c r="I73" s="116"/>
      <c r="J73" s="116"/>
      <c r="K73" s="116"/>
      <c r="L73" s="116"/>
      <c r="M73" s="116"/>
      <c r="N73" s="116"/>
      <c r="O73" s="116"/>
      <c r="P73" s="116"/>
      <c r="Q73" s="116"/>
      <c r="R73" s="115">
        <f>SUM(D73:Q73)</f>
        <v>0</v>
      </c>
    </row>
    <row r="74" spans="1:18" ht="15.5" x14ac:dyDescent="0.35">
      <c r="B74" s="116"/>
      <c r="C74" s="116"/>
      <c r="D74" s="116"/>
      <c r="E74" s="116"/>
      <c r="F74" s="116"/>
      <c r="G74" s="116"/>
      <c r="H74" s="116"/>
      <c r="I74" s="116"/>
      <c r="J74" s="116"/>
      <c r="K74" s="116"/>
      <c r="L74" s="116"/>
      <c r="M74" s="116"/>
      <c r="N74" s="116"/>
      <c r="O74" s="116"/>
      <c r="P74" s="116"/>
      <c r="Q74" s="116"/>
      <c r="R74" s="115">
        <f>SUM(D74:Q74)</f>
        <v>0</v>
      </c>
    </row>
    <row r="75" spans="1:18" ht="15.5" x14ac:dyDescent="0.35">
      <c r="B75" s="116"/>
      <c r="C75" s="116"/>
      <c r="D75" s="116"/>
      <c r="E75" s="116"/>
      <c r="F75" s="116"/>
      <c r="G75" s="116"/>
      <c r="H75" s="116"/>
      <c r="I75" s="116"/>
      <c r="J75" s="116"/>
      <c r="K75" s="116"/>
      <c r="L75" s="116"/>
      <c r="M75" s="116"/>
      <c r="N75" s="116"/>
      <c r="O75" s="116"/>
      <c r="P75" s="116"/>
      <c r="Q75" s="116"/>
      <c r="R75" s="116"/>
    </row>
    <row r="76" spans="1:18" ht="15.5" x14ac:dyDescent="0.35">
      <c r="B76" s="116"/>
      <c r="C76" s="116"/>
      <c r="D76" s="116"/>
      <c r="E76" s="116"/>
      <c r="F76" s="116"/>
      <c r="G76" s="116"/>
      <c r="H76" s="116"/>
      <c r="I76" s="116"/>
      <c r="J76" s="116"/>
      <c r="K76" s="116"/>
      <c r="L76" s="116"/>
      <c r="M76" s="116"/>
      <c r="N76" s="116"/>
      <c r="O76" s="116"/>
      <c r="P76" s="116"/>
      <c r="Q76" s="116"/>
      <c r="R76" s="116"/>
    </row>
    <row r="77" spans="1:18" ht="15.5" x14ac:dyDescent="0.35">
      <c r="B77" s="116"/>
      <c r="C77" s="116"/>
      <c r="D77" s="116"/>
      <c r="E77" s="116"/>
      <c r="F77" s="116"/>
      <c r="G77" s="116"/>
      <c r="H77" s="116"/>
      <c r="I77" s="116"/>
      <c r="J77" s="116"/>
      <c r="K77" s="116"/>
      <c r="L77" s="116"/>
      <c r="M77" s="116"/>
      <c r="N77" s="116"/>
      <c r="O77" s="116"/>
      <c r="P77" s="116"/>
      <c r="Q77" s="116"/>
      <c r="R77" s="115"/>
    </row>
    <row r="78" spans="1:18" ht="15.5" x14ac:dyDescent="0.35">
      <c r="B78" s="116"/>
      <c r="C78" s="116"/>
      <c r="D78" s="116"/>
      <c r="E78" s="116"/>
      <c r="F78" s="116"/>
      <c r="G78" s="116"/>
      <c r="H78" s="116"/>
      <c r="I78" s="116"/>
      <c r="J78" s="116"/>
      <c r="K78" s="116"/>
      <c r="L78" s="116"/>
      <c r="M78" s="116"/>
      <c r="N78" s="116"/>
      <c r="O78" s="116"/>
      <c r="P78" s="116"/>
      <c r="Q78" s="116"/>
      <c r="R78" s="115"/>
    </row>
    <row r="79" spans="1:18" ht="15.5" x14ac:dyDescent="0.35">
      <c r="B79" s="116"/>
      <c r="C79" s="116"/>
      <c r="D79" s="116"/>
      <c r="E79" s="116"/>
      <c r="F79" s="116"/>
      <c r="G79" s="116"/>
      <c r="H79" s="116"/>
      <c r="I79" s="116"/>
      <c r="J79" s="116"/>
      <c r="K79" s="116"/>
      <c r="L79" s="116"/>
      <c r="M79" s="116"/>
      <c r="N79" s="116"/>
      <c r="O79" s="116"/>
      <c r="P79" s="116"/>
      <c r="Q79" s="116"/>
      <c r="R79" s="115"/>
    </row>
    <row r="80" spans="1:18" ht="15.5" hidden="1" x14ac:dyDescent="0.35">
      <c r="B80" s="185" t="s">
        <v>109</v>
      </c>
      <c r="C80" s="185"/>
      <c r="D80" s="185"/>
      <c r="E80" s="185"/>
      <c r="F80" s="185"/>
      <c r="G80" s="185"/>
      <c r="H80" s="185"/>
      <c r="I80" s="185"/>
      <c r="J80" s="185"/>
      <c r="K80" s="116"/>
      <c r="L80" s="116"/>
      <c r="M80" s="116"/>
      <c r="N80" s="116"/>
      <c r="O80" s="116"/>
      <c r="P80" s="116"/>
      <c r="Q80" s="116"/>
      <c r="R80" s="115"/>
    </row>
    <row r="81" spans="1:19" ht="15.5" x14ac:dyDescent="0.35">
      <c r="B81" s="120" t="s">
        <v>170</v>
      </c>
      <c r="C81" s="120"/>
      <c r="D81" s="116"/>
      <c r="E81" s="116"/>
      <c r="F81" s="116"/>
      <c r="G81" s="116"/>
      <c r="H81" s="116"/>
      <c r="I81" s="116"/>
      <c r="J81" s="116"/>
      <c r="K81" s="116"/>
      <c r="L81" s="116"/>
      <c r="M81" s="116"/>
      <c r="N81" s="116"/>
      <c r="O81" s="116"/>
      <c r="P81" s="116"/>
      <c r="Q81" s="116"/>
      <c r="R81" s="115"/>
    </row>
    <row r="82" spans="1:19" ht="15.5" x14ac:dyDescent="0.35">
      <c r="B82" s="120" t="s">
        <v>110</v>
      </c>
      <c r="C82" s="120"/>
      <c r="D82" s="183">
        <f>D83</f>
        <v>0</v>
      </c>
      <c r="E82" s="183">
        <f t="shared" ref="E82:Q82" si="8">E83+D82</f>
        <v>513.23076923076928</v>
      </c>
      <c r="F82" s="183">
        <f t="shared" si="8"/>
        <v>2173.2307692307695</v>
      </c>
      <c r="G82" s="183">
        <f t="shared" si="8"/>
        <v>4173.2307692307695</v>
      </c>
      <c r="H82" s="183">
        <f t="shared" si="8"/>
        <v>6173.2307692307695</v>
      </c>
      <c r="I82" s="183">
        <f t="shared" si="8"/>
        <v>8173.2307692307695</v>
      </c>
      <c r="J82" s="183">
        <f t="shared" si="8"/>
        <v>10173.23076923077</v>
      </c>
      <c r="K82" s="183">
        <f t="shared" si="8"/>
        <v>12173.23076923077</v>
      </c>
      <c r="L82" s="186">
        <f t="shared" si="8"/>
        <v>13632.923076923078</v>
      </c>
      <c r="M82" s="183">
        <f t="shared" si="8"/>
        <v>15632.923076923078</v>
      </c>
      <c r="N82" s="183">
        <f t="shared" si="8"/>
        <v>17632.923076923078</v>
      </c>
      <c r="O82" s="183">
        <f t="shared" si="8"/>
        <v>19632.923076923078</v>
      </c>
      <c r="P82" s="183">
        <f t="shared" si="8"/>
        <v>21632.923076923078</v>
      </c>
      <c r="Q82" s="183">
        <f t="shared" si="8"/>
        <v>23632.923076923078</v>
      </c>
      <c r="R82" s="115">
        <f>Q82</f>
        <v>23632.923076923078</v>
      </c>
    </row>
    <row r="83" spans="1:19" ht="15.5" x14ac:dyDescent="0.35">
      <c r="B83" s="120" t="s">
        <v>111</v>
      </c>
      <c r="C83" s="120"/>
      <c r="D83" s="183">
        <f t="shared" ref="D83:Q83" si="9">SUMPRODUCT(D86:D88,$B$86:$B$88)</f>
        <v>0</v>
      </c>
      <c r="E83" s="183">
        <f>SUMPRODUCT(E86:E88,$B$86:$B$88)</f>
        <v>513.23076923076928</v>
      </c>
      <c r="F83" s="183">
        <f>SUMPRODUCT(F86:F88,$B$86:$B$88)</f>
        <v>1660</v>
      </c>
      <c r="G83" s="183">
        <f t="shared" si="9"/>
        <v>2000</v>
      </c>
      <c r="H83" s="183">
        <f t="shared" si="9"/>
        <v>2000</v>
      </c>
      <c r="I83" s="183">
        <f>SUMPRODUCT(I86:I88,$B$86:$B$88)</f>
        <v>2000</v>
      </c>
      <c r="J83" s="183">
        <f t="shared" si="9"/>
        <v>2000</v>
      </c>
      <c r="K83" s="183">
        <f t="shared" si="9"/>
        <v>2000</v>
      </c>
      <c r="L83" s="186">
        <f t="shared" si="9"/>
        <v>1459.6923076923085</v>
      </c>
      <c r="M83" s="183">
        <f t="shared" si="9"/>
        <v>2000</v>
      </c>
      <c r="N83" s="183">
        <f t="shared" si="9"/>
        <v>2000</v>
      </c>
      <c r="O83" s="183">
        <f t="shared" si="9"/>
        <v>2000</v>
      </c>
      <c r="P83" s="183">
        <f t="shared" si="9"/>
        <v>2000</v>
      </c>
      <c r="Q83" s="183">
        <f t="shared" si="9"/>
        <v>2000</v>
      </c>
      <c r="R83" s="115">
        <f>SUM(D83:Q83)</f>
        <v>23632.923076923078</v>
      </c>
    </row>
    <row r="84" spans="1:19" ht="15.5" x14ac:dyDescent="0.35">
      <c r="B84" s="120" t="s">
        <v>84</v>
      </c>
      <c r="C84" s="120"/>
      <c r="D84" s="183">
        <f>ROUNDUP(D83/500,0)</f>
        <v>0</v>
      </c>
      <c r="E84" s="183">
        <f>ROUNDUP(E83/500,0)</f>
        <v>2</v>
      </c>
      <c r="F84" s="183">
        <f>ROUNDUP(F83/800,0)</f>
        <v>3</v>
      </c>
      <c r="G84" s="183">
        <f t="shared" ref="G84:Q84" si="10">ROUNDUP(G83/800,0)</f>
        <v>3</v>
      </c>
      <c r="H84" s="183">
        <f t="shared" si="10"/>
        <v>3</v>
      </c>
      <c r="I84" s="183">
        <f t="shared" si="10"/>
        <v>3</v>
      </c>
      <c r="J84" s="183">
        <f t="shared" si="10"/>
        <v>3</v>
      </c>
      <c r="K84" s="183">
        <f t="shared" si="10"/>
        <v>3</v>
      </c>
      <c r="L84" s="183">
        <f t="shared" si="10"/>
        <v>2</v>
      </c>
      <c r="M84" s="183">
        <f t="shared" si="10"/>
        <v>3</v>
      </c>
      <c r="N84" s="183">
        <f t="shared" si="10"/>
        <v>3</v>
      </c>
      <c r="O84" s="183">
        <f t="shared" si="10"/>
        <v>3</v>
      </c>
      <c r="P84" s="183">
        <f t="shared" si="10"/>
        <v>3</v>
      </c>
      <c r="Q84" s="183">
        <f t="shared" si="10"/>
        <v>3</v>
      </c>
      <c r="R84" s="115">
        <f>SUM(D84:Q84)</f>
        <v>37</v>
      </c>
    </row>
    <row r="85" spans="1:19" ht="15.5" x14ac:dyDescent="0.35">
      <c r="B85" s="179" t="s">
        <v>112</v>
      </c>
      <c r="C85" s="180">
        <f>SUM(C86:C88)</f>
        <v>0</v>
      </c>
      <c r="D85" s="180">
        <f t="shared" ref="D85:Q85" si="11">SUM(D86:D88)</f>
        <v>0</v>
      </c>
      <c r="E85" s="180">
        <f t="shared" si="11"/>
        <v>42.769230769230774</v>
      </c>
      <c r="F85" s="180">
        <f t="shared" si="11"/>
        <v>121.66666666666667</v>
      </c>
      <c r="G85" s="180">
        <f t="shared" si="11"/>
        <v>150</v>
      </c>
      <c r="H85" s="180">
        <f t="shared" si="11"/>
        <v>150</v>
      </c>
      <c r="I85" s="180">
        <f t="shared" si="11"/>
        <v>150</v>
      </c>
      <c r="J85" s="180">
        <f t="shared" si="11"/>
        <v>150</v>
      </c>
      <c r="K85" s="180">
        <f t="shared" si="11"/>
        <v>150</v>
      </c>
      <c r="L85" s="180">
        <f t="shared" si="11"/>
        <v>104.97435897435905</v>
      </c>
      <c r="M85" s="180">
        <f t="shared" si="11"/>
        <v>122.22222222222223</v>
      </c>
      <c r="N85" s="180">
        <f t="shared" si="11"/>
        <v>122.22222222222223</v>
      </c>
      <c r="O85" s="180">
        <f t="shared" si="11"/>
        <v>122.22222222222223</v>
      </c>
      <c r="P85" s="180">
        <f t="shared" si="11"/>
        <v>122.22222222222223</v>
      </c>
      <c r="Q85" s="180">
        <f t="shared" si="11"/>
        <v>122.22222222222223</v>
      </c>
      <c r="R85" s="181">
        <f>SUM(C85:Q85)</f>
        <v>1630.5213675213674</v>
      </c>
    </row>
    <row r="86" spans="1:19" ht="15.5" x14ac:dyDescent="0.35">
      <c r="A86" s="29"/>
      <c r="B86" s="182">
        <f>Assumptions!F16</f>
        <v>12</v>
      </c>
      <c r="C86" s="182"/>
      <c r="D86" s="183">
        <f>'EC-known'!D86</f>
        <v>0</v>
      </c>
      <c r="E86" s="183">
        <f>IF(SUM('EC-known'!$D86:E86)-SUM($D86:D86)-E138&lt;0,SUM('EC-known'!$D86:E86)-SUM($D86:D86),E138)</f>
        <v>42.769230769230774</v>
      </c>
      <c r="F86" s="183">
        <f>IF(SUM('EC-known'!$D86:F86)-SUM($D86:E86)-F138&lt;0,SUM('EC-known'!$D86:F86)-SUM($D86:E86),F138)</f>
        <v>55</v>
      </c>
      <c r="G86" s="183">
        <f>IF(SUM('EC-known'!$D86:G86)-SUM($D86:F86)-G138&lt;0,SUM('EC-known'!$D86:G86)-SUM($D86:F86),G138)</f>
        <v>83.333333333333329</v>
      </c>
      <c r="H86" s="183">
        <f>IF(SUM('EC-known'!$D86:H86)-SUM($D86:G86)-H138&lt;0,SUM('EC-known'!$D86:H86)-SUM($D86:G86),H138)</f>
        <v>83.333333333333329</v>
      </c>
      <c r="I86" s="183">
        <f>IF(SUM('EC-known'!$D86:I86)-SUM($D86:H86)-I138&lt;0,SUM('EC-known'!$D86:I86)-SUM($D86:H86),I138)</f>
        <v>83.333333333333329</v>
      </c>
      <c r="J86" s="183">
        <f>IF(SUM('EC-known'!$D86:J86)-SUM($D86:I86)-J138&lt;0,SUM('EC-known'!$D86:J86)-SUM($D86:I86),J138)</f>
        <v>83.333333333333329</v>
      </c>
      <c r="K86" s="183">
        <f>IF(SUM('EC-known'!$D86:K86)-SUM($D86:J86)-K138&lt;0,SUM('EC-known'!$D86:K86)-SUM($D86:J86),K138)</f>
        <v>83.333333333333329</v>
      </c>
      <c r="L86" s="186">
        <f>IF(SUM('EC-known'!$D86:L86)-SUM($D86:K86)-L138&lt;0,SUM('EC-known'!$D86:L86)-SUM($D86:K86),L138)</f>
        <v>38.307692307692378</v>
      </c>
      <c r="M86" s="183">
        <f>IF(SUM('EC-known'!$D86:M86)-SUM($D86:L86)-M138&lt;0,SUM('EC-known'!$D86:M86)-SUM($D86:L86),M138)</f>
        <v>0</v>
      </c>
      <c r="N86" s="183">
        <f>IF(SUM('EC-known'!$D86:N86)-SUM($D86:M86)-N138&lt;0,SUM('EC-known'!$D86:N86)-SUM($D86:M86),N138)</f>
        <v>0</v>
      </c>
      <c r="O86" s="183">
        <f>IF(SUM('EC-known'!$D86:O86)-SUM($D86:N86)-O138&lt;0,SUM('EC-known'!$D86:O86)-SUM($D86:N86),O138)</f>
        <v>0</v>
      </c>
      <c r="P86" s="183">
        <f>IF(SUM('EC-known'!$D86:P86)-SUM($D86:O86)-P138&lt;0,SUM('EC-known'!$D86:P86)-SUM($D86:O86),P138)</f>
        <v>0</v>
      </c>
      <c r="Q86" s="183">
        <f>IF(SUM('EC-known'!$D86:Q86)-SUM($D86:P86)-Q138&lt;0,SUM('EC-known'!$D86:Q86)-SUM($D86:P86),Q138)</f>
        <v>0</v>
      </c>
      <c r="R86" s="115">
        <f>SUM(D86:Q86)</f>
        <v>552.74358974358972</v>
      </c>
      <c r="S86" s="22"/>
    </row>
    <row r="87" spans="1:19" ht="15.5" x14ac:dyDescent="0.35">
      <c r="B87" s="182">
        <f>Assumptions!F17</f>
        <v>15</v>
      </c>
      <c r="C87" s="182"/>
      <c r="D87" s="183">
        <f>'EC-known'!D87</f>
        <v>0</v>
      </c>
      <c r="E87" s="183">
        <f>IF(SUM('EC-known'!$D87:E87)-SUM($D87:D87)-E139&lt;0,SUM('EC-known'!$D87:E87)-SUM($D87:D87),E139)</f>
        <v>0</v>
      </c>
      <c r="F87" s="183">
        <f>IF(SUM('EC-known'!$D87:F87)-SUM($D87:E87)-F139&lt;0,SUM('EC-known'!$D87:F87)-SUM($D87:E87),F139)</f>
        <v>66.666666666666671</v>
      </c>
      <c r="G87" s="183">
        <f>IF(SUM('EC-known'!$D87:G87)-SUM($D87:F87)-G139&lt;0,SUM('EC-known'!$D87:G87)-SUM($D87:F87),G139)</f>
        <v>66.666666666666671</v>
      </c>
      <c r="H87" s="183">
        <f>IF(SUM('EC-known'!$D87:H87)-SUM($D87:G87)-H139&lt;0,SUM('EC-known'!$D87:H87)-SUM($D87:G87),H139)</f>
        <v>66.666666666666671</v>
      </c>
      <c r="I87" s="183">
        <f>IF(SUM('EC-known'!$D87:I87)-SUM($D87:H87)-I139&lt;0,SUM('EC-known'!$D87:I87)-SUM($D87:H87),I139)</f>
        <v>66.666666666666671</v>
      </c>
      <c r="J87" s="183">
        <f>IF(SUM('EC-known'!$D87:J87)-SUM($D87:I87)-J139&lt;0,SUM('EC-known'!$D87:J87)-SUM($D87:I87),J139)</f>
        <v>66.666666666666671</v>
      </c>
      <c r="K87" s="183">
        <f>IF(SUM('EC-known'!$D87:K87)-SUM($D87:J87)-K139&lt;0,SUM('EC-known'!$D87:K87)-SUM($D87:J87),K139)</f>
        <v>66.666666666666671</v>
      </c>
      <c r="L87" s="186">
        <f>IF(SUM('EC-known'!$D87:L87)-SUM($D87:K87)-L139&lt;0,SUM('EC-known'!$D87:L87)-SUM($D87:K87),L139)</f>
        <v>66.666666666666671</v>
      </c>
      <c r="M87" s="183">
        <f>IF(SUM('EC-known'!$D87:M87)-SUM($D87:L87)-M139&lt;0,SUM('EC-known'!$D87:M87)-SUM($D87:L87),M139)</f>
        <v>66.666666666666671</v>
      </c>
      <c r="N87" s="183">
        <f>IF(SUM('EC-known'!$D87:N87)-SUM($D87:M87)-N139&lt;0,SUM('EC-known'!$D87:N87)-SUM($D87:M87),N139)</f>
        <v>66.666666666666671</v>
      </c>
      <c r="O87" s="183">
        <f>IF(SUM('EC-known'!$D87:O87)-SUM($D87:N87)-O139&lt;0,SUM('EC-known'!$D87:O87)-SUM($D87:N87),O139)</f>
        <v>66.666666666666671</v>
      </c>
      <c r="P87" s="183">
        <f>IF(SUM('EC-known'!$D87:P87)-SUM($D87:O87)-P139&lt;0,SUM('EC-known'!$D87:P87)-SUM($D87:O87),P139)</f>
        <v>66.666666666666671</v>
      </c>
      <c r="Q87" s="183">
        <f>IF(SUM('EC-known'!$D87:Q87)-SUM($D87:P87)-Q139&lt;0,SUM('EC-known'!$D87:Q87)-SUM($D87:P87),Q139)</f>
        <v>66.666666666666671</v>
      </c>
      <c r="R87" s="115">
        <f>SUM(D87:Q87)</f>
        <v>799.99999999999989</v>
      </c>
      <c r="S87" s="22"/>
    </row>
    <row r="88" spans="1:19" ht="15.5" x14ac:dyDescent="0.35">
      <c r="B88" s="182">
        <f>Assumptions!F18</f>
        <v>18</v>
      </c>
      <c r="C88" s="182"/>
      <c r="D88" s="183">
        <f>'EC-known'!D88</f>
        <v>0</v>
      </c>
      <c r="E88" s="183">
        <f>IF(SUM('EC-known'!$D88:E88)-SUM($D88:D88)-E140&lt;0,SUM('EC-known'!$D88:E88)-SUM($D88:D88),E140)</f>
        <v>0</v>
      </c>
      <c r="F88" s="183">
        <f>IF(SUM('EC-known'!$D88:F88)-SUM($D88:E88)-F140&lt;0,SUM('EC-known'!$D88:F88)-SUM($D88:E88),F140)</f>
        <v>0</v>
      </c>
      <c r="G88" s="183">
        <f>IF(SUM('EC-known'!$D88:G88)-SUM($D88:F88)-G140&lt;0,SUM('EC-known'!$D88:G88)-SUM($D88:F88),G140)</f>
        <v>0</v>
      </c>
      <c r="H88" s="183">
        <f>IF(SUM('EC-known'!$D88:H88)-SUM($D88:G88)-H140&lt;0,SUM('EC-known'!$D88:H88)-SUM($D88:G88),H140)</f>
        <v>0</v>
      </c>
      <c r="I88" s="183">
        <f>IF(SUM('EC-known'!$D88:I88)-SUM($D88:H88)-I140&lt;0,SUM('EC-known'!$D88:I88)-SUM($D88:H88),I140)</f>
        <v>0</v>
      </c>
      <c r="J88" s="183">
        <f>IF(SUM('EC-known'!$D88:J88)-SUM($D88:I88)-J140&lt;0,SUM('EC-known'!$D88:J88)-SUM($D88:I88),J140)</f>
        <v>0</v>
      </c>
      <c r="K88" s="183">
        <f>IF(SUM('EC-known'!$D88:K88)-SUM($D88:J88)-K140&lt;0,SUM('EC-known'!$D88:K88)-SUM($D88:J88),K140)</f>
        <v>0</v>
      </c>
      <c r="L88" s="186">
        <f>IF(SUM('EC-known'!$D88:L88)-SUM($D88:K88)-L140&lt;0,SUM('EC-known'!$D88:L88)-SUM($D88:K88),L140)</f>
        <v>0</v>
      </c>
      <c r="M88" s="183">
        <f>IF(SUM('EC-known'!$D88:M88)-SUM($D88:L88)-M140&lt;0,SUM('EC-known'!$D88:M88)-SUM($D88:L88),M140)</f>
        <v>55.555555555555557</v>
      </c>
      <c r="N88" s="183">
        <f>IF(SUM('EC-known'!$D88:N88)-SUM($D88:M88)-N140&lt;0,SUM('EC-known'!$D88:N88)-SUM($D88:M88),N140)</f>
        <v>55.555555555555557</v>
      </c>
      <c r="O88" s="183">
        <f>IF(SUM('EC-known'!$D88:O88)-SUM($D88:N88)-O140&lt;0,SUM('EC-known'!$D88:O88)-SUM($D88:N88),O140)</f>
        <v>55.555555555555557</v>
      </c>
      <c r="P88" s="183">
        <f>IF(SUM('EC-known'!$D88:P88)-SUM($D88:O88)-P140&lt;0,SUM('EC-known'!$D88:P88)-SUM($D88:O88),P140)</f>
        <v>55.555555555555557</v>
      </c>
      <c r="Q88" s="183">
        <f>IF(SUM('EC-known'!$D88:Q88)-SUM($D88:P88)-Q140&lt;0,SUM('EC-known'!$D88:Q88)-SUM($D88:P88),Q140)</f>
        <v>55.555555555555557</v>
      </c>
      <c r="R88" s="115">
        <f>SUM(D88:Q88)</f>
        <v>277.77777777777777</v>
      </c>
      <c r="S88" s="22"/>
    </row>
    <row r="89" spans="1:19" ht="15.5" x14ac:dyDescent="0.35">
      <c r="B89" s="179" t="s">
        <v>113</v>
      </c>
      <c r="C89" s="179"/>
      <c r="D89" s="180"/>
      <c r="E89" s="180"/>
      <c r="F89" s="180"/>
      <c r="G89" s="180"/>
      <c r="H89" s="180"/>
      <c r="I89" s="180"/>
      <c r="J89" s="180"/>
      <c r="K89" s="180"/>
      <c r="L89" s="188"/>
      <c r="M89" s="180"/>
      <c r="N89" s="180"/>
      <c r="O89" s="180"/>
      <c r="P89" s="180"/>
      <c r="Q89" s="180"/>
      <c r="R89" s="181"/>
      <c r="S89" s="22"/>
    </row>
    <row r="90" spans="1:19" ht="15.5" x14ac:dyDescent="0.35">
      <c r="B90" s="182">
        <f>B86</f>
        <v>12</v>
      </c>
      <c r="C90" s="182"/>
      <c r="D90" s="183">
        <f t="shared" ref="D90:Q92" si="12">3*D86</f>
        <v>0</v>
      </c>
      <c r="E90" s="183">
        <f t="shared" si="12"/>
        <v>128.30769230769232</v>
      </c>
      <c r="F90" s="183">
        <f t="shared" si="12"/>
        <v>165</v>
      </c>
      <c r="G90" s="183">
        <f t="shared" si="12"/>
        <v>250</v>
      </c>
      <c r="H90" s="183">
        <f t="shared" si="12"/>
        <v>250</v>
      </c>
      <c r="I90" s="183">
        <f t="shared" si="12"/>
        <v>250</v>
      </c>
      <c r="J90" s="183">
        <f t="shared" si="12"/>
        <v>250</v>
      </c>
      <c r="K90" s="183">
        <f t="shared" si="12"/>
        <v>250</v>
      </c>
      <c r="L90" s="186">
        <f t="shared" si="12"/>
        <v>114.92307692307713</v>
      </c>
      <c r="M90" s="183">
        <f t="shared" si="12"/>
        <v>0</v>
      </c>
      <c r="N90" s="183">
        <f t="shared" si="12"/>
        <v>0</v>
      </c>
      <c r="O90" s="183">
        <f t="shared" si="12"/>
        <v>0</v>
      </c>
      <c r="P90" s="183">
        <f t="shared" si="12"/>
        <v>0</v>
      </c>
      <c r="Q90" s="183">
        <f t="shared" si="12"/>
        <v>0</v>
      </c>
      <c r="R90" s="115">
        <f>SUM(D90:Q90)</f>
        <v>1658.2307692307695</v>
      </c>
    </row>
    <row r="91" spans="1:19" ht="15.5" x14ac:dyDescent="0.35">
      <c r="B91" s="182">
        <f>B87</f>
        <v>15</v>
      </c>
      <c r="C91" s="182"/>
      <c r="D91" s="183">
        <f t="shared" si="12"/>
        <v>0</v>
      </c>
      <c r="E91" s="183">
        <f t="shared" si="12"/>
        <v>0</v>
      </c>
      <c r="F91" s="183">
        <f t="shared" si="12"/>
        <v>200</v>
      </c>
      <c r="G91" s="183">
        <f t="shared" si="12"/>
        <v>200</v>
      </c>
      <c r="H91" s="183">
        <f t="shared" si="12"/>
        <v>200</v>
      </c>
      <c r="I91" s="183">
        <f t="shared" si="12"/>
        <v>200</v>
      </c>
      <c r="J91" s="183">
        <f t="shared" si="12"/>
        <v>200</v>
      </c>
      <c r="K91" s="183">
        <f t="shared" si="12"/>
        <v>200</v>
      </c>
      <c r="L91" s="186">
        <f t="shared" si="12"/>
        <v>200</v>
      </c>
      <c r="M91" s="183">
        <f t="shared" si="12"/>
        <v>200</v>
      </c>
      <c r="N91" s="183">
        <f t="shared" si="12"/>
        <v>200</v>
      </c>
      <c r="O91" s="183">
        <f t="shared" si="12"/>
        <v>200</v>
      </c>
      <c r="P91" s="183">
        <f t="shared" si="12"/>
        <v>200</v>
      </c>
      <c r="Q91" s="183">
        <f t="shared" si="12"/>
        <v>200</v>
      </c>
      <c r="R91" s="115">
        <f>SUM(D91:Q91)</f>
        <v>2400</v>
      </c>
    </row>
    <row r="92" spans="1:19" ht="15.5" x14ac:dyDescent="0.35">
      <c r="B92" s="182">
        <f>B88</f>
        <v>18</v>
      </c>
      <c r="C92" s="182"/>
      <c r="D92" s="183">
        <f t="shared" si="12"/>
        <v>0</v>
      </c>
      <c r="E92" s="183">
        <f t="shared" si="12"/>
        <v>0</v>
      </c>
      <c r="F92" s="183">
        <f t="shared" si="12"/>
        <v>0</v>
      </c>
      <c r="G92" s="183">
        <f t="shared" si="12"/>
        <v>0</v>
      </c>
      <c r="H92" s="183">
        <f t="shared" si="12"/>
        <v>0</v>
      </c>
      <c r="I92" s="183">
        <f t="shared" si="12"/>
        <v>0</v>
      </c>
      <c r="J92" s="183">
        <f t="shared" si="12"/>
        <v>0</v>
      </c>
      <c r="K92" s="183">
        <f t="shared" si="12"/>
        <v>0</v>
      </c>
      <c r="L92" s="186">
        <f t="shared" si="12"/>
        <v>0</v>
      </c>
      <c r="M92" s="183">
        <f t="shared" si="12"/>
        <v>166.66666666666669</v>
      </c>
      <c r="N92" s="183">
        <f t="shared" si="12"/>
        <v>166.66666666666669</v>
      </c>
      <c r="O92" s="183">
        <f t="shared" si="12"/>
        <v>166.66666666666669</v>
      </c>
      <c r="P92" s="183">
        <f t="shared" si="12"/>
        <v>166.66666666666669</v>
      </c>
      <c r="Q92" s="183">
        <f t="shared" si="12"/>
        <v>166.66666666666669</v>
      </c>
      <c r="R92" s="115">
        <f>SUM(D92:Q92)</f>
        <v>833.33333333333348</v>
      </c>
    </row>
    <row r="93" spans="1:19" ht="15.5" x14ac:dyDescent="0.35">
      <c r="B93" s="179" t="s">
        <v>114</v>
      </c>
      <c r="C93" s="179"/>
      <c r="D93" s="180"/>
      <c r="E93" s="180"/>
      <c r="F93" s="180"/>
      <c r="G93" s="180"/>
      <c r="H93" s="180"/>
      <c r="I93" s="180"/>
      <c r="J93" s="180"/>
      <c r="K93" s="180"/>
      <c r="L93" s="188"/>
      <c r="M93" s="180"/>
      <c r="N93" s="180"/>
      <c r="O93" s="180"/>
      <c r="P93" s="180"/>
      <c r="Q93" s="180"/>
      <c r="R93" s="181"/>
    </row>
    <row r="94" spans="1:19" ht="15.5" x14ac:dyDescent="0.35">
      <c r="B94" s="182">
        <f>B86</f>
        <v>12</v>
      </c>
      <c r="C94" s="182"/>
      <c r="D94" s="183">
        <f t="shared" ref="D94:Q96" si="13">D86</f>
        <v>0</v>
      </c>
      <c r="E94" s="183">
        <f t="shared" si="13"/>
        <v>42.769230769230774</v>
      </c>
      <c r="F94" s="183">
        <f t="shared" si="13"/>
        <v>55</v>
      </c>
      <c r="G94" s="183">
        <f t="shared" si="13"/>
        <v>83.333333333333329</v>
      </c>
      <c r="H94" s="183">
        <f t="shared" si="13"/>
        <v>83.333333333333329</v>
      </c>
      <c r="I94" s="183">
        <f t="shared" si="13"/>
        <v>83.333333333333329</v>
      </c>
      <c r="J94" s="183">
        <f t="shared" si="13"/>
        <v>83.333333333333329</v>
      </c>
      <c r="K94" s="183">
        <f t="shared" si="13"/>
        <v>83.333333333333329</v>
      </c>
      <c r="L94" s="186">
        <f t="shared" si="13"/>
        <v>38.307692307692378</v>
      </c>
      <c r="M94" s="183">
        <f t="shared" si="13"/>
        <v>0</v>
      </c>
      <c r="N94" s="183">
        <f t="shared" si="13"/>
        <v>0</v>
      </c>
      <c r="O94" s="183">
        <f t="shared" si="13"/>
        <v>0</v>
      </c>
      <c r="P94" s="183">
        <f t="shared" si="13"/>
        <v>0</v>
      </c>
      <c r="Q94" s="183">
        <f t="shared" si="13"/>
        <v>0</v>
      </c>
      <c r="R94" s="115">
        <f>SUM(D94:Q94)</f>
        <v>552.74358974358972</v>
      </c>
    </row>
    <row r="95" spans="1:19" ht="15.5" x14ac:dyDescent="0.35">
      <c r="B95" s="182">
        <f>B87</f>
        <v>15</v>
      </c>
      <c r="C95" s="182"/>
      <c r="D95" s="183">
        <f t="shared" si="13"/>
        <v>0</v>
      </c>
      <c r="E95" s="183">
        <f t="shared" si="13"/>
        <v>0</v>
      </c>
      <c r="F95" s="183">
        <f t="shared" si="13"/>
        <v>66.666666666666671</v>
      </c>
      <c r="G95" s="183">
        <f t="shared" si="13"/>
        <v>66.666666666666671</v>
      </c>
      <c r="H95" s="183">
        <f t="shared" si="13"/>
        <v>66.666666666666671</v>
      </c>
      <c r="I95" s="183">
        <f t="shared" si="13"/>
        <v>66.666666666666671</v>
      </c>
      <c r="J95" s="183">
        <f t="shared" si="13"/>
        <v>66.666666666666671</v>
      </c>
      <c r="K95" s="183">
        <f t="shared" si="13"/>
        <v>66.666666666666671</v>
      </c>
      <c r="L95" s="186">
        <f t="shared" si="13"/>
        <v>66.666666666666671</v>
      </c>
      <c r="M95" s="183">
        <f t="shared" si="13"/>
        <v>66.666666666666671</v>
      </c>
      <c r="N95" s="183">
        <f t="shared" si="13"/>
        <v>66.666666666666671</v>
      </c>
      <c r="O95" s="183">
        <f t="shared" si="13"/>
        <v>66.666666666666671</v>
      </c>
      <c r="P95" s="183">
        <f t="shared" si="13"/>
        <v>66.666666666666671</v>
      </c>
      <c r="Q95" s="183">
        <f t="shared" si="13"/>
        <v>66.666666666666671</v>
      </c>
      <c r="R95" s="115">
        <f>SUM(D95:Q95)</f>
        <v>799.99999999999989</v>
      </c>
    </row>
    <row r="96" spans="1:19" ht="15.5" x14ac:dyDescent="0.35">
      <c r="B96" s="182">
        <f>B88</f>
        <v>18</v>
      </c>
      <c r="C96" s="182"/>
      <c r="D96" s="183">
        <f t="shared" si="13"/>
        <v>0</v>
      </c>
      <c r="E96" s="183">
        <f t="shared" si="13"/>
        <v>0</v>
      </c>
      <c r="F96" s="183">
        <f t="shared" si="13"/>
        <v>0</v>
      </c>
      <c r="G96" s="183">
        <f t="shared" si="13"/>
        <v>0</v>
      </c>
      <c r="H96" s="183">
        <f t="shared" si="13"/>
        <v>0</v>
      </c>
      <c r="I96" s="183">
        <f t="shared" si="13"/>
        <v>0</v>
      </c>
      <c r="J96" s="183">
        <f t="shared" si="13"/>
        <v>0</v>
      </c>
      <c r="K96" s="183">
        <f t="shared" si="13"/>
        <v>0</v>
      </c>
      <c r="L96" s="186">
        <f t="shared" si="13"/>
        <v>0</v>
      </c>
      <c r="M96" s="183">
        <f t="shared" si="13"/>
        <v>55.555555555555557</v>
      </c>
      <c r="N96" s="183">
        <f t="shared" si="13"/>
        <v>55.555555555555557</v>
      </c>
      <c r="O96" s="183">
        <f t="shared" si="13"/>
        <v>55.555555555555557</v>
      </c>
      <c r="P96" s="183">
        <f t="shared" si="13"/>
        <v>55.555555555555557</v>
      </c>
      <c r="Q96" s="183">
        <f t="shared" si="13"/>
        <v>55.555555555555557</v>
      </c>
      <c r="R96" s="115">
        <f>SUM(D96:Q96)</f>
        <v>277.77777777777777</v>
      </c>
    </row>
    <row r="97" spans="2:18" ht="15.5" x14ac:dyDescent="0.35">
      <c r="B97" s="179" t="s">
        <v>115</v>
      </c>
      <c r="C97" s="179"/>
      <c r="D97" s="180"/>
      <c r="E97" s="180"/>
      <c r="F97" s="180"/>
      <c r="G97" s="180"/>
      <c r="H97" s="180"/>
      <c r="I97" s="180"/>
      <c r="J97" s="180"/>
      <c r="K97" s="180"/>
      <c r="L97" s="188"/>
      <c r="M97" s="180"/>
      <c r="N97" s="180"/>
      <c r="O97" s="180"/>
      <c r="P97" s="180"/>
      <c r="Q97" s="180"/>
      <c r="R97" s="181"/>
    </row>
    <row r="98" spans="2:18" ht="15.5" x14ac:dyDescent="0.35">
      <c r="B98" s="182">
        <f>B86</f>
        <v>12</v>
      </c>
      <c r="C98" s="182"/>
      <c r="D98" s="183">
        <f t="shared" ref="D98:Q100" si="14">D86</f>
        <v>0</v>
      </c>
      <c r="E98" s="183">
        <f t="shared" si="14"/>
        <v>42.769230769230774</v>
      </c>
      <c r="F98" s="183">
        <f t="shared" si="14"/>
        <v>55</v>
      </c>
      <c r="G98" s="183">
        <f t="shared" si="14"/>
        <v>83.333333333333329</v>
      </c>
      <c r="H98" s="183">
        <f t="shared" si="14"/>
        <v>83.333333333333329</v>
      </c>
      <c r="I98" s="183">
        <f t="shared" si="14"/>
        <v>83.333333333333329</v>
      </c>
      <c r="J98" s="183">
        <f t="shared" si="14"/>
        <v>83.333333333333329</v>
      </c>
      <c r="K98" s="183">
        <f t="shared" si="14"/>
        <v>83.333333333333329</v>
      </c>
      <c r="L98" s="186">
        <f t="shared" si="14"/>
        <v>38.307692307692378</v>
      </c>
      <c r="M98" s="183">
        <f t="shared" si="14"/>
        <v>0</v>
      </c>
      <c r="N98" s="183">
        <f t="shared" si="14"/>
        <v>0</v>
      </c>
      <c r="O98" s="183">
        <f t="shared" si="14"/>
        <v>0</v>
      </c>
      <c r="P98" s="183">
        <f t="shared" si="14"/>
        <v>0</v>
      </c>
      <c r="Q98" s="183">
        <f t="shared" si="14"/>
        <v>0</v>
      </c>
      <c r="R98" s="115">
        <f>SUM(D98:Q98)</f>
        <v>552.74358974358972</v>
      </c>
    </row>
    <row r="99" spans="2:18" ht="15.5" x14ac:dyDescent="0.35">
      <c r="B99" s="182">
        <f>B87</f>
        <v>15</v>
      </c>
      <c r="C99" s="182"/>
      <c r="D99" s="183">
        <f t="shared" si="14"/>
        <v>0</v>
      </c>
      <c r="E99" s="183">
        <f t="shared" si="14"/>
        <v>0</v>
      </c>
      <c r="F99" s="183">
        <f t="shared" si="14"/>
        <v>66.666666666666671</v>
      </c>
      <c r="G99" s="183">
        <f t="shared" si="14"/>
        <v>66.666666666666671</v>
      </c>
      <c r="H99" s="183">
        <f t="shared" si="14"/>
        <v>66.666666666666671</v>
      </c>
      <c r="I99" s="183">
        <f t="shared" si="14"/>
        <v>66.666666666666671</v>
      </c>
      <c r="J99" s="183">
        <f t="shared" si="14"/>
        <v>66.666666666666671</v>
      </c>
      <c r="K99" s="183">
        <f t="shared" si="14"/>
        <v>66.666666666666671</v>
      </c>
      <c r="L99" s="186">
        <f t="shared" si="14"/>
        <v>66.666666666666671</v>
      </c>
      <c r="M99" s="183">
        <f t="shared" si="14"/>
        <v>66.666666666666671</v>
      </c>
      <c r="N99" s="183">
        <f t="shared" si="14"/>
        <v>66.666666666666671</v>
      </c>
      <c r="O99" s="183">
        <f t="shared" si="14"/>
        <v>66.666666666666671</v>
      </c>
      <c r="P99" s="183">
        <f t="shared" si="14"/>
        <v>66.666666666666671</v>
      </c>
      <c r="Q99" s="183">
        <f t="shared" si="14"/>
        <v>66.666666666666671</v>
      </c>
      <c r="R99" s="115">
        <f>SUM(D99:Q99)</f>
        <v>799.99999999999989</v>
      </c>
    </row>
    <row r="100" spans="2:18" ht="15.5" x14ac:dyDescent="0.35">
      <c r="B100" s="182">
        <f>B88</f>
        <v>18</v>
      </c>
      <c r="C100" s="182"/>
      <c r="D100" s="183">
        <f t="shared" si="14"/>
        <v>0</v>
      </c>
      <c r="E100" s="183">
        <f t="shared" si="14"/>
        <v>0</v>
      </c>
      <c r="F100" s="183">
        <f t="shared" si="14"/>
        <v>0</v>
      </c>
      <c r="G100" s="183">
        <f t="shared" si="14"/>
        <v>0</v>
      </c>
      <c r="H100" s="183">
        <f t="shared" si="14"/>
        <v>0</v>
      </c>
      <c r="I100" s="183">
        <f t="shared" si="14"/>
        <v>0</v>
      </c>
      <c r="J100" s="183">
        <f t="shared" si="14"/>
        <v>0</v>
      </c>
      <c r="K100" s="183">
        <f t="shared" si="14"/>
        <v>0</v>
      </c>
      <c r="L100" s="186">
        <f t="shared" si="14"/>
        <v>0</v>
      </c>
      <c r="M100" s="183">
        <f t="shared" si="14"/>
        <v>55.555555555555557</v>
      </c>
      <c r="N100" s="183">
        <f t="shared" si="14"/>
        <v>55.555555555555557</v>
      </c>
      <c r="O100" s="183">
        <f t="shared" si="14"/>
        <v>55.555555555555557</v>
      </c>
      <c r="P100" s="183">
        <f t="shared" si="14"/>
        <v>55.555555555555557</v>
      </c>
      <c r="Q100" s="183">
        <f t="shared" si="14"/>
        <v>55.555555555555557</v>
      </c>
      <c r="R100" s="115">
        <f>SUM(D100:Q100)</f>
        <v>277.77777777777777</v>
      </c>
    </row>
    <row r="101" spans="2:18" ht="15.5" x14ac:dyDescent="0.35">
      <c r="B101" s="179" t="s">
        <v>116</v>
      </c>
      <c r="C101" s="179"/>
      <c r="D101" s="180">
        <f>SUM(D103:D105)</f>
        <v>0</v>
      </c>
      <c r="E101" s="180">
        <f t="shared" ref="E101:Q101" si="15">SUM(E103:E105)</f>
        <v>42.769230769230774</v>
      </c>
      <c r="F101" s="180">
        <f t="shared" si="15"/>
        <v>121.66666666666664</v>
      </c>
      <c r="G101" s="180">
        <f t="shared" si="15"/>
        <v>138.6146496815287</v>
      </c>
      <c r="H101" s="180">
        <f t="shared" si="15"/>
        <v>136.46061269146608</v>
      </c>
      <c r="I101" s="180">
        <f t="shared" si="15"/>
        <v>150.00000000000003</v>
      </c>
      <c r="J101" s="180">
        <f t="shared" si="15"/>
        <v>141.83733963440574</v>
      </c>
      <c r="K101" s="180">
        <f t="shared" si="15"/>
        <v>167.45858761987793</v>
      </c>
      <c r="L101" s="180">
        <f t="shared" si="15"/>
        <v>97.870904229843518</v>
      </c>
      <c r="M101" s="180">
        <f t="shared" si="15"/>
        <v>56.951842847654682</v>
      </c>
      <c r="N101" s="180">
        <f t="shared" si="15"/>
        <v>122.22222222222223</v>
      </c>
      <c r="O101" s="180">
        <f t="shared" si="15"/>
        <v>122.22222222222221</v>
      </c>
      <c r="P101" s="180">
        <f t="shared" si="15"/>
        <v>122.22222222222223</v>
      </c>
      <c r="Q101" s="180">
        <f t="shared" si="15"/>
        <v>122.22222222222223</v>
      </c>
      <c r="R101" s="181">
        <f>SUM(C101:Q101)</f>
        <v>1542.5187230295626</v>
      </c>
    </row>
    <row r="102" spans="2:18" ht="15.5" x14ac:dyDescent="0.35">
      <c r="B102" s="116" t="str">
        <f>[1]Detailed!B92</f>
        <v>Monopiles (turbine)</v>
      </c>
      <c r="C102" s="116"/>
      <c r="D102" s="183">
        <f>IF(SUM('EC-known'!D$86:D$88)=0,0,'EC-known'!D102*SUM(D$86:D$88)/SUM('EC-known'!D$86:D$88))</f>
        <v>0</v>
      </c>
      <c r="E102" s="183">
        <f>IF(SUM('EC-known'!E$86:E$88)=0,0,'EC-known'!E102*SUM(E$86:E$88)/SUM('EC-known'!E$86:E$88))</f>
        <v>32.769230769230774</v>
      </c>
      <c r="F102" s="183">
        <f>IF(SUM('EC-known'!F$86:F$88)=0,0,'EC-known'!F102*SUM(F$86:F$88)/SUM('EC-known'!F$86:F$88))</f>
        <v>82.531489551143721</v>
      </c>
      <c r="G102" s="183">
        <f>IF(SUM('EC-known'!G$86:G$88)=0,0,'EC-known'!G102*SUM(G$86:G$88)/SUM('EC-known'!G$86:G$88))</f>
        <v>92.897425690021251</v>
      </c>
      <c r="H102" s="183">
        <f>IF(SUM('EC-known'!H$86:H$88)=0,0,'EC-known'!H102*SUM(H$86:H$88)/SUM('EC-known'!H$86:H$88))</f>
        <v>98.919584245076578</v>
      </c>
      <c r="I102" s="183">
        <f>IF(SUM('EC-known'!I$86:I$88)=0,0,'EC-known'!I102*SUM(I$86:I$88)/SUM('EC-known'!I$86:I$88))</f>
        <v>75.304689113819464</v>
      </c>
      <c r="J102" s="183">
        <f>IF(SUM('EC-known'!J$86:J$88)=0,0,'EC-known'!J102*SUM(J$86:J$88)/SUM('EC-known'!J$86:J$88))</f>
        <v>90.694375696546828</v>
      </c>
      <c r="K102" s="183">
        <f>IF(SUM('EC-known'!K$86:K$88)=0,0,'EC-known'!K102*SUM(K$86:K$88)/SUM('EC-known'!K$86:K$88))</f>
        <v>147.37140366172625</v>
      </c>
      <c r="L102" s="183">
        <f>IF(SUM('EC-known'!L$86:L$88)=0,0,'EC-known'!L102*SUM(L$86:L$88)/SUM('EC-known'!L$86:L$88))</f>
        <v>87.252349301596638</v>
      </c>
      <c r="M102" s="183">
        <f>IF(SUM('EC-known'!M$86:M$88)=0,0,'EC-known'!M102*SUM(M$86:M$88)/SUM('EC-known'!M$86:M$88))</f>
        <v>56.951842847654682</v>
      </c>
      <c r="N102" s="183">
        <f>IF(SUM('EC-known'!N$86:N$88)=0,0,'EC-known'!N102*SUM(N$86:N$88)/SUM('EC-known'!N$86:N$88))</f>
        <v>74.677879416978016</v>
      </c>
      <c r="O102" s="183">
        <f>IF(SUM('EC-known'!O$86:O$88)=0,0,'EC-known'!O102*SUM(O$86:O$88)/SUM('EC-known'!O$86:O$88))</f>
        <v>85.555555555555557</v>
      </c>
      <c r="P102" s="183">
        <f>IF(SUM('EC-known'!P$86:P$88)=0,0,'EC-known'!P102*SUM(P$86:P$88)/SUM('EC-known'!P$86:P$88))</f>
        <v>95.742706522542591</v>
      </c>
      <c r="Q102" s="183">
        <f>IF(SUM('EC-known'!Q$86:Q$88)=0,0,'EC-known'!Q102*SUM(Q$86:Q$88)/SUM('EC-known'!Q$86:Q$88))</f>
        <v>85.555555555555543</v>
      </c>
      <c r="R102" s="115">
        <f>SUM(D102:Q102)</f>
        <v>1106.2240879274477</v>
      </c>
    </row>
    <row r="103" spans="2:18" ht="15.5" x14ac:dyDescent="0.35">
      <c r="B103" s="116" t="str">
        <f>[1]Detailed!B93</f>
        <v>Transition Piece</v>
      </c>
      <c r="C103" s="116"/>
      <c r="D103" s="183">
        <f>IF(SUM('EC-known'!D$86:D$88)=0,0,'EC-known'!D103*SUM(D$86:D$88)/SUM('EC-known'!D$86:D$88))</f>
        <v>0</v>
      </c>
      <c r="E103" s="183">
        <f>IF(SUM('EC-known'!E$86:E$88)=0,0,'EC-known'!E103*SUM(E$86:E$88)/SUM('EC-known'!E$86:E$88))</f>
        <v>32.769230769230774</v>
      </c>
      <c r="F103" s="183">
        <f>IF(SUM('EC-known'!F$86:F$88)=0,0,'EC-known'!F103*SUM(F$86:F$88)/SUM('EC-known'!F$86:F$88))</f>
        <v>82.531489551143721</v>
      </c>
      <c r="G103" s="183">
        <f>IF(SUM('EC-known'!G$86:G$88)=0,0,'EC-known'!G103*SUM(G$86:G$88)/SUM('EC-known'!G$86:G$88))</f>
        <v>92.897425690021251</v>
      </c>
      <c r="H103" s="183">
        <f>IF(SUM('EC-known'!H$86:H$88)=0,0,'EC-known'!H103*SUM(H$86:H$88)/SUM('EC-known'!H$86:H$88))</f>
        <v>98.919584245076578</v>
      </c>
      <c r="I103" s="183">
        <f>IF(SUM('EC-known'!I$86:I$88)=0,0,'EC-known'!I103*SUM(I$86:I$88)/SUM('EC-known'!I$86:I$88))</f>
        <v>75.304689113819464</v>
      </c>
      <c r="J103" s="183">
        <f>IF(SUM('EC-known'!J$86:J$88)=0,0,'EC-known'!J103*SUM(J$86:J$88)/SUM('EC-known'!J$86:J$88))</f>
        <v>90.694375696546828</v>
      </c>
      <c r="K103" s="183">
        <f>IF(SUM('EC-known'!K$86:K$88)=0,0,'EC-known'!K103*SUM(K$86:K$88)/SUM('EC-known'!K$86:K$88))</f>
        <v>147.37140366172625</v>
      </c>
      <c r="L103" s="183">
        <f>IF(SUM('EC-known'!L$86:L$88)=0,0,'EC-known'!L103*SUM(L$86:L$88)/SUM('EC-known'!L$86:L$88))</f>
        <v>87.252349301596638</v>
      </c>
      <c r="M103" s="183">
        <f>IF(SUM('EC-known'!M$86:M$88)=0,0,'EC-known'!M103*SUM(M$86:M$88)/SUM('EC-known'!M$86:M$88))</f>
        <v>56.951842847654682</v>
      </c>
      <c r="N103" s="183">
        <f>IF(SUM('EC-known'!N$86:N$88)=0,0,'EC-known'!N103*SUM(N$86:N$88)/SUM('EC-known'!N$86:N$88))</f>
        <v>74.677879416978016</v>
      </c>
      <c r="O103" s="183">
        <f>IF(SUM('EC-known'!O$86:O$88)=0,0,'EC-known'!O103*SUM(O$86:O$88)/SUM('EC-known'!O$86:O$88))</f>
        <v>85.555555555555557</v>
      </c>
      <c r="P103" s="183">
        <f>IF(SUM('EC-known'!P$86:P$88)=0,0,'EC-known'!P103*SUM(P$86:P$88)/SUM('EC-known'!P$86:P$88))</f>
        <v>95.742706522542591</v>
      </c>
      <c r="Q103" s="183">
        <f>IF(SUM('EC-known'!Q$86:Q$88)=0,0,'EC-known'!Q103*SUM(Q$86:Q$88)/SUM('EC-known'!Q$86:Q$88))</f>
        <v>85.555555555555543</v>
      </c>
      <c r="R103" s="115">
        <f>SUM(D103:Q103)</f>
        <v>1106.2240879274477</v>
      </c>
    </row>
    <row r="104" spans="2:18" ht="15.5" x14ac:dyDescent="0.35">
      <c r="B104" s="116" t="s">
        <v>117</v>
      </c>
      <c r="C104" s="116"/>
      <c r="D104" s="183">
        <f>IF(SUM('EC-known'!D$86:D$88)=0,0,'EC-known'!D104*SUM(D$86:D$88)/SUM('EC-known'!D$86:D$88))</f>
        <v>0</v>
      </c>
      <c r="E104" s="183">
        <f>IF(SUM('EC-known'!E$86:E$88)=0,0,'EC-known'!E104*SUM(E$86:E$88)/SUM('EC-known'!E$86:E$88))</f>
        <v>0</v>
      </c>
      <c r="F104" s="183">
        <f>IF(SUM('EC-known'!F$86:F$88)=0,0,'EC-known'!F104*SUM(F$86:F$88)/SUM('EC-known'!F$86:F$88))</f>
        <v>10.480484343911691</v>
      </c>
      <c r="G104" s="183">
        <f>IF(SUM('EC-known'!G$86:G$88)=0,0,'EC-known'!G104*SUM(G$86:G$88)/SUM('EC-known'!G$86:G$88))</f>
        <v>6.2101910828025488</v>
      </c>
      <c r="H104" s="183">
        <f>IF(SUM('EC-known'!H$86:H$88)=0,0,'EC-known'!H104*SUM(H$86:H$88)/SUM('EC-known'!H$86:H$88))</f>
        <v>6.769693654266959</v>
      </c>
      <c r="I104" s="183">
        <f>IF(SUM('EC-known'!I$86:I$88)=0,0,'EC-known'!I104*SUM(I$86:I$88)/SUM('EC-known'!I$86:I$88))</f>
        <v>4.1520347035736425</v>
      </c>
      <c r="J104" s="183">
        <f>IF(SUM('EC-known'!J$86:J$88)=0,0,'EC-known'!J104*SUM(J$86:J$88)/SUM('EC-known'!J$86:J$88))</f>
        <v>18.488733366024526</v>
      </c>
      <c r="K104" s="183">
        <f>IF(SUM('EC-known'!K$86:K$88)=0,0,'EC-known'!K104*SUM(K$86:K$88)/SUM('EC-known'!K$86:K$88))</f>
        <v>10.043591979075849</v>
      </c>
      <c r="L104" s="183">
        <f>IF(SUM('EC-known'!L$86:L$88)=0,0,'EC-known'!L104*SUM(L$86:L$88)/SUM('EC-known'!L$86:L$88))</f>
        <v>3.236511567969885</v>
      </c>
      <c r="M104" s="183">
        <f>IF(SUM('EC-known'!M$86:M$88)=0,0,'EC-known'!M104*SUM(M$86:M$88)/SUM('EC-known'!M$86:M$88))</f>
        <v>0</v>
      </c>
      <c r="N104" s="183">
        <f>IF(SUM('EC-known'!N$86:N$88)=0,0,'EC-known'!N104*SUM(N$86:N$88)/SUM('EC-known'!N$86:N$88))</f>
        <v>14.254204781366754</v>
      </c>
      <c r="O104" s="183">
        <f>IF(SUM('EC-known'!O$86:O$88)=0,0,'EC-known'!O104*SUM(O$86:O$88)/SUM('EC-known'!O$86:O$88))</f>
        <v>18.333333333333332</v>
      </c>
      <c r="P104" s="183">
        <f>IF(SUM('EC-known'!P$86:P$88)=0,0,'EC-known'!P104*SUM(P$86:P$88)/SUM('EC-known'!P$86:P$88))</f>
        <v>13.239757849839823</v>
      </c>
      <c r="Q104" s="183">
        <f>IF(SUM('EC-known'!Q$86:Q$88)=0,0,'EC-known'!Q104*SUM(Q$86:Q$88)/SUM('EC-known'!Q$86:Q$88))</f>
        <v>18.333333333333336</v>
      </c>
      <c r="R104" s="115">
        <f>SUM(D104:Q104)</f>
        <v>123.54186999549833</v>
      </c>
    </row>
    <row r="105" spans="2:18" ht="15.5" x14ac:dyDescent="0.35">
      <c r="B105" s="116" t="s">
        <v>118</v>
      </c>
      <c r="C105" s="116"/>
      <c r="D105" s="183">
        <f>IF(SUM('EC-known'!D$86:D$88)=0,0,'EC-known'!D105*SUM(D$86:D$88)/SUM('EC-known'!D$86:D$88))</f>
        <v>0</v>
      </c>
      <c r="E105" s="183">
        <f>IF(SUM('EC-known'!E$86:E$88)=0,0,'EC-known'!E105*SUM(E$86:E$88)/SUM('EC-known'!E$86:E$88))</f>
        <v>10</v>
      </c>
      <c r="F105" s="183">
        <f>IF(SUM('EC-known'!F$86:F$88)=0,0,'EC-known'!F105*SUM(F$86:F$88)/SUM('EC-known'!F$86:F$88))</f>
        <v>28.654692771611241</v>
      </c>
      <c r="G105" s="183">
        <f>IF(SUM('EC-known'!G$86:G$88)=0,0,'EC-known'!G105*SUM(G$86:G$88)/SUM('EC-known'!G$86:G$88))</f>
        <v>39.507032908704893</v>
      </c>
      <c r="H105" s="183">
        <f>IF(SUM('EC-known'!H$86:H$88)=0,0,'EC-known'!H105*SUM(H$86:H$88)/SUM('EC-known'!H$86:H$88))</f>
        <v>30.771334792122541</v>
      </c>
      <c r="I105" s="183">
        <f>IF(SUM('EC-known'!I$86:I$88)=0,0,'EC-known'!I105*SUM(I$86:I$88)/SUM('EC-known'!I$86:I$88))</f>
        <v>70.543276182606917</v>
      </c>
      <c r="J105" s="183">
        <f>IF(SUM('EC-known'!J$86:J$88)=0,0,'EC-known'!J105*SUM(J$86:J$88)/SUM('EC-known'!J$86:J$88))</f>
        <v>32.654230571834361</v>
      </c>
      <c r="K105" s="183">
        <f>IF(SUM('EC-known'!K$86:K$88)=0,0,'EC-known'!K105*SUM(K$86:K$88)/SUM('EC-known'!K$86:K$88))</f>
        <v>10.043591979075849</v>
      </c>
      <c r="L105" s="183">
        <f>IF(SUM('EC-known'!L$86:L$88)=0,0,'EC-known'!L105*SUM(L$86:L$88)/SUM('EC-known'!L$86:L$88))</f>
        <v>7.3820433602769917</v>
      </c>
      <c r="M105" s="183">
        <f>IF(SUM('EC-known'!M$86:M$88)=0,0,'EC-known'!M105*SUM(M$86:M$88)/SUM('EC-known'!M$86:M$88))</f>
        <v>0</v>
      </c>
      <c r="N105" s="183">
        <f>IF(SUM('EC-known'!N$86:N$88)=0,0,'EC-known'!N105*SUM(N$86:N$88)/SUM('EC-known'!N$86:N$88))</f>
        <v>33.290138023877454</v>
      </c>
      <c r="O105" s="183">
        <f>IF(SUM('EC-known'!O$86:O$88)=0,0,'EC-known'!O105*SUM(O$86:O$88)/SUM('EC-known'!O$86:O$88))</f>
        <v>18.333333333333332</v>
      </c>
      <c r="P105" s="183">
        <f>IF(SUM('EC-known'!P$86:P$88)=0,0,'EC-known'!P105*SUM(P$86:P$88)/SUM('EC-known'!P$86:P$88))</f>
        <v>13.239757849839823</v>
      </c>
      <c r="Q105" s="183">
        <f>IF(SUM('EC-known'!Q$86:Q$88)=0,0,'EC-known'!Q105*SUM(Q$86:Q$88)/SUM('EC-known'!Q$86:Q$88))</f>
        <v>18.333333333333336</v>
      </c>
      <c r="R105" s="115">
        <f>SUM(D105:Q105)</f>
        <v>312.75276510661666</v>
      </c>
    </row>
    <row r="106" spans="2:18" ht="15.5" x14ac:dyDescent="0.35">
      <c r="B106" s="116" t="str">
        <f>[1]Detailed!B96</f>
        <v>Jacket (Substation)</v>
      </c>
      <c r="C106" s="116"/>
      <c r="D106" s="183">
        <f>IF(SUM('EC-known'!D$86:D$88)=0,0,'EC-known'!D106*SUM(D$86:D$88)/SUM('EC-known'!D$86:D$88))</f>
        <v>0</v>
      </c>
      <c r="E106" s="183">
        <f>IF(SUM('EC-known'!E$86:E$88)=0,0,'EC-known'!E106*SUM(E$86:E$88)/SUM('EC-known'!E$86:E$88))</f>
        <v>2</v>
      </c>
      <c r="F106" s="183">
        <f>IF(SUM('EC-known'!F$86:F$88)=0,0,'EC-known'!F106*SUM(F$86:F$88)/SUM('EC-known'!F$86:F$88))</f>
        <v>3.596244627812835</v>
      </c>
      <c r="G106" s="183">
        <f>IF(SUM('EC-known'!G$86:G$88)=0,0,'EC-known'!G106*SUM(G$86:G$88)/SUM('EC-known'!G$86:G$88))</f>
        <v>4.6576433121019116</v>
      </c>
      <c r="H106" s="183">
        <f>IF(SUM('EC-known'!H$86:H$88)=0,0,'EC-known'!H106*SUM(H$86:H$88)/SUM('EC-known'!H$86:H$88))</f>
        <v>4.3079868708971558</v>
      </c>
      <c r="I106" s="183">
        <f>IF(SUM('EC-known'!I$86:I$88)=0,0,'EC-known'!I106*SUM(I$86:I$88)/SUM('EC-known'!I$86:I$88))</f>
        <v>3.8731667010948154</v>
      </c>
      <c r="J106" s="183">
        <f>IF(SUM('EC-known'!J$86:J$88)=0,0,'EC-known'!J106*SUM(J$86:J$88)/SUM('EC-known'!J$86:J$88))</f>
        <v>3.1994347161625831</v>
      </c>
      <c r="K106" s="183">
        <f>IF(SUM('EC-known'!K$86:K$88)=0,0,'EC-known'!K106*SUM(K$86:K$88)/SUM('EC-known'!K$86:K$88))</f>
        <v>4.9040976460331294</v>
      </c>
      <c r="L106" s="183">
        <f>IF(SUM('EC-known'!L$86:L$88)=0,0,'EC-known'!L106*SUM(L$86:L$88)/SUM('EC-known'!L$86:L$88))</f>
        <v>3.662718852640817</v>
      </c>
      <c r="M106" s="183">
        <f>IF(SUM('EC-known'!M$86:M$88)=0,0,'EC-known'!M106*SUM(M$86:M$88)/SUM('EC-known'!M$86:M$88))</f>
        <v>1.4645792711920564</v>
      </c>
      <c r="N106" s="183">
        <f>IF(SUM('EC-known'!N$86:N$88)=0,0,'EC-known'!N106*SUM(N$86:N$88)/SUM('EC-known'!N$86:N$88))</f>
        <v>3.8695290611540667</v>
      </c>
      <c r="O106" s="183">
        <f>IF(SUM('EC-known'!O$86:O$88)=0,0,'EC-known'!O106*SUM(O$86:O$88)/SUM('EC-known'!O$86:O$88))</f>
        <v>4.123711340206186</v>
      </c>
      <c r="P106" s="183">
        <f>IF(SUM('EC-known'!P$86:P$88)=0,0,'EC-known'!P106*SUM(P$86:P$88)/SUM('EC-known'!P$86:P$88))</f>
        <v>4.578590610895616</v>
      </c>
      <c r="Q106" s="183">
        <f>IF(SUM('EC-known'!Q$86:Q$88)=0,0,'EC-known'!Q106*SUM(Q$86:Q$88)/SUM('EC-known'!Q$86:Q$88))</f>
        <v>4.7619047619047619</v>
      </c>
      <c r="R106" s="115">
        <f>SUM(D106:Q106)</f>
        <v>48.999607772095935</v>
      </c>
    </row>
    <row r="107" spans="2:18" ht="15.5" x14ac:dyDescent="0.35">
      <c r="B107" s="179" t="s">
        <v>119</v>
      </c>
      <c r="C107" s="179"/>
      <c r="D107" s="180"/>
      <c r="E107" s="180"/>
      <c r="F107" s="180"/>
      <c r="G107" s="180"/>
      <c r="H107" s="180"/>
      <c r="I107" s="180"/>
      <c r="J107" s="180"/>
      <c r="K107" s="180"/>
      <c r="L107" s="188"/>
      <c r="M107" s="180"/>
      <c r="N107" s="180"/>
      <c r="O107" s="180"/>
      <c r="P107" s="180"/>
      <c r="Q107" s="180"/>
      <c r="R107" s="181"/>
    </row>
    <row r="108" spans="2:18" ht="15.5" x14ac:dyDescent="0.35">
      <c r="B108" s="116" t="str">
        <f>[1]Detailed!B98</f>
        <v>OSS Topside</v>
      </c>
      <c r="C108" s="116"/>
      <c r="D108" s="183">
        <f>IF('EC-known'!D$83=0,0,'EC-known'!D108*D$83/'EC-known'!D$83)</f>
        <v>0</v>
      </c>
      <c r="E108" s="183">
        <f>IF('EC-known'!E$83=0,0,'EC-known'!E108*E$83/'EC-known'!E$83)</f>
        <v>2</v>
      </c>
      <c r="F108" s="183">
        <f>IF('EC-known'!F$83=0,0,'EC-known'!F108*F$83/'EC-known'!F$83)</f>
        <v>3.8700470038263131</v>
      </c>
      <c r="G108" s="183">
        <f>IF('EC-known'!G$83=0,0,'EC-known'!G108*G$83/'EC-known'!G$83)</f>
        <v>3.1702806511268724</v>
      </c>
      <c r="H108" s="183">
        <f>IF('EC-known'!H$83=0,0,'EC-known'!H108*H$83/'EC-known'!H$83)</f>
        <v>4.0299366724237187</v>
      </c>
      <c r="I108" s="183">
        <f>IF('EC-known'!I$83=0,0,'EC-known'!I108*I$83/'EC-known'!I$83)</f>
        <v>3.4428148454176135</v>
      </c>
      <c r="J108" s="183">
        <f>IF('EC-known'!J$83=0,0,'EC-known'!J108*J$83/'EC-known'!J$83)</f>
        <v>2.8439419699222959</v>
      </c>
      <c r="K108" s="183">
        <f>IF('EC-known'!K$83=0,0,'EC-known'!K108*K$83/'EC-known'!K$83)</f>
        <v>4.3591979075850045</v>
      </c>
      <c r="L108" s="183">
        <f>IF('EC-known'!L$83=0,0,'EC-known'!L108*L$83/'EC-known'!L$83)</f>
        <v>2.4693787963836082</v>
      </c>
      <c r="M108" s="183">
        <f>IF('EC-known'!M$83=0,0,'EC-known'!M108*M$83/'EC-known'!M$83)</f>
        <v>1.3314357010836877</v>
      </c>
      <c r="N108" s="183">
        <f>IF('EC-known'!N$83=0,0,'EC-known'!N108*N$83/'EC-known'!N$83)</f>
        <v>3.5177536919582422</v>
      </c>
      <c r="O108" s="183">
        <f>IF('EC-known'!O$83=0,0,'EC-known'!O108*O$83/'EC-known'!O$83)</f>
        <v>3.7488284910965324</v>
      </c>
      <c r="P108" s="183">
        <f>IF('EC-known'!P$83=0,0,'EC-known'!P108*P$83/'EC-known'!P$83)</f>
        <v>4.1623551008141959</v>
      </c>
      <c r="Q108" s="183">
        <f>IF('EC-known'!Q$83=0,0,'EC-known'!Q108*Q$83/'EC-known'!Q$83)</f>
        <v>4.329004329004329</v>
      </c>
      <c r="R108" s="115">
        <f>SUM(D108:Q108)</f>
        <v>43.274975160642413</v>
      </c>
    </row>
    <row r="109" spans="2:18" ht="15.5" x14ac:dyDescent="0.35">
      <c r="B109" s="179" t="s">
        <v>120</v>
      </c>
      <c r="C109" s="179"/>
      <c r="D109" s="180"/>
      <c r="E109" s="180"/>
      <c r="F109" s="180"/>
      <c r="G109" s="180"/>
      <c r="H109" s="180"/>
      <c r="I109" s="180"/>
      <c r="J109" s="180"/>
      <c r="K109" s="180"/>
      <c r="L109" s="188"/>
      <c r="M109" s="180"/>
      <c r="N109" s="180"/>
      <c r="O109" s="180"/>
      <c r="P109" s="180"/>
      <c r="Q109" s="180"/>
      <c r="R109" s="181"/>
    </row>
    <row r="110" spans="2:18" ht="15.5" x14ac:dyDescent="0.35">
      <c r="B110" s="116" t="str">
        <f>[1]Detailed!B100</f>
        <v>Array cable, km</v>
      </c>
      <c r="C110" s="116"/>
      <c r="D110" s="183">
        <v>0</v>
      </c>
      <c r="E110" s="183">
        <f>IF('EC-known'!E$83=0,0,'EC-known'!E110*E$83/'EC-known'!E$83)</f>
        <v>125.50240000000001</v>
      </c>
      <c r="F110" s="183">
        <f>IF('EC-known'!F$83=0,0,'EC-known'!F110*F$83/'EC-known'!F$83)</f>
        <v>333.69631259850235</v>
      </c>
      <c r="G110" s="183">
        <f>IF('EC-known'!G$83=0,0,'EC-known'!G110*G$83/'EC-known'!G$83)</f>
        <v>383.38581367149669</v>
      </c>
      <c r="H110" s="183">
        <f>IF('EC-known'!H$83=0,0,'EC-known'!H110*H$83/'EC-known'!H$83)</f>
        <v>299.52391479562465</v>
      </c>
      <c r="I110" s="183">
        <f>IF('EC-known'!I$83=0,0,'EC-known'!I110*I$83/'EC-known'!I$83)</f>
        <v>287.57866923730182</v>
      </c>
      <c r="J110" s="183">
        <f>IF('EC-known'!J$83=0,0,'EC-known'!J110*J$83/'EC-known'!J$83)</f>
        <v>357.26191678724018</v>
      </c>
      <c r="K110" s="183">
        <f>IF('EC-known'!K$83=0,0,'EC-known'!K110*K$83/'EC-known'!K$83)</f>
        <v>292.8</v>
      </c>
      <c r="L110" s="183">
        <f>IF('EC-known'!L$83=0,0,'EC-known'!L110*L$83/'EC-known'!L$83)</f>
        <v>294.54616870187368</v>
      </c>
      <c r="M110" s="183">
        <f>IF('EC-known'!M$83=0,0,'EC-known'!M110*M$83/'EC-known'!M$83)</f>
        <v>113.69658808495427</v>
      </c>
      <c r="N110" s="183">
        <f>IF('EC-known'!N$83=0,0,'EC-known'!N110*N$83/'EC-known'!N$83)</f>
        <v>365.17254367319356</v>
      </c>
      <c r="O110" s="183">
        <f>IF('EC-known'!O$83=0,0,'EC-known'!O110*O$83/'EC-known'!O$83)</f>
        <v>244</v>
      </c>
      <c r="P110" s="183">
        <f>IF('EC-known'!P$83=0,0,'EC-known'!P110*P$83/'EC-known'!P$83)</f>
        <v>244</v>
      </c>
      <c r="Q110" s="183">
        <f>IF('EC-known'!Q$83=0,0,'EC-known'!Q110*Q$83/'EC-known'!Q$83)</f>
        <v>244.00000000000003</v>
      </c>
      <c r="R110" s="115">
        <f>SUM(D110:Q110)</f>
        <v>3585.1643275501874</v>
      </c>
    </row>
    <row r="111" spans="2:18" ht="15.5" x14ac:dyDescent="0.35">
      <c r="B111" s="116" t="str">
        <f>[1]Detailed!B101</f>
        <v>Export cable, km</v>
      </c>
      <c r="C111" s="116"/>
      <c r="D111" s="183">
        <v>0</v>
      </c>
      <c r="E111" s="183">
        <f>IF('EC-known'!E$83=0,0,'EC-known'!E111*E$83/'EC-known'!E$83)</f>
        <v>256</v>
      </c>
      <c r="F111" s="183">
        <f>IF('EC-known'!F$83=0,0,'EC-known'!F111*F$83/'EC-known'!F$83)</f>
        <v>358.52641769839482</v>
      </c>
      <c r="G111" s="183">
        <f>IF('EC-known'!G$83=0,0,'EC-known'!G111*G$83/'EC-known'!G$83)</f>
        <v>267.09614485743901</v>
      </c>
      <c r="H111" s="183">
        <f>IF('EC-known'!H$83=0,0,'EC-known'!H111*H$83/'EC-known'!H$83)</f>
        <v>287.09211283822685</v>
      </c>
      <c r="I111" s="183">
        <f>IF('EC-known'!I$83=0,0,'EC-known'!I111*I$83/'EC-known'!I$83)</f>
        <v>362.18412173793297</v>
      </c>
      <c r="J111" s="183">
        <f>IF('EC-known'!J$83=0,0,'EC-known'!J111*J$83/'EC-known'!J$83)</f>
        <v>234.15073635018251</v>
      </c>
      <c r="K111" s="183">
        <f>IF('EC-known'!K$83=0,0,'EC-known'!K111*K$83/'EC-known'!K$83)</f>
        <v>601.79625108979951</v>
      </c>
      <c r="L111" s="183">
        <f>IF('EC-known'!L$83=0,0,'EC-known'!L111*L$83/'EC-known'!L$83)</f>
        <v>209.86787381939962</v>
      </c>
      <c r="M111" s="183">
        <f>IF('EC-known'!M$83=0,0,'EC-known'!M111*M$83/'EC-known'!M$83)</f>
        <v>83.880449168272321</v>
      </c>
      <c r="N111" s="183">
        <f>IF('EC-known'!N$83=0,0,'EC-known'!N111*N$83/'EC-known'!N$83)</f>
        <v>470.44385853262554</v>
      </c>
      <c r="O111" s="183">
        <f>IF('EC-known'!O$83=0,0,'EC-known'!O111*O$83/'EC-known'!O$83)</f>
        <v>562.32427366447985</v>
      </c>
      <c r="P111" s="183">
        <f>IF('EC-known'!P$83=0,0,'EC-known'!P111*P$83/'EC-known'!P$83)</f>
        <v>516.69395043957013</v>
      </c>
      <c r="Q111" s="183">
        <f>IF('EC-known'!Q$83=0,0,'EC-known'!Q111*Q$83/'EC-known'!Q$83)</f>
        <v>606.06060606060601</v>
      </c>
      <c r="R111" s="115">
        <f>SUM(D111:Q111)</f>
        <v>4816.1167962569289</v>
      </c>
    </row>
    <row r="112" spans="2:18" ht="15.5" x14ac:dyDescent="0.35">
      <c r="B112" s="179" t="s">
        <v>137</v>
      </c>
      <c r="C112" s="179"/>
      <c r="D112" s="180"/>
      <c r="E112" s="180"/>
      <c r="F112" s="180"/>
      <c r="G112" s="180"/>
      <c r="H112" s="180"/>
      <c r="I112" s="180"/>
      <c r="J112" s="180"/>
      <c r="K112" s="180"/>
      <c r="L112" s="188"/>
      <c r="M112" s="180"/>
      <c r="N112" s="180"/>
      <c r="O112" s="180"/>
      <c r="P112" s="180"/>
      <c r="Q112" s="180"/>
      <c r="R112" s="181"/>
    </row>
    <row r="113" spans="2:18" ht="15.5" x14ac:dyDescent="0.35">
      <c r="B113" s="116" t="s">
        <v>121</v>
      </c>
      <c r="C113" s="116"/>
      <c r="D113" s="183">
        <f>D86*Assumptions!$K$25/24</f>
        <v>0</v>
      </c>
      <c r="E113" s="183">
        <f>E86*Assumptions!$K$25/24</f>
        <v>64.15384615384616</v>
      </c>
      <c r="F113" s="183">
        <f>F86*Assumptions!$K$25/24</f>
        <v>82.5</v>
      </c>
      <c r="G113" s="183">
        <f>G86*Assumptions!$K$25/24</f>
        <v>125</v>
      </c>
      <c r="H113" s="183">
        <f>H86*Assumptions!$K$25/24</f>
        <v>125</v>
      </c>
      <c r="I113" s="183">
        <f>I86*Assumptions!$K$25/24</f>
        <v>125</v>
      </c>
      <c r="J113" s="183">
        <f>J86*Assumptions!$K$25/24</f>
        <v>125</v>
      </c>
      <c r="K113" s="183">
        <f>K86*Assumptions!$K$25/24</f>
        <v>125</v>
      </c>
      <c r="L113" s="186">
        <f>L86*Assumptions!$K$25/24</f>
        <v>57.461538461538566</v>
      </c>
      <c r="M113" s="183">
        <f>M86*Assumptions!$K$25/24</f>
        <v>0</v>
      </c>
      <c r="N113" s="183">
        <f>N86*Assumptions!$K$25/24</f>
        <v>0</v>
      </c>
      <c r="O113" s="183">
        <f>O86*Assumptions!$K$25/24</f>
        <v>0</v>
      </c>
      <c r="P113" s="183">
        <f>P86*Assumptions!$K$25/24</f>
        <v>0</v>
      </c>
      <c r="Q113" s="183">
        <f>Q86*Assumptions!$K$25/24</f>
        <v>0</v>
      </c>
      <c r="R113" s="115"/>
    </row>
    <row r="114" spans="2:18" ht="15.5" x14ac:dyDescent="0.35">
      <c r="B114" s="116" t="s">
        <v>122</v>
      </c>
      <c r="C114" s="116"/>
      <c r="D114" s="183">
        <f>D87*Assumptions!$K$25/24</f>
        <v>0</v>
      </c>
      <c r="E114" s="183">
        <f>E87*Assumptions!$K$25/24</f>
        <v>0</v>
      </c>
      <c r="F114" s="183">
        <f>F87*Assumptions!$K$25/24</f>
        <v>100</v>
      </c>
      <c r="G114" s="183">
        <f>G87*Assumptions!$K$25/24</f>
        <v>100</v>
      </c>
      <c r="H114" s="183">
        <f>H87*Assumptions!$K$25/24</f>
        <v>100</v>
      </c>
      <c r="I114" s="183">
        <f>I87*Assumptions!$K$25/24</f>
        <v>100</v>
      </c>
      <c r="J114" s="183">
        <f>J87*Assumptions!$K$25/24</f>
        <v>100</v>
      </c>
      <c r="K114" s="183">
        <f>K87*Assumptions!$K$25/24</f>
        <v>100</v>
      </c>
      <c r="L114" s="186">
        <f>L87*Assumptions!$K$25/24</f>
        <v>100</v>
      </c>
      <c r="M114" s="183">
        <f>M87*Assumptions!$K$25/24</f>
        <v>100</v>
      </c>
      <c r="N114" s="183">
        <f>N87*Assumptions!$K$25/24</f>
        <v>100</v>
      </c>
      <c r="O114" s="183">
        <f>O87*Assumptions!$K$25/24</f>
        <v>100</v>
      </c>
      <c r="P114" s="183">
        <f>P87*Assumptions!$K$25/24</f>
        <v>100</v>
      </c>
      <c r="Q114" s="183">
        <f>Q87*Assumptions!$K$25/24</f>
        <v>100</v>
      </c>
      <c r="R114" s="115"/>
    </row>
    <row r="115" spans="2:18" ht="15.5" x14ac:dyDescent="0.35">
      <c r="B115" s="116" t="s">
        <v>123</v>
      </c>
      <c r="C115" s="116"/>
      <c r="D115" s="183">
        <f>D88*Assumptions!$K$25/24</f>
        <v>0</v>
      </c>
      <c r="E115" s="183">
        <f>E88*Assumptions!$K$25/24</f>
        <v>0</v>
      </c>
      <c r="F115" s="183">
        <f>F88*Assumptions!$K$25/24</f>
        <v>0</v>
      </c>
      <c r="G115" s="183">
        <f>G88*Assumptions!$K$25/24</f>
        <v>0</v>
      </c>
      <c r="H115" s="183">
        <f>H88*Assumptions!$K$25/24</f>
        <v>0</v>
      </c>
      <c r="I115" s="183">
        <f>I88*Assumptions!$K$25/24</f>
        <v>0</v>
      </c>
      <c r="J115" s="183">
        <f>J88*Assumptions!$K$25/24</f>
        <v>0</v>
      </c>
      <c r="K115" s="183">
        <f>K88*Assumptions!$K$25/24</f>
        <v>0</v>
      </c>
      <c r="L115" s="186">
        <f>L88*Assumptions!$K$25/24</f>
        <v>0</v>
      </c>
      <c r="M115" s="183">
        <f>M88*Assumptions!$K$25/24</f>
        <v>83.333333333333329</v>
      </c>
      <c r="N115" s="183">
        <f>N88*Assumptions!$K$25/24</f>
        <v>83.333333333333329</v>
      </c>
      <c r="O115" s="183">
        <f>O88*Assumptions!$K$25/24</f>
        <v>83.333333333333329</v>
      </c>
      <c r="P115" s="183">
        <f>P88*Assumptions!$K$25/24</f>
        <v>83.333333333333329</v>
      </c>
      <c r="Q115" s="183">
        <f>Q88*Assumptions!$K$25/24</f>
        <v>83.333333333333329</v>
      </c>
      <c r="R115" s="115"/>
    </row>
    <row r="116" spans="2:18" ht="15.5" x14ac:dyDescent="0.35">
      <c r="B116" s="116" t="s">
        <v>140</v>
      </c>
      <c r="C116" s="116"/>
      <c r="D116" s="183">
        <f>(D102+D105)*Assumptions!$K$26/24</f>
        <v>0</v>
      </c>
      <c r="E116" s="183">
        <f>(E102+E105)*Assumptions!$K$26/24</f>
        <v>64.15384615384616</v>
      </c>
      <c r="F116" s="183">
        <f>(F102+F105)*Assumptions!$K$26/24</f>
        <v>166.77927348413243</v>
      </c>
      <c r="G116" s="183">
        <f>(G102+G105)*Assumptions!$K$26/24</f>
        <v>198.60668789808923</v>
      </c>
      <c r="H116" s="183">
        <f>(H102+H105)*Assumptions!$K$26/24</f>
        <v>194.53637855579868</v>
      </c>
      <c r="I116" s="183">
        <f>(I102+I105)*Assumptions!$K$26/24</f>
        <v>218.77194794463955</v>
      </c>
      <c r="J116" s="183">
        <f>(J102+J105)*Assumptions!$K$26/24</f>
        <v>185.0229094025718</v>
      </c>
      <c r="K116" s="183">
        <f>(K102+K105)*Assumptions!$K$26/24</f>
        <v>236.12249346120313</v>
      </c>
      <c r="L116" s="186">
        <f>(L102+L105)*Assumptions!$K$26/24</f>
        <v>141.95158899281046</v>
      </c>
      <c r="M116" s="183">
        <f>(M102+M105)*Assumptions!$K$26/24</f>
        <v>85.427764271482019</v>
      </c>
      <c r="N116" s="183">
        <f>(N102+N105)*Assumptions!$K$26/24</f>
        <v>161.95202616128321</v>
      </c>
      <c r="O116" s="183">
        <f>(O102+O105)*Assumptions!$K$26/24</f>
        <v>155.83333333333334</v>
      </c>
      <c r="P116" s="183">
        <f>(P102+P105)*Assumptions!$K$26/24</f>
        <v>163.47369655857361</v>
      </c>
      <c r="Q116" s="183">
        <f>(Q102+Q105)*Assumptions!$K$26/24</f>
        <v>155.83333333333334</v>
      </c>
      <c r="R116" s="115"/>
    </row>
    <row r="117" spans="2:18" ht="15.5" x14ac:dyDescent="0.35">
      <c r="B117" s="116" t="s">
        <v>293</v>
      </c>
      <c r="C117" s="116"/>
      <c r="D117" s="107"/>
      <c r="E117" s="108">
        <f>SUM(E113:E116)</f>
        <v>128.30769230769232</v>
      </c>
      <c r="F117" s="108">
        <f t="shared" ref="F117:Q117" si="16">SUM(F113:F116)</f>
        <v>349.27927348413243</v>
      </c>
      <c r="G117" s="108">
        <f t="shared" si="16"/>
        <v>423.60668789808926</v>
      </c>
      <c r="H117" s="108">
        <f t="shared" si="16"/>
        <v>419.53637855579871</v>
      </c>
      <c r="I117" s="108">
        <f t="shared" si="16"/>
        <v>443.77194794463958</v>
      </c>
      <c r="J117" s="108">
        <f t="shared" si="16"/>
        <v>410.02290940257183</v>
      </c>
      <c r="K117" s="108">
        <f>SUM(K113:K116)</f>
        <v>461.12249346120313</v>
      </c>
      <c r="L117" s="108">
        <f t="shared" si="16"/>
        <v>299.41312745434902</v>
      </c>
      <c r="M117" s="108">
        <f t="shared" si="16"/>
        <v>268.76109760481535</v>
      </c>
      <c r="N117" s="108">
        <f t="shared" si="16"/>
        <v>345.2853594946165</v>
      </c>
      <c r="O117" s="108">
        <f t="shared" si="16"/>
        <v>339.16666666666663</v>
      </c>
      <c r="P117" s="108">
        <f t="shared" si="16"/>
        <v>346.80702989190695</v>
      </c>
      <c r="Q117" s="108">
        <f t="shared" si="16"/>
        <v>339.16666666666663</v>
      </c>
      <c r="R117" s="115"/>
    </row>
    <row r="118" spans="2:18" ht="15.5" x14ac:dyDescent="0.35">
      <c r="B118" s="116" t="s">
        <v>138</v>
      </c>
      <c r="C118" s="116"/>
      <c r="D118" s="183">
        <f>D108*Assumptions!$K$27/24</f>
        <v>0</v>
      </c>
      <c r="E118" s="183">
        <f>E108*Assumptions!$K$27/24</f>
        <v>20</v>
      </c>
      <c r="F118" s="183">
        <f>F108*Assumptions!$K$27/24</f>
        <v>38.700470038263127</v>
      </c>
      <c r="G118" s="183">
        <f>G108*Assumptions!$K$27/24</f>
        <v>31.702806511268722</v>
      </c>
      <c r="H118" s="183">
        <f>H108*Assumptions!$K$27/24</f>
        <v>40.299366724237188</v>
      </c>
      <c r="I118" s="183">
        <f>I108*Assumptions!$K$27/24</f>
        <v>34.428148454176132</v>
      </c>
      <c r="J118" s="183">
        <f>J108*Assumptions!$K$27/24</f>
        <v>28.439419699222956</v>
      </c>
      <c r="K118" s="183">
        <f>K108*Assumptions!$K$27/24</f>
        <v>43.591979075850048</v>
      </c>
      <c r="L118" s="186">
        <f>L108*Assumptions!$K$27/24</f>
        <v>24.693787963836083</v>
      </c>
      <c r="M118" s="183">
        <f>M108*Assumptions!$K$27/24</f>
        <v>13.314357010836877</v>
      </c>
      <c r="N118" s="183">
        <f>N108*Assumptions!$K$27/24</f>
        <v>35.177536919582423</v>
      </c>
      <c r="O118" s="183">
        <f>O108*Assumptions!$K$27/24</f>
        <v>37.488284910965326</v>
      </c>
      <c r="P118" s="183">
        <f>P108*Assumptions!$K$27/24</f>
        <v>41.623551008141959</v>
      </c>
      <c r="Q118" s="183">
        <f>Q108*Assumptions!$K$27/24</f>
        <v>43.290043290043286</v>
      </c>
      <c r="R118" s="115"/>
    </row>
    <row r="119" spans="2:18" ht="15.5" x14ac:dyDescent="0.35">
      <c r="B119" s="116" t="s">
        <v>195</v>
      </c>
      <c r="C119" s="116"/>
      <c r="D119" s="183">
        <f>(ROUNDUP(D83/400,1)+D84)*Assumptions!$K$45+SUM(D110:D111)/Assumptions!$K$44</f>
        <v>0</v>
      </c>
      <c r="E119" s="183">
        <f>(ROUNDUP(E83/400,1)+E84)*Assumptions!$K$45+SUM(E110:E111)/Assumptions!$K$44</f>
        <v>161.37560000000002</v>
      </c>
      <c r="F119" s="183">
        <f>(ROUNDUP(F83/400,1)+F84)*Assumptions!$K$45+SUM(F110:F111)/Assumptions!$K$44</f>
        <v>317.05568257422431</v>
      </c>
      <c r="G119" s="183">
        <f>(ROUNDUP(G83/400,1)+G84)*Assumptions!$K$45+SUM(G110:G111)/Assumptions!$K$44</f>
        <v>322.6204896322339</v>
      </c>
      <c r="H119" s="183">
        <f>(ROUNDUP(H83/400,1)+H84)*Assumptions!$K$45+SUM(H110:H111)/Assumptions!$K$44</f>
        <v>306.65400690846286</v>
      </c>
      <c r="I119" s="183">
        <f>(ROUNDUP(I83/400,1)+I84)*Assumptions!$K$45+SUM(I110:I111)/Assumptions!$K$44</f>
        <v>322.4406977438087</v>
      </c>
      <c r="J119" s="183">
        <f>(ROUNDUP(J83/400,1)+J84)*Assumptions!$K$45+SUM(J110:J111)/Assumptions!$K$44</f>
        <v>307.85316328435567</v>
      </c>
      <c r="K119" s="183">
        <f>(ROUNDUP(K83/400,1)+K84)*Assumptions!$K$45+SUM(K110:K111)/Assumptions!$K$44</f>
        <v>383.64906277244989</v>
      </c>
      <c r="L119" s="186">
        <f>(ROUNDUP(L83/400,1)+L84)*Assumptions!$K$45+SUM(L110:L111)/Assumptions!$K$44</f>
        <v>240.10351063031834</v>
      </c>
      <c r="M119" s="183">
        <f>(ROUNDUP(M83/400,1)+M84)*Assumptions!$K$45+SUM(M110:M111)/Assumptions!$K$44</f>
        <v>209.39425931330663</v>
      </c>
      <c r="N119" s="183">
        <f>(ROUNDUP(N83/400,1)+N84)*Assumptions!$K$45+SUM(N110:N111)/Assumptions!$K$44</f>
        <v>368.9041005514548</v>
      </c>
      <c r="O119" s="183">
        <f>(ROUNDUP(O83/400,1)+O84)*Assumptions!$K$45+SUM(O110:O111)/Assumptions!$K$44</f>
        <v>361.58106841611993</v>
      </c>
      <c r="P119" s="183">
        <f>(ROUNDUP(P83/400,1)+P84)*Assumptions!$K$45+SUM(P110:P111)/Assumptions!$K$44</f>
        <v>350.1734876098925</v>
      </c>
      <c r="Q119" s="183">
        <f>(ROUNDUP(Q83/400,1)+Q84)*Assumptions!$K$45+SUM(Q110:Q111)/Assumptions!$K$44</f>
        <v>372.5151515151515</v>
      </c>
      <c r="R119" s="115"/>
    </row>
    <row r="120" spans="2:18" ht="15.5" x14ac:dyDescent="0.35">
      <c r="B120" s="106" t="s">
        <v>289</v>
      </c>
      <c r="C120" s="116"/>
      <c r="D120" s="107">
        <f>(ROUNDUP(D84/400,1)+D85)*Assumptions!$K$45+SUM(D111:D111)/Assumptions!$K$44</f>
        <v>0</v>
      </c>
      <c r="E120" s="108">
        <f>E102*Assumptions!$K$28/24</f>
        <v>49.15384615384616</v>
      </c>
      <c r="F120" s="108">
        <f>F102*Assumptions!$K$28/24</f>
        <v>123.79723432671558</v>
      </c>
      <c r="G120" s="108">
        <f>G102*Assumptions!$K$28/24</f>
        <v>139.34613853503188</v>
      </c>
      <c r="H120" s="108">
        <f>H102*Assumptions!$K$28/24</f>
        <v>148.37937636761487</v>
      </c>
      <c r="I120" s="108">
        <f>I102*Assumptions!$K$28/24</f>
        <v>112.95703367072919</v>
      </c>
      <c r="J120" s="108">
        <f>J102*Assumptions!$K$28/24</f>
        <v>136.04156354482024</v>
      </c>
      <c r="K120" s="108">
        <f>K102*Assumptions!$K$28/24</f>
        <v>221.05710549258936</v>
      </c>
      <c r="L120" s="108">
        <f>L102*Assumptions!$K$28/24</f>
        <v>130.87852395239494</v>
      </c>
      <c r="M120" s="108">
        <f>M102*Assumptions!$K$28/24</f>
        <v>85.427764271482019</v>
      </c>
      <c r="N120" s="108">
        <f>N102*Assumptions!$K$28/24</f>
        <v>112.01681912546702</v>
      </c>
      <c r="O120" s="108">
        <f>O102*Assumptions!$K$28/24</f>
        <v>128.33333333333334</v>
      </c>
      <c r="P120" s="108">
        <f>P102*Assumptions!$K$28/24</f>
        <v>143.61405978381387</v>
      </c>
      <c r="Q120" s="108">
        <f>Q102*Assumptions!$K$28/24</f>
        <v>128.33333333333331</v>
      </c>
      <c r="R120" s="115"/>
    </row>
    <row r="121" spans="2:18" ht="15.5" x14ac:dyDescent="0.35">
      <c r="B121" s="179" t="s">
        <v>141</v>
      </c>
      <c r="C121" s="179"/>
      <c r="D121" s="180"/>
      <c r="E121" s="180"/>
      <c r="F121" s="180"/>
      <c r="G121" s="180"/>
      <c r="H121" s="180"/>
      <c r="I121" s="180"/>
      <c r="J121" s="180"/>
      <c r="K121" s="180"/>
      <c r="L121" s="188"/>
      <c r="M121" s="180"/>
      <c r="N121" s="180"/>
      <c r="O121" s="180"/>
      <c r="P121" s="180"/>
      <c r="Q121" s="180"/>
      <c r="R121" s="181"/>
    </row>
    <row r="122" spans="2:18" ht="15.5" x14ac:dyDescent="0.35">
      <c r="B122" s="116" t="s">
        <v>121</v>
      </c>
      <c r="C122" s="116"/>
      <c r="D122" s="183">
        <f>ROUNDUP(D113/(Assumptions!$C$36*365),0)</f>
        <v>0</v>
      </c>
      <c r="E122" s="183">
        <f>ROUNDUP(E113/(Assumptions!$C$36*365),0)</f>
        <v>1</v>
      </c>
      <c r="F122" s="183">
        <f>ROUNDUP(F113/(Assumptions!$C$36*365),0)</f>
        <v>1</v>
      </c>
      <c r="G122" s="183">
        <f>ROUNDUP(G113/(Assumptions!$C$36*365),0)</f>
        <v>1</v>
      </c>
      <c r="H122" s="183">
        <f>ROUNDUP(H113/(Assumptions!$C$36*365),0)</f>
        <v>1</v>
      </c>
      <c r="I122" s="183">
        <f>ROUNDUP(I113/(Assumptions!$C$36*365),0)</f>
        <v>1</v>
      </c>
      <c r="J122" s="183">
        <f>ROUNDUP(J113/(Assumptions!$C$36*365),0)</f>
        <v>1</v>
      </c>
      <c r="K122" s="183">
        <f>ROUNDUP(K113/(Assumptions!$C$36*365),0)</f>
        <v>1</v>
      </c>
      <c r="L122" s="186">
        <f>ROUNDUP(L113/(Assumptions!$C$36*365),0)</f>
        <v>1</v>
      </c>
      <c r="M122" s="183">
        <f>ROUNDUP(M113/(Assumptions!$C$36*365),0)</f>
        <v>0</v>
      </c>
      <c r="N122" s="183">
        <f>ROUNDUP(N113/(Assumptions!$C$36*365),0)</f>
        <v>0</v>
      </c>
      <c r="O122" s="183">
        <f>ROUNDUP(O113/(Assumptions!$C$36*365),0)</f>
        <v>0</v>
      </c>
      <c r="P122" s="183">
        <f>ROUNDUP(P113/(Assumptions!$C$36*365),0)</f>
        <v>0</v>
      </c>
      <c r="Q122" s="183">
        <f>ROUNDUP(Q113/(Assumptions!$C$36*365),0)</f>
        <v>0</v>
      </c>
      <c r="R122" s="115"/>
    </row>
    <row r="123" spans="2:18" ht="15.5" x14ac:dyDescent="0.35">
      <c r="B123" s="116" t="s">
        <v>122</v>
      </c>
      <c r="C123" s="116"/>
      <c r="D123" s="183">
        <f>ROUNDUP(D114/(Assumptions!$C$36*365),0)</f>
        <v>0</v>
      </c>
      <c r="E123" s="183">
        <f>ROUNDUP(E114/(Assumptions!$C$36*365),0)</f>
        <v>0</v>
      </c>
      <c r="F123" s="183">
        <f>ROUNDUP(F114/(Assumptions!$C$36*365),0)</f>
        <v>1</v>
      </c>
      <c r="G123" s="183">
        <f>ROUNDUP(G114/(Assumptions!$C$36*365),0)</f>
        <v>1</v>
      </c>
      <c r="H123" s="183">
        <f>ROUNDUP(H114/(Assumptions!$C$36*365),0)</f>
        <v>1</v>
      </c>
      <c r="I123" s="183">
        <f>ROUNDUP(I114/(Assumptions!$C$36*365),0)</f>
        <v>1</v>
      </c>
      <c r="J123" s="183">
        <f>ROUNDUP(J114/(Assumptions!$C$36*365),0)</f>
        <v>1</v>
      </c>
      <c r="K123" s="183">
        <f>ROUNDUP(K114/(Assumptions!$C$36*365),0)</f>
        <v>1</v>
      </c>
      <c r="L123" s="186">
        <f>ROUNDUP(L114/(Assumptions!$C$36*365),0)</f>
        <v>1</v>
      </c>
      <c r="M123" s="183">
        <f>ROUNDUP(M114/(Assumptions!$C$36*365),0)</f>
        <v>1</v>
      </c>
      <c r="N123" s="183">
        <f>ROUNDUP(N114/(Assumptions!$C$36*365),0)</f>
        <v>1</v>
      </c>
      <c r="O123" s="183">
        <f>ROUNDUP(O114/(Assumptions!$C$36*365),0)</f>
        <v>1</v>
      </c>
      <c r="P123" s="183">
        <f>ROUNDUP(P114/(Assumptions!$C$36*365),0)</f>
        <v>1</v>
      </c>
      <c r="Q123" s="183">
        <f>ROUNDUP(Q114/(Assumptions!$C$36*365),0)</f>
        <v>1</v>
      </c>
      <c r="R123" s="115"/>
    </row>
    <row r="124" spans="2:18" ht="15.5" x14ac:dyDescent="0.35">
      <c r="B124" s="116" t="s">
        <v>123</v>
      </c>
      <c r="C124" s="116"/>
      <c r="D124" s="183">
        <f>ROUNDUP(D115/(Assumptions!$C$36*365),0)</f>
        <v>0</v>
      </c>
      <c r="E124" s="183">
        <f>ROUNDUP(E115/(Assumptions!$C$36*365),0)</f>
        <v>0</v>
      </c>
      <c r="F124" s="183">
        <f>ROUNDUP(F115/(Assumptions!$C$36*365),0)</f>
        <v>0</v>
      </c>
      <c r="G124" s="183">
        <f>ROUNDUP(G115/(Assumptions!$C$36*365),0)</f>
        <v>0</v>
      </c>
      <c r="H124" s="183">
        <f>ROUNDUP(H115/(Assumptions!$C$36*365),0)</f>
        <v>0</v>
      </c>
      <c r="I124" s="183">
        <f>ROUNDUP(I115/(Assumptions!$C$36*365),0)</f>
        <v>0</v>
      </c>
      <c r="J124" s="183">
        <f>ROUNDUP(J115/(Assumptions!$C$36*365),0)</f>
        <v>0</v>
      </c>
      <c r="K124" s="183">
        <f>ROUNDUP(K115/(Assumptions!$C$36*365),0)</f>
        <v>0</v>
      </c>
      <c r="L124" s="186">
        <f>ROUNDUP(L115/(Assumptions!$C$36*365),0)</f>
        <v>0</v>
      </c>
      <c r="M124" s="183">
        <f>ROUNDUP(M115/(Assumptions!$C$36*365),0)</f>
        <v>1</v>
      </c>
      <c r="N124" s="183">
        <f>ROUNDUP(N115/(Assumptions!$C$36*365),0)</f>
        <v>1</v>
      </c>
      <c r="O124" s="183">
        <f>ROUNDUP(O115/(Assumptions!$C$36*365),0)</f>
        <v>1</v>
      </c>
      <c r="P124" s="183">
        <f>ROUNDUP(P115/(Assumptions!$C$36*365),0)</f>
        <v>1</v>
      </c>
      <c r="Q124" s="183">
        <f>ROUNDUP(Q115/(Assumptions!$C$36*365),0)</f>
        <v>1</v>
      </c>
      <c r="R124" s="115"/>
    </row>
    <row r="125" spans="2:18" ht="15.5" x14ac:dyDescent="0.35">
      <c r="B125" s="116" t="s">
        <v>140</v>
      </c>
      <c r="C125" s="116"/>
      <c r="D125" s="183">
        <f>ROUNDUP(D116/(Assumptions!$C$36*365),0)</f>
        <v>0</v>
      </c>
      <c r="E125" s="183">
        <f>ROUNDUP(E116/(Assumptions!$C$36*365),0)</f>
        <v>1</v>
      </c>
      <c r="F125" s="183">
        <f>ROUNDUP(F116/(Assumptions!$C$36*365),0)</f>
        <v>1</v>
      </c>
      <c r="G125" s="183">
        <f>ROUNDUP(G116/(Assumptions!$C$36*365),0)</f>
        <v>1</v>
      </c>
      <c r="H125" s="183">
        <f>ROUNDUP(H116/(Assumptions!$C$36*365),0)</f>
        <v>1</v>
      </c>
      <c r="I125" s="183">
        <f>ROUNDUP(I116/(Assumptions!$C$36*365),0)</f>
        <v>1</v>
      </c>
      <c r="J125" s="183">
        <f>ROUNDUP(J116/(Assumptions!$C$36*365),0)</f>
        <v>1</v>
      </c>
      <c r="K125" s="183">
        <f>ROUNDUP(K116/(Assumptions!$C$36*365),0)</f>
        <v>1</v>
      </c>
      <c r="L125" s="186">
        <f>ROUNDUP(L116/(Assumptions!$C$36*365),0)</f>
        <v>1</v>
      </c>
      <c r="M125" s="183">
        <f>ROUNDUP(M116/(Assumptions!$C$36*365),0)</f>
        <v>1</v>
      </c>
      <c r="N125" s="183">
        <f>ROUNDUP(N116/(Assumptions!$C$36*365),0)</f>
        <v>1</v>
      </c>
      <c r="O125" s="183">
        <f>ROUNDUP(O116/(Assumptions!$C$36*365),0)</f>
        <v>1</v>
      </c>
      <c r="P125" s="183">
        <f>ROUNDUP(P116/(Assumptions!$C$36*365),0)</f>
        <v>1</v>
      </c>
      <c r="Q125" s="183">
        <f>ROUNDUP(Q116/(Assumptions!$C$36*365),0)</f>
        <v>1</v>
      </c>
      <c r="R125" s="115"/>
    </row>
    <row r="126" spans="2:18" ht="15.5" x14ac:dyDescent="0.35">
      <c r="B126" s="189" t="s">
        <v>149</v>
      </c>
      <c r="C126" s="125"/>
      <c r="D126" s="124">
        <f>SUM(D122:D125)</f>
        <v>0</v>
      </c>
      <c r="E126" s="124">
        <f t="shared" ref="E126:Q126" si="17">SUM(E122:E125)</f>
        <v>2</v>
      </c>
      <c r="F126" s="124">
        <f t="shared" si="17"/>
        <v>3</v>
      </c>
      <c r="G126" s="124">
        <f t="shared" si="17"/>
        <v>3</v>
      </c>
      <c r="H126" s="124">
        <f t="shared" si="17"/>
        <v>3</v>
      </c>
      <c r="I126" s="124">
        <f>SUM(I122:I125)</f>
        <v>3</v>
      </c>
      <c r="J126" s="124">
        <f t="shared" si="17"/>
        <v>3</v>
      </c>
      <c r="K126" s="124">
        <f t="shared" si="17"/>
        <v>3</v>
      </c>
      <c r="L126" s="190">
        <f t="shared" si="17"/>
        <v>3</v>
      </c>
      <c r="M126" s="124">
        <f t="shared" si="17"/>
        <v>3</v>
      </c>
      <c r="N126" s="124">
        <f t="shared" si="17"/>
        <v>3</v>
      </c>
      <c r="O126" s="124">
        <f t="shared" si="17"/>
        <v>3</v>
      </c>
      <c r="P126" s="124">
        <f t="shared" si="17"/>
        <v>3</v>
      </c>
      <c r="Q126" s="124">
        <f t="shared" si="17"/>
        <v>3</v>
      </c>
      <c r="R126" s="191"/>
    </row>
    <row r="127" spans="2:18" ht="15.5" x14ac:dyDescent="0.35">
      <c r="B127" s="105"/>
      <c r="C127" s="106"/>
      <c r="D127" s="107"/>
      <c r="E127" s="108">
        <f>ROUNDUP(E117/(Assumptions!$C$36*365),0)</f>
        <v>1</v>
      </c>
      <c r="F127" s="108">
        <f>ROUNDUP(F117/(Assumptions!$C$36*365),0)</f>
        <v>2</v>
      </c>
      <c r="G127" s="108">
        <f>ROUNDUP(G117/(Assumptions!$C$36*365),0)</f>
        <v>2</v>
      </c>
      <c r="H127" s="108">
        <f>ROUNDUP(H117/(Assumptions!$C$36*365),0)</f>
        <v>2</v>
      </c>
      <c r="I127" s="108">
        <f>ROUNDUP(I117/(Assumptions!$C$36*365),0)</f>
        <v>2</v>
      </c>
      <c r="J127" s="108">
        <f>ROUNDUP(J117/(Assumptions!$C$36*365),0)</f>
        <v>2</v>
      </c>
      <c r="K127" s="108">
        <f>ROUNDUP(K117/(Assumptions!$C$36*365),0)</f>
        <v>2</v>
      </c>
      <c r="L127" s="108">
        <f>ROUNDUP(L117/(Assumptions!$C$36*365),0)</f>
        <v>2</v>
      </c>
      <c r="M127" s="108">
        <f>ROUNDUP(M117/(Assumptions!$C$36*365),0)</f>
        <v>2</v>
      </c>
      <c r="N127" s="108">
        <f>ROUNDUP(N117/(Assumptions!$C$36*365),0)</f>
        <v>2</v>
      </c>
      <c r="O127" s="108">
        <f>ROUNDUP(O117/(Assumptions!$C$36*365),0)</f>
        <v>2</v>
      </c>
      <c r="P127" s="108">
        <f>ROUNDUP(P117/(Assumptions!$C$36*365),0)</f>
        <v>2</v>
      </c>
      <c r="Q127" s="108">
        <f>ROUNDUP(Q117/(Assumptions!$C$36*365),0)</f>
        <v>2</v>
      </c>
      <c r="R127" s="113"/>
    </row>
    <row r="128" spans="2:18" ht="15.5" x14ac:dyDescent="0.35">
      <c r="B128" s="116" t="s">
        <v>138</v>
      </c>
      <c r="C128" s="116"/>
      <c r="D128" s="183">
        <f>ROUNDUP(D118/(Assumptions!$C$36*365),0)</f>
        <v>0</v>
      </c>
      <c r="E128" s="183">
        <f>ROUNDUP(E118/(Assumptions!$C$36*365),0)</f>
        <v>1</v>
      </c>
      <c r="F128" s="183">
        <f>ROUNDUP(F118/(Assumptions!$C$36*365),0)</f>
        <v>1</v>
      </c>
      <c r="G128" s="183">
        <f>ROUNDUP(G118/(Assumptions!$C$36*365),0)</f>
        <v>1</v>
      </c>
      <c r="H128" s="183">
        <f>ROUNDUP(H118/(Assumptions!$C$36*365),0)</f>
        <v>1</v>
      </c>
      <c r="I128" s="183">
        <f>ROUNDUP(I118/(Assumptions!$C$36*365),0)</f>
        <v>1</v>
      </c>
      <c r="J128" s="183">
        <f>ROUNDUP(J118/(Assumptions!$C$36*365),0)</f>
        <v>1</v>
      </c>
      <c r="K128" s="183">
        <f>ROUNDUP(K118/(Assumptions!$C$36*365),0)</f>
        <v>1</v>
      </c>
      <c r="L128" s="186">
        <f>ROUNDUP(L118/(Assumptions!$C$36*365),0)</f>
        <v>1</v>
      </c>
      <c r="M128" s="183">
        <f>ROUNDUP(M118/(Assumptions!$C$36*365),0)</f>
        <v>1</v>
      </c>
      <c r="N128" s="183">
        <f>ROUNDUP(N118/(Assumptions!$C$36*365),0)</f>
        <v>1</v>
      </c>
      <c r="O128" s="183">
        <f>ROUNDUP(O118/(Assumptions!$C$36*365),0)</f>
        <v>1</v>
      </c>
      <c r="P128" s="183">
        <f>ROUNDUP(P118/(Assumptions!$C$36*365),0)</f>
        <v>1</v>
      </c>
      <c r="Q128" s="183">
        <f>ROUNDUP(Q118/(Assumptions!$C$36*365),0)</f>
        <v>1</v>
      </c>
      <c r="R128" s="115"/>
    </row>
    <row r="129" spans="2:18" ht="15.5" x14ac:dyDescent="0.35">
      <c r="B129" s="116" t="s">
        <v>142</v>
      </c>
      <c r="C129" s="116"/>
      <c r="D129" s="183">
        <f>D126*2</f>
        <v>0</v>
      </c>
      <c r="E129" s="183">
        <f t="shared" ref="E129:Q129" si="18">E126*2</f>
        <v>4</v>
      </c>
      <c r="F129" s="183">
        <f t="shared" si="18"/>
        <v>6</v>
      </c>
      <c r="G129" s="183">
        <f t="shared" si="18"/>
        <v>6</v>
      </c>
      <c r="H129" s="183">
        <f t="shared" si="18"/>
        <v>6</v>
      </c>
      <c r="I129" s="183">
        <f t="shared" si="18"/>
        <v>6</v>
      </c>
      <c r="J129" s="183">
        <f t="shared" si="18"/>
        <v>6</v>
      </c>
      <c r="K129" s="183">
        <f t="shared" si="18"/>
        <v>6</v>
      </c>
      <c r="L129" s="186">
        <f t="shared" si="18"/>
        <v>6</v>
      </c>
      <c r="M129" s="183">
        <f t="shared" si="18"/>
        <v>6</v>
      </c>
      <c r="N129" s="183">
        <f t="shared" si="18"/>
        <v>6</v>
      </c>
      <c r="O129" s="183">
        <f t="shared" si="18"/>
        <v>6</v>
      </c>
      <c r="P129" s="183">
        <f t="shared" si="18"/>
        <v>6</v>
      </c>
      <c r="Q129" s="183">
        <f t="shared" si="18"/>
        <v>6</v>
      </c>
      <c r="R129" s="115"/>
    </row>
    <row r="130" spans="2:18" ht="15.5" x14ac:dyDescent="0.35">
      <c r="B130" s="116" t="s">
        <v>179</v>
      </c>
      <c r="C130" s="116"/>
      <c r="D130" s="183">
        <v>0</v>
      </c>
      <c r="E130" s="183">
        <f>E$84*Assumptions!$K$35+D$84*Assumptions!$K$36+SUM($C$84:C$84)*Assumptions!$K$37+Assumptions!$K$38</f>
        <v>6</v>
      </c>
      <c r="F130" s="183">
        <f>F$84*Assumptions!$K$35+E$84*Assumptions!$K$36+SUM($C$84:D$84)*Assumptions!$K$37+Assumptions!$K$38</f>
        <v>12</v>
      </c>
      <c r="G130" s="183">
        <f>G$84*Assumptions!$K$35+F$84*Assumptions!$K$36+SUM($C$84:E$84)*Assumptions!$K$37+Assumptions!$K$38</f>
        <v>16</v>
      </c>
      <c r="H130" s="183">
        <f>H$84*Assumptions!$K$35+G$84*Assumptions!$K$36+SUM($C$84:F$84)*Assumptions!$K$37+Assumptions!$K$38</f>
        <v>19</v>
      </c>
      <c r="I130" s="183">
        <f>I$84*Assumptions!$K$35+H$84*Assumptions!$K$36+SUM($C$84:G$84)*Assumptions!$K$37+Assumptions!$K$38</f>
        <v>22</v>
      </c>
      <c r="J130" s="183">
        <f>J$84*Assumptions!$K$35+I$84*Assumptions!$K$36+SUM($C$84:H$84)*Assumptions!$K$37+Assumptions!$K$38</f>
        <v>25</v>
      </c>
      <c r="K130" s="183">
        <f>K$84*Assumptions!$K$35+J$84*Assumptions!$K$36+SUM($C$84:I$84)*Assumptions!$K$37+Assumptions!$K$38</f>
        <v>28</v>
      </c>
      <c r="L130" s="183">
        <f>L$84*Assumptions!$K$35+K$84*Assumptions!$K$36+SUM($C$84:J$84)*Assumptions!$K$37+Assumptions!$K$38</f>
        <v>29</v>
      </c>
      <c r="M130" s="183">
        <f>M$84*Assumptions!$K$35+L$84*Assumptions!$K$36+SUM($C$84:K$84)*Assumptions!$K$37+Assumptions!$K$38</f>
        <v>32</v>
      </c>
      <c r="N130" s="183">
        <f>N$84*Assumptions!$K$35+M$84*Assumptions!$K$36+SUM($C$84:L$84)*Assumptions!$K$37+Assumptions!$K$38</f>
        <v>36</v>
      </c>
      <c r="O130" s="183">
        <f>O$84*Assumptions!$K$35+N$84*Assumptions!$K$36+SUM($C$84:M$84)*Assumptions!$K$37+Assumptions!$K$38</f>
        <v>39</v>
      </c>
      <c r="P130" s="183">
        <f>P$84*Assumptions!$K$35+O$84*Assumptions!$K$36+SUM($C$84:N$84)*Assumptions!$K$37+Assumptions!$K$38</f>
        <v>42</v>
      </c>
      <c r="Q130" s="183">
        <f>Q$84*Assumptions!$K$35+P$84*Assumptions!$K$36+SUM($C$84:O$84)*Assumptions!$K$37+Assumptions!$K$38</f>
        <v>45</v>
      </c>
      <c r="R130" s="115">
        <f>Q130</f>
        <v>45</v>
      </c>
    </row>
    <row r="131" spans="2:18" ht="15.5" x14ac:dyDescent="0.35">
      <c r="B131" s="106" t="s">
        <v>343</v>
      </c>
      <c r="C131" s="106"/>
      <c r="D131" s="108">
        <v>0</v>
      </c>
      <c r="E131" s="108">
        <f>ROUNDUP((SUM($E86:E88)+D131)/Assumptions!$K$41,0)</f>
        <v>1</v>
      </c>
      <c r="F131" s="108">
        <f>ROUNDUP((SUM($E86:F88)+E131)/Assumptions!$K$41,0)</f>
        <v>1</v>
      </c>
      <c r="G131" s="108">
        <f>ROUNDUP((SUM($E86:G88)+F131)/Assumptions!$K$41,0)</f>
        <v>2</v>
      </c>
      <c r="H131" s="108">
        <f>ROUNDUP((SUM($E86:H88)+G131)/Assumptions!$K$41,0)</f>
        <v>3</v>
      </c>
      <c r="I131" s="108">
        <f>ROUNDUP((SUM($E86:I88)+H131)/Assumptions!$K$41,0)</f>
        <v>4</v>
      </c>
      <c r="J131" s="108">
        <f>ROUNDUP((SUM($E86:J88)+I131)/Assumptions!$K$41,0)</f>
        <v>4</v>
      </c>
      <c r="K131" s="108">
        <f>ROUNDUP((SUM($E86:K88)+J131)/Assumptions!$K$41,0)</f>
        <v>5</v>
      </c>
      <c r="L131" s="108">
        <f>ROUNDUP((SUM($E86:L88)+K131)/Assumptions!$K$41,0)</f>
        <v>6</v>
      </c>
      <c r="M131" s="108">
        <f>ROUNDUP((SUM($E86:M88)+L131)/Assumptions!$K$41,0)</f>
        <v>6</v>
      </c>
      <c r="N131" s="108">
        <f>ROUNDUP((SUM($E86:N88)+M131)/Assumptions!$K$41,0)</f>
        <v>7</v>
      </c>
      <c r="O131" s="108">
        <f>ROUNDUP((SUM($E86:O88)+N131)/Assumptions!$K$41,0)</f>
        <v>7</v>
      </c>
      <c r="P131" s="108">
        <f>ROUNDUP((SUM($E86:P88)+O131)/Assumptions!$K$41,0)</f>
        <v>8</v>
      </c>
      <c r="Q131" s="108">
        <f>ROUNDUP((SUM($E86:Q88)+P131)/Assumptions!$K$41,0)</f>
        <v>9</v>
      </c>
      <c r="R131" s="113">
        <f>Q131</f>
        <v>9</v>
      </c>
    </row>
    <row r="132" spans="2:18" ht="15.5" x14ac:dyDescent="0.35">
      <c r="B132" s="116" t="s">
        <v>195</v>
      </c>
      <c r="C132" s="116"/>
      <c r="D132" s="183">
        <f>ROUNDUP(D119/(Assumptions!$C$36*365),0)</f>
        <v>0</v>
      </c>
      <c r="E132" s="183">
        <f>ROUNDUP(E119/(Assumptions!$C$36*365),0)</f>
        <v>1</v>
      </c>
      <c r="F132" s="183">
        <f>ROUNDUP(F119/(Assumptions!$C$36*365),0)</f>
        <v>2</v>
      </c>
      <c r="G132" s="183">
        <f>ROUNDUP(G119/(Assumptions!$C$36*365),0)</f>
        <v>2</v>
      </c>
      <c r="H132" s="183">
        <f>ROUNDUP(H119/(Assumptions!$C$36*365),0)</f>
        <v>2</v>
      </c>
      <c r="I132" s="183">
        <f>ROUNDUP(I119/(Assumptions!$C$36*365),0)</f>
        <v>2</v>
      </c>
      <c r="J132" s="183">
        <f>ROUNDUP(J119/(Assumptions!$C$36*365),0)</f>
        <v>2</v>
      </c>
      <c r="K132" s="183">
        <f>ROUNDUP(K119/(Assumptions!$C$36*365),0)</f>
        <v>2</v>
      </c>
      <c r="L132" s="183">
        <f>ROUNDUP(L119/(Assumptions!$C$36*365),0)</f>
        <v>1</v>
      </c>
      <c r="M132" s="183">
        <f>ROUNDUP(M119/(Assumptions!$C$36*365),0)</f>
        <v>1</v>
      </c>
      <c r="N132" s="183">
        <f>ROUNDUP(N119/(Assumptions!$C$36*365),0)</f>
        <v>2</v>
      </c>
      <c r="O132" s="183">
        <f>ROUNDUP(O119/(Assumptions!$C$36*365),0)</f>
        <v>2</v>
      </c>
      <c r="P132" s="183">
        <f>ROUNDUP(P119/(Assumptions!$C$36*365),0)</f>
        <v>2</v>
      </c>
      <c r="Q132" s="183">
        <f>ROUNDUP(Q119/(Assumptions!$C$36*365),0)</f>
        <v>2</v>
      </c>
      <c r="R132" s="115">
        <f>R85*Assumptions!Y52+Q85*Assumptions!Y53+SUM($C85:P85)*Assumptions!Y54</f>
        <v>0</v>
      </c>
    </row>
    <row r="133" spans="2:18" ht="15.5" x14ac:dyDescent="0.35">
      <c r="B133" s="106" t="s">
        <v>305</v>
      </c>
      <c r="C133" s="106"/>
      <c r="D133" s="107"/>
      <c r="E133" s="108">
        <f>ROUNDUP(E120/(Assumptions!$C$36*365),0)</f>
        <v>1</v>
      </c>
      <c r="F133" s="108">
        <f>ROUNDUP(F120/(Assumptions!$C$36*365),0)</f>
        <v>1</v>
      </c>
      <c r="G133" s="108">
        <f>ROUNDUP(G120/(Assumptions!$C$36*365),0)</f>
        <v>1</v>
      </c>
      <c r="H133" s="108">
        <f>ROUNDUP(H120/(Assumptions!$C$36*365),0)</f>
        <v>1</v>
      </c>
      <c r="I133" s="108">
        <f>ROUNDUP(I120/(Assumptions!$C$36*365),0)</f>
        <v>1</v>
      </c>
      <c r="J133" s="108">
        <f>ROUNDUP(J120/(Assumptions!$C$36*365),0)</f>
        <v>1</v>
      </c>
      <c r="K133" s="108">
        <f>ROUNDUP(K120/(Assumptions!$C$36*365),0)</f>
        <v>1</v>
      </c>
      <c r="L133" s="108">
        <f>ROUNDUP(L120/(Assumptions!$C$36*365),0)</f>
        <v>1</v>
      </c>
      <c r="M133" s="108">
        <f>ROUNDUP(M120/(Assumptions!$C$36*365),0)</f>
        <v>1</v>
      </c>
      <c r="N133" s="108">
        <f>ROUNDUP(N120/(Assumptions!$C$36*365),0)</f>
        <v>1</v>
      </c>
      <c r="O133" s="108">
        <f>ROUNDUP(O120/(Assumptions!$C$36*365),0)</f>
        <v>1</v>
      </c>
      <c r="P133" s="108">
        <f>ROUNDUP(P120/(Assumptions!$C$36*365),0)</f>
        <v>1</v>
      </c>
      <c r="Q133" s="108">
        <f>ROUNDUP(Q120/(Assumptions!$C$36*365),0)</f>
        <v>1</v>
      </c>
      <c r="R133" s="114"/>
    </row>
    <row r="134" spans="2:18" ht="15.5" x14ac:dyDescent="0.35">
      <c r="B134" s="116"/>
      <c r="C134" s="116"/>
      <c r="D134" s="116"/>
      <c r="E134" s="116"/>
      <c r="F134" s="116"/>
      <c r="G134" s="116"/>
      <c r="H134" s="116"/>
      <c r="I134" s="116"/>
      <c r="J134" s="116"/>
      <c r="K134" s="116"/>
      <c r="L134" s="116"/>
      <c r="M134" s="116"/>
      <c r="N134" s="116"/>
      <c r="O134" s="116"/>
      <c r="P134" s="116"/>
      <c r="Q134" s="116"/>
      <c r="R134" s="116"/>
    </row>
    <row r="135" spans="2:18" ht="15.5" x14ac:dyDescent="0.35">
      <c r="B135" s="116"/>
      <c r="C135" s="116"/>
      <c r="D135" s="116"/>
      <c r="E135" s="116"/>
      <c r="F135" s="116"/>
      <c r="G135" s="116"/>
      <c r="H135" s="116"/>
      <c r="I135" s="116"/>
      <c r="J135" s="116"/>
      <c r="K135" s="116"/>
      <c r="L135" s="116"/>
      <c r="M135" s="116"/>
      <c r="N135" s="116"/>
      <c r="O135" s="116"/>
      <c r="P135" s="116"/>
      <c r="Q135" s="116"/>
      <c r="R135" s="116"/>
    </row>
    <row r="136" spans="2:18" ht="15.5" x14ac:dyDescent="0.35">
      <c r="B136" s="116" t="s">
        <v>185</v>
      </c>
      <c r="C136" s="116"/>
      <c r="D136" s="116"/>
      <c r="E136" s="116"/>
      <c r="F136" s="116"/>
      <c r="G136" s="116"/>
      <c r="H136" s="116"/>
      <c r="I136" s="116"/>
      <c r="J136" s="116"/>
      <c r="K136" s="116"/>
      <c r="L136" s="116"/>
      <c r="M136" s="116"/>
      <c r="N136" s="116"/>
      <c r="O136" s="116"/>
      <c r="P136" s="116"/>
      <c r="Q136" s="116"/>
      <c r="R136" s="116"/>
    </row>
    <row r="137" spans="2:18" ht="15.5" x14ac:dyDescent="0.35">
      <c r="B137" s="179" t="s">
        <v>186</v>
      </c>
      <c r="C137" s="179"/>
      <c r="D137" s="179"/>
      <c r="E137" s="179"/>
      <c r="F137" s="179"/>
      <c r="G137" s="179"/>
      <c r="H137" s="179"/>
      <c r="I137" s="179"/>
      <c r="J137" s="179"/>
      <c r="K137" s="179"/>
      <c r="L137" s="179"/>
      <c r="M137" s="179"/>
      <c r="N137" s="179"/>
      <c r="O137" s="179"/>
      <c r="P137" s="179"/>
      <c r="Q137" s="179"/>
      <c r="R137" s="179"/>
    </row>
    <row r="138" spans="2:18" ht="15.5" x14ac:dyDescent="0.35">
      <c r="B138" s="116">
        <v>12</v>
      </c>
      <c r="C138" s="116"/>
      <c r="D138" s="115"/>
      <c r="E138" s="115">
        <f>Assumptions!$E$11/$B138*Assumptions!$F$11</f>
        <v>55</v>
      </c>
      <c r="F138" s="115">
        <f>Assumptions!$E$11/$B138/2*IF(Assumptions!F11*2&gt;1,1,Assumptions!F11*2)</f>
        <v>55</v>
      </c>
      <c r="G138" s="115">
        <f>Assumptions!$E$11/$B138/2</f>
        <v>83.333333333333329</v>
      </c>
      <c r="H138" s="115">
        <f>Assumptions!$E$11/$B138/2</f>
        <v>83.333333333333329</v>
      </c>
      <c r="I138" s="115">
        <f>Assumptions!$E$11/$B138/2</f>
        <v>83.333333333333329</v>
      </c>
      <c r="J138" s="115">
        <f>Assumptions!$E$11/$B138/2</f>
        <v>83.333333333333329</v>
      </c>
      <c r="K138" s="115">
        <f>Assumptions!$E$11/$B138/2</f>
        <v>83.333333333333329</v>
      </c>
      <c r="L138" s="115">
        <f>Assumptions!$E$11/$B138/2</f>
        <v>83.333333333333329</v>
      </c>
      <c r="M138" s="115"/>
      <c r="N138" s="115"/>
      <c r="O138" s="115"/>
      <c r="P138" s="115"/>
      <c r="Q138" s="115"/>
      <c r="R138" s="116"/>
    </row>
    <row r="139" spans="2:18" ht="15.5" x14ac:dyDescent="0.35">
      <c r="B139" s="116">
        <v>15</v>
      </c>
      <c r="C139" s="116"/>
      <c r="D139" s="115"/>
      <c r="E139" s="115"/>
      <c r="F139" s="115">
        <f>Assumptions!$E$11/$B139/2</f>
        <v>66.666666666666671</v>
      </c>
      <c r="G139" s="115">
        <f>Assumptions!$E$11/$B139/2</f>
        <v>66.666666666666671</v>
      </c>
      <c r="H139" s="115">
        <f>Assumptions!$E$11/$B139/2</f>
        <v>66.666666666666671</v>
      </c>
      <c r="I139" s="115">
        <f>Assumptions!$E$11/$B139/2</f>
        <v>66.666666666666671</v>
      </c>
      <c r="J139" s="115">
        <f>Assumptions!$E$11/$B139/2</f>
        <v>66.666666666666671</v>
      </c>
      <c r="K139" s="115">
        <f>Assumptions!$E$11/$B139/2</f>
        <v>66.666666666666671</v>
      </c>
      <c r="L139" s="115">
        <f>Assumptions!$E$11/$B139/2</f>
        <v>66.666666666666671</v>
      </c>
      <c r="M139" s="115">
        <f>Assumptions!$E$11/$B139/2</f>
        <v>66.666666666666671</v>
      </c>
      <c r="N139" s="115">
        <f>Assumptions!$E$11/$B139/2</f>
        <v>66.666666666666671</v>
      </c>
      <c r="O139" s="115">
        <f>Assumptions!$E$11/$B139/2</f>
        <v>66.666666666666671</v>
      </c>
      <c r="P139" s="115">
        <f>Assumptions!$E$11/$B139/2</f>
        <v>66.666666666666671</v>
      </c>
      <c r="Q139" s="115">
        <f>Assumptions!$E$11/$B139/2</f>
        <v>66.666666666666671</v>
      </c>
      <c r="R139" s="116"/>
    </row>
    <row r="140" spans="2:18" ht="15.5" x14ac:dyDescent="0.35">
      <c r="B140" s="116">
        <v>18</v>
      </c>
      <c r="C140" s="116"/>
      <c r="D140" s="115"/>
      <c r="E140" s="115"/>
      <c r="F140" s="115"/>
      <c r="G140" s="115"/>
      <c r="H140" s="115"/>
      <c r="I140" s="115"/>
      <c r="J140" s="115"/>
      <c r="K140" s="115"/>
      <c r="L140" s="115"/>
      <c r="M140" s="115">
        <f>Assumptions!$E$11/$B140/2</f>
        <v>55.555555555555557</v>
      </c>
      <c r="N140" s="115">
        <f>Assumptions!$E$11/$B140/2</f>
        <v>55.555555555555557</v>
      </c>
      <c r="O140" s="115">
        <f>Assumptions!$E$11/$B140/2</f>
        <v>55.555555555555557</v>
      </c>
      <c r="P140" s="115">
        <f>Assumptions!$E$11/$B140/2</f>
        <v>55.555555555555557</v>
      </c>
      <c r="Q140" s="115">
        <f>Assumptions!$E$11/$B140/2</f>
        <v>55.555555555555557</v>
      </c>
      <c r="R140" s="116"/>
    </row>
    <row r="141" spans="2:18" ht="15.5" x14ac:dyDescent="0.35">
      <c r="B141" s="116"/>
      <c r="C141" s="116"/>
      <c r="D141" s="116"/>
      <c r="E141" s="116"/>
      <c r="F141" s="115"/>
      <c r="G141" s="115"/>
      <c r="H141" s="115"/>
      <c r="I141" s="115"/>
      <c r="J141" s="115"/>
      <c r="K141" s="115"/>
      <c r="L141" s="115"/>
      <c r="M141" s="115"/>
      <c r="N141" s="115"/>
      <c r="O141" s="115"/>
      <c r="P141" s="115"/>
      <c r="Q141" s="115"/>
      <c r="R141" s="116"/>
    </row>
    <row r="142" spans="2:18" ht="15.5" x14ac:dyDescent="0.35">
      <c r="B142" s="116"/>
      <c r="C142" s="116"/>
      <c r="D142" s="116"/>
      <c r="E142" s="116"/>
      <c r="F142" s="116"/>
      <c r="G142" s="116"/>
      <c r="H142" s="116"/>
      <c r="I142" s="116"/>
      <c r="J142" s="116"/>
      <c r="K142" s="116"/>
      <c r="L142" s="116"/>
      <c r="M142" s="116"/>
      <c r="N142" s="116"/>
      <c r="O142" s="116"/>
      <c r="P142" s="116"/>
      <c r="Q142" s="116"/>
      <c r="R142" s="116"/>
    </row>
    <row r="143" spans="2:18" ht="15.5" x14ac:dyDescent="0.35">
      <c r="B143" s="116"/>
      <c r="C143" s="116"/>
      <c r="D143" s="116"/>
      <c r="E143" s="116"/>
      <c r="F143" s="192"/>
      <c r="G143" s="192"/>
      <c r="H143" s="192"/>
      <c r="I143" s="192"/>
      <c r="J143" s="192"/>
      <c r="K143" s="192"/>
      <c r="L143" s="192"/>
      <c r="M143" s="192"/>
      <c r="N143" s="192"/>
      <c r="O143" s="192"/>
      <c r="P143" s="192"/>
      <c r="Q143" s="192"/>
      <c r="R143" s="116"/>
    </row>
    <row r="144" spans="2:18" ht="15.5" x14ac:dyDescent="0.35">
      <c r="B144" s="116"/>
      <c r="C144" s="116"/>
      <c r="D144" s="116"/>
      <c r="E144" s="116">
        <f>E138*$B138+E139*$B139+E140*$B140</f>
        <v>660</v>
      </c>
      <c r="F144" s="116">
        <f>F138*$B138+F139*$B139+F140*$B140</f>
        <v>1660</v>
      </c>
      <c r="G144" s="116">
        <f t="shared" ref="G144:Q144" si="19">G138*$B138+G139*$B139+G140*$B140</f>
        <v>2000</v>
      </c>
      <c r="H144" s="116">
        <f t="shared" si="19"/>
        <v>2000</v>
      </c>
      <c r="I144" s="116">
        <f t="shared" si="19"/>
        <v>2000</v>
      </c>
      <c r="J144" s="116">
        <f t="shared" si="19"/>
        <v>2000</v>
      </c>
      <c r="K144" s="116">
        <f t="shared" si="19"/>
        <v>2000</v>
      </c>
      <c r="L144" s="116">
        <f t="shared" si="19"/>
        <v>2000</v>
      </c>
      <c r="M144" s="116">
        <f t="shared" si="19"/>
        <v>2000</v>
      </c>
      <c r="N144" s="116">
        <f t="shared" si="19"/>
        <v>2000</v>
      </c>
      <c r="O144" s="116">
        <f t="shared" si="19"/>
        <v>2000</v>
      </c>
      <c r="P144" s="116">
        <f t="shared" si="19"/>
        <v>2000</v>
      </c>
      <c r="Q144" s="116">
        <f t="shared" si="19"/>
        <v>2000</v>
      </c>
      <c r="R144" s="116"/>
    </row>
    <row r="145" spans="2:18" ht="15.5" x14ac:dyDescent="0.35">
      <c r="B145" s="116"/>
      <c r="C145" s="116"/>
      <c r="D145" s="116"/>
      <c r="E145" s="116"/>
      <c r="F145" s="192"/>
      <c r="G145" s="192"/>
      <c r="H145" s="192"/>
      <c r="I145" s="192"/>
      <c r="J145" s="192"/>
      <c r="K145" s="192"/>
      <c r="L145" s="192"/>
      <c r="M145" s="192"/>
      <c r="N145" s="192"/>
      <c r="O145" s="192"/>
      <c r="P145" s="192"/>
      <c r="Q145" s="192"/>
      <c r="R145" s="116"/>
    </row>
    <row r="146" spans="2:18" ht="15.5" x14ac:dyDescent="0.35">
      <c r="B146" s="116"/>
      <c r="C146" s="116"/>
      <c r="D146" s="116"/>
      <c r="E146" s="116"/>
      <c r="F146" s="192"/>
      <c r="G146" s="192"/>
      <c r="H146" s="192"/>
      <c r="I146" s="192"/>
      <c r="J146" s="192"/>
      <c r="K146" s="192"/>
      <c r="L146" s="192"/>
      <c r="M146" s="192"/>
      <c r="N146" s="192"/>
      <c r="O146" s="192"/>
      <c r="P146" s="192"/>
      <c r="Q146" s="192"/>
      <c r="R146" s="116"/>
    </row>
  </sheetData>
  <conditionalFormatting sqref="D77:Q80">
    <cfRule type="colorScale" priority="87">
      <colorScale>
        <cfvo type="min"/>
        <cfvo type="max"/>
        <color rgb="FFFCFCFF"/>
        <color rgb="FF00B050"/>
      </colorScale>
    </cfRule>
  </conditionalFormatting>
  <conditionalFormatting sqref="C10:Q12">
    <cfRule type="colorScale" priority="36">
      <colorScale>
        <cfvo type="min"/>
        <cfvo type="max"/>
        <color theme="0"/>
        <color rgb="FF5D9732"/>
      </colorScale>
    </cfRule>
  </conditionalFormatting>
  <conditionalFormatting sqref="C18:Q20">
    <cfRule type="colorScale" priority="35">
      <colorScale>
        <cfvo type="min"/>
        <cfvo type="max"/>
        <color theme="0"/>
        <color rgb="FF5D9732"/>
      </colorScale>
    </cfRule>
  </conditionalFormatting>
  <conditionalFormatting sqref="C30:Q32">
    <cfRule type="colorScale" priority="34">
      <colorScale>
        <cfvo type="min"/>
        <cfvo type="max"/>
        <color theme="0"/>
        <color rgb="FF5D9732"/>
      </colorScale>
    </cfRule>
  </conditionalFormatting>
  <conditionalFormatting sqref="C34:Q35">
    <cfRule type="colorScale" priority="33">
      <colorScale>
        <cfvo type="min"/>
        <cfvo type="max"/>
        <color theme="0"/>
        <color rgb="FF5D9732"/>
      </colorScale>
    </cfRule>
  </conditionalFormatting>
  <conditionalFormatting sqref="C14:Q16">
    <cfRule type="colorScale" priority="32">
      <colorScale>
        <cfvo type="min"/>
        <cfvo type="max"/>
        <color theme="0"/>
        <color rgb="FF5D9732"/>
      </colorScale>
    </cfRule>
  </conditionalFormatting>
  <conditionalFormatting sqref="C22:Q24">
    <cfRule type="colorScale" priority="31">
      <colorScale>
        <cfvo type="min"/>
        <cfvo type="max"/>
        <color theme="0"/>
        <color rgb="FF5D9732"/>
      </colorScale>
    </cfRule>
  </conditionalFormatting>
  <conditionalFormatting sqref="C26:Q29">
    <cfRule type="colorScale" priority="30">
      <colorScale>
        <cfvo type="min"/>
        <cfvo type="max"/>
        <color theme="0"/>
        <color rgb="FF5D9732"/>
      </colorScale>
    </cfRule>
  </conditionalFormatting>
  <conditionalFormatting sqref="D67:Q67">
    <cfRule type="colorScale" priority="29">
      <colorScale>
        <cfvo type="min"/>
        <cfvo type="max"/>
        <color rgb="FFFCFCFF"/>
        <color rgb="FF00B050"/>
      </colorScale>
    </cfRule>
  </conditionalFormatting>
  <conditionalFormatting sqref="C50:Q52">
    <cfRule type="colorScale" priority="28">
      <colorScale>
        <cfvo type="min"/>
        <cfvo type="max"/>
        <color theme="0"/>
        <color rgb="FF5D9732"/>
      </colorScale>
    </cfRule>
  </conditionalFormatting>
  <conditionalFormatting sqref="Q58:Q60">
    <cfRule type="colorScale" priority="27">
      <colorScale>
        <cfvo type="min"/>
        <cfvo type="max"/>
        <color theme="0"/>
        <color rgb="FF00B050"/>
      </colorScale>
    </cfRule>
  </conditionalFormatting>
  <conditionalFormatting sqref="C68:Q68">
    <cfRule type="colorScale" priority="26">
      <colorScale>
        <cfvo type="min"/>
        <cfvo type="max"/>
        <color theme="0"/>
        <color rgb="FF5D9732"/>
      </colorScale>
    </cfRule>
  </conditionalFormatting>
  <conditionalFormatting sqref="C70:Q71">
    <cfRule type="colorScale" priority="25">
      <colorScale>
        <cfvo type="min"/>
        <cfvo type="max"/>
        <color theme="0"/>
        <color rgb="FF5D9732"/>
      </colorScale>
    </cfRule>
  </conditionalFormatting>
  <conditionalFormatting sqref="C46:Q48">
    <cfRule type="colorScale" priority="24">
      <colorScale>
        <cfvo type="min"/>
        <cfvo type="max"/>
        <color theme="0"/>
        <color rgb="FF5D9732"/>
      </colorScale>
    </cfRule>
  </conditionalFormatting>
  <conditionalFormatting sqref="C54:Q60">
    <cfRule type="colorScale" priority="23">
      <colorScale>
        <cfvo type="min"/>
        <cfvo type="max"/>
        <color theme="0"/>
        <color rgb="FF5D9732"/>
      </colorScale>
    </cfRule>
  </conditionalFormatting>
  <conditionalFormatting sqref="C62:Q65">
    <cfRule type="colorScale" priority="22">
      <colorScale>
        <cfvo type="min"/>
        <cfvo type="max"/>
        <color theme="0"/>
        <color rgb="FF5D9732"/>
      </colorScale>
    </cfRule>
  </conditionalFormatting>
  <conditionalFormatting sqref="C66:P66">
    <cfRule type="colorScale" priority="21">
      <colorScale>
        <cfvo type="min"/>
        <cfvo type="max"/>
        <color rgb="FFFCFCFF"/>
        <color rgb="FF5D9732"/>
      </colorScale>
    </cfRule>
  </conditionalFormatting>
  <conditionalFormatting sqref="D86:Q88">
    <cfRule type="colorScale" priority="20">
      <colorScale>
        <cfvo type="min"/>
        <cfvo type="max"/>
        <color theme="0"/>
        <color rgb="FF5D9732"/>
      </colorScale>
    </cfRule>
  </conditionalFormatting>
  <conditionalFormatting sqref="D90:Q92">
    <cfRule type="colorScale" priority="19">
      <colorScale>
        <cfvo type="min"/>
        <cfvo type="max"/>
        <color theme="0"/>
        <color rgb="FF5D9732"/>
      </colorScale>
    </cfRule>
  </conditionalFormatting>
  <conditionalFormatting sqref="D94:Q96">
    <cfRule type="colorScale" priority="18">
      <colorScale>
        <cfvo type="min"/>
        <cfvo type="max"/>
        <color theme="0"/>
        <color rgb="FF5D9732"/>
      </colorScale>
    </cfRule>
  </conditionalFormatting>
  <conditionalFormatting sqref="D98:Q100">
    <cfRule type="colorScale" priority="17">
      <colorScale>
        <cfvo type="min"/>
        <cfvo type="max"/>
        <color theme="0"/>
        <color rgb="FF5D9732"/>
      </colorScale>
    </cfRule>
  </conditionalFormatting>
  <conditionalFormatting sqref="D102:Q106">
    <cfRule type="colorScale" priority="15">
      <colorScale>
        <cfvo type="min"/>
        <cfvo type="max"/>
        <color theme="0"/>
        <color rgb="FF5D9732"/>
      </colorScale>
    </cfRule>
  </conditionalFormatting>
  <conditionalFormatting sqref="E107:Q107">
    <cfRule type="colorScale" priority="14">
      <colorScale>
        <cfvo type="min"/>
        <cfvo type="max"/>
        <color theme="0"/>
        <color rgb="FF5D9732"/>
      </colorScale>
    </cfRule>
  </conditionalFormatting>
  <conditionalFormatting sqref="D113:Q116 D118:Q119">
    <cfRule type="colorScale" priority="13">
      <colorScale>
        <cfvo type="min"/>
        <cfvo type="max"/>
        <color rgb="FFFCFCFF"/>
        <color rgb="FF5D9732"/>
      </colorScale>
    </cfRule>
  </conditionalFormatting>
  <conditionalFormatting sqref="D122:Q126 D128:Q128">
    <cfRule type="colorScale" priority="12">
      <colorScale>
        <cfvo type="min"/>
        <cfvo type="max"/>
        <color rgb="FFFCFCFF"/>
        <color rgb="FF5D9732"/>
      </colorScale>
    </cfRule>
  </conditionalFormatting>
  <conditionalFormatting sqref="E129:Q130 E132:Q132">
    <cfRule type="colorScale" priority="11">
      <colorScale>
        <cfvo type="min"/>
        <cfvo type="max"/>
        <color rgb="FFFCFCFF"/>
        <color rgb="FF5D9732"/>
      </colorScale>
    </cfRule>
  </conditionalFormatting>
  <conditionalFormatting sqref="E110:Q111">
    <cfRule type="colorScale" priority="10">
      <colorScale>
        <cfvo type="min"/>
        <cfvo type="max"/>
        <color theme="0"/>
        <color rgb="FF5D9732"/>
      </colorScale>
    </cfRule>
  </conditionalFormatting>
  <conditionalFormatting sqref="D108:Q108">
    <cfRule type="colorScale" priority="9">
      <colorScale>
        <cfvo type="min"/>
        <cfvo type="max"/>
        <color theme="0"/>
        <color rgb="FF5D9732"/>
      </colorScale>
    </cfRule>
  </conditionalFormatting>
  <conditionalFormatting sqref="D84:Q84">
    <cfRule type="colorScale" priority="8">
      <colorScale>
        <cfvo type="min"/>
        <cfvo type="max"/>
        <color theme="0"/>
        <color rgb="FF5D9732"/>
      </colorScale>
    </cfRule>
  </conditionalFormatting>
  <conditionalFormatting sqref="D117:Q117">
    <cfRule type="colorScale" priority="7">
      <colorScale>
        <cfvo type="min"/>
        <cfvo type="max"/>
        <color rgb="FFFCFCFF"/>
        <color rgb="FF5D9732"/>
      </colorScale>
    </cfRule>
  </conditionalFormatting>
  <conditionalFormatting sqref="D120:Q120">
    <cfRule type="colorScale" priority="6">
      <colorScale>
        <cfvo type="min"/>
        <cfvo type="max"/>
        <color rgb="FFFCFCFF"/>
        <color rgb="FF5D9732"/>
      </colorScale>
    </cfRule>
  </conditionalFormatting>
  <conditionalFormatting sqref="D127:Q127">
    <cfRule type="colorScale" priority="5">
      <colorScale>
        <cfvo type="min"/>
        <cfvo type="max"/>
        <color rgb="FFFCFCFF"/>
        <color rgb="FF5D9732"/>
      </colorScale>
    </cfRule>
  </conditionalFormatting>
  <conditionalFormatting sqref="E133:Q133">
    <cfRule type="colorScale" priority="4">
      <colorScale>
        <cfvo type="min"/>
        <cfvo type="max"/>
        <color rgb="FFFCFCFF"/>
        <color rgb="FF5D9732"/>
      </colorScale>
    </cfRule>
  </conditionalFormatting>
  <conditionalFormatting sqref="E133:Q133">
    <cfRule type="colorScale" priority="3">
      <colorScale>
        <cfvo type="min"/>
        <cfvo type="max"/>
        <color theme="0"/>
        <color rgb="FF5D9732"/>
      </colorScale>
    </cfRule>
  </conditionalFormatting>
  <conditionalFormatting sqref="D131:Q131">
    <cfRule type="colorScale" priority="1">
      <colorScale>
        <cfvo type="min"/>
        <cfvo type="max"/>
        <color theme="0"/>
        <color rgb="FF5D9732"/>
      </colorScale>
    </cfRule>
  </conditionalFormatting>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16EA06-1C0A-47CB-A8A4-086151A33B20}">
  <sheetPr codeName="Sheet21">
    <tabColor rgb="FF8CC63F"/>
  </sheetPr>
  <dimension ref="A1:S146"/>
  <sheetViews>
    <sheetView tabSelected="1" topLeftCell="A76" zoomScale="76" zoomScaleNormal="70" workbookViewId="0">
      <selection activeCell="D112" sqref="D112"/>
    </sheetView>
  </sheetViews>
  <sheetFormatPr defaultRowHeight="14.5" x14ac:dyDescent="0.35"/>
  <cols>
    <col min="2" max="2" width="18.453125" customWidth="1"/>
    <col min="3" max="3" width="8.6328125" hidden="1" customWidth="1"/>
    <col min="6" max="17" width="9.36328125" bestFit="1" customWidth="1"/>
  </cols>
  <sheetData>
    <row r="1" spans="1:19" x14ac:dyDescent="0.35">
      <c r="Q1" s="19"/>
      <c r="R1" s="19"/>
    </row>
    <row r="2" spans="1:19" x14ac:dyDescent="0.35">
      <c r="B2" s="7" t="str">
        <f xml:space="preserve"> CONCATENATE("GBF-UNC - Unconstrained scenario, with ",100*ROUND(A104,2),"% GBF Foundations.")</f>
        <v>GBF-UNC - Unconstrained scenario, with 33% GBF Foundations.</v>
      </c>
      <c r="Q2" s="19"/>
      <c r="R2" s="19"/>
    </row>
    <row r="3" spans="1:19" x14ac:dyDescent="0.35">
      <c r="Q3" s="19"/>
      <c r="R3" s="19"/>
    </row>
    <row r="4" spans="1:19" x14ac:dyDescent="0.35">
      <c r="Q4" s="19"/>
      <c r="R4" s="19"/>
    </row>
    <row r="5" spans="1:19" x14ac:dyDescent="0.35">
      <c r="C5" t="s">
        <v>105</v>
      </c>
    </row>
    <row r="6" spans="1:19" ht="21" x14ac:dyDescent="0.5">
      <c r="C6" s="81">
        <v>2021</v>
      </c>
      <c r="D6" s="81">
        <v>2022</v>
      </c>
      <c r="E6" s="81">
        <f t="shared" ref="E6:Q6" si="0">D6+1</f>
        <v>2023</v>
      </c>
      <c r="F6" s="81">
        <f t="shared" si="0"/>
        <v>2024</v>
      </c>
      <c r="G6" s="81">
        <f t="shared" si="0"/>
        <v>2025</v>
      </c>
      <c r="H6" s="81">
        <f t="shared" si="0"/>
        <v>2026</v>
      </c>
      <c r="I6" s="81">
        <f t="shared" si="0"/>
        <v>2027</v>
      </c>
      <c r="J6" s="81">
        <f t="shared" si="0"/>
        <v>2028</v>
      </c>
      <c r="K6" s="81">
        <f t="shared" si="0"/>
        <v>2029</v>
      </c>
      <c r="L6" s="82">
        <f t="shared" si="0"/>
        <v>2030</v>
      </c>
      <c r="M6" s="81">
        <f t="shared" si="0"/>
        <v>2031</v>
      </c>
      <c r="N6" s="81">
        <f t="shared" si="0"/>
        <v>2032</v>
      </c>
      <c r="O6" s="81">
        <f t="shared" si="0"/>
        <v>2033</v>
      </c>
      <c r="P6" s="81">
        <f t="shared" si="0"/>
        <v>2034</v>
      </c>
      <c r="Q6">
        <f t="shared" si="0"/>
        <v>2035</v>
      </c>
      <c r="R6" t="s">
        <v>106</v>
      </c>
    </row>
    <row r="7" spans="1:19" ht="15.5" x14ac:dyDescent="0.35">
      <c r="A7" s="116" t="s">
        <v>132</v>
      </c>
      <c r="B7" s="117" t="s">
        <v>107</v>
      </c>
      <c r="C7" s="117"/>
      <c r="D7" s="118"/>
      <c r="E7" s="118"/>
      <c r="F7" s="118"/>
      <c r="G7" s="118"/>
      <c r="H7" s="118"/>
      <c r="I7" s="118"/>
      <c r="J7" s="118"/>
      <c r="K7" s="118"/>
      <c r="L7" s="118"/>
      <c r="M7" s="118"/>
      <c r="N7" s="118"/>
      <c r="O7" s="118"/>
      <c r="P7" s="118"/>
      <c r="Q7" s="118"/>
      <c r="R7" s="119"/>
    </row>
    <row r="8" spans="1:19" ht="15.5" x14ac:dyDescent="0.35">
      <c r="A8" s="116"/>
      <c r="B8" s="120" t="s">
        <v>108</v>
      </c>
      <c r="C8" s="120"/>
      <c r="D8" s="116"/>
      <c r="E8" s="116"/>
      <c r="F8" s="116"/>
      <c r="G8" s="116"/>
      <c r="H8" s="116"/>
      <c r="I8" s="116"/>
      <c r="J8" s="116"/>
      <c r="K8" s="116"/>
      <c r="L8" s="116"/>
      <c r="M8" s="116"/>
      <c r="N8" s="116"/>
      <c r="O8" s="116"/>
      <c r="P8" s="116"/>
      <c r="Q8" s="116"/>
      <c r="R8" s="115"/>
    </row>
    <row r="9" spans="1:19" ht="15.5" x14ac:dyDescent="0.35">
      <c r="A9" s="116"/>
      <c r="B9" s="129" t="s">
        <v>350</v>
      </c>
      <c r="C9" s="180">
        <f ca="1">SUM(C10:C12)</f>
        <v>42.769230769230774</v>
      </c>
      <c r="D9" s="180">
        <f t="shared" ref="D9:Q9" ca="1" si="1">SUM(D10:D12)</f>
        <v>338.31588019823317</v>
      </c>
      <c r="E9" s="180">
        <f t="shared" ca="1" si="1"/>
        <v>289.84615384615381</v>
      </c>
      <c r="F9" s="180">
        <f t="shared" ca="1" si="1"/>
        <v>243.73333333333332</v>
      </c>
      <c r="G9" s="180">
        <f t="shared" ca="1" si="1"/>
        <v>193.64</v>
      </c>
      <c r="H9" s="180">
        <f t="shared" ca="1" si="1"/>
        <v>375.06625590388217</v>
      </c>
      <c r="I9" s="180">
        <f t="shared" ca="1" si="1"/>
        <v>152.93333333333334</v>
      </c>
      <c r="J9" s="180">
        <f t="shared" ca="1" si="1"/>
        <v>315.26251267836159</v>
      </c>
      <c r="K9" s="180">
        <f t="shared" ca="1" si="1"/>
        <v>166.78543772010551</v>
      </c>
      <c r="L9" s="180">
        <f t="shared" ca="1" si="1"/>
        <v>300.62599050437262</v>
      </c>
      <c r="M9" s="180">
        <f t="shared" ca="1" si="1"/>
        <v>198.16666666666666</v>
      </c>
      <c r="N9" s="180">
        <f t="shared" ca="1" si="1"/>
        <v>135.63842336953189</v>
      </c>
      <c r="O9" s="180">
        <f t="shared" ca="1" si="1"/>
        <v>51.333333333333336</v>
      </c>
      <c r="P9" s="180">
        <f t="shared" si="1"/>
        <v>0</v>
      </c>
      <c r="Q9" s="180">
        <f t="shared" si="1"/>
        <v>0</v>
      </c>
      <c r="R9" s="181">
        <f ca="1">SUM(C9:Q9)</f>
        <v>2804.1165516565384</v>
      </c>
    </row>
    <row r="10" spans="1:19" ht="15.5" x14ac:dyDescent="0.35">
      <c r="A10" s="121">
        <f>MAX(Assumptions!C$45:C$47)</f>
        <v>1</v>
      </c>
      <c r="B10" s="111">
        <v>12</v>
      </c>
      <c r="C10" s="183" cm="1">
        <f t="array" aca="1" ref="C10" ca="1">INDIRECT("R[36]C["&amp;$A$10&amp;"]",FALSE)</f>
        <v>42.769230769230774</v>
      </c>
      <c r="D10" s="183" cm="1">
        <f t="array" aca="1" ref="D10" ca="1">INDIRECT("R[36]C["&amp;$A$10&amp;"]",FALSE)</f>
        <v>261.79487179487182</v>
      </c>
      <c r="E10" s="183" cm="1">
        <f t="array" aca="1" ref="E10" ca="1">INDIRECT("R[36]C["&amp;$A$10&amp;"]",FALSE)</f>
        <v>187.5128205128205</v>
      </c>
      <c r="F10" s="183" cm="1">
        <f t="array" aca="1" ref="F10" ca="1">INDIRECT("R[36]C["&amp;$A$10&amp;"]",FALSE)</f>
        <v>60.666666666666664</v>
      </c>
      <c r="G10" s="183" cm="1">
        <f t="array" aca="1" ref="G10" ca="1">INDIRECT("R[36]C["&amp;$A$10&amp;"]",FALSE)</f>
        <v>0</v>
      </c>
      <c r="H10" s="183" cm="1">
        <f t="array" aca="1" ref="H10" ca="1">INDIRECT("R[36]C["&amp;$A$10&amp;"]",FALSE)</f>
        <v>0</v>
      </c>
      <c r="I10" s="183" cm="1">
        <f t="array" aca="1" ref="I10" ca="1">INDIRECT("R[36]C["&amp;$A$10&amp;"]",FALSE)</f>
        <v>0</v>
      </c>
      <c r="J10" s="183" cm="1">
        <f t="array" aca="1" ref="J10" ca="1">INDIRECT("R[36]C["&amp;$A$10&amp;"]",FALSE)</f>
        <v>0</v>
      </c>
      <c r="K10" s="183" cm="1">
        <f t="array" aca="1" ref="K10" ca="1">INDIRECT("R[36]C["&amp;$A$10&amp;"]",FALSE)</f>
        <v>0</v>
      </c>
      <c r="L10" s="183" cm="1">
        <f t="array" aca="1" ref="L10" ca="1">INDIRECT("R[36]C["&amp;$A$10&amp;"]",FALSE)</f>
        <v>0</v>
      </c>
      <c r="M10" s="183" cm="1">
        <f t="array" aca="1" ref="M10" ca="1">INDIRECT("R[36]C["&amp;$A$10&amp;"]",FALSE)</f>
        <v>0</v>
      </c>
      <c r="N10" s="183" cm="1">
        <f t="array" aca="1" ref="N10" ca="1">INDIRECT("R[36]C["&amp;$A$10&amp;"]",FALSE)</f>
        <v>0</v>
      </c>
      <c r="O10" s="183" cm="1">
        <f t="array" aca="1" ref="O10" ca="1">INDIRECT("R[36]C["&amp;$A$10&amp;"]",FALSE)</f>
        <v>0</v>
      </c>
      <c r="P10" s="115"/>
      <c r="Q10" s="115"/>
      <c r="R10" s="115">
        <f ca="1">SUM(C10:P10)</f>
        <v>552.74358974358972</v>
      </c>
    </row>
    <row r="11" spans="1:19" ht="15.5" x14ac:dyDescent="0.35">
      <c r="A11" s="121">
        <f>MAX(Assumptions!C$45:C$47)</f>
        <v>1</v>
      </c>
      <c r="B11" s="111">
        <v>15</v>
      </c>
      <c r="C11" s="183" cm="1">
        <f t="array" aca="1" ref="C11" ca="1">INDIRECT("R[36]C["&amp;$A$11&amp;"]",FALSE)</f>
        <v>0</v>
      </c>
      <c r="D11" s="183" cm="1">
        <f t="array" aca="1" ref="D11" ca="1">INDIRECT("R[36]C["&amp;$A$11&amp;"]",FALSE)</f>
        <v>76.52100840336135</v>
      </c>
      <c r="E11" s="183" cm="1">
        <f t="array" aca="1" ref="E11" ca="1">INDIRECT("R[36]C["&amp;$A$11&amp;"]",FALSE)</f>
        <v>102.33333333333334</v>
      </c>
      <c r="F11" s="183" cm="1">
        <f t="array" aca="1" ref="F11" ca="1">INDIRECT("R[36]C["&amp;$A$11&amp;"]",FALSE)</f>
        <v>183.06666666666666</v>
      </c>
      <c r="G11" s="183" cm="1">
        <f t="array" aca="1" ref="G11" ca="1">INDIRECT("R[36]C["&amp;$A$11&amp;"]",FALSE)</f>
        <v>193.64</v>
      </c>
      <c r="H11" s="183" cm="1">
        <f t="array" aca="1" ref="H11" ca="1">INDIRECT("R[36]C["&amp;$A$11&amp;"]",FALSE)</f>
        <v>375.06625590388217</v>
      </c>
      <c r="I11" s="183" cm="1">
        <f t="array" aca="1" ref="I11" ca="1">INDIRECT("R[36]C["&amp;$A$11&amp;"]",FALSE)</f>
        <v>152.93333333333334</v>
      </c>
      <c r="J11" s="183" cm="1">
        <f t="array" aca="1" ref="J11" ca="1">INDIRECT("R[36]C["&amp;$A$11&amp;"]",FALSE)</f>
        <v>315.26251267836159</v>
      </c>
      <c r="K11" s="183" cm="1">
        <f t="array" aca="1" ref="K11" ca="1">INDIRECT("R[36]C["&amp;$A$11&amp;"]",FALSE)</f>
        <v>0</v>
      </c>
      <c r="L11" s="183" cm="1">
        <f t="array" aca="1" ref="L11" ca="1">INDIRECT("R[36]C["&amp;$A$11&amp;"]",FALSE)</f>
        <v>0</v>
      </c>
      <c r="M11" s="183" cm="1">
        <f t="array" aca="1" ref="M11" ca="1">INDIRECT("R[36]C["&amp;$A$11&amp;"]",FALSE)</f>
        <v>0</v>
      </c>
      <c r="N11" s="183" cm="1">
        <f t="array" aca="1" ref="N11" ca="1">INDIRECT("R[36]C["&amp;$A$11&amp;"]",FALSE)</f>
        <v>0</v>
      </c>
      <c r="O11" s="183" cm="1">
        <f t="array" aca="1" ref="O11" ca="1">INDIRECT("R[36]C["&amp;$A$11&amp;"]",FALSE)</f>
        <v>0</v>
      </c>
      <c r="P11" s="115"/>
      <c r="Q11" s="115"/>
      <c r="R11" s="115">
        <f t="shared" ref="R11:R12" ca="1" si="2">SUM(C11:P11)</f>
        <v>1398.8231103189385</v>
      </c>
    </row>
    <row r="12" spans="1:19" ht="15.5" x14ac:dyDescent="0.35">
      <c r="A12" s="121">
        <f>MAX(Assumptions!C$45:C$47)</f>
        <v>1</v>
      </c>
      <c r="B12" s="111">
        <v>18</v>
      </c>
      <c r="C12" s="183" cm="1">
        <f t="array" aca="1" ref="C12" ca="1">INDIRECT("R[36]C["&amp;$A$12&amp;"]",FALSE)</f>
        <v>0</v>
      </c>
      <c r="D12" s="183" cm="1">
        <f t="array" aca="1" ref="D12" ca="1">INDIRECT("R[36]C["&amp;$A$12&amp;"]",FALSE)</f>
        <v>0</v>
      </c>
      <c r="E12" s="183" cm="1">
        <f t="array" aca="1" ref="E12" ca="1">INDIRECT("R[36]C["&amp;$A$12&amp;"]",FALSE)</f>
        <v>0</v>
      </c>
      <c r="F12" s="183" cm="1">
        <f t="array" aca="1" ref="F12" ca="1">INDIRECT("R[36]C["&amp;$A$12&amp;"]",FALSE)</f>
        <v>0</v>
      </c>
      <c r="G12" s="183" cm="1">
        <f t="array" aca="1" ref="G12" ca="1">INDIRECT("R[36]C["&amp;$A$12&amp;"]",FALSE)</f>
        <v>0</v>
      </c>
      <c r="H12" s="183" cm="1">
        <f t="array" aca="1" ref="H12" ca="1">INDIRECT("R[36]C["&amp;$A$12&amp;"]",FALSE)</f>
        <v>0</v>
      </c>
      <c r="I12" s="183" cm="1">
        <f t="array" aca="1" ref="I12" ca="1">INDIRECT("R[36]C["&amp;$A$12&amp;"]",FALSE)</f>
        <v>0</v>
      </c>
      <c r="J12" s="183" cm="1">
        <f t="array" aca="1" ref="J12" ca="1">INDIRECT("R[36]C["&amp;$A$12&amp;"]",FALSE)</f>
        <v>0</v>
      </c>
      <c r="K12" s="183" cm="1">
        <f t="array" aca="1" ref="K12" ca="1">INDIRECT("R[36]C["&amp;$A$12&amp;"]",FALSE)</f>
        <v>166.78543772010551</v>
      </c>
      <c r="L12" s="183" cm="1">
        <f t="array" aca="1" ref="L12" ca="1">INDIRECT("R[36]C["&amp;$A$12&amp;"]",FALSE)</f>
        <v>300.62599050437262</v>
      </c>
      <c r="M12" s="183" cm="1">
        <f t="array" aca="1" ref="M12" ca="1">INDIRECT("R[36]C["&amp;$A$12&amp;"]",FALSE)</f>
        <v>198.16666666666666</v>
      </c>
      <c r="N12" s="183" cm="1">
        <f t="array" aca="1" ref="N12" ca="1">INDIRECT("R[36]C["&amp;$A$12&amp;"]",FALSE)</f>
        <v>135.63842336953189</v>
      </c>
      <c r="O12" s="183" cm="1">
        <f t="array" aca="1" ref="O12" ca="1">INDIRECT("R[36]C["&amp;$A$12&amp;"]",FALSE)</f>
        <v>51.333333333333336</v>
      </c>
      <c r="P12" s="115"/>
      <c r="Q12" s="115"/>
      <c r="R12" s="115">
        <f t="shared" ca="1" si="2"/>
        <v>852.54985159401008</v>
      </c>
      <c r="S12" t="s">
        <v>91</v>
      </c>
    </row>
    <row r="13" spans="1:19" ht="15.5" x14ac:dyDescent="0.35">
      <c r="A13" s="116"/>
      <c r="B13" s="129" t="s">
        <v>351</v>
      </c>
      <c r="C13" s="179"/>
      <c r="D13" s="179"/>
      <c r="E13" s="179"/>
      <c r="F13" s="179"/>
      <c r="G13" s="179"/>
      <c r="H13" s="179"/>
      <c r="I13" s="179"/>
      <c r="J13" s="179"/>
      <c r="K13" s="179"/>
      <c r="L13" s="179"/>
      <c r="M13" s="179"/>
      <c r="N13" s="179"/>
      <c r="O13" s="179"/>
      <c r="P13" s="179"/>
      <c r="Q13" s="179"/>
      <c r="R13" s="181"/>
    </row>
    <row r="14" spans="1:19" ht="15.5" x14ac:dyDescent="0.35">
      <c r="A14" s="121">
        <f>Assumptions!C$45</f>
        <v>1</v>
      </c>
      <c r="B14" s="111">
        <v>12</v>
      </c>
      <c r="C14" s="183" cm="1">
        <f t="array" aca="1" ref="C14" ca="1">INDIRECT("R[36]C["&amp;$A$14&amp;"]",FALSE)</f>
        <v>128.30769230769232</v>
      </c>
      <c r="D14" s="183" cm="1">
        <f t="array" aca="1" ref="D14" ca="1">INDIRECT("R[36]C["&amp;$A$14&amp;"]",FALSE)</f>
        <v>785.38461538461547</v>
      </c>
      <c r="E14" s="183" cm="1">
        <f t="array" aca="1" ref="E14" ca="1">INDIRECT("R[36]C["&amp;$A$14&amp;"]",FALSE)</f>
        <v>562.53846153846143</v>
      </c>
      <c r="F14" s="183" cm="1">
        <f t="array" aca="1" ref="F14" ca="1">INDIRECT("R[36]C["&amp;$A$14&amp;"]",FALSE)</f>
        <v>182</v>
      </c>
      <c r="G14" s="183" cm="1">
        <f t="array" aca="1" ref="G14" ca="1">INDIRECT("R[36]C["&amp;$A$14&amp;"]",FALSE)</f>
        <v>0</v>
      </c>
      <c r="H14" s="183" cm="1">
        <f t="array" aca="1" ref="H14" ca="1">INDIRECT("R[36]C["&amp;$A$14&amp;"]",FALSE)</f>
        <v>0</v>
      </c>
      <c r="I14" s="183" cm="1">
        <f t="array" aca="1" ref="I14" ca="1">INDIRECT("R[36]C["&amp;$A$14&amp;"]",FALSE)</f>
        <v>0</v>
      </c>
      <c r="J14" s="183" cm="1">
        <f t="array" aca="1" ref="J14" ca="1">INDIRECT("R[36]C["&amp;$A$14&amp;"]",FALSE)</f>
        <v>0</v>
      </c>
      <c r="K14" s="183" cm="1">
        <f t="array" aca="1" ref="K14" ca="1">INDIRECT("R[36]C["&amp;$A$14&amp;"]",FALSE)</f>
        <v>0</v>
      </c>
      <c r="L14" s="183" cm="1">
        <f t="array" aca="1" ref="L14" ca="1">INDIRECT("R[36]C["&amp;$A$14&amp;"]",FALSE)</f>
        <v>0</v>
      </c>
      <c r="M14" s="183" cm="1">
        <f t="array" aca="1" ref="M14" ca="1">INDIRECT("R[36]C["&amp;$A$14&amp;"]",FALSE)</f>
        <v>0</v>
      </c>
      <c r="N14" s="183" cm="1">
        <f t="array" aca="1" ref="N14" ca="1">INDIRECT("R[36]C["&amp;$A$14&amp;"]",FALSE)</f>
        <v>0</v>
      </c>
      <c r="O14" s="183" cm="1">
        <f t="array" aca="1" ref="O14" ca="1">INDIRECT("R[36]C["&amp;$A$14&amp;"]",FALSE)</f>
        <v>0</v>
      </c>
      <c r="P14" s="116"/>
      <c r="Q14" s="116"/>
      <c r="R14" s="115">
        <f ca="1">SUM(C14:P14)</f>
        <v>1658.2307692307693</v>
      </c>
    </row>
    <row r="15" spans="1:19" ht="15.5" x14ac:dyDescent="0.35">
      <c r="A15" s="121">
        <f>Assumptions!C$45</f>
        <v>1</v>
      </c>
      <c r="B15" s="111">
        <v>15</v>
      </c>
      <c r="C15" s="183" cm="1">
        <f t="array" aca="1" ref="C15" ca="1">INDIRECT("R[36]C["&amp;$A$15&amp;"]",FALSE)</f>
        <v>0</v>
      </c>
      <c r="D15" s="183" cm="1">
        <f t="array" aca="1" ref="D15" ca="1">INDIRECT("R[36]C["&amp;$A$15&amp;"]",FALSE)</f>
        <v>229.56302521008405</v>
      </c>
      <c r="E15" s="183" cm="1">
        <f t="array" aca="1" ref="E15" ca="1">INDIRECT("R[36]C["&amp;$A$15&amp;"]",FALSE)</f>
        <v>307</v>
      </c>
      <c r="F15" s="183" cm="1">
        <f t="array" aca="1" ref="F15" ca="1">INDIRECT("R[36]C["&amp;$A$15&amp;"]",FALSE)</f>
        <v>549.20000000000005</v>
      </c>
      <c r="G15" s="183" cm="1">
        <f t="array" aca="1" ref="G15" ca="1">INDIRECT("R[36]C["&amp;$A$15&amp;"]",FALSE)</f>
        <v>580.91999999999996</v>
      </c>
      <c r="H15" s="183" cm="1">
        <f t="array" aca="1" ref="H15" ca="1">INDIRECT("R[36]C["&amp;$A$15&amp;"]",FALSE)</f>
        <v>1125.1987677116465</v>
      </c>
      <c r="I15" s="183" cm="1">
        <f t="array" aca="1" ref="I15" ca="1">INDIRECT("R[36]C["&amp;$A$15&amp;"]",FALSE)</f>
        <v>458.8</v>
      </c>
      <c r="J15" s="183" cm="1">
        <f t="array" aca="1" ref="J15" ca="1">INDIRECT("R[36]C["&amp;$A$15&amp;"]",FALSE)</f>
        <v>945.78753803508471</v>
      </c>
      <c r="K15" s="183" cm="1">
        <f t="array" aca="1" ref="K15" ca="1">INDIRECT("R[36]C["&amp;$A$15&amp;"]",FALSE)</f>
        <v>0</v>
      </c>
      <c r="L15" s="183" cm="1">
        <f t="array" aca="1" ref="L15" ca="1">INDIRECT("R[36]C["&amp;$A$15&amp;"]",FALSE)</f>
        <v>0</v>
      </c>
      <c r="M15" s="183" cm="1">
        <f t="array" aca="1" ref="M15" ca="1">INDIRECT("R[36]C["&amp;$A$15&amp;"]",FALSE)</f>
        <v>0</v>
      </c>
      <c r="N15" s="183" cm="1">
        <f t="array" aca="1" ref="N15" ca="1">INDIRECT("R[36]C["&amp;$A$15&amp;"]",FALSE)</f>
        <v>0</v>
      </c>
      <c r="O15" s="183" cm="1">
        <f t="array" aca="1" ref="O15" ca="1">INDIRECT("R[36]C["&amp;$A$15&amp;"]",FALSE)</f>
        <v>0</v>
      </c>
      <c r="P15" s="116"/>
      <c r="Q15" s="116"/>
      <c r="R15" s="115">
        <f t="shared" ref="R15:R16" ca="1" si="3">SUM(C15:P15)</f>
        <v>4196.4693309568156</v>
      </c>
    </row>
    <row r="16" spans="1:19" ht="15.5" x14ac:dyDescent="0.35">
      <c r="A16" s="121">
        <f>Assumptions!C$45</f>
        <v>1</v>
      </c>
      <c r="B16" s="111">
        <v>18</v>
      </c>
      <c r="C16" s="183" cm="1">
        <f t="array" aca="1" ref="C16" ca="1">INDIRECT("R[36]C["&amp;$A$16&amp;"]",FALSE)</f>
        <v>0</v>
      </c>
      <c r="D16" s="183" cm="1">
        <f t="array" aca="1" ref="D16" ca="1">INDIRECT("R[36]C["&amp;$A$16&amp;"]",FALSE)</f>
        <v>0</v>
      </c>
      <c r="E16" s="183" cm="1">
        <f t="array" aca="1" ref="E16" ca="1">INDIRECT("R[36]C["&amp;$A$16&amp;"]",FALSE)</f>
        <v>0</v>
      </c>
      <c r="F16" s="183" cm="1">
        <f t="array" aca="1" ref="F16" ca="1">INDIRECT("R[36]C["&amp;$A$16&amp;"]",FALSE)</f>
        <v>0</v>
      </c>
      <c r="G16" s="183" cm="1">
        <f t="array" aca="1" ref="G16" ca="1">INDIRECT("R[36]C["&amp;$A$16&amp;"]",FALSE)</f>
        <v>0</v>
      </c>
      <c r="H16" s="183" cm="1">
        <f t="array" aca="1" ref="H16" ca="1">INDIRECT("R[36]C["&amp;$A$16&amp;"]",FALSE)</f>
        <v>0</v>
      </c>
      <c r="I16" s="183" cm="1">
        <f t="array" aca="1" ref="I16" ca="1">INDIRECT("R[36]C["&amp;$A$16&amp;"]",FALSE)</f>
        <v>0</v>
      </c>
      <c r="J16" s="183" cm="1">
        <f t="array" aca="1" ref="J16" ca="1">INDIRECT("R[36]C["&amp;$A$16&amp;"]",FALSE)</f>
        <v>0</v>
      </c>
      <c r="K16" s="183" cm="1">
        <f t="array" aca="1" ref="K16" ca="1">INDIRECT("R[36]C["&amp;$A$16&amp;"]",FALSE)</f>
        <v>500.35631316031652</v>
      </c>
      <c r="L16" s="183" cm="1">
        <f t="array" aca="1" ref="L16" ca="1">INDIRECT("R[36]C["&amp;$A$16&amp;"]",FALSE)</f>
        <v>901.87797151311793</v>
      </c>
      <c r="M16" s="183" cm="1">
        <f t="array" aca="1" ref="M16" ca="1">INDIRECT("R[36]C["&amp;$A$16&amp;"]",FALSE)</f>
        <v>594.5</v>
      </c>
      <c r="N16" s="183" cm="1">
        <f t="array" aca="1" ref="N16" ca="1">INDIRECT("R[36]C["&amp;$A$16&amp;"]",FALSE)</f>
        <v>406.91527010859568</v>
      </c>
      <c r="O16" s="183" cm="1">
        <f t="array" aca="1" ref="O16" ca="1">INDIRECT("R[36]C["&amp;$A$16&amp;"]",FALSE)</f>
        <v>154</v>
      </c>
      <c r="P16" s="116"/>
      <c r="Q16" s="116"/>
      <c r="R16" s="115">
        <f t="shared" ca="1" si="3"/>
        <v>2557.6495547820305</v>
      </c>
    </row>
    <row r="17" spans="1:18" ht="15.5" x14ac:dyDescent="0.35">
      <c r="A17" s="116"/>
      <c r="B17" s="129" t="s">
        <v>114</v>
      </c>
      <c r="C17" s="179"/>
      <c r="D17" s="179"/>
      <c r="E17" s="179"/>
      <c r="F17" s="179"/>
      <c r="G17" s="179"/>
      <c r="H17" s="179"/>
      <c r="I17" s="179"/>
      <c r="J17" s="179"/>
      <c r="K17" s="179"/>
      <c r="L17" s="179"/>
      <c r="M17" s="179"/>
      <c r="N17" s="179"/>
      <c r="O17" s="179"/>
      <c r="P17" s="179"/>
      <c r="Q17" s="179"/>
      <c r="R17" s="181"/>
    </row>
    <row r="18" spans="1:18" ht="15.5" x14ac:dyDescent="0.35">
      <c r="A18" s="121">
        <f>Assumptions!C46</f>
        <v>1</v>
      </c>
      <c r="B18" s="111">
        <v>12</v>
      </c>
      <c r="C18" s="183" cm="1">
        <f t="array" aca="1" ref="C18" ca="1">INDIRECT("R[36]C["&amp;$A$18&amp;"]",FALSE)</f>
        <v>42.769230769230774</v>
      </c>
      <c r="D18" s="183" cm="1">
        <f t="array" aca="1" ref="D18" ca="1">INDIRECT("R[36]C["&amp;$A$18&amp;"]",FALSE)</f>
        <v>261.79487179487182</v>
      </c>
      <c r="E18" s="183" cm="1">
        <f t="array" aca="1" ref="E18" ca="1">INDIRECT("R[36]C["&amp;$A$18&amp;"]",FALSE)</f>
        <v>187.5128205128205</v>
      </c>
      <c r="F18" s="183" cm="1">
        <f t="array" aca="1" ref="F18" ca="1">INDIRECT("R[36]C["&amp;$A$18&amp;"]",FALSE)</f>
        <v>60.666666666666664</v>
      </c>
      <c r="G18" s="183" cm="1">
        <f t="array" aca="1" ref="G18" ca="1">INDIRECT("R[36]C["&amp;$A$18&amp;"]",FALSE)</f>
        <v>0</v>
      </c>
      <c r="H18" s="183" cm="1">
        <f t="array" aca="1" ref="H18" ca="1">INDIRECT("R[36]C["&amp;$A$18&amp;"]",FALSE)</f>
        <v>0</v>
      </c>
      <c r="I18" s="183" cm="1">
        <f t="array" aca="1" ref="I18" ca="1">INDIRECT("R[36]C["&amp;$A$18&amp;"]",FALSE)</f>
        <v>0</v>
      </c>
      <c r="J18" s="183" cm="1">
        <f t="array" aca="1" ref="J18" ca="1">INDIRECT("R[36]C["&amp;$A$18&amp;"]",FALSE)</f>
        <v>0</v>
      </c>
      <c r="K18" s="183" cm="1">
        <f t="array" aca="1" ref="K18" ca="1">INDIRECT("R[36]C["&amp;$A$18&amp;"]",FALSE)</f>
        <v>0</v>
      </c>
      <c r="L18" s="183" cm="1">
        <f t="array" aca="1" ref="L18" ca="1">INDIRECT("R[36]C["&amp;$A$18&amp;"]",FALSE)</f>
        <v>0</v>
      </c>
      <c r="M18" s="183" cm="1">
        <f t="array" aca="1" ref="M18" ca="1">INDIRECT("R[36]C["&amp;$A$18&amp;"]",FALSE)</f>
        <v>0</v>
      </c>
      <c r="N18" s="183" cm="1">
        <f t="array" aca="1" ref="N18" ca="1">INDIRECT("R[36]C["&amp;$A$18&amp;"]",FALSE)</f>
        <v>0</v>
      </c>
      <c r="O18" s="183" cm="1">
        <f t="array" aca="1" ref="O18" ca="1">INDIRECT("R[36]C["&amp;$A$18&amp;"]",FALSE)</f>
        <v>0</v>
      </c>
      <c r="P18" s="116"/>
      <c r="Q18" s="116"/>
      <c r="R18" s="115">
        <f ca="1">SUM(C18:P18)</f>
        <v>552.74358974358972</v>
      </c>
    </row>
    <row r="19" spans="1:18" ht="15.5" x14ac:dyDescent="0.35">
      <c r="A19" s="121">
        <f>A18</f>
        <v>1</v>
      </c>
      <c r="B19" s="111">
        <v>15</v>
      </c>
      <c r="C19" s="183" cm="1">
        <f t="array" aca="1" ref="C19" ca="1">INDIRECT("R[36]C["&amp;$A$19&amp;"]",FALSE)</f>
        <v>0</v>
      </c>
      <c r="D19" s="183" cm="1">
        <f t="array" aca="1" ref="D19" ca="1">INDIRECT("R[36]C["&amp;$A$19&amp;"]",FALSE)</f>
        <v>76.52100840336135</v>
      </c>
      <c r="E19" s="183" cm="1">
        <f t="array" aca="1" ref="E19" ca="1">INDIRECT("R[36]C["&amp;$A$19&amp;"]",FALSE)</f>
        <v>102.33333333333334</v>
      </c>
      <c r="F19" s="183" cm="1">
        <f t="array" aca="1" ref="F19" ca="1">INDIRECT("R[36]C["&amp;$A$19&amp;"]",FALSE)</f>
        <v>183.06666666666666</v>
      </c>
      <c r="G19" s="183" cm="1">
        <f t="array" aca="1" ref="G19" ca="1">INDIRECT("R[36]C["&amp;$A$19&amp;"]",FALSE)</f>
        <v>193.64</v>
      </c>
      <c r="H19" s="183" cm="1">
        <f t="array" aca="1" ref="H19" ca="1">INDIRECT("R[36]C["&amp;$A$19&amp;"]",FALSE)</f>
        <v>375.06625590388217</v>
      </c>
      <c r="I19" s="183" cm="1">
        <f t="array" aca="1" ref="I19" ca="1">INDIRECT("R[36]C["&amp;$A$19&amp;"]",FALSE)</f>
        <v>152.93333333333334</v>
      </c>
      <c r="J19" s="183" cm="1">
        <f t="array" aca="1" ref="J19" ca="1">INDIRECT("R[36]C["&amp;$A$19&amp;"]",FALSE)</f>
        <v>315.26251267836159</v>
      </c>
      <c r="K19" s="183" cm="1">
        <f t="array" aca="1" ref="K19" ca="1">INDIRECT("R[36]C["&amp;$A$19&amp;"]",FALSE)</f>
        <v>0</v>
      </c>
      <c r="L19" s="183" cm="1">
        <f t="array" aca="1" ref="L19" ca="1">INDIRECT("R[36]C["&amp;$A$19&amp;"]",FALSE)</f>
        <v>0</v>
      </c>
      <c r="M19" s="183" cm="1">
        <f t="array" aca="1" ref="M19" ca="1">INDIRECT("R[36]C["&amp;$A$19&amp;"]",FALSE)</f>
        <v>0</v>
      </c>
      <c r="N19" s="183" cm="1">
        <f t="array" aca="1" ref="N19" ca="1">INDIRECT("R[36]C["&amp;$A$19&amp;"]",FALSE)</f>
        <v>0</v>
      </c>
      <c r="O19" s="183" cm="1">
        <f t="array" aca="1" ref="O19" ca="1">INDIRECT("R[36]C["&amp;$A$19&amp;"]",FALSE)</f>
        <v>0</v>
      </c>
      <c r="P19" s="116"/>
      <c r="Q19" s="116"/>
      <c r="R19" s="115">
        <f t="shared" ref="R19:R20" ca="1" si="4">SUM(C19:P19)</f>
        <v>1398.8231103189385</v>
      </c>
    </row>
    <row r="20" spans="1:18" ht="15.5" x14ac:dyDescent="0.35">
      <c r="A20" s="121">
        <f>A18</f>
        <v>1</v>
      </c>
      <c r="B20" s="111">
        <v>18</v>
      </c>
      <c r="C20" s="183" cm="1">
        <f t="array" aca="1" ref="C20" ca="1">INDIRECT("R[36]C["&amp;$A$20&amp;"]",FALSE)</f>
        <v>0</v>
      </c>
      <c r="D20" s="183" cm="1">
        <f t="array" aca="1" ref="D20" ca="1">INDIRECT("R[36]C["&amp;$A$20&amp;"]",FALSE)</f>
        <v>0</v>
      </c>
      <c r="E20" s="183" cm="1">
        <f t="array" aca="1" ref="E20" ca="1">INDIRECT("R[36]C["&amp;$A$20&amp;"]",FALSE)</f>
        <v>0</v>
      </c>
      <c r="F20" s="183" cm="1">
        <f t="array" aca="1" ref="F20" ca="1">INDIRECT("R[36]C["&amp;$A$20&amp;"]",FALSE)</f>
        <v>0</v>
      </c>
      <c r="G20" s="183" cm="1">
        <f t="array" aca="1" ref="G20" ca="1">INDIRECT("R[36]C["&amp;$A$20&amp;"]",FALSE)</f>
        <v>0</v>
      </c>
      <c r="H20" s="183" cm="1">
        <f t="array" aca="1" ref="H20" ca="1">INDIRECT("R[36]C["&amp;$A$20&amp;"]",FALSE)</f>
        <v>0</v>
      </c>
      <c r="I20" s="183" cm="1">
        <f t="array" aca="1" ref="I20" ca="1">INDIRECT("R[36]C["&amp;$A$20&amp;"]",FALSE)</f>
        <v>0</v>
      </c>
      <c r="J20" s="183" cm="1">
        <f t="array" aca="1" ref="J20" ca="1">INDIRECT("R[36]C["&amp;$A$20&amp;"]",FALSE)</f>
        <v>0</v>
      </c>
      <c r="K20" s="183" cm="1">
        <f t="array" aca="1" ref="K20" ca="1">INDIRECT("R[36]C["&amp;$A$20&amp;"]",FALSE)</f>
        <v>166.78543772010551</v>
      </c>
      <c r="L20" s="183" cm="1">
        <f t="array" aca="1" ref="L20" ca="1">INDIRECT("R[36]C["&amp;$A$20&amp;"]",FALSE)</f>
        <v>300.62599050437262</v>
      </c>
      <c r="M20" s="183" cm="1">
        <f t="array" aca="1" ref="M20" ca="1">INDIRECT("R[36]C["&amp;$A$20&amp;"]",FALSE)</f>
        <v>198.16666666666666</v>
      </c>
      <c r="N20" s="183" cm="1">
        <f t="array" aca="1" ref="N20" ca="1">INDIRECT("R[36]C["&amp;$A$20&amp;"]",FALSE)</f>
        <v>135.63842336953189</v>
      </c>
      <c r="O20" s="183" cm="1">
        <f t="array" aca="1" ref="O20" ca="1">INDIRECT("R[36]C["&amp;$A$20&amp;"]",FALSE)</f>
        <v>51.333333333333336</v>
      </c>
      <c r="P20" s="116"/>
      <c r="Q20" s="116"/>
      <c r="R20" s="115">
        <f t="shared" ca="1" si="4"/>
        <v>852.54985159401008</v>
      </c>
    </row>
    <row r="21" spans="1:18" ht="15.5" x14ac:dyDescent="0.35">
      <c r="A21" s="116"/>
      <c r="B21" s="129" t="s">
        <v>352</v>
      </c>
      <c r="C21" s="179"/>
      <c r="D21" s="179"/>
      <c r="E21" s="179"/>
      <c r="F21" s="179"/>
      <c r="G21" s="179"/>
      <c r="H21" s="179"/>
      <c r="I21" s="179"/>
      <c r="J21" s="179"/>
      <c r="K21" s="179"/>
      <c r="L21" s="179"/>
      <c r="M21" s="179"/>
      <c r="N21" s="179"/>
      <c r="O21" s="179"/>
      <c r="P21" s="179"/>
      <c r="Q21" s="179"/>
      <c r="R21" s="181"/>
    </row>
    <row r="22" spans="1:18" ht="15.5" x14ac:dyDescent="0.35">
      <c r="A22" s="121">
        <f>Assumptions!C47</f>
        <v>1</v>
      </c>
      <c r="B22" s="111">
        <v>12</v>
      </c>
      <c r="C22" s="183" cm="1">
        <f t="array" aca="1" ref="C22" ca="1">INDIRECT("R[36]C["&amp;$A$22&amp;"]",FALSE)</f>
        <v>42.769230769230774</v>
      </c>
      <c r="D22" s="183" cm="1">
        <f t="array" aca="1" ref="D22" ca="1">INDIRECT("R[36]C["&amp;$A$18&amp;"]",FALSE)</f>
        <v>261.79487179487182</v>
      </c>
      <c r="E22" s="183" cm="1">
        <f t="array" aca="1" ref="E22" ca="1">INDIRECT("R[36]C["&amp;$A$18&amp;"]",FALSE)</f>
        <v>187.5128205128205</v>
      </c>
      <c r="F22" s="183" cm="1">
        <f t="array" aca="1" ref="F22" ca="1">INDIRECT("R[36]C["&amp;$A$18&amp;"]",FALSE)</f>
        <v>60.666666666666664</v>
      </c>
      <c r="G22" s="183" cm="1">
        <f t="array" aca="1" ref="G22" ca="1">INDIRECT("R[36]C["&amp;$A$18&amp;"]",FALSE)</f>
        <v>0</v>
      </c>
      <c r="H22" s="183" cm="1">
        <f t="array" aca="1" ref="H22" ca="1">INDIRECT("R[36]C["&amp;$A$18&amp;"]",FALSE)</f>
        <v>0</v>
      </c>
      <c r="I22" s="183" cm="1">
        <f t="array" aca="1" ref="I22" ca="1">INDIRECT("R[36]C["&amp;$A$18&amp;"]",FALSE)</f>
        <v>0</v>
      </c>
      <c r="J22" s="183" cm="1">
        <f t="array" aca="1" ref="J22" ca="1">INDIRECT("R[36]C["&amp;$A$18&amp;"]",FALSE)</f>
        <v>0</v>
      </c>
      <c r="K22" s="183" cm="1">
        <f t="array" aca="1" ref="K22" ca="1">INDIRECT("R[36]C["&amp;$A$18&amp;"]",FALSE)</f>
        <v>0</v>
      </c>
      <c r="L22" s="183" cm="1">
        <f t="array" aca="1" ref="L22" ca="1">INDIRECT("R[36]C["&amp;$A$18&amp;"]",FALSE)</f>
        <v>0</v>
      </c>
      <c r="M22" s="183" cm="1">
        <f t="array" aca="1" ref="M22" ca="1">INDIRECT("R[36]C["&amp;$A$18&amp;"]",FALSE)</f>
        <v>0</v>
      </c>
      <c r="N22" s="183" cm="1">
        <f t="array" aca="1" ref="N22" ca="1">INDIRECT("R[36]C["&amp;$A$18&amp;"]",FALSE)</f>
        <v>0</v>
      </c>
      <c r="O22" s="183" cm="1">
        <f t="array" aca="1" ref="O22" ca="1">INDIRECT("R[36]C["&amp;$A$18&amp;"]",FALSE)</f>
        <v>0</v>
      </c>
      <c r="P22" s="182"/>
      <c r="Q22" s="182"/>
      <c r="R22" s="115">
        <f ca="1">SUM(C22:P22)</f>
        <v>552.74358974358972</v>
      </c>
    </row>
    <row r="23" spans="1:18" ht="15.5" x14ac:dyDescent="0.35">
      <c r="A23" s="121">
        <f>A22</f>
        <v>1</v>
      </c>
      <c r="B23" s="111">
        <v>15</v>
      </c>
      <c r="C23" s="183" cm="1">
        <f t="array" aca="1" ref="C23" ca="1">INDIRECT("R[36]C["&amp;$A$23&amp;"]",FALSE)</f>
        <v>0</v>
      </c>
      <c r="D23" s="183" cm="1">
        <f t="array" aca="1" ref="D23" ca="1">INDIRECT("R[36]C["&amp;$A$19&amp;"]",FALSE)</f>
        <v>76.52100840336135</v>
      </c>
      <c r="E23" s="183" cm="1">
        <f t="array" aca="1" ref="E23" ca="1">INDIRECT("R[36]C["&amp;$A$19&amp;"]",FALSE)</f>
        <v>102.33333333333334</v>
      </c>
      <c r="F23" s="183" cm="1">
        <f t="array" aca="1" ref="F23" ca="1">INDIRECT("R[36]C["&amp;$A$19&amp;"]",FALSE)</f>
        <v>183.06666666666666</v>
      </c>
      <c r="G23" s="183" cm="1">
        <f t="array" aca="1" ref="G23" ca="1">INDIRECT("R[36]C["&amp;$A$19&amp;"]",FALSE)</f>
        <v>193.64</v>
      </c>
      <c r="H23" s="183" cm="1">
        <f t="array" aca="1" ref="H23" ca="1">INDIRECT("R[36]C["&amp;$A$19&amp;"]",FALSE)</f>
        <v>375.06625590388217</v>
      </c>
      <c r="I23" s="183" cm="1">
        <f t="array" aca="1" ref="I23" ca="1">INDIRECT("R[36]C["&amp;$A$19&amp;"]",FALSE)</f>
        <v>152.93333333333334</v>
      </c>
      <c r="J23" s="183" cm="1">
        <f t="array" aca="1" ref="J23" ca="1">INDIRECT("R[36]C["&amp;$A$19&amp;"]",FALSE)</f>
        <v>315.26251267836159</v>
      </c>
      <c r="K23" s="183" cm="1">
        <f t="array" aca="1" ref="K23" ca="1">INDIRECT("R[36]C["&amp;$A$19&amp;"]",FALSE)</f>
        <v>0</v>
      </c>
      <c r="L23" s="183" cm="1">
        <f t="array" aca="1" ref="L23" ca="1">INDIRECT("R[36]C["&amp;$A$19&amp;"]",FALSE)</f>
        <v>0</v>
      </c>
      <c r="M23" s="183" cm="1">
        <f t="array" aca="1" ref="M23" ca="1">INDIRECT("R[36]C["&amp;$A$19&amp;"]",FALSE)</f>
        <v>0</v>
      </c>
      <c r="N23" s="183" cm="1">
        <f t="array" aca="1" ref="N23" ca="1">INDIRECT("R[36]C["&amp;$A$19&amp;"]",FALSE)</f>
        <v>0</v>
      </c>
      <c r="O23" s="183" cm="1">
        <f t="array" aca="1" ref="O23" ca="1">INDIRECT("R[36]C["&amp;$A$19&amp;"]",FALSE)</f>
        <v>0</v>
      </c>
      <c r="P23" s="182"/>
      <c r="Q23" s="182"/>
      <c r="R23" s="115">
        <f t="shared" ref="R23:R24" ca="1" si="5">SUM(C23:P23)</f>
        <v>1398.8231103189385</v>
      </c>
    </row>
    <row r="24" spans="1:18" ht="15.5" x14ac:dyDescent="0.35">
      <c r="A24" s="121">
        <f>A22</f>
        <v>1</v>
      </c>
      <c r="B24" s="111">
        <v>18</v>
      </c>
      <c r="C24" s="183" cm="1">
        <f t="array" aca="1" ref="C24" ca="1">INDIRECT("R[36]C["&amp;$A$24&amp;"]",FALSE)</f>
        <v>0</v>
      </c>
      <c r="D24" s="183" cm="1">
        <f t="array" aca="1" ref="D24" ca="1">INDIRECT("R[36]C["&amp;$A$20&amp;"]",FALSE)</f>
        <v>0</v>
      </c>
      <c r="E24" s="183" cm="1">
        <f t="array" aca="1" ref="E24" ca="1">INDIRECT("R[36]C["&amp;$A$20&amp;"]",FALSE)</f>
        <v>0</v>
      </c>
      <c r="F24" s="183" cm="1">
        <f t="array" aca="1" ref="F24" ca="1">INDIRECT("R[36]C["&amp;$A$20&amp;"]",FALSE)</f>
        <v>0</v>
      </c>
      <c r="G24" s="183" cm="1">
        <f t="array" aca="1" ref="G24" ca="1">INDIRECT("R[36]C["&amp;$A$20&amp;"]",FALSE)</f>
        <v>0</v>
      </c>
      <c r="H24" s="183" cm="1">
        <f t="array" aca="1" ref="H24" ca="1">INDIRECT("R[36]C["&amp;$A$20&amp;"]",FALSE)</f>
        <v>0</v>
      </c>
      <c r="I24" s="183" cm="1">
        <f t="array" aca="1" ref="I24" ca="1">INDIRECT("R[36]C["&amp;$A$20&amp;"]",FALSE)</f>
        <v>0</v>
      </c>
      <c r="J24" s="183" cm="1">
        <f t="array" aca="1" ref="J24" ca="1">INDIRECT("R[36]C["&amp;$A$20&amp;"]",FALSE)</f>
        <v>0</v>
      </c>
      <c r="K24" s="183" cm="1">
        <f t="array" aca="1" ref="K24" ca="1">INDIRECT("R[36]C["&amp;$A$20&amp;"]",FALSE)</f>
        <v>166.78543772010551</v>
      </c>
      <c r="L24" s="183" cm="1">
        <f t="array" aca="1" ref="L24" ca="1">INDIRECT("R[36]C["&amp;$A$20&amp;"]",FALSE)</f>
        <v>300.62599050437262</v>
      </c>
      <c r="M24" s="183" cm="1">
        <f t="array" aca="1" ref="M24" ca="1">INDIRECT("R[36]C["&amp;$A$20&amp;"]",FALSE)</f>
        <v>198.16666666666666</v>
      </c>
      <c r="N24" s="183" cm="1">
        <f t="array" aca="1" ref="N24" ca="1">INDIRECT("R[36]C["&amp;$A$20&amp;"]",FALSE)</f>
        <v>135.63842336953189</v>
      </c>
      <c r="O24" s="183" cm="1">
        <f t="array" aca="1" ref="O24" ca="1">INDIRECT("R[36]C["&amp;$A$20&amp;"]",FALSE)</f>
        <v>51.333333333333336</v>
      </c>
      <c r="P24" s="182"/>
      <c r="Q24" s="182"/>
      <c r="R24" s="115">
        <f t="shared" ca="1" si="5"/>
        <v>852.54985159401008</v>
      </c>
    </row>
    <row r="25" spans="1:18" ht="15.5" x14ac:dyDescent="0.35">
      <c r="A25" s="116"/>
      <c r="B25" s="129" t="s">
        <v>116</v>
      </c>
      <c r="C25" s="184"/>
      <c r="D25" s="184"/>
      <c r="E25" s="184"/>
      <c r="F25" s="184"/>
      <c r="G25" s="184"/>
      <c r="H25" s="184"/>
      <c r="I25" s="184"/>
      <c r="J25" s="184"/>
      <c r="K25" s="184"/>
      <c r="L25" s="184"/>
      <c r="M25" s="184"/>
      <c r="N25" s="184"/>
      <c r="O25" s="184"/>
      <c r="P25" s="184"/>
      <c r="Q25" s="184"/>
      <c r="R25" s="181"/>
    </row>
    <row r="26" spans="1:18" ht="15.5" x14ac:dyDescent="0.35">
      <c r="A26" s="121">
        <f>Assumptions!C51</f>
        <v>1</v>
      </c>
      <c r="B26" s="106" t="s">
        <v>257</v>
      </c>
      <c r="C26" s="183" cm="1">
        <f t="array" aca="1" ref="C26" ca="1">INDIRECT("R[36]C["&amp;$A$26&amp;"]",FALSE)</f>
        <v>14.113846153846156</v>
      </c>
      <c r="D26" s="183" cm="1">
        <f t="array" aca="1" ref="D26" ca="1">INDIRECT("R[36]C["&amp;$A$18&amp;"]",FALSE)</f>
        <v>111.64424046541696</v>
      </c>
      <c r="E26" s="183" cm="1">
        <f t="array" aca="1" ref="E26" ca="1">INDIRECT("R[36]C["&amp;$A$18&amp;"]",FALSE)</f>
        <v>88.389230769230764</v>
      </c>
      <c r="F26" s="183" cm="1">
        <f t="array" aca="1" ref="F26" ca="1">INDIRECT("R[36]C["&amp;$A$18&amp;"]",FALSE)</f>
        <v>73.171999999999997</v>
      </c>
      <c r="G26" s="183" cm="1">
        <f t="array" aca="1" ref="G26" ca="1">INDIRECT("R[36]C["&amp;$A$18&amp;"]",FALSE)</f>
        <v>63.90120000000001</v>
      </c>
      <c r="H26" s="183" cm="1">
        <f t="array" aca="1" ref="H26" ca="1">INDIRECT("R[36]C["&amp;$A$18&amp;"]",FALSE)</f>
        <v>117.03647983289652</v>
      </c>
      <c r="I26" s="183" cm="1">
        <f t="array" aca="1" ref="I26" ca="1">INDIRECT("R[36]C["&amp;$A$18&amp;"]",FALSE)</f>
        <v>56.342000000000006</v>
      </c>
      <c r="J26" s="183" cm="1">
        <f t="array" aca="1" ref="J26" ca="1">INDIRECT("R[36]C["&amp;$A$18&amp;"]",FALSE)</f>
        <v>96.996629183859312</v>
      </c>
      <c r="K26" s="183" cm="1">
        <f t="array" aca="1" ref="K26" ca="1">INDIRECT("R[36]C["&amp;$A$18&amp;"]",FALSE)</f>
        <v>40.332428062722109</v>
      </c>
      <c r="L26" s="183" cm="1">
        <f t="array" aca="1" ref="L26" ca="1">INDIRECT("R[36]C["&amp;$A$18&amp;"]",FALSE)</f>
        <v>99.206576866442973</v>
      </c>
      <c r="M26" s="183" cm="1">
        <f t="array" aca="1" ref="M26" ca="1">INDIRECT("R[36]C["&amp;$A$18&amp;"]",FALSE)</f>
        <v>65.394999999999996</v>
      </c>
      <c r="N26" s="183" cm="1">
        <f t="array" aca="1" ref="N26" ca="1">INDIRECT("R[36]C["&amp;$A$18&amp;"]",FALSE)</f>
        <v>44.760679711945514</v>
      </c>
      <c r="O26" s="183" cm="1">
        <f t="array" aca="1" ref="O26" ca="1">INDIRECT("R[36]C["&amp;$A$18&amp;"]",FALSE)</f>
        <v>16.940000000000001</v>
      </c>
      <c r="P26" s="183"/>
      <c r="Q26" s="183"/>
      <c r="R26" s="115">
        <f ca="1">SUM(C26:Q26)</f>
        <v>888.2303110463605</v>
      </c>
    </row>
    <row r="27" spans="1:18" ht="15.5" x14ac:dyDescent="0.35">
      <c r="A27" s="121">
        <f>A26</f>
        <v>1</v>
      </c>
      <c r="B27" s="106" t="s">
        <v>258</v>
      </c>
      <c r="C27" s="183" cm="1">
        <f t="array" aca="1" ref="C27" ca="1">INDIRECT("R[36]C["&amp;$A$27&amp;"]",FALSE)</f>
        <v>14.256410256410257</v>
      </c>
      <c r="D27" s="183" cm="1">
        <f t="array" aca="1" ref="D27" ca="1">INDIRECT("R[36]C["&amp;$A$19&amp;"]",FALSE)</f>
        <v>112.77196006607772</v>
      </c>
      <c r="E27" s="183" cm="1">
        <f t="array" aca="1" ref="E27" ca="1">INDIRECT("R[36]C["&amp;$A$19&amp;"]",FALSE)</f>
        <v>89.28205128205127</v>
      </c>
      <c r="F27" s="183" cm="1">
        <f t="array" aca="1" ref="F27" ca="1">INDIRECT("R[36]C["&amp;$A$19&amp;"]",FALSE)</f>
        <v>73.911111111111097</v>
      </c>
      <c r="G27" s="183" cm="1">
        <f t="array" aca="1" ref="G27" ca="1">INDIRECT("R[36]C["&amp;$A$19&amp;"]",FALSE)</f>
        <v>64.546666666666667</v>
      </c>
      <c r="H27" s="183" cm="1">
        <f t="array" aca="1" ref="H27" ca="1">INDIRECT("R[36]C["&amp;$A$19&amp;"]",FALSE)</f>
        <v>118.21866649787526</v>
      </c>
      <c r="I27" s="183" cm="1">
        <f t="array" aca="1" ref="I27" ca="1">INDIRECT("R[36]C["&amp;$A$19&amp;"]",FALSE)</f>
        <v>56.911111111111111</v>
      </c>
      <c r="J27" s="183" cm="1">
        <f t="array" aca="1" ref="J27" ca="1">INDIRECT("R[36]C["&amp;$A$19&amp;"]",FALSE)</f>
        <v>97.976393115009401</v>
      </c>
      <c r="K27" s="183" cm="1">
        <f t="array" aca="1" ref="K27" ca="1">INDIRECT("R[36]C["&amp;$A$19&amp;"]",FALSE)</f>
        <v>40.739826325981923</v>
      </c>
      <c r="L27" s="183" cm="1">
        <f t="array" aca="1" ref="L27" ca="1">INDIRECT("R[36]C["&amp;$A$19&amp;"]",FALSE)</f>
        <v>100.20866350145754</v>
      </c>
      <c r="M27" s="183" cm="1">
        <f t="array" aca="1" ref="M27" ca="1">INDIRECT("R[36]C["&amp;$A$19&amp;"]",FALSE)</f>
        <v>66.055555555555543</v>
      </c>
      <c r="N27" s="183" cm="1">
        <f t="array" aca="1" ref="N27" ca="1">INDIRECT("R[36]C["&amp;$A$19&amp;"]",FALSE)</f>
        <v>45.21280778984395</v>
      </c>
      <c r="O27" s="183" cm="1">
        <f t="array" aca="1" ref="O27" ca="1">INDIRECT("R[36]C["&amp;$A$19&amp;"]",FALSE)</f>
        <v>17.111111111111111</v>
      </c>
      <c r="P27" s="183"/>
      <c r="Q27" s="183"/>
      <c r="R27" s="115">
        <f t="shared" ref="R27:R30" ca="1" si="6">SUM(C27:Q27)</f>
        <v>897.20233439026288</v>
      </c>
    </row>
    <row r="28" spans="1:18" ht="15.5" x14ac:dyDescent="0.35">
      <c r="A28" s="121">
        <f>Assumptions!C53</f>
        <v>1</v>
      </c>
      <c r="B28" s="106" t="s">
        <v>353</v>
      </c>
      <c r="C28" s="183" cm="1">
        <f t="array" aca="1" ref="C28" ca="1">INDIRECT("R[36]C["&amp;$A$28&amp;"]",FALSE)</f>
        <v>14.256410256410257</v>
      </c>
      <c r="D28" s="183" cm="1">
        <f t="array" aca="1" ref="D28" ca="1">INDIRECT("R[36]C["&amp;$A$28&amp;"]",FALSE)</f>
        <v>112.77196006607772</v>
      </c>
      <c r="E28" s="183" cm="1">
        <f t="array" aca="1" ref="E28" ca="1">INDIRECT("R[36]C["&amp;$A$28&amp;"]",FALSE)</f>
        <v>89.28205128205127</v>
      </c>
      <c r="F28" s="183" cm="1">
        <f t="array" aca="1" ref="F28" ca="1">INDIRECT("R[36]C["&amp;$A$28&amp;"]",FALSE)</f>
        <v>73.911111111111097</v>
      </c>
      <c r="G28" s="183" cm="1">
        <f t="array" aca="1" ref="G28" ca="1">INDIRECT("R[36]C["&amp;$A$28&amp;"]",FALSE)</f>
        <v>64.546666666666667</v>
      </c>
      <c r="H28" s="183" cm="1">
        <f t="array" aca="1" ref="H28" ca="1">INDIRECT("R[36]C["&amp;$A$28&amp;"]",FALSE)</f>
        <v>118.21866649787526</v>
      </c>
      <c r="I28" s="183" cm="1">
        <f t="array" aca="1" ref="I28" ca="1">INDIRECT("R[36]C["&amp;$A$28&amp;"]",FALSE)</f>
        <v>56.911111111111111</v>
      </c>
      <c r="J28" s="183" cm="1">
        <f t="array" aca="1" ref="J28" ca="1">INDIRECT("R[36]C["&amp;$A$28&amp;"]",FALSE)</f>
        <v>97.976393115009401</v>
      </c>
      <c r="K28" s="183" cm="1">
        <f t="array" aca="1" ref="K28" ca="1">INDIRECT("R[36]C["&amp;$A$28&amp;"]",FALSE)</f>
        <v>40.739826325981923</v>
      </c>
      <c r="L28" s="183" cm="1">
        <f t="array" aca="1" ref="L28" ca="1">INDIRECT("R[36]C["&amp;$A$28&amp;"]",FALSE)</f>
        <v>100.20866350145754</v>
      </c>
      <c r="M28" s="183" cm="1">
        <f t="array" aca="1" ref="M28" ca="1">INDIRECT("R[36]C["&amp;$A$28&amp;"]",FALSE)</f>
        <v>66.055555555555543</v>
      </c>
      <c r="N28" s="183" cm="1">
        <f t="array" aca="1" ref="N28" ca="1">INDIRECT("R[36]C["&amp;$A$28&amp;"]",FALSE)</f>
        <v>45.21280778984395</v>
      </c>
      <c r="O28" s="183" cm="1">
        <f t="array" aca="1" ref="O28" ca="1">INDIRECT("R[36]C["&amp;$A$28&amp;"]",FALSE)</f>
        <v>17.111111111111111</v>
      </c>
      <c r="P28" s="183"/>
      <c r="Q28" s="183"/>
      <c r="R28" s="115">
        <f t="shared" ca="1" si="6"/>
        <v>897.20233439026288</v>
      </c>
    </row>
    <row r="29" spans="1:18" ht="15.5" x14ac:dyDescent="0.35">
      <c r="A29" s="121">
        <f>Assumptions!C52</f>
        <v>1</v>
      </c>
      <c r="B29" s="106" t="s">
        <v>117</v>
      </c>
      <c r="C29" s="183" cm="1">
        <f t="array" aca="1" ref="C29" ca="1">INDIRECT("R[36]C["&amp;$A$29&amp;"]",FALSE)</f>
        <v>14.256410256410257</v>
      </c>
      <c r="D29" s="183" cm="1">
        <f t="array" aca="1" ref="D29" ca="1">INDIRECT("R[36]C["&amp;$A$29&amp;"]",FALSE)</f>
        <v>112.77196006607772</v>
      </c>
      <c r="E29" s="183" cm="1">
        <f t="array" aca="1" ref="E29" ca="1">INDIRECT("R[36]C["&amp;$A$29&amp;"]",FALSE)</f>
        <v>89.28205128205127</v>
      </c>
      <c r="F29" s="183" cm="1">
        <f t="array" aca="1" ref="F29" ca="1">INDIRECT("R[36]C["&amp;$A$29&amp;"]",FALSE)</f>
        <v>73.911111111111097</v>
      </c>
      <c r="G29" s="183" cm="1">
        <f t="array" aca="1" ref="G29" ca="1">INDIRECT("R[36]C["&amp;$A$29&amp;"]",FALSE)</f>
        <v>64.546666666666667</v>
      </c>
      <c r="H29" s="183" cm="1">
        <f t="array" aca="1" ref="H29" ca="1">INDIRECT("R[36]C["&amp;$A$29&amp;"]",FALSE)</f>
        <v>118.21866649787526</v>
      </c>
      <c r="I29" s="183" cm="1">
        <f t="array" aca="1" ref="I29" ca="1">INDIRECT("R[36]C["&amp;$A$29&amp;"]",FALSE)</f>
        <v>56.911111111111111</v>
      </c>
      <c r="J29" s="183" cm="1">
        <f t="array" aca="1" ref="J29" ca="1">INDIRECT("R[36]C["&amp;$A$29&amp;"]",FALSE)</f>
        <v>97.976393115009401</v>
      </c>
      <c r="K29" s="183" cm="1">
        <f t="array" aca="1" ref="K29" ca="1">INDIRECT("R[36]C["&amp;$A$29&amp;"]",FALSE)</f>
        <v>40.739826325981923</v>
      </c>
      <c r="L29" s="183" cm="1">
        <f t="array" aca="1" ref="L29" ca="1">INDIRECT("R[36]C["&amp;$A$29&amp;"]",FALSE)</f>
        <v>100.20866350145754</v>
      </c>
      <c r="M29" s="183" cm="1">
        <f t="array" aca="1" ref="M29" ca="1">INDIRECT("R[36]C["&amp;$A$29&amp;"]",FALSE)</f>
        <v>66.055555555555543</v>
      </c>
      <c r="N29" s="183" cm="1">
        <f t="array" aca="1" ref="N29" ca="1">INDIRECT("R[36]C["&amp;$A$29&amp;"]",FALSE)</f>
        <v>45.21280778984395</v>
      </c>
      <c r="O29" s="183" cm="1">
        <f t="array" aca="1" ref="O29" ca="1">INDIRECT("R[36]C["&amp;$A$29&amp;"]",FALSE)</f>
        <v>17.111111111111111</v>
      </c>
      <c r="P29" s="183"/>
      <c r="Q29" s="183"/>
      <c r="R29" s="115">
        <f t="shared" ca="1" si="6"/>
        <v>897.20233439026288</v>
      </c>
    </row>
    <row r="30" spans="1:18" ht="15.5" x14ac:dyDescent="0.35">
      <c r="A30" s="121">
        <f>Assumptions!C54</f>
        <v>1</v>
      </c>
      <c r="B30" s="106" t="s">
        <v>354</v>
      </c>
      <c r="C30" s="183" cm="1">
        <f t="array" aca="1" ref="C30" ca="1">INDIRECT("R[36]C["&amp;$A$30&amp;"]",FALSE)</f>
        <v>2</v>
      </c>
      <c r="D30" s="183" cm="1">
        <f t="array" aca="1" ref="D30" ca="1">INDIRECT("R[36]C["&amp;$A$30&amp;"]",FALSE)</f>
        <v>10</v>
      </c>
      <c r="E30" s="183" cm="1">
        <f t="array" aca="1" ref="E30" ca="1">INDIRECT("R[36]C["&amp;$A$30&amp;"]",FALSE)</f>
        <v>9</v>
      </c>
      <c r="F30" s="183" cm="1">
        <f t="array" aca="1" ref="F30" ca="1">INDIRECT("R[36]C["&amp;$A$30&amp;"]",FALSE)</f>
        <v>7</v>
      </c>
      <c r="G30" s="183" cm="1">
        <f t="array" aca="1" ref="G30" ca="1">INDIRECT("R[36]C["&amp;$A$30&amp;"]",FALSE)</f>
        <v>5</v>
      </c>
      <c r="H30" s="183" cm="1">
        <f t="array" aca="1" ref="H30" ca="1">INDIRECT("R[36]C["&amp;$A$30&amp;"]",FALSE)</f>
        <v>8</v>
      </c>
      <c r="I30" s="183" cm="1">
        <f t="array" aca="1" ref="I30" ca="1">INDIRECT("R[36]C["&amp;$A$30&amp;"]",FALSE)</f>
        <v>5</v>
      </c>
      <c r="J30" s="183" cm="1">
        <f t="array" aca="1" ref="J30" ca="1">INDIRECT("R[36]C["&amp;$A$30&amp;"]",FALSE)</f>
        <v>11</v>
      </c>
      <c r="K30" s="183" cm="1">
        <f t="array" aca="1" ref="K30" ca="1">INDIRECT("R[36]C["&amp;$A$30&amp;"]",FALSE)</f>
        <v>3</v>
      </c>
      <c r="L30" s="183" cm="1">
        <f t="array" aca="1" ref="L30" ca="1">INDIRECT("R[36]C["&amp;$A$30&amp;"]",FALSE)</f>
        <v>10</v>
      </c>
      <c r="M30" s="183" cm="1">
        <f t="array" aca="1" ref="M30" ca="1">INDIRECT("R[36]C["&amp;$A$30&amp;"]",FALSE)</f>
        <v>6</v>
      </c>
      <c r="N30" s="183" cm="1">
        <f t="array" aca="1" ref="N30" ca="1">INDIRECT("R[36]C["&amp;$A$30&amp;"]",FALSE)</f>
        <v>5</v>
      </c>
      <c r="O30" s="183" cm="1">
        <f t="array" aca="1" ref="O30" ca="1">INDIRECT("R[36]C["&amp;$A$30&amp;"]",FALSE)</f>
        <v>2</v>
      </c>
      <c r="P30" s="183"/>
      <c r="Q30" s="183"/>
      <c r="R30" s="115">
        <f t="shared" ca="1" si="6"/>
        <v>83</v>
      </c>
    </row>
    <row r="31" spans="1:18" ht="15.5" x14ac:dyDescent="0.35">
      <c r="A31" s="116"/>
      <c r="B31" s="129" t="s">
        <v>119</v>
      </c>
      <c r="C31" s="184"/>
      <c r="D31" s="180"/>
      <c r="E31" s="180"/>
      <c r="F31" s="180"/>
      <c r="G31" s="180"/>
      <c r="H31" s="180"/>
      <c r="I31" s="180"/>
      <c r="J31" s="180"/>
      <c r="K31" s="180"/>
      <c r="L31" s="180"/>
      <c r="M31" s="180"/>
      <c r="N31" s="180"/>
      <c r="O31" s="180"/>
      <c r="P31" s="180"/>
      <c r="Q31" s="180"/>
      <c r="R31" s="181"/>
    </row>
    <row r="32" spans="1:18" ht="15.5" x14ac:dyDescent="0.35">
      <c r="A32" s="121">
        <f>Assumptions!C48</f>
        <v>2</v>
      </c>
      <c r="B32" s="106" t="s">
        <v>355</v>
      </c>
      <c r="C32" s="183" cm="1">
        <f t="array" aca="1" ref="C32" ca="1">INDIRECT("R[36]C["&amp;$A$32&amp;"]",FALSE)</f>
        <v>10</v>
      </c>
      <c r="D32" s="183" cm="1">
        <f t="array" aca="1" ref="D32" ca="1">INDIRECT("R[36]C["&amp;$A$32&amp;"]",FALSE)</f>
        <v>6</v>
      </c>
      <c r="E32" s="183" cm="1">
        <f t="array" aca="1" ref="E32" ca="1">INDIRECT("R[36]C["&amp;$A$32&amp;"]",FALSE)</f>
        <v>7</v>
      </c>
      <c r="F32" s="183" cm="1">
        <f t="array" aca="1" ref="F32" ca="1">INDIRECT("R[36]C["&amp;$A$32&amp;"]",FALSE)</f>
        <v>5</v>
      </c>
      <c r="G32" s="183" cm="1">
        <f t="array" aca="1" ref="G32" ca="1">INDIRECT("R[36]C["&amp;$A$32&amp;"]",FALSE)</f>
        <v>8</v>
      </c>
      <c r="H32" s="183" cm="1">
        <f t="array" aca="1" ref="H32" ca="1">INDIRECT("R[36]C["&amp;$A$32&amp;"]",FALSE)</f>
        <v>5</v>
      </c>
      <c r="I32" s="183" cm="1">
        <f t="array" aca="1" ref="I32" ca="1">INDIRECT("R[36]C["&amp;$A$32&amp;"]",FALSE)</f>
        <v>8</v>
      </c>
      <c r="J32" s="183" cm="1">
        <f t="array" aca="1" ref="J32" ca="1">INDIRECT("R[36]C["&amp;$A$32&amp;"]",FALSE)</f>
        <v>3</v>
      </c>
      <c r="K32" s="183" cm="1">
        <f t="array" aca="1" ref="K32" ca="1">INDIRECT("R[36]C["&amp;$A$32&amp;"]",FALSE)</f>
        <v>10</v>
      </c>
      <c r="L32" s="183" cm="1">
        <f t="array" aca="1" ref="L32" ca="1">INDIRECT("R[36]C["&amp;$A$32&amp;"]",FALSE)</f>
        <v>6</v>
      </c>
      <c r="M32" s="183" cm="1">
        <f t="array" aca="1" ref="M32" ca="1">INDIRECT("R[36]C["&amp;$A$32&amp;"]",FALSE)</f>
        <v>5</v>
      </c>
      <c r="N32" s="183" cm="1">
        <f t="array" aca="1" ref="N32" ca="1">INDIRECT("R[36]C["&amp;$A$32&amp;"]",FALSE)</f>
        <v>2</v>
      </c>
      <c r="O32" s="183" cm="1">
        <f t="array" aca="1" ref="O32" ca="1">INDIRECT("R[36]C["&amp;$A$32&amp;"]",FALSE)</f>
        <v>0</v>
      </c>
      <c r="P32" s="183"/>
      <c r="Q32" s="183"/>
      <c r="R32" s="115">
        <f ca="1">SUM(C32:Q32)</f>
        <v>75</v>
      </c>
    </row>
    <row r="33" spans="1:19" ht="15.5" x14ac:dyDescent="0.35">
      <c r="A33" s="116"/>
      <c r="B33" s="129" t="s">
        <v>356</v>
      </c>
      <c r="C33" s="184"/>
      <c r="D33" s="184"/>
      <c r="E33" s="184"/>
      <c r="F33" s="184"/>
      <c r="G33" s="184"/>
      <c r="H33" s="184"/>
      <c r="I33" s="184"/>
      <c r="J33" s="184"/>
      <c r="K33" s="184"/>
      <c r="L33" s="184"/>
      <c r="M33" s="184"/>
      <c r="N33" s="184"/>
      <c r="O33" s="184"/>
      <c r="P33" s="184"/>
      <c r="Q33" s="184"/>
      <c r="R33" s="181"/>
    </row>
    <row r="34" spans="1:19" ht="15.5" x14ac:dyDescent="0.35">
      <c r="A34" s="121">
        <f>Assumptions!C49</f>
        <v>1</v>
      </c>
      <c r="B34" s="106" t="s">
        <v>357</v>
      </c>
      <c r="C34" s="183" cm="1">
        <f t="array" aca="1" ref="C34" ca="1">INDIRECT("R[36]C["&amp;$A$34&amp;"]",FALSE)</f>
        <v>125.50240000000001</v>
      </c>
      <c r="D34" s="183" cm="1">
        <f t="array" aca="1" ref="D34" ca="1">INDIRECT("R[36]C["&amp;$A$34&amp;"]",FALSE)</f>
        <v>862.25390096961871</v>
      </c>
      <c r="E34" s="183" cm="1">
        <f t="array" aca="1" ref="E34" ca="1">INDIRECT("R[36]C["&amp;$A$34&amp;"]",FALSE)</f>
        <v>725.58714358974373</v>
      </c>
      <c r="F34" s="183" cm="1">
        <f t="array" aca="1" ref="F34" ca="1">INDIRECT("R[36]C["&amp;$A$34&amp;"]",FALSE)</f>
        <v>520.27304000000004</v>
      </c>
      <c r="G34" s="183" cm="1">
        <f t="array" aca="1" ref="G34" ca="1">INDIRECT("R[36]C["&amp;$A$34&amp;"]",FALSE)</f>
        <v>417.65050133333341</v>
      </c>
      <c r="H34" s="183" cm="1">
        <f t="array" aca="1" ref="H34" ca="1">INDIRECT("R[36]C["&amp;$A$34&amp;"]",FALSE)</f>
        <v>1004.9766712982587</v>
      </c>
      <c r="I34" s="183" cm="1">
        <f t="array" aca="1" ref="I34" ca="1">INDIRECT("R[36]C["&amp;$A$34&amp;"]",FALSE)</f>
        <v>335.84160000000003</v>
      </c>
      <c r="J34" s="183" cm="1">
        <f t="array" aca="1" ref="J34" ca="1">INDIRECT("R[36]C["&amp;$A$34&amp;"]",FALSE)</f>
        <v>954.23567784168199</v>
      </c>
      <c r="K34" s="183" cm="1">
        <f t="array" aca="1" ref="K34" ca="1">INDIRECT("R[36]C["&amp;$A$34&amp;"]",FALSE)</f>
        <v>268.39397583556899</v>
      </c>
      <c r="L34" s="183" cm="1">
        <f t="array" aca="1" ref="L34" ca="1">INDIRECT("R[36]C["&amp;$A$34&amp;"]",FALSE)</f>
        <v>866.85067514760215</v>
      </c>
      <c r="M34" s="183" cm="1">
        <f t="array" aca="1" ref="M34" ca="1">INDIRECT("R[36]C["&amp;$A$34&amp;"]",FALSE)</f>
        <v>435.17399999999998</v>
      </c>
      <c r="N34" s="183" cm="1">
        <f t="array" aca="1" ref="N34" ca="1">INDIRECT("R[36]C["&amp;$A$34&amp;"]",FALSE)</f>
        <v>297.86197771949202</v>
      </c>
      <c r="O34" s="183" cm="1">
        <f t="array" aca="1" ref="O34" ca="1">INDIRECT("R[36]C["&amp;$A$34&amp;"]",FALSE)</f>
        <v>112.72800000000001</v>
      </c>
      <c r="P34" s="183"/>
      <c r="Q34" s="183"/>
      <c r="R34" s="115">
        <f ca="1">SUM(C34:Q34)</f>
        <v>6927.3295637353003</v>
      </c>
    </row>
    <row r="35" spans="1:19" ht="15.5" x14ac:dyDescent="0.35">
      <c r="A35" s="121">
        <f>Assumptions!C50</f>
        <v>1</v>
      </c>
      <c r="B35" s="106" t="s">
        <v>358</v>
      </c>
      <c r="C35" s="183" cm="1">
        <f t="array" aca="1" ref="C35" ca="1">INDIRECT("R[36]C["&amp;$A$35&amp;"]",FALSE)</f>
        <v>256</v>
      </c>
      <c r="D35" s="183" cm="1">
        <f t="array" aca="1" ref="D35" ca="1">INDIRECT("R[36]C["&amp;$A$35&amp;"]",FALSE)</f>
        <v>926.41359999999997</v>
      </c>
      <c r="E35" s="183" cm="1">
        <f t="array" aca="1" ref="E35" ca="1">INDIRECT("R[36]C["&amp;$A$35&amp;"]",FALSE)</f>
        <v>505.5</v>
      </c>
      <c r="F35" s="183" cm="1">
        <f t="array" aca="1" ref="F35" ca="1">INDIRECT("R[36]C["&amp;$A$35&amp;"]",FALSE)</f>
        <v>498.67899999999997</v>
      </c>
      <c r="G35" s="183" cm="1">
        <f t="array" aca="1" ref="G35" ca="1">INDIRECT("R[36]C["&amp;$A$35&amp;"]",FALSE)</f>
        <v>526</v>
      </c>
      <c r="H35" s="183" cm="1">
        <f t="array" aca="1" ref="H35" ca="1">INDIRECT("R[36]C["&amp;$A$35&amp;"]",FALSE)</f>
        <v>658.6653</v>
      </c>
      <c r="I35" s="183" cm="1">
        <f t="array" aca="1" ref="I35" ca="1">INDIRECT("R[36]C["&amp;$A$35&amp;"]",FALSE)</f>
        <v>690.26030000000003</v>
      </c>
      <c r="J35" s="183" cm="1">
        <f t="array" aca="1" ref="J35" ca="1">INDIRECT("R[36]C["&amp;$A$35&amp;"]",FALSE)</f>
        <v>679.90499999999997</v>
      </c>
      <c r="K35" s="183" cm="1">
        <f t="array" aca="1" ref="K35" ca="1">INDIRECT("R[36]C["&amp;$A$35&amp;"]",FALSE)</f>
        <v>363.00000000000006</v>
      </c>
      <c r="L35" s="183" cm="1">
        <f t="array" aca="1" ref="L35" ca="1">INDIRECT("R[36]C["&amp;$A$35&amp;"]",FALSE)</f>
        <v>1402.405</v>
      </c>
      <c r="M35" s="183" cm="1">
        <f t="array" aca="1" ref="M35" ca="1">INDIRECT("R[36]C["&amp;$A$35&amp;"]",FALSE)</f>
        <v>900</v>
      </c>
      <c r="N35" s="183" cm="1">
        <f t="array" aca="1" ref="N35" ca="1">INDIRECT("R[36]C["&amp;$A$35&amp;"]",FALSE)</f>
        <v>672.40499999999997</v>
      </c>
      <c r="O35" s="183" cm="1">
        <f t="array" aca="1" ref="O35" ca="1">INDIRECT("R[36]C["&amp;$A$35&amp;"]",FALSE)</f>
        <v>280</v>
      </c>
      <c r="P35" s="183"/>
      <c r="Q35" s="183"/>
      <c r="R35" s="115">
        <f ca="1">SUM(C35:Q35)</f>
        <v>8359.2331999999988</v>
      </c>
    </row>
    <row r="36" spans="1:19" ht="15.5" x14ac:dyDescent="0.35">
      <c r="A36" s="116"/>
      <c r="B36" s="129"/>
      <c r="C36" s="179"/>
      <c r="D36" s="179"/>
      <c r="E36" s="179"/>
      <c r="F36" s="179"/>
      <c r="G36" s="179"/>
      <c r="H36" s="179"/>
      <c r="I36" s="179"/>
      <c r="J36" s="179"/>
      <c r="K36" s="179"/>
      <c r="L36" s="179"/>
      <c r="M36" s="179"/>
      <c r="N36" s="179"/>
      <c r="O36" s="179"/>
      <c r="P36" s="179"/>
      <c r="Q36" s="179"/>
      <c r="R36" s="181"/>
    </row>
    <row r="37" spans="1:19" ht="15.5" x14ac:dyDescent="0.35">
      <c r="A37" s="116"/>
      <c r="B37" s="116"/>
      <c r="C37" s="116"/>
      <c r="D37" s="115"/>
      <c r="E37" s="115"/>
      <c r="F37" s="115"/>
      <c r="G37" s="115"/>
      <c r="H37" s="115"/>
      <c r="I37" s="115"/>
      <c r="J37" s="115"/>
      <c r="K37" s="115"/>
      <c r="L37" s="115"/>
      <c r="M37" s="115"/>
      <c r="N37" s="115"/>
      <c r="O37" s="115"/>
      <c r="P37" s="115"/>
      <c r="Q37" s="115"/>
      <c r="R37" s="115"/>
    </row>
    <row r="38" spans="1:19" ht="15.5" x14ac:dyDescent="0.35">
      <c r="A38" s="116"/>
      <c r="B38" s="116"/>
      <c r="C38" s="116"/>
      <c r="D38" s="115"/>
      <c r="E38" s="115"/>
      <c r="F38" s="115"/>
      <c r="G38" s="115"/>
      <c r="H38" s="115"/>
      <c r="I38" s="115"/>
      <c r="J38" s="115"/>
      <c r="K38" s="115"/>
      <c r="L38" s="115"/>
      <c r="M38" s="115"/>
      <c r="N38" s="115"/>
      <c r="O38" s="115"/>
      <c r="P38" s="115"/>
      <c r="Q38" s="115"/>
      <c r="R38" s="115"/>
    </row>
    <row r="39" spans="1:19" ht="15.5" x14ac:dyDescent="0.35">
      <c r="A39" s="116"/>
      <c r="B39" s="116" t="s">
        <v>235</v>
      </c>
      <c r="C39" s="116"/>
      <c r="D39" s="115"/>
      <c r="E39" s="115"/>
      <c r="F39" s="115"/>
      <c r="G39" s="115"/>
      <c r="H39" s="115"/>
      <c r="I39" s="115"/>
      <c r="J39" s="115"/>
      <c r="K39" s="115"/>
      <c r="L39" s="115"/>
      <c r="M39" s="115"/>
      <c r="N39" s="115"/>
      <c r="O39" s="115"/>
      <c r="P39" s="115"/>
      <c r="Q39" s="115"/>
      <c r="R39" s="115"/>
    </row>
    <row r="40" spans="1:19" ht="15.5" x14ac:dyDescent="0.35">
      <c r="A40" s="116"/>
      <c r="B40" s="116"/>
      <c r="C40" s="116"/>
      <c r="D40" s="115"/>
      <c r="E40" s="115"/>
      <c r="F40" s="115"/>
      <c r="G40" s="115"/>
      <c r="H40" s="115"/>
      <c r="I40" s="115"/>
      <c r="J40" s="115"/>
      <c r="K40" s="115"/>
      <c r="L40" s="115"/>
      <c r="M40" s="115"/>
      <c r="N40" s="115"/>
      <c r="O40" s="115"/>
      <c r="P40" s="115"/>
      <c r="Q40" s="115"/>
      <c r="R40" s="115"/>
    </row>
    <row r="41" spans="1:19" ht="15.5" x14ac:dyDescent="0.35">
      <c r="A41" s="116"/>
      <c r="B41" s="116"/>
      <c r="C41" s="116"/>
      <c r="D41" s="115"/>
      <c r="E41" s="115"/>
      <c r="F41" s="115"/>
      <c r="G41" s="115"/>
      <c r="H41" s="115"/>
      <c r="I41" s="115"/>
      <c r="J41" s="115"/>
      <c r="K41" s="115"/>
      <c r="L41" s="115"/>
      <c r="M41" s="115"/>
      <c r="N41" s="115"/>
      <c r="O41" s="115"/>
      <c r="P41" s="115"/>
      <c r="Q41" s="115"/>
      <c r="R41" s="115"/>
    </row>
    <row r="42" spans="1:19" ht="15.5" x14ac:dyDescent="0.35">
      <c r="A42" s="116"/>
      <c r="B42" s="116"/>
      <c r="C42" s="116"/>
      <c r="D42" s="116"/>
      <c r="E42" s="116"/>
      <c r="F42" s="116"/>
      <c r="G42" s="116"/>
      <c r="H42" s="116"/>
      <c r="I42" s="116"/>
      <c r="J42" s="116"/>
      <c r="K42" s="116"/>
      <c r="L42" s="116"/>
      <c r="M42" s="116"/>
      <c r="N42" s="116"/>
      <c r="O42" s="116"/>
      <c r="P42" s="116"/>
      <c r="Q42" s="116"/>
      <c r="R42" s="115"/>
    </row>
    <row r="43" spans="1:19" ht="15.5" x14ac:dyDescent="0.35">
      <c r="A43" s="116"/>
      <c r="B43" s="116"/>
      <c r="C43" s="116"/>
      <c r="D43" s="116"/>
      <c r="E43" s="116"/>
      <c r="F43" s="116"/>
      <c r="G43" s="116"/>
      <c r="H43" s="116"/>
      <c r="I43" s="116"/>
      <c r="J43" s="116"/>
      <c r="K43" s="116"/>
      <c r="L43" s="116"/>
      <c r="M43" s="116"/>
      <c r="N43" s="116"/>
      <c r="O43" s="116"/>
      <c r="P43" s="116"/>
      <c r="Q43" s="116"/>
      <c r="R43" s="115"/>
    </row>
    <row r="44" spans="1:19" ht="15.5" x14ac:dyDescent="0.35">
      <c r="A44" s="116"/>
      <c r="B44" s="120" t="s">
        <v>193</v>
      </c>
      <c r="C44" s="120"/>
      <c r="D44" s="116"/>
      <c r="E44" s="116"/>
      <c r="F44" s="116"/>
      <c r="G44" s="116"/>
      <c r="H44" s="116"/>
      <c r="I44" s="116"/>
      <c r="J44" s="116"/>
      <c r="K44" s="116"/>
      <c r="L44" s="116"/>
      <c r="M44" s="116"/>
      <c r="N44" s="116"/>
      <c r="O44" s="116"/>
      <c r="P44" s="116"/>
      <c r="Q44" s="116"/>
      <c r="R44" s="115"/>
    </row>
    <row r="45" spans="1:19" ht="15.5" x14ac:dyDescent="0.35">
      <c r="A45" s="116"/>
      <c r="B45" s="129" t="s">
        <v>112</v>
      </c>
      <c r="C45" s="180">
        <f ca="1">SUM(C46:C48)</f>
        <v>0</v>
      </c>
      <c r="D45" s="180">
        <f t="shared" ref="D45:Q45" ca="1" si="7">SUM(D46:D48)</f>
        <v>42.769230769230774</v>
      </c>
      <c r="E45" s="180">
        <f t="shared" ca="1" si="7"/>
        <v>338.31588019823317</v>
      </c>
      <c r="F45" s="180">
        <f t="shared" ca="1" si="7"/>
        <v>289.84615384615381</v>
      </c>
      <c r="G45" s="180">
        <f t="shared" ca="1" si="7"/>
        <v>243.73333333333332</v>
      </c>
      <c r="H45" s="180">
        <f t="shared" ca="1" si="7"/>
        <v>193.64</v>
      </c>
      <c r="I45" s="180">
        <f t="shared" ca="1" si="7"/>
        <v>375.06625590388217</v>
      </c>
      <c r="J45" s="180">
        <f t="shared" ca="1" si="7"/>
        <v>152.93333333333334</v>
      </c>
      <c r="K45" s="180">
        <f t="shared" ca="1" si="7"/>
        <v>315.26251267836159</v>
      </c>
      <c r="L45" s="180">
        <f t="shared" ca="1" si="7"/>
        <v>166.78543772010551</v>
      </c>
      <c r="M45" s="180">
        <f t="shared" ca="1" si="7"/>
        <v>300.62599050437262</v>
      </c>
      <c r="N45" s="180">
        <f t="shared" ca="1" si="7"/>
        <v>198.16666666666666</v>
      </c>
      <c r="O45" s="180">
        <f t="shared" ca="1" si="7"/>
        <v>135.63842336953189</v>
      </c>
      <c r="P45" s="180">
        <f t="shared" ca="1" si="7"/>
        <v>51.333333333333336</v>
      </c>
      <c r="Q45" s="180">
        <f t="shared" si="7"/>
        <v>0</v>
      </c>
      <c r="R45" s="181">
        <f ca="1">SUM(C45:Q45)</f>
        <v>2804.1165516565384</v>
      </c>
    </row>
    <row r="46" spans="1:19" ht="15.5" x14ac:dyDescent="0.35">
      <c r="A46" s="121">
        <f>Assumptions!C55</f>
        <v>1</v>
      </c>
      <c r="B46" s="123">
        <v>12</v>
      </c>
      <c r="C46" s="183" cm="1">
        <f t="array" aca="1" ref="C46" ca="1">INDIRECT("R[40]C["&amp;$A$46&amp;"]",FALSE)</f>
        <v>0</v>
      </c>
      <c r="D46" s="183" cm="1">
        <f t="array" aca="1" ref="D46" ca="1">INDIRECT("R[40]C["&amp;$A$46&amp;"]",FALSE)</f>
        <v>42.769230769230774</v>
      </c>
      <c r="E46" s="183" cm="1">
        <f t="array" aca="1" ref="E46" ca="1">INDIRECT("R[40]C["&amp;$A$46&amp;"]",FALSE)</f>
        <v>261.79487179487182</v>
      </c>
      <c r="F46" s="183" cm="1">
        <f t="array" aca="1" ref="F46" ca="1">INDIRECT("R[40]C["&amp;$A$46&amp;"]",FALSE)</f>
        <v>187.5128205128205</v>
      </c>
      <c r="G46" s="183" cm="1">
        <f t="array" aca="1" ref="G46" ca="1">INDIRECT("R[40]C["&amp;$A$46&amp;"]",FALSE)</f>
        <v>60.666666666666664</v>
      </c>
      <c r="H46" s="183" cm="1">
        <f t="array" aca="1" ref="H46" ca="1">INDIRECT("R[40]C["&amp;$A$46&amp;"]",FALSE)</f>
        <v>0</v>
      </c>
      <c r="I46" s="183" cm="1">
        <f t="array" aca="1" ref="I46" ca="1">INDIRECT("R[40]C["&amp;$A$46&amp;"]",FALSE)</f>
        <v>0</v>
      </c>
      <c r="J46" s="183" cm="1">
        <f t="array" aca="1" ref="J46" ca="1">INDIRECT("R[40]C["&amp;$A$46&amp;"]",FALSE)</f>
        <v>0</v>
      </c>
      <c r="K46" s="183" cm="1">
        <f t="array" aca="1" ref="K46" ca="1">INDIRECT("R[40]C["&amp;$A$46&amp;"]",FALSE)</f>
        <v>0</v>
      </c>
      <c r="L46" s="183" cm="1">
        <f t="array" aca="1" ref="L46" ca="1">INDIRECT("R[40]C["&amp;$A$46&amp;"]",FALSE)</f>
        <v>0</v>
      </c>
      <c r="M46" s="183" cm="1">
        <f t="array" aca="1" ref="M46" ca="1">INDIRECT("R[40]C["&amp;$A$46&amp;"]",FALSE)</f>
        <v>0</v>
      </c>
      <c r="N46" s="183" cm="1">
        <f t="array" aca="1" ref="N46" ca="1">INDIRECT("R[40]C["&amp;$A$46&amp;"]",FALSE)</f>
        <v>0</v>
      </c>
      <c r="O46" s="183" cm="1">
        <f t="array" aca="1" ref="O46" ca="1">INDIRECT("R[40]C["&amp;$A$46&amp;"]",FALSE)</f>
        <v>0</v>
      </c>
      <c r="P46" s="183" cm="1">
        <f t="array" aca="1" ref="P46" ca="1">INDIRECT("R[40]C["&amp;$A$46&amp;"]",FALSE)</f>
        <v>0</v>
      </c>
      <c r="Q46" s="116"/>
      <c r="R46" s="115">
        <f ca="1">SUM(D46:P46)</f>
        <v>552.74358974358972</v>
      </c>
    </row>
    <row r="47" spans="1:19" ht="15.5" x14ac:dyDescent="0.35">
      <c r="A47" s="121">
        <f>A46</f>
        <v>1</v>
      </c>
      <c r="B47" s="123">
        <v>15</v>
      </c>
      <c r="C47" s="183" cm="1">
        <f t="array" aca="1" ref="C47" ca="1">INDIRECT("R[40]C["&amp;$A$46&amp;"]",FALSE)</f>
        <v>0</v>
      </c>
      <c r="D47" s="183" cm="1">
        <f t="array" aca="1" ref="D47" ca="1">INDIRECT("R[40]C["&amp;$A$46&amp;"]",FALSE)</f>
        <v>0</v>
      </c>
      <c r="E47" s="183" cm="1">
        <f t="array" aca="1" ref="E47" ca="1">INDIRECT("R[40]C["&amp;$A$46&amp;"]",FALSE)</f>
        <v>76.52100840336135</v>
      </c>
      <c r="F47" s="183" cm="1">
        <f t="array" aca="1" ref="F47" ca="1">INDIRECT("R[40]C["&amp;$A$46&amp;"]",FALSE)</f>
        <v>102.33333333333334</v>
      </c>
      <c r="G47" s="183" cm="1">
        <f t="array" aca="1" ref="G47" ca="1">INDIRECT("R[40]C["&amp;$A$46&amp;"]",FALSE)</f>
        <v>183.06666666666666</v>
      </c>
      <c r="H47" s="183" cm="1">
        <f t="array" aca="1" ref="H47" ca="1">INDIRECT("R[40]C["&amp;$A$46&amp;"]",FALSE)</f>
        <v>193.64</v>
      </c>
      <c r="I47" s="183" cm="1">
        <f t="array" aca="1" ref="I47" ca="1">INDIRECT("R[40]C["&amp;$A$46&amp;"]",FALSE)</f>
        <v>375.06625590388217</v>
      </c>
      <c r="J47" s="183" cm="1">
        <f t="array" aca="1" ref="J47" ca="1">INDIRECT("R[40]C["&amp;$A$46&amp;"]",FALSE)</f>
        <v>152.93333333333334</v>
      </c>
      <c r="K47" s="183" cm="1">
        <f t="array" aca="1" ref="K47" ca="1">INDIRECT("R[40]C["&amp;$A$46&amp;"]",FALSE)</f>
        <v>315.26251267836159</v>
      </c>
      <c r="L47" s="183" cm="1">
        <f t="array" aca="1" ref="L47" ca="1">INDIRECT("R[40]C["&amp;$A$46&amp;"]",FALSE)</f>
        <v>0</v>
      </c>
      <c r="M47" s="183" cm="1">
        <f t="array" aca="1" ref="M47" ca="1">INDIRECT("R[40]C["&amp;$A$46&amp;"]",FALSE)</f>
        <v>0</v>
      </c>
      <c r="N47" s="183" cm="1">
        <f t="array" aca="1" ref="N47" ca="1">INDIRECT("R[40]C["&amp;$A$46&amp;"]",FALSE)</f>
        <v>0</v>
      </c>
      <c r="O47" s="183" cm="1">
        <f t="array" aca="1" ref="O47" ca="1">INDIRECT("R[40]C["&amp;$A$46&amp;"]",FALSE)</f>
        <v>0</v>
      </c>
      <c r="P47" s="183" cm="1">
        <f t="array" aca="1" ref="P47" ca="1">INDIRECT("R[40]C["&amp;$A$46&amp;"]",FALSE)</f>
        <v>0</v>
      </c>
      <c r="Q47" s="116"/>
      <c r="R47" s="115">
        <f ca="1">SUM(D47:P47)</f>
        <v>1398.8231103189385</v>
      </c>
    </row>
    <row r="48" spans="1:19" ht="15.5" x14ac:dyDescent="0.35">
      <c r="A48" s="121">
        <f>A47</f>
        <v>1</v>
      </c>
      <c r="B48" s="123">
        <v>18</v>
      </c>
      <c r="C48" s="183" cm="1">
        <f t="array" aca="1" ref="C48" ca="1">INDIRECT("R[40]C["&amp;$A$46&amp;"]",FALSE)</f>
        <v>0</v>
      </c>
      <c r="D48" s="183" cm="1">
        <f t="array" aca="1" ref="D48" ca="1">INDIRECT("R[40]C["&amp;$A$46&amp;"]",FALSE)</f>
        <v>0</v>
      </c>
      <c r="E48" s="183" cm="1">
        <f t="array" aca="1" ref="E48" ca="1">INDIRECT("R[40]C["&amp;$A$46&amp;"]",FALSE)</f>
        <v>0</v>
      </c>
      <c r="F48" s="183" cm="1">
        <f t="array" aca="1" ref="F48" ca="1">INDIRECT("R[40]C["&amp;$A$46&amp;"]",FALSE)</f>
        <v>0</v>
      </c>
      <c r="G48" s="183" cm="1">
        <f t="array" aca="1" ref="G48" ca="1">INDIRECT("R[40]C["&amp;$A$46&amp;"]",FALSE)</f>
        <v>0</v>
      </c>
      <c r="H48" s="183" cm="1">
        <f t="array" aca="1" ref="H48" ca="1">INDIRECT("R[40]C["&amp;$A$46&amp;"]",FALSE)</f>
        <v>0</v>
      </c>
      <c r="I48" s="183" cm="1">
        <f t="array" aca="1" ref="I48" ca="1">INDIRECT("R[40]C["&amp;$A$46&amp;"]",FALSE)</f>
        <v>0</v>
      </c>
      <c r="J48" s="183" cm="1">
        <f t="array" aca="1" ref="J48" ca="1">INDIRECT("R[40]C["&amp;$A$46&amp;"]",FALSE)</f>
        <v>0</v>
      </c>
      <c r="K48" s="183" cm="1">
        <f t="array" aca="1" ref="K48" ca="1">INDIRECT("R[40]C["&amp;$A$46&amp;"]",FALSE)</f>
        <v>0</v>
      </c>
      <c r="L48" s="183" cm="1">
        <f t="array" aca="1" ref="L48" ca="1">INDIRECT("R[40]C["&amp;$A$46&amp;"]",FALSE)</f>
        <v>166.78543772010551</v>
      </c>
      <c r="M48" s="183" cm="1">
        <f t="array" aca="1" ref="M48" ca="1">INDIRECT("R[40]C["&amp;$A$46&amp;"]",FALSE)</f>
        <v>300.62599050437262</v>
      </c>
      <c r="N48" s="183" cm="1">
        <f t="array" aca="1" ref="N48" ca="1">INDIRECT("R[40]C["&amp;$A$46&amp;"]",FALSE)</f>
        <v>198.16666666666666</v>
      </c>
      <c r="O48" s="183" cm="1">
        <f t="array" aca="1" ref="O48" ca="1">INDIRECT("R[40]C["&amp;$A$46&amp;"]",FALSE)</f>
        <v>135.63842336953189</v>
      </c>
      <c r="P48" s="183" cm="1">
        <f t="array" aca="1" ref="P48" ca="1">INDIRECT("R[40]C["&amp;$A$46&amp;"]",FALSE)</f>
        <v>51.333333333333336</v>
      </c>
      <c r="Q48" s="116"/>
      <c r="R48" s="115">
        <f ca="1">SUM(D48:P48)</f>
        <v>852.54985159401008</v>
      </c>
      <c r="S48" t="s">
        <v>91</v>
      </c>
    </row>
    <row r="49" spans="1:18" ht="15.5" x14ac:dyDescent="0.35">
      <c r="A49" s="116"/>
      <c r="B49" s="129" t="s">
        <v>351</v>
      </c>
      <c r="C49" s="179"/>
      <c r="D49" s="179"/>
      <c r="E49" s="179"/>
      <c r="F49" s="179"/>
      <c r="G49" s="179"/>
      <c r="H49" s="179"/>
      <c r="I49" s="179"/>
      <c r="J49" s="179"/>
      <c r="K49" s="179"/>
      <c r="L49" s="179"/>
      <c r="M49" s="179"/>
      <c r="N49" s="179"/>
      <c r="O49" s="179"/>
      <c r="P49" s="179"/>
      <c r="Q49" s="179"/>
      <c r="R49" s="181"/>
    </row>
    <row r="50" spans="1:18" ht="15.5" x14ac:dyDescent="0.35">
      <c r="A50" s="121">
        <f>A48</f>
        <v>1</v>
      </c>
      <c r="B50" s="123">
        <v>12</v>
      </c>
      <c r="C50" s="183" cm="1">
        <f t="array" aca="1" ref="C50" ca="1">INDIRECT("R[40]C["&amp;$A$50&amp;"]",FALSE)</f>
        <v>0</v>
      </c>
      <c r="D50" s="183" cm="1">
        <f t="array" aca="1" ref="D50" ca="1">INDIRECT("R[40]C["&amp;$A$50&amp;"]",FALSE)</f>
        <v>128.30769230769232</v>
      </c>
      <c r="E50" s="183" cm="1">
        <f t="array" aca="1" ref="E50" ca="1">INDIRECT("R[40]C["&amp;$A$50&amp;"]",FALSE)</f>
        <v>785.38461538461547</v>
      </c>
      <c r="F50" s="183" cm="1">
        <f t="array" aca="1" ref="F50" ca="1">INDIRECT("R[40]C["&amp;$A$50&amp;"]",FALSE)</f>
        <v>562.53846153846143</v>
      </c>
      <c r="G50" s="183" cm="1">
        <f t="array" aca="1" ref="G50" ca="1">INDIRECT("R[40]C["&amp;$A$50&amp;"]",FALSE)</f>
        <v>182</v>
      </c>
      <c r="H50" s="183" cm="1">
        <f t="array" aca="1" ref="H50" ca="1">INDIRECT("R[40]C["&amp;$A$50&amp;"]",FALSE)</f>
        <v>0</v>
      </c>
      <c r="I50" s="183" cm="1">
        <f t="array" aca="1" ref="I50" ca="1">INDIRECT("R[40]C["&amp;$A$50&amp;"]",FALSE)</f>
        <v>0</v>
      </c>
      <c r="J50" s="183" cm="1">
        <f t="array" aca="1" ref="J50" ca="1">INDIRECT("R[40]C["&amp;$A$50&amp;"]",FALSE)</f>
        <v>0</v>
      </c>
      <c r="K50" s="183" cm="1">
        <f t="array" aca="1" ref="K50" ca="1">INDIRECT("R[40]C["&amp;$A$50&amp;"]",FALSE)</f>
        <v>0</v>
      </c>
      <c r="L50" s="183" cm="1">
        <f t="array" aca="1" ref="L50" ca="1">INDIRECT("R[40]C["&amp;$A$50&amp;"]",FALSE)</f>
        <v>0</v>
      </c>
      <c r="M50" s="183" cm="1">
        <f t="array" aca="1" ref="M50" ca="1">INDIRECT("R[40]C["&amp;$A$50&amp;"]",FALSE)</f>
        <v>0</v>
      </c>
      <c r="N50" s="183" cm="1">
        <f t="array" aca="1" ref="N50" ca="1">INDIRECT("R[40]C["&amp;$A$50&amp;"]",FALSE)</f>
        <v>0</v>
      </c>
      <c r="O50" s="183" cm="1">
        <f t="array" aca="1" ref="O50" ca="1">INDIRECT("R[40]C["&amp;$A$50&amp;"]",FALSE)</f>
        <v>0</v>
      </c>
      <c r="P50" s="183" cm="1">
        <f t="array" aca="1" ref="P50" ca="1">INDIRECT("R[40]C["&amp;$A$50&amp;"]",FALSE)</f>
        <v>0</v>
      </c>
      <c r="Q50" s="115"/>
      <c r="R50" s="115">
        <f ca="1">SUM(D50:P50)</f>
        <v>1658.2307692307693</v>
      </c>
    </row>
    <row r="51" spans="1:18" ht="15.5" x14ac:dyDescent="0.35">
      <c r="A51" s="121">
        <f>A50</f>
        <v>1</v>
      </c>
      <c r="B51" s="123">
        <v>15</v>
      </c>
      <c r="C51" s="183" cm="1">
        <f t="array" aca="1" ref="C51" ca="1">INDIRECT("R[40]C["&amp;$A$50&amp;"]",FALSE)</f>
        <v>0</v>
      </c>
      <c r="D51" s="183" cm="1">
        <f t="array" aca="1" ref="D51" ca="1">INDIRECT("R[40]C["&amp;$A$50&amp;"]",FALSE)</f>
        <v>0</v>
      </c>
      <c r="E51" s="183" cm="1">
        <f t="array" aca="1" ref="E51" ca="1">INDIRECT("R[40]C["&amp;$A$50&amp;"]",FALSE)</f>
        <v>229.56302521008405</v>
      </c>
      <c r="F51" s="183" cm="1">
        <f t="array" aca="1" ref="F51" ca="1">INDIRECT("R[40]C["&amp;$A$50&amp;"]",FALSE)</f>
        <v>307</v>
      </c>
      <c r="G51" s="183" cm="1">
        <f t="array" aca="1" ref="G51" ca="1">INDIRECT("R[40]C["&amp;$A$50&amp;"]",FALSE)</f>
        <v>549.20000000000005</v>
      </c>
      <c r="H51" s="183" cm="1">
        <f t="array" aca="1" ref="H51" ca="1">INDIRECT("R[40]C["&amp;$A$50&amp;"]",FALSE)</f>
        <v>580.91999999999996</v>
      </c>
      <c r="I51" s="183" cm="1">
        <f t="array" aca="1" ref="I51" ca="1">INDIRECT("R[40]C["&amp;$A$50&amp;"]",FALSE)</f>
        <v>1125.1987677116465</v>
      </c>
      <c r="J51" s="183" cm="1">
        <f t="array" aca="1" ref="J51" ca="1">INDIRECT("R[40]C["&amp;$A$50&amp;"]",FALSE)</f>
        <v>458.8</v>
      </c>
      <c r="K51" s="183" cm="1">
        <f t="array" aca="1" ref="K51" ca="1">INDIRECT("R[40]C["&amp;$A$50&amp;"]",FALSE)</f>
        <v>945.78753803508471</v>
      </c>
      <c r="L51" s="183" cm="1">
        <f t="array" aca="1" ref="L51" ca="1">INDIRECT("R[40]C["&amp;$A$50&amp;"]",FALSE)</f>
        <v>0</v>
      </c>
      <c r="M51" s="183" cm="1">
        <f t="array" aca="1" ref="M51" ca="1">INDIRECT("R[40]C["&amp;$A$50&amp;"]",FALSE)</f>
        <v>0</v>
      </c>
      <c r="N51" s="183" cm="1">
        <f t="array" aca="1" ref="N51" ca="1">INDIRECT("R[40]C["&amp;$A$50&amp;"]",FALSE)</f>
        <v>0</v>
      </c>
      <c r="O51" s="183" cm="1">
        <f t="array" aca="1" ref="O51" ca="1">INDIRECT("R[40]C["&amp;$A$50&amp;"]",FALSE)</f>
        <v>0</v>
      </c>
      <c r="P51" s="183" cm="1">
        <f t="array" aca="1" ref="P51" ca="1">INDIRECT("R[40]C["&amp;$A$50&amp;"]",FALSE)</f>
        <v>0</v>
      </c>
      <c r="Q51" s="115"/>
      <c r="R51" s="115">
        <f ca="1">SUM(D51:P51)</f>
        <v>4196.4693309568156</v>
      </c>
    </row>
    <row r="52" spans="1:18" ht="15.5" x14ac:dyDescent="0.35">
      <c r="A52" s="121">
        <f>A51</f>
        <v>1</v>
      </c>
      <c r="B52" s="123">
        <v>18</v>
      </c>
      <c r="C52" s="183" cm="1">
        <f t="array" aca="1" ref="C52" ca="1">INDIRECT("R[40]C["&amp;$A$50&amp;"]",FALSE)</f>
        <v>0</v>
      </c>
      <c r="D52" s="183" cm="1">
        <f t="array" aca="1" ref="D52" ca="1">INDIRECT("R[40]C["&amp;$A$50&amp;"]",FALSE)</f>
        <v>0</v>
      </c>
      <c r="E52" s="183" cm="1">
        <f t="array" aca="1" ref="E52" ca="1">INDIRECT("R[40]C["&amp;$A$50&amp;"]",FALSE)</f>
        <v>0</v>
      </c>
      <c r="F52" s="183" cm="1">
        <f t="array" aca="1" ref="F52" ca="1">INDIRECT("R[40]C["&amp;$A$50&amp;"]",FALSE)</f>
        <v>0</v>
      </c>
      <c r="G52" s="183" cm="1">
        <f t="array" aca="1" ref="G52" ca="1">INDIRECT("R[40]C["&amp;$A$50&amp;"]",FALSE)</f>
        <v>0</v>
      </c>
      <c r="H52" s="183" cm="1">
        <f t="array" aca="1" ref="H52" ca="1">INDIRECT("R[40]C["&amp;$A$50&amp;"]",FALSE)</f>
        <v>0</v>
      </c>
      <c r="I52" s="183" cm="1">
        <f t="array" aca="1" ref="I52" ca="1">INDIRECT("R[40]C["&amp;$A$50&amp;"]",FALSE)</f>
        <v>0</v>
      </c>
      <c r="J52" s="183" cm="1">
        <f t="array" aca="1" ref="J52" ca="1">INDIRECT("R[40]C["&amp;$A$50&amp;"]",FALSE)</f>
        <v>0</v>
      </c>
      <c r="K52" s="183" cm="1">
        <f t="array" aca="1" ref="K52" ca="1">INDIRECT("R[40]C["&amp;$A$50&amp;"]",FALSE)</f>
        <v>0</v>
      </c>
      <c r="L52" s="183" cm="1">
        <f t="array" aca="1" ref="L52" ca="1">INDIRECT("R[40]C["&amp;$A$50&amp;"]",FALSE)</f>
        <v>500.35631316031652</v>
      </c>
      <c r="M52" s="183" cm="1">
        <f t="array" aca="1" ref="M52" ca="1">INDIRECT("R[40]C["&amp;$A$50&amp;"]",FALSE)</f>
        <v>901.87797151311793</v>
      </c>
      <c r="N52" s="183" cm="1">
        <f t="array" aca="1" ref="N52" ca="1">INDIRECT("R[40]C["&amp;$A$50&amp;"]",FALSE)</f>
        <v>594.5</v>
      </c>
      <c r="O52" s="183" cm="1">
        <f t="array" aca="1" ref="O52" ca="1">INDIRECT("R[40]C["&amp;$A$50&amp;"]",FALSE)</f>
        <v>406.91527010859568</v>
      </c>
      <c r="P52" s="183" cm="1">
        <f t="array" aca="1" ref="P52" ca="1">INDIRECT("R[40]C["&amp;$A$50&amp;"]",FALSE)</f>
        <v>154</v>
      </c>
      <c r="Q52" s="115"/>
      <c r="R52" s="115">
        <f ca="1">SUM(D52:P52)</f>
        <v>2557.6495547820305</v>
      </c>
    </row>
    <row r="53" spans="1:18" ht="15.5" x14ac:dyDescent="0.35">
      <c r="A53" s="116"/>
      <c r="B53" s="129" t="s">
        <v>114</v>
      </c>
      <c r="C53" s="179"/>
      <c r="D53" s="179"/>
      <c r="E53" s="179"/>
      <c r="F53" s="179"/>
      <c r="G53" s="179"/>
      <c r="H53" s="179"/>
      <c r="I53" s="179"/>
      <c r="J53" s="179"/>
      <c r="K53" s="179"/>
      <c r="L53" s="179"/>
      <c r="M53" s="179"/>
      <c r="N53" s="179"/>
      <c r="O53" s="179"/>
      <c r="P53" s="179"/>
      <c r="Q53" s="179"/>
      <c r="R53" s="181"/>
    </row>
    <row r="54" spans="1:18" ht="15.5" x14ac:dyDescent="0.35">
      <c r="A54" s="121">
        <f>A52</f>
        <v>1</v>
      </c>
      <c r="B54" s="123">
        <v>12</v>
      </c>
      <c r="C54" s="183" cm="1">
        <f t="array" aca="1" ref="C54" ca="1">INDIRECT("R[40]C["&amp;$A$46&amp;"]",FALSE)</f>
        <v>0</v>
      </c>
      <c r="D54" s="183" cm="1">
        <f t="array" aca="1" ref="D54" ca="1">INDIRECT("R[40]C["&amp;$A$46&amp;"]",FALSE)</f>
        <v>42.769230769230774</v>
      </c>
      <c r="E54" s="183" cm="1">
        <f t="array" aca="1" ref="E54" ca="1">INDIRECT("R[40]C["&amp;$A$46&amp;"]",FALSE)</f>
        <v>261.79487179487182</v>
      </c>
      <c r="F54" s="183" cm="1">
        <f t="array" aca="1" ref="F54" ca="1">INDIRECT("R[40]C["&amp;$A$46&amp;"]",FALSE)</f>
        <v>187.5128205128205</v>
      </c>
      <c r="G54" s="183" cm="1">
        <f t="array" aca="1" ref="G54" ca="1">INDIRECT("R[40]C["&amp;$A$46&amp;"]",FALSE)</f>
        <v>60.666666666666664</v>
      </c>
      <c r="H54" s="183" cm="1">
        <f t="array" aca="1" ref="H54" ca="1">INDIRECT("R[40]C["&amp;$A$46&amp;"]",FALSE)</f>
        <v>0</v>
      </c>
      <c r="I54" s="183" cm="1">
        <f t="array" aca="1" ref="I54" ca="1">INDIRECT("R[40]C["&amp;$A$46&amp;"]",FALSE)</f>
        <v>0</v>
      </c>
      <c r="J54" s="183" cm="1">
        <f t="array" aca="1" ref="J54" ca="1">INDIRECT("R[40]C["&amp;$A$46&amp;"]",FALSE)</f>
        <v>0</v>
      </c>
      <c r="K54" s="183" cm="1">
        <f t="array" aca="1" ref="K54" ca="1">INDIRECT("R[40]C["&amp;$A$46&amp;"]",FALSE)</f>
        <v>0</v>
      </c>
      <c r="L54" s="183" cm="1">
        <f t="array" aca="1" ref="L54" ca="1">INDIRECT("R[40]C["&amp;$A$46&amp;"]",FALSE)</f>
        <v>0</v>
      </c>
      <c r="M54" s="183" cm="1">
        <f t="array" aca="1" ref="M54" ca="1">INDIRECT("R[40]C["&amp;$A$46&amp;"]",FALSE)</f>
        <v>0</v>
      </c>
      <c r="N54" s="183" cm="1">
        <f t="array" aca="1" ref="N54" ca="1">INDIRECT("R[40]C["&amp;$A$46&amp;"]",FALSE)</f>
        <v>0</v>
      </c>
      <c r="O54" s="183" cm="1">
        <f t="array" aca="1" ref="O54" ca="1">INDIRECT("R[40]C["&amp;$A$46&amp;"]",FALSE)</f>
        <v>0</v>
      </c>
      <c r="P54" s="183" cm="1">
        <f t="array" aca="1" ref="P54" ca="1">INDIRECT("R[40]C["&amp;$A$46&amp;"]",FALSE)</f>
        <v>0</v>
      </c>
      <c r="Q54" s="182"/>
      <c r="R54" s="115">
        <f ca="1">SUM(D54:P54)</f>
        <v>552.74358974358972</v>
      </c>
    </row>
    <row r="55" spans="1:18" ht="15.5" x14ac:dyDescent="0.35">
      <c r="A55" s="121">
        <f>A54</f>
        <v>1</v>
      </c>
      <c r="B55" s="123">
        <v>15</v>
      </c>
      <c r="C55" s="183" cm="1">
        <f t="array" aca="1" ref="C55" ca="1">INDIRECT("R[40]C["&amp;$A$46&amp;"]",FALSE)</f>
        <v>0</v>
      </c>
      <c r="D55" s="183" cm="1">
        <f t="array" aca="1" ref="D55" ca="1">INDIRECT("R[40]C["&amp;$A$46&amp;"]",FALSE)</f>
        <v>0</v>
      </c>
      <c r="E55" s="183" cm="1">
        <f t="array" aca="1" ref="E55" ca="1">INDIRECT("R[40]C["&amp;$A$46&amp;"]",FALSE)</f>
        <v>76.52100840336135</v>
      </c>
      <c r="F55" s="183" cm="1">
        <f t="array" aca="1" ref="F55" ca="1">INDIRECT("R[40]C["&amp;$A$46&amp;"]",FALSE)</f>
        <v>102.33333333333334</v>
      </c>
      <c r="G55" s="183" cm="1">
        <f t="array" aca="1" ref="G55" ca="1">INDIRECT("R[40]C["&amp;$A$46&amp;"]",FALSE)</f>
        <v>183.06666666666666</v>
      </c>
      <c r="H55" s="183" cm="1">
        <f t="array" aca="1" ref="H55" ca="1">INDIRECT("R[40]C["&amp;$A$46&amp;"]",FALSE)</f>
        <v>193.64</v>
      </c>
      <c r="I55" s="183" cm="1">
        <f t="array" aca="1" ref="I55" ca="1">INDIRECT("R[40]C["&amp;$A$46&amp;"]",FALSE)</f>
        <v>375.06625590388217</v>
      </c>
      <c r="J55" s="183" cm="1">
        <f t="array" aca="1" ref="J55" ca="1">INDIRECT("R[40]C["&amp;$A$46&amp;"]",FALSE)</f>
        <v>152.93333333333334</v>
      </c>
      <c r="K55" s="183" cm="1">
        <f t="array" aca="1" ref="K55" ca="1">INDIRECT("R[40]C["&amp;$A$46&amp;"]",FALSE)</f>
        <v>315.26251267836159</v>
      </c>
      <c r="L55" s="183" cm="1">
        <f t="array" aca="1" ref="L55" ca="1">INDIRECT("R[40]C["&amp;$A$46&amp;"]",FALSE)</f>
        <v>0</v>
      </c>
      <c r="M55" s="183" cm="1">
        <f t="array" aca="1" ref="M55" ca="1">INDIRECT("R[40]C["&amp;$A$46&amp;"]",FALSE)</f>
        <v>0</v>
      </c>
      <c r="N55" s="183" cm="1">
        <f t="array" aca="1" ref="N55" ca="1">INDIRECT("R[40]C["&amp;$A$46&amp;"]",FALSE)</f>
        <v>0</v>
      </c>
      <c r="O55" s="183" cm="1">
        <f t="array" aca="1" ref="O55" ca="1">INDIRECT("R[40]C["&amp;$A$46&amp;"]",FALSE)</f>
        <v>0</v>
      </c>
      <c r="P55" s="183" cm="1">
        <f t="array" aca="1" ref="P55" ca="1">INDIRECT("R[40]C["&amp;$A$46&amp;"]",FALSE)</f>
        <v>0</v>
      </c>
      <c r="Q55" s="182"/>
      <c r="R55" s="115">
        <f ca="1">SUM(D55:P55)</f>
        <v>1398.8231103189385</v>
      </c>
    </row>
    <row r="56" spans="1:18" ht="15.5" x14ac:dyDescent="0.35">
      <c r="A56" s="121">
        <f>A55</f>
        <v>1</v>
      </c>
      <c r="B56" s="123">
        <v>18</v>
      </c>
      <c r="C56" s="183" cm="1">
        <f t="array" aca="1" ref="C56" ca="1">INDIRECT("R[40]C["&amp;$A$46&amp;"]",FALSE)</f>
        <v>0</v>
      </c>
      <c r="D56" s="183" cm="1">
        <f t="array" aca="1" ref="D56" ca="1">INDIRECT("R[40]C["&amp;$A$46&amp;"]",FALSE)</f>
        <v>0</v>
      </c>
      <c r="E56" s="183" cm="1">
        <f t="array" aca="1" ref="E56" ca="1">INDIRECT("R[40]C["&amp;$A$46&amp;"]",FALSE)</f>
        <v>0</v>
      </c>
      <c r="F56" s="183" cm="1">
        <f t="array" aca="1" ref="F56" ca="1">INDIRECT("R[40]C["&amp;$A$46&amp;"]",FALSE)</f>
        <v>0</v>
      </c>
      <c r="G56" s="183" cm="1">
        <f t="array" aca="1" ref="G56" ca="1">INDIRECT("R[40]C["&amp;$A$46&amp;"]",FALSE)</f>
        <v>0</v>
      </c>
      <c r="H56" s="183" cm="1">
        <f t="array" aca="1" ref="H56" ca="1">INDIRECT("R[40]C["&amp;$A$46&amp;"]",FALSE)</f>
        <v>0</v>
      </c>
      <c r="I56" s="183" cm="1">
        <f t="array" aca="1" ref="I56" ca="1">INDIRECT("R[40]C["&amp;$A$46&amp;"]",FALSE)</f>
        <v>0</v>
      </c>
      <c r="J56" s="183" cm="1">
        <f t="array" aca="1" ref="J56" ca="1">INDIRECT("R[40]C["&amp;$A$46&amp;"]",FALSE)</f>
        <v>0</v>
      </c>
      <c r="K56" s="183" cm="1">
        <f t="array" aca="1" ref="K56" ca="1">INDIRECT("R[40]C["&amp;$A$46&amp;"]",FALSE)</f>
        <v>0</v>
      </c>
      <c r="L56" s="183" cm="1">
        <f t="array" aca="1" ref="L56" ca="1">INDIRECT("R[40]C["&amp;$A$46&amp;"]",FALSE)</f>
        <v>166.78543772010551</v>
      </c>
      <c r="M56" s="183" cm="1">
        <f t="array" aca="1" ref="M56" ca="1">INDIRECT("R[40]C["&amp;$A$46&amp;"]",FALSE)</f>
        <v>300.62599050437262</v>
      </c>
      <c r="N56" s="183" cm="1">
        <f t="array" aca="1" ref="N56" ca="1">INDIRECT("R[40]C["&amp;$A$46&amp;"]",FALSE)</f>
        <v>198.16666666666666</v>
      </c>
      <c r="O56" s="183" cm="1">
        <f t="array" aca="1" ref="O56" ca="1">INDIRECT("R[40]C["&amp;$A$46&amp;"]",FALSE)</f>
        <v>135.63842336953189</v>
      </c>
      <c r="P56" s="183" cm="1">
        <f t="array" aca="1" ref="P56" ca="1">INDIRECT("R[40]C["&amp;$A$46&amp;"]",FALSE)</f>
        <v>51.333333333333336</v>
      </c>
      <c r="Q56" s="182"/>
      <c r="R56" s="115">
        <f ca="1">SUM(D56:P56)</f>
        <v>852.54985159401008</v>
      </c>
    </row>
    <row r="57" spans="1:18" ht="15.5" x14ac:dyDescent="0.35">
      <c r="A57" s="116"/>
      <c r="B57" s="129" t="s">
        <v>352</v>
      </c>
      <c r="C57" s="179"/>
      <c r="D57" s="179"/>
      <c r="E57" s="179"/>
      <c r="F57" s="179"/>
      <c r="G57" s="179"/>
      <c r="H57" s="179"/>
      <c r="I57" s="179"/>
      <c r="J57" s="179"/>
      <c r="K57" s="179"/>
      <c r="L57" s="179"/>
      <c r="M57" s="179"/>
      <c r="N57" s="179"/>
      <c r="O57" s="179"/>
      <c r="P57" s="179"/>
      <c r="Q57" s="179"/>
      <c r="R57" s="181"/>
    </row>
    <row r="58" spans="1:18" ht="15.5" x14ac:dyDescent="0.35">
      <c r="A58" s="121">
        <f>A56</f>
        <v>1</v>
      </c>
      <c r="B58" s="123">
        <v>12</v>
      </c>
      <c r="C58" s="183" cm="1">
        <f t="array" aca="1" ref="C58" ca="1">INDIRECT("R[40]C["&amp;$A$58&amp;"]",FALSE)</f>
        <v>0</v>
      </c>
      <c r="D58" s="183" cm="1">
        <f t="array" aca="1" ref="D58" ca="1">INDIRECT("R[40]C["&amp;$A$58&amp;"]",FALSE)</f>
        <v>42.769230769230774</v>
      </c>
      <c r="E58" s="183" cm="1">
        <f t="array" aca="1" ref="E58" ca="1">INDIRECT("R[40]C["&amp;$A$58&amp;"]",FALSE)</f>
        <v>261.79487179487182</v>
      </c>
      <c r="F58" s="183" cm="1">
        <f t="array" aca="1" ref="F58" ca="1">INDIRECT("R[40]C["&amp;$A$58&amp;"]",FALSE)</f>
        <v>187.5128205128205</v>
      </c>
      <c r="G58" s="183" cm="1">
        <f t="array" aca="1" ref="G58" ca="1">INDIRECT("R[40]C["&amp;$A$58&amp;"]",FALSE)</f>
        <v>60.666666666666664</v>
      </c>
      <c r="H58" s="183" cm="1">
        <f t="array" aca="1" ref="H58" ca="1">INDIRECT("R[40]C["&amp;$A$58&amp;"]",FALSE)</f>
        <v>0</v>
      </c>
      <c r="I58" s="183" cm="1">
        <f t="array" aca="1" ref="I58" ca="1">INDIRECT("R[40]C["&amp;$A$58&amp;"]",FALSE)</f>
        <v>0</v>
      </c>
      <c r="J58" s="183" cm="1">
        <f t="array" aca="1" ref="J58" ca="1">INDIRECT("R[40]C["&amp;$A$58&amp;"]",FALSE)</f>
        <v>0</v>
      </c>
      <c r="K58" s="183" cm="1">
        <f t="array" aca="1" ref="K58" ca="1">INDIRECT("R[40]C["&amp;$A$58&amp;"]",FALSE)</f>
        <v>0</v>
      </c>
      <c r="L58" s="183" cm="1">
        <f t="array" aca="1" ref="L58" ca="1">INDIRECT("R[40]C["&amp;$A$58&amp;"]",FALSE)</f>
        <v>0</v>
      </c>
      <c r="M58" s="183" cm="1">
        <f t="array" aca="1" ref="M58" ca="1">INDIRECT("R[40]C["&amp;$A$58&amp;"]",FALSE)</f>
        <v>0</v>
      </c>
      <c r="N58" s="183" cm="1">
        <f t="array" aca="1" ref="N58" ca="1">INDIRECT("R[40]C["&amp;$A$58&amp;"]",FALSE)</f>
        <v>0</v>
      </c>
      <c r="O58" s="183" cm="1">
        <f t="array" aca="1" ref="O58" ca="1">INDIRECT("R[40]C["&amp;$A$58&amp;"]",FALSE)</f>
        <v>0</v>
      </c>
      <c r="P58" s="183" cm="1">
        <f t="array" aca="1" ref="P58" ca="1">INDIRECT("R[40]C["&amp;$A$58&amp;"]",FALSE)</f>
        <v>0</v>
      </c>
      <c r="Q58" s="116"/>
      <c r="R58" s="115">
        <f ca="1">SUM(D58:P58)</f>
        <v>552.74358974358972</v>
      </c>
    </row>
    <row r="59" spans="1:18" ht="15.5" x14ac:dyDescent="0.35">
      <c r="A59" s="121">
        <f>A56</f>
        <v>1</v>
      </c>
      <c r="B59" s="123">
        <v>15</v>
      </c>
      <c r="C59" s="183" cm="1">
        <f t="array" aca="1" ref="C59" ca="1">INDIRECT("R[40]C["&amp;$A$58&amp;"]",FALSE)</f>
        <v>0</v>
      </c>
      <c r="D59" s="183" cm="1">
        <f t="array" aca="1" ref="D59" ca="1">INDIRECT("R[40]C["&amp;$A$58&amp;"]",FALSE)</f>
        <v>0</v>
      </c>
      <c r="E59" s="183" cm="1">
        <f t="array" aca="1" ref="E59" ca="1">INDIRECT("R[40]C["&amp;$A$58&amp;"]",FALSE)</f>
        <v>76.52100840336135</v>
      </c>
      <c r="F59" s="183" cm="1">
        <f t="array" aca="1" ref="F59" ca="1">INDIRECT("R[40]C["&amp;$A$58&amp;"]",FALSE)</f>
        <v>102.33333333333334</v>
      </c>
      <c r="G59" s="183" cm="1">
        <f t="array" aca="1" ref="G59" ca="1">INDIRECT("R[40]C["&amp;$A$58&amp;"]",FALSE)</f>
        <v>183.06666666666666</v>
      </c>
      <c r="H59" s="183" cm="1">
        <f t="array" aca="1" ref="H59" ca="1">INDIRECT("R[40]C["&amp;$A$58&amp;"]",FALSE)</f>
        <v>193.64</v>
      </c>
      <c r="I59" s="183" cm="1">
        <f t="array" aca="1" ref="I59" ca="1">INDIRECT("R[40]C["&amp;$A$58&amp;"]",FALSE)</f>
        <v>375.06625590388217</v>
      </c>
      <c r="J59" s="183" cm="1">
        <f t="array" aca="1" ref="J59" ca="1">INDIRECT("R[40]C["&amp;$A$58&amp;"]",FALSE)</f>
        <v>152.93333333333334</v>
      </c>
      <c r="K59" s="183" cm="1">
        <f t="array" aca="1" ref="K59" ca="1">INDIRECT("R[40]C["&amp;$A$58&amp;"]",FALSE)</f>
        <v>315.26251267836159</v>
      </c>
      <c r="L59" s="183" cm="1">
        <f t="array" aca="1" ref="L59" ca="1">INDIRECT("R[40]C["&amp;$A$58&amp;"]",FALSE)</f>
        <v>0</v>
      </c>
      <c r="M59" s="183" cm="1">
        <f t="array" aca="1" ref="M59" ca="1">INDIRECT("R[40]C["&amp;$A$58&amp;"]",FALSE)</f>
        <v>0</v>
      </c>
      <c r="N59" s="183" cm="1">
        <f t="array" aca="1" ref="N59" ca="1">INDIRECT("R[40]C["&amp;$A$58&amp;"]",FALSE)</f>
        <v>0</v>
      </c>
      <c r="O59" s="183" cm="1">
        <f t="array" aca="1" ref="O59" ca="1">INDIRECT("R[40]C["&amp;$A$58&amp;"]",FALSE)</f>
        <v>0</v>
      </c>
      <c r="P59" s="183" cm="1">
        <f t="array" aca="1" ref="P59" ca="1">INDIRECT("R[40]C["&amp;$A$58&amp;"]",FALSE)</f>
        <v>0</v>
      </c>
      <c r="Q59" s="116"/>
      <c r="R59" s="115">
        <f ca="1">SUM(D59:P59)</f>
        <v>1398.8231103189385</v>
      </c>
    </row>
    <row r="60" spans="1:18" ht="15.5" x14ac:dyDescent="0.35">
      <c r="A60" s="121">
        <f>A56</f>
        <v>1</v>
      </c>
      <c r="B60" s="123">
        <v>18</v>
      </c>
      <c r="C60" s="183" cm="1">
        <f t="array" aca="1" ref="C60" ca="1">INDIRECT("R[40]C["&amp;$A$58&amp;"]",FALSE)</f>
        <v>0</v>
      </c>
      <c r="D60" s="183" cm="1">
        <f t="array" aca="1" ref="D60" ca="1">INDIRECT("R[40]C["&amp;$A$58&amp;"]",FALSE)</f>
        <v>0</v>
      </c>
      <c r="E60" s="183" cm="1">
        <f t="array" aca="1" ref="E60" ca="1">INDIRECT("R[40]C["&amp;$A$58&amp;"]",FALSE)</f>
        <v>0</v>
      </c>
      <c r="F60" s="183" cm="1">
        <f t="array" aca="1" ref="F60" ca="1">INDIRECT("R[40]C["&amp;$A$58&amp;"]",FALSE)</f>
        <v>0</v>
      </c>
      <c r="G60" s="183" cm="1">
        <f t="array" aca="1" ref="G60" ca="1">INDIRECT("R[40]C["&amp;$A$58&amp;"]",FALSE)</f>
        <v>0</v>
      </c>
      <c r="H60" s="183" cm="1">
        <f t="array" aca="1" ref="H60" ca="1">INDIRECT("R[40]C["&amp;$A$58&amp;"]",FALSE)</f>
        <v>0</v>
      </c>
      <c r="I60" s="183" cm="1">
        <f t="array" aca="1" ref="I60" ca="1">INDIRECT("R[40]C["&amp;$A$58&amp;"]",FALSE)</f>
        <v>0</v>
      </c>
      <c r="J60" s="183" cm="1">
        <f t="array" aca="1" ref="J60" ca="1">INDIRECT("R[40]C["&amp;$A$58&amp;"]",FALSE)</f>
        <v>0</v>
      </c>
      <c r="K60" s="183" cm="1">
        <f t="array" aca="1" ref="K60" ca="1">INDIRECT("R[40]C["&amp;$A$58&amp;"]",FALSE)</f>
        <v>0</v>
      </c>
      <c r="L60" s="183" cm="1">
        <f t="array" aca="1" ref="L60" ca="1">INDIRECT("R[40]C["&amp;$A$58&amp;"]",FALSE)</f>
        <v>166.78543772010551</v>
      </c>
      <c r="M60" s="183" cm="1">
        <f t="array" aca="1" ref="M60" ca="1">INDIRECT("R[40]C["&amp;$A$58&amp;"]",FALSE)</f>
        <v>300.62599050437262</v>
      </c>
      <c r="N60" s="183" cm="1">
        <f t="array" aca="1" ref="N60" ca="1">INDIRECT("R[40]C["&amp;$A$58&amp;"]",FALSE)</f>
        <v>198.16666666666666</v>
      </c>
      <c r="O60" s="183" cm="1">
        <f t="array" aca="1" ref="O60" ca="1">INDIRECT("R[40]C["&amp;$A$58&amp;"]",FALSE)</f>
        <v>135.63842336953189</v>
      </c>
      <c r="P60" s="183" cm="1">
        <f t="array" aca="1" ref="P60" ca="1">INDIRECT("R[40]C["&amp;$A$58&amp;"]",FALSE)</f>
        <v>51.333333333333336</v>
      </c>
      <c r="Q60" s="116"/>
      <c r="R60" s="115">
        <f ca="1">SUM(D60:P60)</f>
        <v>852.54985159401008</v>
      </c>
    </row>
    <row r="61" spans="1:18" ht="15.5" x14ac:dyDescent="0.35">
      <c r="A61" s="116"/>
      <c r="B61" s="129" t="s">
        <v>116</v>
      </c>
      <c r="C61" s="179"/>
      <c r="D61" s="179"/>
      <c r="E61" s="179"/>
      <c r="F61" s="179"/>
      <c r="G61" s="179"/>
      <c r="H61" s="179"/>
      <c r="I61" s="179"/>
      <c r="J61" s="179"/>
      <c r="K61" s="179"/>
      <c r="L61" s="179"/>
      <c r="M61" s="179"/>
      <c r="N61" s="179"/>
      <c r="O61" s="179"/>
      <c r="P61" s="179"/>
      <c r="Q61" s="179"/>
      <c r="R61" s="181"/>
    </row>
    <row r="62" spans="1:18" ht="15.5" x14ac:dyDescent="0.35">
      <c r="A62" s="121">
        <f>A60</f>
        <v>1</v>
      </c>
      <c r="B62" s="125" t="s">
        <v>257</v>
      </c>
      <c r="C62" s="183" cm="1">
        <f t="array" aca="1" ref="C62" ca="1">INDIRECT("R[40]C["&amp;$A$62&amp;"]",FALSE)</f>
        <v>0</v>
      </c>
      <c r="D62" s="183" cm="1">
        <f t="array" aca="1" ref="D62" ca="1">INDIRECT("R[40]C["&amp;$A$62&amp;"]",FALSE)</f>
        <v>14.113846153846156</v>
      </c>
      <c r="E62" s="183" cm="1">
        <f t="array" aca="1" ref="E62" ca="1">INDIRECT("R[40]C["&amp;$A$62&amp;"]",FALSE)</f>
        <v>111.64424046541696</v>
      </c>
      <c r="F62" s="183" cm="1">
        <f t="array" aca="1" ref="F62" ca="1">INDIRECT("R[40]C["&amp;$A$62&amp;"]",FALSE)</f>
        <v>88.389230769230764</v>
      </c>
      <c r="G62" s="183" cm="1">
        <f t="array" aca="1" ref="G62" ca="1">INDIRECT("R[40]C["&amp;$A$62&amp;"]",FALSE)</f>
        <v>73.171999999999997</v>
      </c>
      <c r="H62" s="183" cm="1">
        <f t="array" aca="1" ref="H62" ca="1">INDIRECT("R[40]C["&amp;$A$62&amp;"]",FALSE)</f>
        <v>63.90120000000001</v>
      </c>
      <c r="I62" s="183" cm="1">
        <f t="array" aca="1" ref="I62" ca="1">INDIRECT("R[40]C["&amp;$A$62&amp;"]",FALSE)</f>
        <v>117.03647983289652</v>
      </c>
      <c r="J62" s="183" cm="1">
        <f t="array" aca="1" ref="J62" ca="1">INDIRECT("R[40]C["&amp;$A$62&amp;"]",FALSE)</f>
        <v>56.342000000000006</v>
      </c>
      <c r="K62" s="183" cm="1">
        <f t="array" aca="1" ref="K62" ca="1">INDIRECT("R[40]C["&amp;$A$62&amp;"]",FALSE)</f>
        <v>96.996629183859312</v>
      </c>
      <c r="L62" s="183" cm="1">
        <f t="array" aca="1" ref="L62" ca="1">INDIRECT("R[40]C["&amp;$A$62&amp;"]",FALSE)</f>
        <v>40.332428062722109</v>
      </c>
      <c r="M62" s="183" cm="1">
        <f t="array" aca="1" ref="M62" ca="1">INDIRECT("R[40]C["&amp;$A$62&amp;"]",FALSE)</f>
        <v>99.206576866442973</v>
      </c>
      <c r="N62" s="183" cm="1">
        <f t="array" aca="1" ref="N62" ca="1">INDIRECT("R[40]C["&amp;$A$62&amp;"]",FALSE)</f>
        <v>65.394999999999996</v>
      </c>
      <c r="O62" s="183" cm="1">
        <f t="array" aca="1" ref="O62" ca="1">INDIRECT("R[40]C["&amp;$A$62&amp;"]",FALSE)</f>
        <v>44.760679711945514</v>
      </c>
      <c r="P62" s="183" cm="1">
        <f t="array" aca="1" ref="P62" ca="1">INDIRECT("R[40]C["&amp;$A$62&amp;"]",FALSE)</f>
        <v>16.940000000000001</v>
      </c>
      <c r="Q62" s="183"/>
      <c r="R62" s="115">
        <f ca="1">SUM(D62:Q62)</f>
        <v>888.2303110463605</v>
      </c>
    </row>
    <row r="63" spans="1:18" ht="15.5" x14ac:dyDescent="0.35">
      <c r="A63" s="121">
        <f>A60</f>
        <v>1</v>
      </c>
      <c r="B63" s="125" t="s">
        <v>258</v>
      </c>
      <c r="C63" s="183" cm="1">
        <f t="array" aca="1" ref="C63" ca="1">INDIRECT("R[40]C["&amp;$A$62&amp;"]",FALSE)</f>
        <v>0</v>
      </c>
      <c r="D63" s="183" cm="1">
        <f t="array" aca="1" ref="D63" ca="1">INDIRECT("R[40]C["&amp;$A$62&amp;"]",FALSE)</f>
        <v>14.256410256410257</v>
      </c>
      <c r="E63" s="183" cm="1">
        <f t="array" aca="1" ref="E63" ca="1">INDIRECT("R[40]C["&amp;$A$62&amp;"]",FALSE)</f>
        <v>112.77196006607772</v>
      </c>
      <c r="F63" s="183" cm="1">
        <f t="array" aca="1" ref="F63" ca="1">INDIRECT("R[40]C["&amp;$A$62&amp;"]",FALSE)</f>
        <v>89.28205128205127</v>
      </c>
      <c r="G63" s="183" cm="1">
        <f t="array" aca="1" ref="G63" ca="1">INDIRECT("R[40]C["&amp;$A$62&amp;"]",FALSE)</f>
        <v>73.911111111111097</v>
      </c>
      <c r="H63" s="183" cm="1">
        <f t="array" aca="1" ref="H63" ca="1">INDIRECT("R[40]C["&amp;$A$62&amp;"]",FALSE)</f>
        <v>64.546666666666667</v>
      </c>
      <c r="I63" s="183" cm="1">
        <f t="array" aca="1" ref="I63" ca="1">INDIRECT("R[40]C["&amp;$A$62&amp;"]",FALSE)</f>
        <v>118.21866649787526</v>
      </c>
      <c r="J63" s="183" cm="1">
        <f t="array" aca="1" ref="J63" ca="1">INDIRECT("R[40]C["&amp;$A$62&amp;"]",FALSE)</f>
        <v>56.911111111111111</v>
      </c>
      <c r="K63" s="183" cm="1">
        <f t="array" aca="1" ref="K63" ca="1">INDIRECT("R[40]C["&amp;$A$62&amp;"]",FALSE)</f>
        <v>97.976393115009401</v>
      </c>
      <c r="L63" s="183" cm="1">
        <f t="array" aca="1" ref="L63" ca="1">INDIRECT("R[40]C["&amp;$A$62&amp;"]",FALSE)</f>
        <v>40.739826325981923</v>
      </c>
      <c r="M63" s="183" cm="1">
        <f t="array" aca="1" ref="M63" ca="1">INDIRECT("R[40]C["&amp;$A$62&amp;"]",FALSE)</f>
        <v>100.20866350145754</v>
      </c>
      <c r="N63" s="183" cm="1">
        <f t="array" aca="1" ref="N63" ca="1">INDIRECT("R[40]C["&amp;$A$62&amp;"]",FALSE)</f>
        <v>66.055555555555543</v>
      </c>
      <c r="O63" s="183" cm="1">
        <f t="array" aca="1" ref="O63" ca="1">INDIRECT("R[40]C["&amp;$A$62&amp;"]",FALSE)</f>
        <v>45.21280778984395</v>
      </c>
      <c r="P63" s="183" cm="1">
        <f t="array" aca="1" ref="P63" ca="1">INDIRECT("R[40]C["&amp;$A$62&amp;"]",FALSE)</f>
        <v>17.111111111111111</v>
      </c>
      <c r="Q63" s="183"/>
      <c r="R63" s="115"/>
    </row>
    <row r="64" spans="1:18" ht="15.5" x14ac:dyDescent="0.35">
      <c r="A64" s="121">
        <f>A60</f>
        <v>1</v>
      </c>
      <c r="B64" s="125" t="s">
        <v>353</v>
      </c>
      <c r="C64" s="183" cm="1">
        <f t="array" aca="1" ref="C64" ca="1">INDIRECT("R[40]C["&amp;$A$62&amp;"]",FALSE)</f>
        <v>0</v>
      </c>
      <c r="D64" s="183" cm="1">
        <f t="array" aca="1" ref="D64" ca="1">INDIRECT("R[40]C["&amp;$A$62&amp;"]",FALSE)</f>
        <v>14.256410256410257</v>
      </c>
      <c r="E64" s="183" cm="1">
        <f t="array" aca="1" ref="E64" ca="1">INDIRECT("R[40]C["&amp;$A$62&amp;"]",FALSE)</f>
        <v>112.77196006607772</v>
      </c>
      <c r="F64" s="183" cm="1">
        <f t="array" aca="1" ref="F64" ca="1">INDIRECT("R[40]C["&amp;$A$62&amp;"]",FALSE)</f>
        <v>89.28205128205127</v>
      </c>
      <c r="G64" s="183" cm="1">
        <f t="array" aca="1" ref="G64" ca="1">INDIRECT("R[40]C["&amp;$A$62&amp;"]",FALSE)</f>
        <v>73.911111111111097</v>
      </c>
      <c r="H64" s="183" cm="1">
        <f t="array" aca="1" ref="H64" ca="1">INDIRECT("R[40]C["&amp;$A$62&amp;"]",FALSE)</f>
        <v>64.546666666666667</v>
      </c>
      <c r="I64" s="183" cm="1">
        <f t="array" aca="1" ref="I64" ca="1">INDIRECT("R[40]C["&amp;$A$62&amp;"]",FALSE)</f>
        <v>118.21866649787526</v>
      </c>
      <c r="J64" s="183" cm="1">
        <f t="array" aca="1" ref="J64" ca="1">INDIRECT("R[40]C["&amp;$A$62&amp;"]",FALSE)</f>
        <v>56.911111111111111</v>
      </c>
      <c r="K64" s="183" cm="1">
        <f t="array" aca="1" ref="K64" ca="1">INDIRECT("R[40]C["&amp;$A$62&amp;"]",FALSE)</f>
        <v>97.976393115009401</v>
      </c>
      <c r="L64" s="183" cm="1">
        <f t="array" aca="1" ref="L64" ca="1">INDIRECT("R[40]C["&amp;$A$62&amp;"]",FALSE)</f>
        <v>40.739826325981923</v>
      </c>
      <c r="M64" s="183" cm="1">
        <f t="array" aca="1" ref="M64" ca="1">INDIRECT("R[40]C["&amp;$A$62&amp;"]",FALSE)</f>
        <v>100.20866350145754</v>
      </c>
      <c r="N64" s="183" cm="1">
        <f t="array" aca="1" ref="N64" ca="1">INDIRECT("R[40]C["&amp;$A$62&amp;"]",FALSE)</f>
        <v>66.055555555555543</v>
      </c>
      <c r="O64" s="183" cm="1">
        <f t="array" aca="1" ref="O64" ca="1">INDIRECT("R[40]C["&amp;$A$62&amp;"]",FALSE)</f>
        <v>45.21280778984395</v>
      </c>
      <c r="P64" s="183" cm="1">
        <f t="array" aca="1" ref="P64" ca="1">INDIRECT("R[40]C["&amp;$A$62&amp;"]",FALSE)</f>
        <v>17.111111111111111</v>
      </c>
      <c r="Q64" s="183"/>
      <c r="R64" s="115">
        <f ca="1">SUM(D64:Q64)</f>
        <v>897.20233439026288</v>
      </c>
    </row>
    <row r="65" spans="1:18" ht="15.5" x14ac:dyDescent="0.35">
      <c r="A65" s="121">
        <f>A60</f>
        <v>1</v>
      </c>
      <c r="B65" s="125" t="s">
        <v>117</v>
      </c>
      <c r="C65" s="183" cm="1">
        <f t="array" aca="1" ref="C65" ca="1">INDIRECT("R[40]C["&amp;$A$62&amp;"]",FALSE)</f>
        <v>0</v>
      </c>
      <c r="D65" s="183" cm="1">
        <f t="array" aca="1" ref="D65" ca="1">INDIRECT("R[40]C["&amp;$A$62&amp;"]",FALSE)</f>
        <v>14.256410256410257</v>
      </c>
      <c r="E65" s="183" cm="1">
        <f t="array" aca="1" ref="E65" ca="1">INDIRECT("R[40]C["&amp;$A$62&amp;"]",FALSE)</f>
        <v>112.77196006607772</v>
      </c>
      <c r="F65" s="183" cm="1">
        <f t="array" aca="1" ref="F65" ca="1">INDIRECT("R[40]C["&amp;$A$62&amp;"]",FALSE)</f>
        <v>89.28205128205127</v>
      </c>
      <c r="G65" s="183" cm="1">
        <f t="array" aca="1" ref="G65" ca="1">INDIRECT("R[40]C["&amp;$A$62&amp;"]",FALSE)</f>
        <v>73.911111111111097</v>
      </c>
      <c r="H65" s="183" cm="1">
        <f t="array" aca="1" ref="H65" ca="1">INDIRECT("R[40]C["&amp;$A$62&amp;"]",FALSE)</f>
        <v>64.546666666666667</v>
      </c>
      <c r="I65" s="183" cm="1">
        <f t="array" aca="1" ref="I65" ca="1">INDIRECT("R[40]C["&amp;$A$62&amp;"]",FALSE)</f>
        <v>118.21866649787526</v>
      </c>
      <c r="J65" s="183" cm="1">
        <f t="array" aca="1" ref="J65" ca="1">INDIRECT("R[40]C["&amp;$A$62&amp;"]",FALSE)</f>
        <v>56.911111111111111</v>
      </c>
      <c r="K65" s="183" cm="1">
        <f t="array" aca="1" ref="K65" ca="1">INDIRECT("R[40]C["&amp;$A$62&amp;"]",FALSE)</f>
        <v>97.976393115009401</v>
      </c>
      <c r="L65" s="183" cm="1">
        <f t="array" aca="1" ref="L65" ca="1">INDIRECT("R[40]C["&amp;$A$62&amp;"]",FALSE)</f>
        <v>40.739826325981923</v>
      </c>
      <c r="M65" s="183" cm="1">
        <f t="array" aca="1" ref="M65" ca="1">INDIRECT("R[40]C["&amp;$A$62&amp;"]",FALSE)</f>
        <v>100.20866350145754</v>
      </c>
      <c r="N65" s="183" cm="1">
        <f t="array" aca="1" ref="N65" ca="1">INDIRECT("R[40]C["&amp;$A$62&amp;"]",FALSE)</f>
        <v>66.055555555555543</v>
      </c>
      <c r="O65" s="183" cm="1">
        <f t="array" aca="1" ref="O65" ca="1">INDIRECT("R[40]C["&amp;$A$62&amp;"]",FALSE)</f>
        <v>45.21280778984395</v>
      </c>
      <c r="P65" s="183" cm="1">
        <f t="array" aca="1" ref="P65" ca="1">INDIRECT("R[40]C["&amp;$A$62&amp;"]",FALSE)</f>
        <v>17.111111111111111</v>
      </c>
      <c r="Q65" s="183"/>
      <c r="R65" s="115">
        <f ca="1">SUM(D65:Q65)</f>
        <v>897.20233439026288</v>
      </c>
    </row>
    <row r="66" spans="1:18" ht="15.5" x14ac:dyDescent="0.35">
      <c r="A66" s="121">
        <f>A60</f>
        <v>1</v>
      </c>
      <c r="B66" s="125" t="s">
        <v>354</v>
      </c>
      <c r="C66" s="183" cm="1">
        <f t="array" aca="1" ref="C66" ca="1">INDIRECT("R[40]C["&amp;$A$62&amp;"]",FALSE)</f>
        <v>0</v>
      </c>
      <c r="D66" s="183" cm="1">
        <f t="array" aca="1" ref="D66" ca="1">INDIRECT("R[40]C["&amp;$A$62&amp;"]",FALSE)</f>
        <v>2</v>
      </c>
      <c r="E66" s="183" cm="1">
        <f t="array" aca="1" ref="E66" ca="1">INDIRECT("R[40]C["&amp;$A$62&amp;"]",FALSE)</f>
        <v>10</v>
      </c>
      <c r="F66" s="183" cm="1">
        <f t="array" aca="1" ref="F66" ca="1">INDIRECT("R[40]C["&amp;$A$62&amp;"]",FALSE)</f>
        <v>9</v>
      </c>
      <c r="G66" s="183" cm="1">
        <f t="array" aca="1" ref="G66" ca="1">INDIRECT("R[40]C["&amp;$A$62&amp;"]",FALSE)</f>
        <v>7</v>
      </c>
      <c r="H66" s="183" cm="1">
        <f t="array" aca="1" ref="H66" ca="1">INDIRECT("R[40]C["&amp;$A$62&amp;"]",FALSE)</f>
        <v>5</v>
      </c>
      <c r="I66" s="183" cm="1">
        <f t="array" aca="1" ref="I66" ca="1">INDIRECT("R[40]C["&amp;$A$62&amp;"]",FALSE)</f>
        <v>8</v>
      </c>
      <c r="J66" s="183" cm="1">
        <f t="array" aca="1" ref="J66" ca="1">INDIRECT("R[40]C["&amp;$A$62&amp;"]",FALSE)</f>
        <v>5</v>
      </c>
      <c r="K66" s="183" cm="1">
        <f t="array" aca="1" ref="K66" ca="1">INDIRECT("R[40]C["&amp;$A$62&amp;"]",FALSE)</f>
        <v>11</v>
      </c>
      <c r="L66" s="183" cm="1">
        <f t="array" aca="1" ref="L66" ca="1">INDIRECT("R[40]C["&amp;$A$62&amp;"]",FALSE)</f>
        <v>3</v>
      </c>
      <c r="M66" s="183" cm="1">
        <f t="array" aca="1" ref="M66" ca="1">INDIRECT("R[40]C["&amp;$A$62&amp;"]",FALSE)</f>
        <v>10</v>
      </c>
      <c r="N66" s="183" cm="1">
        <f t="array" aca="1" ref="N66" ca="1">INDIRECT("R[40]C["&amp;$A$62&amp;"]",FALSE)</f>
        <v>6</v>
      </c>
      <c r="O66" s="183" cm="1">
        <f t="array" aca="1" ref="O66" ca="1">INDIRECT("R[40]C["&amp;$A$62&amp;"]",FALSE)</f>
        <v>5</v>
      </c>
      <c r="P66" s="183" cm="1">
        <f t="array" aca="1" ref="P66" ca="1">INDIRECT("R[40]C["&amp;$A$62&amp;"]",FALSE)</f>
        <v>2</v>
      </c>
      <c r="Q66" s="183"/>
      <c r="R66" s="115">
        <f ca="1">SUM(D66:Q66)</f>
        <v>83</v>
      </c>
    </row>
    <row r="67" spans="1:18" ht="15.5" x14ac:dyDescent="0.35">
      <c r="A67" s="116"/>
      <c r="B67" s="129" t="s">
        <v>119</v>
      </c>
      <c r="C67" s="184"/>
      <c r="D67" s="180"/>
      <c r="E67" s="180"/>
      <c r="F67" s="180"/>
      <c r="G67" s="180"/>
      <c r="H67" s="180"/>
      <c r="I67" s="180"/>
      <c r="J67" s="180"/>
      <c r="K67" s="180"/>
      <c r="L67" s="180"/>
      <c r="M67" s="180"/>
      <c r="N67" s="180"/>
      <c r="O67" s="180"/>
      <c r="P67" s="180"/>
      <c r="Q67" s="180"/>
      <c r="R67" s="181"/>
    </row>
    <row r="68" spans="1:18" ht="15.5" x14ac:dyDescent="0.35">
      <c r="A68" s="121">
        <f>A59</f>
        <v>1</v>
      </c>
      <c r="B68" s="125" t="s">
        <v>355</v>
      </c>
      <c r="C68" s="183" cm="1">
        <f t="array" aca="1" ref="C68" ca="1">INDIRECT("R[40]C["&amp;$A$68&amp;"]",FALSE)</f>
        <v>0</v>
      </c>
      <c r="D68" s="183" cm="1">
        <f t="array" aca="1" ref="D68" ca="1">INDIRECT("R[40]C["&amp;$A$68&amp;"]",FALSE)</f>
        <v>2</v>
      </c>
      <c r="E68" s="183" cm="1">
        <f t="array" aca="1" ref="E68" ca="1">INDIRECT("R[40]C["&amp;$A$68&amp;"]",FALSE)</f>
        <v>10</v>
      </c>
      <c r="F68" s="183" cm="1">
        <f t="array" aca="1" ref="F68" ca="1">INDIRECT("R[40]C["&amp;$A$68&amp;"]",FALSE)</f>
        <v>6</v>
      </c>
      <c r="G68" s="183" cm="1">
        <f t="array" aca="1" ref="G68" ca="1">INDIRECT("R[40]C["&amp;$A$68&amp;"]",FALSE)</f>
        <v>7</v>
      </c>
      <c r="H68" s="183" cm="1">
        <f t="array" aca="1" ref="H68" ca="1">INDIRECT("R[40]C["&amp;$A$68&amp;"]",FALSE)</f>
        <v>5</v>
      </c>
      <c r="I68" s="183" cm="1">
        <f t="array" aca="1" ref="I68" ca="1">INDIRECT("R[40]C["&amp;$A$68&amp;"]",FALSE)</f>
        <v>8</v>
      </c>
      <c r="J68" s="183" cm="1">
        <f t="array" aca="1" ref="J68" ca="1">INDIRECT("R[40]C["&amp;$A$68&amp;"]",FALSE)</f>
        <v>5</v>
      </c>
      <c r="K68" s="183" cm="1">
        <f t="array" aca="1" ref="K68" ca="1">INDIRECT("R[40]C["&amp;$A$68&amp;"]",FALSE)</f>
        <v>8</v>
      </c>
      <c r="L68" s="183" cm="1">
        <f t="array" aca="1" ref="L68" ca="1">INDIRECT("R[40]C["&amp;$A$68&amp;"]",FALSE)</f>
        <v>3</v>
      </c>
      <c r="M68" s="183" cm="1">
        <f t="array" aca="1" ref="M68" ca="1">INDIRECT("R[40]C["&amp;$A$68&amp;"]",FALSE)</f>
        <v>10</v>
      </c>
      <c r="N68" s="183" cm="1">
        <f t="array" aca="1" ref="N68" ca="1">INDIRECT("R[40]C["&amp;$A$68&amp;"]",FALSE)</f>
        <v>6</v>
      </c>
      <c r="O68" s="183" cm="1">
        <f t="array" aca="1" ref="O68" ca="1">INDIRECT("R[40]C["&amp;$A$68&amp;"]",FALSE)</f>
        <v>5</v>
      </c>
      <c r="P68" s="183" cm="1">
        <f t="array" aca="1" ref="P68" ca="1">INDIRECT("R[40]C["&amp;$A$68&amp;"]",FALSE)</f>
        <v>2</v>
      </c>
      <c r="Q68" s="183"/>
      <c r="R68" s="115">
        <f ca="1">SUM(D68:Q68)</f>
        <v>77</v>
      </c>
    </row>
    <row r="69" spans="1:18" ht="15.5" x14ac:dyDescent="0.35">
      <c r="A69" s="116"/>
      <c r="B69" s="129" t="s">
        <v>356</v>
      </c>
      <c r="C69" s="184"/>
      <c r="D69" s="184"/>
      <c r="E69" s="184"/>
      <c r="F69" s="184"/>
      <c r="G69" s="184"/>
      <c r="H69" s="184"/>
      <c r="I69" s="184"/>
      <c r="J69" s="184"/>
      <c r="K69" s="184"/>
      <c r="L69" s="184"/>
      <c r="M69" s="184"/>
      <c r="N69" s="184"/>
      <c r="O69" s="184"/>
      <c r="P69" s="184"/>
      <c r="Q69" s="184"/>
      <c r="R69" s="181"/>
    </row>
    <row r="70" spans="1:18" ht="15.5" x14ac:dyDescent="0.35">
      <c r="A70" s="121">
        <f>A59</f>
        <v>1</v>
      </c>
      <c r="B70" s="125" t="s">
        <v>357</v>
      </c>
      <c r="C70" s="183" cm="1">
        <f t="array" aca="1" ref="C70" ca="1">INDIRECT("R[40]C["&amp;$A$70&amp;"]",FALSE)</f>
        <v>0</v>
      </c>
      <c r="D70" s="183" cm="1">
        <f t="array" aca="1" ref="D70" ca="1">INDIRECT("R[40]C["&amp;$A$70&amp;"]",FALSE)</f>
        <v>125.50240000000001</v>
      </c>
      <c r="E70" s="183" cm="1">
        <f t="array" aca="1" ref="E70" ca="1">INDIRECT("R[40]C["&amp;$A$70&amp;"]",FALSE)</f>
        <v>862.25390096961871</v>
      </c>
      <c r="F70" s="183" cm="1">
        <f t="array" aca="1" ref="F70" ca="1">INDIRECT("R[40]C["&amp;$A$70&amp;"]",FALSE)</f>
        <v>725.58714358974373</v>
      </c>
      <c r="G70" s="183" cm="1">
        <f t="array" aca="1" ref="G70" ca="1">INDIRECT("R[40]C["&amp;$A$70&amp;"]",FALSE)</f>
        <v>520.27304000000004</v>
      </c>
      <c r="H70" s="183" cm="1">
        <f t="array" aca="1" ref="H70" ca="1">INDIRECT("R[40]C["&amp;$A$70&amp;"]",FALSE)</f>
        <v>417.65050133333341</v>
      </c>
      <c r="I70" s="183" cm="1">
        <f t="array" aca="1" ref="I70" ca="1">INDIRECT("R[40]C["&amp;$A$70&amp;"]",FALSE)</f>
        <v>1004.9766712982587</v>
      </c>
      <c r="J70" s="183" cm="1">
        <f t="array" aca="1" ref="J70" ca="1">INDIRECT("R[40]C["&amp;$A$70&amp;"]",FALSE)</f>
        <v>335.84160000000003</v>
      </c>
      <c r="K70" s="183" cm="1">
        <f t="array" aca="1" ref="K70" ca="1">INDIRECT("R[40]C["&amp;$A$70&amp;"]",FALSE)</f>
        <v>954.23567784168199</v>
      </c>
      <c r="L70" s="183" cm="1">
        <f t="array" aca="1" ref="L70" ca="1">INDIRECT("R[40]C["&amp;$A$70&amp;"]",FALSE)</f>
        <v>268.39397583556899</v>
      </c>
      <c r="M70" s="183" cm="1">
        <f t="array" aca="1" ref="M70" ca="1">INDIRECT("R[40]C["&amp;$A$70&amp;"]",FALSE)</f>
        <v>866.85067514760215</v>
      </c>
      <c r="N70" s="183" cm="1">
        <f t="array" aca="1" ref="N70" ca="1">INDIRECT("R[40]C["&amp;$A$70&amp;"]",FALSE)</f>
        <v>435.17399999999998</v>
      </c>
      <c r="O70" s="183" cm="1">
        <f t="array" aca="1" ref="O70" ca="1">INDIRECT("R[40]C["&amp;$A$70&amp;"]",FALSE)</f>
        <v>297.86197771949202</v>
      </c>
      <c r="P70" s="183" cm="1">
        <f t="array" aca="1" ref="P70" ca="1">INDIRECT("R[40]C["&amp;$A$70&amp;"]",FALSE)</f>
        <v>112.72800000000001</v>
      </c>
      <c r="Q70" s="183"/>
      <c r="R70" s="115">
        <f ca="1">SUM(D70:Q70)</f>
        <v>6927.3295637353003</v>
      </c>
    </row>
    <row r="71" spans="1:18" ht="15.5" x14ac:dyDescent="0.35">
      <c r="A71" s="121">
        <f>A59</f>
        <v>1</v>
      </c>
      <c r="B71" s="125" t="s">
        <v>358</v>
      </c>
      <c r="C71" s="183" cm="1">
        <f t="array" aca="1" ref="C71" ca="1">INDIRECT("R[40]C["&amp;$A$70&amp;"]",FALSE)</f>
        <v>0</v>
      </c>
      <c r="D71" s="183" cm="1">
        <f t="array" aca="1" ref="D71" ca="1">INDIRECT("R[40]C["&amp;$A$70&amp;"]",FALSE)</f>
        <v>256</v>
      </c>
      <c r="E71" s="183" cm="1">
        <f t="array" aca="1" ref="E71" ca="1">INDIRECT("R[40]C["&amp;$A$70&amp;"]",FALSE)</f>
        <v>926.41359999999997</v>
      </c>
      <c r="F71" s="183" cm="1">
        <f t="array" aca="1" ref="F71" ca="1">INDIRECT("R[40]C["&amp;$A$70&amp;"]",FALSE)</f>
        <v>505.5</v>
      </c>
      <c r="G71" s="183" cm="1">
        <f t="array" aca="1" ref="G71" ca="1">INDIRECT("R[40]C["&amp;$A$70&amp;"]",FALSE)</f>
        <v>498.67899999999997</v>
      </c>
      <c r="H71" s="183" cm="1">
        <f t="array" aca="1" ref="H71" ca="1">INDIRECT("R[40]C["&amp;$A$70&amp;"]",FALSE)</f>
        <v>526</v>
      </c>
      <c r="I71" s="183" cm="1">
        <f t="array" aca="1" ref="I71" ca="1">INDIRECT("R[40]C["&amp;$A$70&amp;"]",FALSE)</f>
        <v>658.6653</v>
      </c>
      <c r="J71" s="183" cm="1">
        <f t="array" aca="1" ref="J71" ca="1">INDIRECT("R[40]C["&amp;$A$70&amp;"]",FALSE)</f>
        <v>690.26030000000003</v>
      </c>
      <c r="K71" s="183" cm="1">
        <f t="array" aca="1" ref="K71" ca="1">INDIRECT("R[40]C["&amp;$A$70&amp;"]",FALSE)</f>
        <v>679.90499999999997</v>
      </c>
      <c r="L71" s="183" cm="1">
        <f t="array" aca="1" ref="L71" ca="1">INDIRECT("R[40]C["&amp;$A$70&amp;"]",FALSE)</f>
        <v>363.00000000000006</v>
      </c>
      <c r="M71" s="183" cm="1">
        <f t="array" aca="1" ref="M71" ca="1">INDIRECT("R[40]C["&amp;$A$70&amp;"]",FALSE)</f>
        <v>1402.405</v>
      </c>
      <c r="N71" s="183" cm="1">
        <f t="array" aca="1" ref="N71" ca="1">INDIRECT("R[40]C["&amp;$A$70&amp;"]",FALSE)</f>
        <v>900</v>
      </c>
      <c r="O71" s="183" cm="1">
        <f t="array" aca="1" ref="O71" ca="1">INDIRECT("R[40]C["&amp;$A$70&amp;"]",FALSE)</f>
        <v>672.40499999999997</v>
      </c>
      <c r="P71" s="183" cm="1">
        <f t="array" aca="1" ref="P71" ca="1">INDIRECT("R[40]C["&amp;$A$70&amp;"]",FALSE)</f>
        <v>280</v>
      </c>
      <c r="Q71" s="183"/>
      <c r="R71" s="115">
        <f ca="1">SUM(D71:Q71)</f>
        <v>8359.2331999999988</v>
      </c>
    </row>
    <row r="72" spans="1:18" ht="15.5" x14ac:dyDescent="0.35">
      <c r="A72" s="116"/>
      <c r="B72" s="179" t="str">
        <f>[1]Detailed!B66</f>
        <v>VESSELS</v>
      </c>
      <c r="C72" s="184"/>
      <c r="D72" s="184"/>
      <c r="E72" s="184"/>
      <c r="F72" s="184"/>
      <c r="G72" s="184"/>
      <c r="H72" s="184"/>
      <c r="I72" s="184"/>
      <c r="J72" s="184"/>
      <c r="K72" s="184"/>
      <c r="L72" s="184"/>
      <c r="M72" s="184"/>
      <c r="N72" s="184"/>
      <c r="O72" s="184"/>
      <c r="P72" s="184"/>
      <c r="Q72" s="179"/>
      <c r="R72" s="181"/>
    </row>
    <row r="73" spans="1:18" ht="15.5" x14ac:dyDescent="0.35">
      <c r="A73" s="116"/>
      <c r="B73" s="116"/>
      <c r="C73" s="116"/>
      <c r="D73" s="116"/>
      <c r="E73" s="116"/>
      <c r="F73" s="116"/>
      <c r="G73" s="116"/>
      <c r="H73" s="116"/>
      <c r="I73" s="116"/>
      <c r="J73" s="116"/>
      <c r="K73" s="116"/>
      <c r="L73" s="116"/>
      <c r="M73" s="116"/>
      <c r="N73" s="116"/>
      <c r="O73" s="116"/>
      <c r="P73" s="116"/>
      <c r="Q73" s="116"/>
      <c r="R73" s="115">
        <f>SUM(D73:Q73)</f>
        <v>0</v>
      </c>
    </row>
    <row r="74" spans="1:18" ht="15.5" x14ac:dyDescent="0.35">
      <c r="A74" s="116"/>
      <c r="B74" s="116"/>
      <c r="C74" s="116"/>
      <c r="D74" s="116"/>
      <c r="E74" s="116"/>
      <c r="F74" s="116"/>
      <c r="G74" s="116"/>
      <c r="H74" s="116"/>
      <c r="I74" s="116"/>
      <c r="J74" s="116"/>
      <c r="K74" s="116"/>
      <c r="L74" s="116"/>
      <c r="M74" s="116"/>
      <c r="N74" s="116"/>
      <c r="O74" s="116"/>
      <c r="P74" s="116"/>
      <c r="Q74" s="116"/>
      <c r="R74" s="115">
        <f>SUM(D74:Q74)</f>
        <v>0</v>
      </c>
    </row>
    <row r="75" spans="1:18" ht="15.5" x14ac:dyDescent="0.35">
      <c r="A75" s="116"/>
      <c r="B75" s="116"/>
      <c r="C75" s="116"/>
      <c r="D75" s="116"/>
      <c r="E75" s="116"/>
      <c r="F75" s="116"/>
      <c r="G75" s="116"/>
      <c r="H75" s="116"/>
      <c r="I75" s="116"/>
      <c r="J75" s="116"/>
      <c r="K75" s="116"/>
      <c r="L75" s="116"/>
      <c r="M75" s="116"/>
      <c r="N75" s="116"/>
      <c r="O75" s="116"/>
      <c r="P75" s="116"/>
      <c r="Q75" s="116"/>
      <c r="R75" s="116"/>
    </row>
    <row r="76" spans="1:18" ht="15.5" x14ac:dyDescent="0.35">
      <c r="A76" s="116"/>
      <c r="B76" s="116"/>
      <c r="C76" s="116"/>
      <c r="D76" s="116"/>
      <c r="E76" s="116"/>
      <c r="F76" s="116"/>
      <c r="G76" s="116"/>
      <c r="H76" s="116"/>
      <c r="I76" s="116"/>
      <c r="J76" s="116"/>
      <c r="K76" s="116"/>
      <c r="L76" s="116"/>
      <c r="M76" s="116"/>
      <c r="N76" s="116"/>
      <c r="O76" s="116"/>
      <c r="P76" s="116"/>
      <c r="Q76" s="116"/>
      <c r="R76" s="116"/>
    </row>
    <row r="77" spans="1:18" ht="15.5" x14ac:dyDescent="0.35">
      <c r="A77" s="116"/>
      <c r="B77" s="116"/>
      <c r="C77" s="116"/>
      <c r="D77" s="116"/>
      <c r="E77" s="116"/>
      <c r="F77" s="116"/>
      <c r="G77" s="116"/>
      <c r="H77" s="116"/>
      <c r="I77" s="116"/>
      <c r="J77" s="116"/>
      <c r="K77" s="116"/>
      <c r="L77" s="116"/>
      <c r="M77" s="116"/>
      <c r="N77" s="116"/>
      <c r="O77" s="116"/>
      <c r="P77" s="116"/>
      <c r="Q77" s="116"/>
      <c r="R77" s="115"/>
    </row>
    <row r="78" spans="1:18" ht="15.5" x14ac:dyDescent="0.35">
      <c r="A78" s="116"/>
      <c r="B78" s="116"/>
      <c r="C78" s="116"/>
      <c r="D78" s="116"/>
      <c r="E78" s="116"/>
      <c r="F78" s="116"/>
      <c r="G78" s="116"/>
      <c r="H78" s="116"/>
      <c r="I78" s="116"/>
      <c r="J78" s="116"/>
      <c r="K78" s="116"/>
      <c r="L78" s="116"/>
      <c r="M78" s="116"/>
      <c r="N78" s="116"/>
      <c r="O78" s="116"/>
      <c r="P78" s="116"/>
      <c r="Q78" s="116"/>
      <c r="R78" s="115"/>
    </row>
    <row r="79" spans="1:18" ht="15.5" x14ac:dyDescent="0.35">
      <c r="A79" s="116"/>
      <c r="B79" s="116"/>
      <c r="C79" s="116"/>
      <c r="D79" s="116"/>
      <c r="E79" s="116"/>
      <c r="F79" s="116"/>
      <c r="G79" s="116"/>
      <c r="H79" s="116"/>
      <c r="I79" s="116"/>
      <c r="J79" s="116"/>
      <c r="K79" s="116"/>
      <c r="L79" s="116"/>
      <c r="M79" s="116"/>
      <c r="N79" s="116"/>
      <c r="O79" s="116"/>
      <c r="P79" s="116"/>
      <c r="Q79" s="116"/>
      <c r="R79" s="115"/>
    </row>
    <row r="80" spans="1:18" ht="15.5" hidden="1" x14ac:dyDescent="0.35">
      <c r="A80" s="116"/>
      <c r="B80" s="185" t="s">
        <v>109</v>
      </c>
      <c r="C80" s="185"/>
      <c r="D80" s="185"/>
      <c r="E80" s="185"/>
      <c r="F80" s="185"/>
      <c r="G80" s="185"/>
      <c r="H80" s="185"/>
      <c r="I80" s="185"/>
      <c r="J80" s="185"/>
      <c r="K80" s="116"/>
      <c r="L80" s="116"/>
      <c r="M80" s="116"/>
      <c r="N80" s="116"/>
      <c r="O80" s="116"/>
      <c r="P80" s="116"/>
      <c r="Q80" s="116"/>
      <c r="R80" s="115"/>
    </row>
    <row r="81" spans="1:19" ht="15.5" x14ac:dyDescent="0.35">
      <c r="A81" s="116"/>
      <c r="B81" s="120" t="s">
        <v>170</v>
      </c>
      <c r="C81" s="120"/>
      <c r="D81" s="116"/>
      <c r="E81" s="116"/>
      <c r="F81" s="116"/>
      <c r="G81" s="116"/>
      <c r="H81" s="116"/>
      <c r="I81" s="116"/>
      <c r="J81" s="116"/>
      <c r="K81" s="116"/>
      <c r="L81" s="116"/>
      <c r="M81" s="116"/>
      <c r="N81" s="116"/>
      <c r="O81" s="116"/>
      <c r="P81" s="116"/>
      <c r="Q81" s="116"/>
      <c r="R81" s="115"/>
    </row>
    <row r="82" spans="1:19" ht="15.5" x14ac:dyDescent="0.35">
      <c r="A82" s="116"/>
      <c r="B82" s="120" t="s">
        <v>110</v>
      </c>
      <c r="C82" s="120"/>
      <c r="D82" s="183">
        <f>D83</f>
        <v>0</v>
      </c>
      <c r="E82" s="183">
        <f t="shared" ref="E82:Q82" si="8">E83+D82</f>
        <v>513.23076923076928</v>
      </c>
      <c r="F82" s="183">
        <f t="shared" si="8"/>
        <v>4802.5843568196515</v>
      </c>
      <c r="G82" s="183">
        <f t="shared" si="8"/>
        <v>8587.7382029734981</v>
      </c>
      <c r="H82" s="183">
        <f t="shared" si="8"/>
        <v>12061.738202973498</v>
      </c>
      <c r="I82" s="183">
        <f t="shared" si="8"/>
        <v>14966.338202973498</v>
      </c>
      <c r="J82" s="183">
        <f t="shared" si="8"/>
        <v>20592.332041531732</v>
      </c>
      <c r="K82" s="183">
        <f t="shared" si="8"/>
        <v>22886.332041531732</v>
      </c>
      <c r="L82" s="186">
        <f t="shared" si="8"/>
        <v>27615.269731707158</v>
      </c>
      <c r="M82" s="183">
        <f t="shared" si="8"/>
        <v>30617.407610669055</v>
      </c>
      <c r="N82" s="183">
        <f t="shared" si="8"/>
        <v>36028.675439747763</v>
      </c>
      <c r="O82" s="183">
        <f t="shared" si="8"/>
        <v>39595.675439747763</v>
      </c>
      <c r="P82" s="183">
        <f t="shared" si="8"/>
        <v>42037.167060399341</v>
      </c>
      <c r="Q82" s="183">
        <f t="shared" si="8"/>
        <v>42961.167060399341</v>
      </c>
      <c r="R82" s="115">
        <f>Q82</f>
        <v>42961.167060399341</v>
      </c>
    </row>
    <row r="83" spans="1:19" ht="15.5" x14ac:dyDescent="0.35">
      <c r="A83" s="116"/>
      <c r="B83" s="120" t="s">
        <v>111</v>
      </c>
      <c r="C83" s="120"/>
      <c r="D83" s="183">
        <f t="shared" ref="D83:Q83" si="9">SUMPRODUCT(D86:D88,$B$86:$B$88)</f>
        <v>0</v>
      </c>
      <c r="E83" s="183">
        <f>SUMPRODUCT(E86:E88,$B$86:$B$88)</f>
        <v>513.23076923076928</v>
      </c>
      <c r="F83" s="183">
        <f>SUMPRODUCT(F86:F88,$B$86:$B$88)</f>
        <v>4289.353587588882</v>
      </c>
      <c r="G83" s="183">
        <f t="shared" si="9"/>
        <v>3785.1538461538457</v>
      </c>
      <c r="H83" s="183">
        <f t="shared" si="9"/>
        <v>3474</v>
      </c>
      <c r="I83" s="183">
        <f>SUMPRODUCT(I86:I88,$B$86:$B$88)</f>
        <v>2904.6</v>
      </c>
      <c r="J83" s="183">
        <f t="shared" si="9"/>
        <v>5625.9938385582327</v>
      </c>
      <c r="K83" s="183">
        <f t="shared" si="9"/>
        <v>2294</v>
      </c>
      <c r="L83" s="186">
        <f t="shared" si="9"/>
        <v>4728.937690175424</v>
      </c>
      <c r="M83" s="183">
        <f t="shared" si="9"/>
        <v>3002.1378789618993</v>
      </c>
      <c r="N83" s="183">
        <f t="shared" si="9"/>
        <v>5411.2678290787071</v>
      </c>
      <c r="O83" s="183">
        <f t="shared" si="9"/>
        <v>3567</v>
      </c>
      <c r="P83" s="183">
        <f t="shared" si="9"/>
        <v>2441.4916206515741</v>
      </c>
      <c r="Q83" s="183">
        <f t="shared" si="9"/>
        <v>924</v>
      </c>
      <c r="R83" s="115">
        <f>SUM(D83:Q83)</f>
        <v>42961.167060399341</v>
      </c>
    </row>
    <row r="84" spans="1:19" ht="15.5" x14ac:dyDescent="0.35">
      <c r="A84" s="116"/>
      <c r="B84" s="120" t="s">
        <v>84</v>
      </c>
      <c r="C84" s="120"/>
      <c r="D84" s="183">
        <f>'EC-UNC'!D84</f>
        <v>0</v>
      </c>
      <c r="E84" s="183">
        <f>'EC-UNC'!E84*E83/'EC-UNC'!E83</f>
        <v>2</v>
      </c>
      <c r="F84" s="183">
        <f>'EC-UNC'!F84*F83/'EC-UNC'!F83</f>
        <v>6</v>
      </c>
      <c r="G84" s="183">
        <f>'EC-UNC'!G84*G83/'EC-UNC'!G83</f>
        <v>4.9999999999999991</v>
      </c>
      <c r="H84" s="183">
        <f>'EC-UNC'!H84*H83/'EC-UNC'!H83</f>
        <v>6</v>
      </c>
      <c r="I84" s="183">
        <f>'EC-UNC'!I84*I83/'EC-UNC'!I83</f>
        <v>3</v>
      </c>
      <c r="J84" s="183">
        <f>'EC-UNC'!J84*J83/'EC-UNC'!J83</f>
        <v>6.9999999999999991</v>
      </c>
      <c r="K84" s="183">
        <f>'EC-UNC'!K84*K83/'EC-UNC'!K83</f>
        <v>3</v>
      </c>
      <c r="L84" s="186">
        <f>'EC-UNC'!L84*L83/'EC-UNC'!L83</f>
        <v>6</v>
      </c>
      <c r="M84" s="183">
        <f>'EC-UNC'!M84*M83/'EC-UNC'!M83</f>
        <v>2</v>
      </c>
      <c r="N84" s="183">
        <f>'EC-UNC'!N84*N83/'EC-UNC'!N83</f>
        <v>3</v>
      </c>
      <c r="O84" s="183">
        <f>'EC-UNC'!O84*O83/'EC-UNC'!O83</f>
        <v>1</v>
      </c>
      <c r="P84" s="183">
        <f>'EC-UNC'!P84*P83/'EC-UNC'!P83</f>
        <v>2</v>
      </c>
      <c r="Q84" s="183">
        <f>'EC-UNC'!Q84*Q83/'EC-UNC'!Q83</f>
        <v>1</v>
      </c>
      <c r="R84" s="115">
        <f>SUM(D84:Q84)</f>
        <v>47</v>
      </c>
    </row>
    <row r="85" spans="1:19" ht="15.5" x14ac:dyDescent="0.35">
      <c r="A85" s="116"/>
      <c r="B85" s="179" t="s">
        <v>112</v>
      </c>
      <c r="C85" s="180">
        <f>SUM(C86:C88)</f>
        <v>0</v>
      </c>
      <c r="D85" s="180">
        <f t="shared" ref="D85:Q85" si="10">SUM(D86:D88)</f>
        <v>0</v>
      </c>
      <c r="E85" s="180">
        <f t="shared" si="10"/>
        <v>42.769230769230774</v>
      </c>
      <c r="F85" s="180">
        <f t="shared" si="10"/>
        <v>338.31588019823317</v>
      </c>
      <c r="G85" s="180">
        <f t="shared" si="10"/>
        <v>289.84615384615381</v>
      </c>
      <c r="H85" s="180">
        <f t="shared" si="10"/>
        <v>243.73333333333332</v>
      </c>
      <c r="I85" s="180">
        <f t="shared" si="10"/>
        <v>193.64</v>
      </c>
      <c r="J85" s="180">
        <f t="shared" si="10"/>
        <v>375.06625590388217</v>
      </c>
      <c r="K85" s="180">
        <f t="shared" si="10"/>
        <v>152.93333333333334</v>
      </c>
      <c r="L85" s="180">
        <f t="shared" si="10"/>
        <v>315.26251267836159</v>
      </c>
      <c r="M85" s="180">
        <f t="shared" si="10"/>
        <v>166.78543772010551</v>
      </c>
      <c r="N85" s="180">
        <f t="shared" si="10"/>
        <v>300.62599050437262</v>
      </c>
      <c r="O85" s="180">
        <f t="shared" si="10"/>
        <v>198.16666666666666</v>
      </c>
      <c r="P85" s="180">
        <f t="shared" si="10"/>
        <v>135.63842336953189</v>
      </c>
      <c r="Q85" s="180">
        <f t="shared" si="10"/>
        <v>51.333333333333336</v>
      </c>
      <c r="R85" s="181">
        <f>SUM(C85:Q85)</f>
        <v>2804.1165516565384</v>
      </c>
    </row>
    <row r="86" spans="1:19" ht="15.5" x14ac:dyDescent="0.35">
      <c r="A86" s="187"/>
      <c r="B86" s="182">
        <v>12</v>
      </c>
      <c r="C86" s="182"/>
      <c r="D86" s="183">
        <f>'EC-UNC'!D86</f>
        <v>0</v>
      </c>
      <c r="E86" s="183">
        <f>'EC-UNC'!E86</f>
        <v>42.769230769230774</v>
      </c>
      <c r="F86" s="183">
        <f>'EC-UNC'!F86</f>
        <v>261.79487179487182</v>
      </c>
      <c r="G86" s="183">
        <f>'EC-UNC'!G86</f>
        <v>187.5128205128205</v>
      </c>
      <c r="H86" s="183">
        <f>'EC-UNC'!H86</f>
        <v>60.666666666666664</v>
      </c>
      <c r="I86" s="183">
        <f>'EC-UNC'!I86</f>
        <v>0</v>
      </c>
      <c r="J86" s="183">
        <f>'EC-UNC'!J86</f>
        <v>0</v>
      </c>
      <c r="K86" s="183">
        <f>'EC-UNC'!K86</f>
        <v>0</v>
      </c>
      <c r="L86" s="183">
        <f>'EC-UNC'!L86</f>
        <v>0</v>
      </c>
      <c r="M86" s="183">
        <f>'EC-UNC'!M86</f>
        <v>0</v>
      </c>
      <c r="N86" s="183">
        <f>'EC-UNC'!N86</f>
        <v>0</v>
      </c>
      <c r="O86" s="183">
        <f>'EC-UNC'!O86</f>
        <v>0</v>
      </c>
      <c r="P86" s="183">
        <f>'EC-UNC'!P86</f>
        <v>0</v>
      </c>
      <c r="Q86" s="183">
        <f>'EC-UNC'!Q86</f>
        <v>0</v>
      </c>
      <c r="R86" s="115">
        <f>SUM(D86:Q86)</f>
        <v>552.74358974358972</v>
      </c>
      <c r="S86" s="22"/>
    </row>
    <row r="87" spans="1:19" ht="15.5" x14ac:dyDescent="0.35">
      <c r="A87" s="116"/>
      <c r="B87" s="182">
        <v>15</v>
      </c>
      <c r="C87" s="182"/>
      <c r="D87" s="183">
        <f>'EC-UNC'!D87</f>
        <v>0</v>
      </c>
      <c r="E87" s="183">
        <f>'EC-UNC'!E87</f>
        <v>0</v>
      </c>
      <c r="F87" s="183">
        <f>'EC-UNC'!F87</f>
        <v>76.52100840336135</v>
      </c>
      <c r="G87" s="183">
        <f>'EC-UNC'!G87</f>
        <v>102.33333333333334</v>
      </c>
      <c r="H87" s="183">
        <f>'EC-UNC'!H87</f>
        <v>183.06666666666666</v>
      </c>
      <c r="I87" s="183">
        <f>'EC-UNC'!I87</f>
        <v>193.64</v>
      </c>
      <c r="J87" s="183">
        <f>'EC-UNC'!J87</f>
        <v>375.06625590388217</v>
      </c>
      <c r="K87" s="183">
        <f>'EC-UNC'!K87</f>
        <v>152.93333333333334</v>
      </c>
      <c r="L87" s="183">
        <f>'EC-UNC'!L87</f>
        <v>315.26251267836159</v>
      </c>
      <c r="M87" s="183">
        <f>'EC-UNC'!M87</f>
        <v>0</v>
      </c>
      <c r="N87" s="183">
        <f>'EC-UNC'!N87</f>
        <v>0</v>
      </c>
      <c r="O87" s="183">
        <f>'EC-UNC'!O87</f>
        <v>0</v>
      </c>
      <c r="P87" s="183">
        <f>'EC-UNC'!P87</f>
        <v>0</v>
      </c>
      <c r="Q87" s="183">
        <f>'EC-UNC'!Q87</f>
        <v>0</v>
      </c>
      <c r="R87" s="115">
        <f>SUM(D87:Q87)</f>
        <v>1398.8231103189385</v>
      </c>
      <c r="S87" s="22"/>
    </row>
    <row r="88" spans="1:19" ht="15.5" x14ac:dyDescent="0.35">
      <c r="A88" s="116"/>
      <c r="B88" s="182">
        <v>18</v>
      </c>
      <c r="C88" s="182"/>
      <c r="D88" s="183">
        <f>'EC-UNC'!D88</f>
        <v>0</v>
      </c>
      <c r="E88" s="183">
        <f>'EC-UNC'!E88</f>
        <v>0</v>
      </c>
      <c r="F88" s="183">
        <f>'EC-UNC'!F88</f>
        <v>0</v>
      </c>
      <c r="G88" s="183">
        <f>'EC-UNC'!G88</f>
        <v>0</v>
      </c>
      <c r="H88" s="183">
        <f>'EC-UNC'!H88</f>
        <v>0</v>
      </c>
      <c r="I88" s="183">
        <f>'EC-UNC'!I88</f>
        <v>0</v>
      </c>
      <c r="J88" s="183">
        <f>'EC-UNC'!J88</f>
        <v>0</v>
      </c>
      <c r="K88" s="183">
        <f>'EC-UNC'!K88</f>
        <v>0</v>
      </c>
      <c r="L88" s="183">
        <f>'EC-UNC'!L88</f>
        <v>0</v>
      </c>
      <c r="M88" s="183">
        <f>'EC-UNC'!M88</f>
        <v>166.78543772010551</v>
      </c>
      <c r="N88" s="183">
        <f>'EC-UNC'!N88</f>
        <v>300.62599050437262</v>
      </c>
      <c r="O88" s="183">
        <f>'EC-UNC'!O88</f>
        <v>198.16666666666666</v>
      </c>
      <c r="P88" s="183">
        <f>'EC-UNC'!P88</f>
        <v>135.63842336953189</v>
      </c>
      <c r="Q88" s="183">
        <f>'EC-UNC'!Q88</f>
        <v>51.333333333333336</v>
      </c>
      <c r="R88" s="115">
        <f>SUM(D88:Q88)</f>
        <v>852.54985159401008</v>
      </c>
      <c r="S88" s="22"/>
    </row>
    <row r="89" spans="1:19" ht="15.5" x14ac:dyDescent="0.35">
      <c r="A89" s="116"/>
      <c r="B89" s="179" t="s">
        <v>113</v>
      </c>
      <c r="C89" s="179"/>
      <c r="D89" s="180"/>
      <c r="E89" s="180"/>
      <c r="F89" s="180"/>
      <c r="G89" s="180"/>
      <c r="H89" s="180"/>
      <c r="I89" s="180"/>
      <c r="J89" s="180"/>
      <c r="K89" s="180"/>
      <c r="L89" s="188"/>
      <c r="M89" s="180"/>
      <c r="N89" s="180"/>
      <c r="O89" s="180"/>
      <c r="P89" s="180"/>
      <c r="Q89" s="180"/>
      <c r="R89" s="181"/>
      <c r="S89" s="22"/>
    </row>
    <row r="90" spans="1:19" ht="15.5" x14ac:dyDescent="0.35">
      <c r="A90" s="116"/>
      <c r="B90" s="182">
        <v>12</v>
      </c>
      <c r="C90" s="182"/>
      <c r="D90" s="183">
        <f t="shared" ref="D90:Q92" si="11">3*D86</f>
        <v>0</v>
      </c>
      <c r="E90" s="183">
        <f t="shared" si="11"/>
        <v>128.30769230769232</v>
      </c>
      <c r="F90" s="183">
        <f t="shared" si="11"/>
        <v>785.38461538461547</v>
      </c>
      <c r="G90" s="183">
        <f t="shared" si="11"/>
        <v>562.53846153846143</v>
      </c>
      <c r="H90" s="183">
        <f t="shared" si="11"/>
        <v>182</v>
      </c>
      <c r="I90" s="183">
        <f t="shared" si="11"/>
        <v>0</v>
      </c>
      <c r="J90" s="183">
        <f t="shared" si="11"/>
        <v>0</v>
      </c>
      <c r="K90" s="183">
        <f t="shared" si="11"/>
        <v>0</v>
      </c>
      <c r="L90" s="186">
        <f t="shared" si="11"/>
        <v>0</v>
      </c>
      <c r="M90" s="183">
        <f t="shared" si="11"/>
        <v>0</v>
      </c>
      <c r="N90" s="183">
        <f t="shared" si="11"/>
        <v>0</v>
      </c>
      <c r="O90" s="183">
        <f t="shared" si="11"/>
        <v>0</v>
      </c>
      <c r="P90" s="183">
        <f t="shared" si="11"/>
        <v>0</v>
      </c>
      <c r="Q90" s="183">
        <f t="shared" si="11"/>
        <v>0</v>
      </c>
      <c r="R90" s="115">
        <f>SUM(D90:Q90)</f>
        <v>1658.2307692307693</v>
      </c>
    </row>
    <row r="91" spans="1:19" ht="15.5" x14ac:dyDescent="0.35">
      <c r="A91" s="116"/>
      <c r="B91" s="182">
        <v>15</v>
      </c>
      <c r="C91" s="182"/>
      <c r="D91" s="183">
        <f t="shared" si="11"/>
        <v>0</v>
      </c>
      <c r="E91" s="183">
        <f t="shared" si="11"/>
        <v>0</v>
      </c>
      <c r="F91" s="183">
        <f t="shared" si="11"/>
        <v>229.56302521008405</v>
      </c>
      <c r="G91" s="183">
        <f t="shared" si="11"/>
        <v>307</v>
      </c>
      <c r="H91" s="183">
        <f t="shared" si="11"/>
        <v>549.20000000000005</v>
      </c>
      <c r="I91" s="183">
        <f t="shared" si="11"/>
        <v>580.91999999999996</v>
      </c>
      <c r="J91" s="183">
        <f t="shared" si="11"/>
        <v>1125.1987677116465</v>
      </c>
      <c r="K91" s="183">
        <f t="shared" si="11"/>
        <v>458.8</v>
      </c>
      <c r="L91" s="186">
        <f t="shared" si="11"/>
        <v>945.78753803508471</v>
      </c>
      <c r="M91" s="183">
        <f t="shared" si="11"/>
        <v>0</v>
      </c>
      <c r="N91" s="183">
        <f t="shared" si="11"/>
        <v>0</v>
      </c>
      <c r="O91" s="183">
        <f t="shared" si="11"/>
        <v>0</v>
      </c>
      <c r="P91" s="183">
        <f t="shared" si="11"/>
        <v>0</v>
      </c>
      <c r="Q91" s="183">
        <f t="shared" si="11"/>
        <v>0</v>
      </c>
      <c r="R91" s="115">
        <f>SUM(D91:Q91)</f>
        <v>4196.4693309568156</v>
      </c>
    </row>
    <row r="92" spans="1:19" ht="15.5" x14ac:dyDescent="0.35">
      <c r="A92" s="116"/>
      <c r="B92" s="182">
        <v>18</v>
      </c>
      <c r="C92" s="182"/>
      <c r="D92" s="183">
        <f t="shared" si="11"/>
        <v>0</v>
      </c>
      <c r="E92" s="183">
        <f t="shared" si="11"/>
        <v>0</v>
      </c>
      <c r="F92" s="183">
        <f t="shared" si="11"/>
        <v>0</v>
      </c>
      <c r="G92" s="183">
        <f t="shared" si="11"/>
        <v>0</v>
      </c>
      <c r="H92" s="183">
        <f t="shared" si="11"/>
        <v>0</v>
      </c>
      <c r="I92" s="183">
        <f t="shared" si="11"/>
        <v>0</v>
      </c>
      <c r="J92" s="183">
        <f t="shared" si="11"/>
        <v>0</v>
      </c>
      <c r="K92" s="183">
        <f t="shared" si="11"/>
        <v>0</v>
      </c>
      <c r="L92" s="186">
        <f t="shared" si="11"/>
        <v>0</v>
      </c>
      <c r="M92" s="183">
        <f t="shared" si="11"/>
        <v>500.35631316031652</v>
      </c>
      <c r="N92" s="183">
        <f t="shared" si="11"/>
        <v>901.87797151311793</v>
      </c>
      <c r="O92" s="183">
        <f t="shared" si="11"/>
        <v>594.5</v>
      </c>
      <c r="P92" s="183">
        <f t="shared" si="11"/>
        <v>406.91527010859568</v>
      </c>
      <c r="Q92" s="183">
        <f t="shared" si="11"/>
        <v>154</v>
      </c>
      <c r="R92" s="115">
        <f>SUM(D92:Q92)</f>
        <v>2557.6495547820305</v>
      </c>
    </row>
    <row r="93" spans="1:19" ht="15.5" x14ac:dyDescent="0.35">
      <c r="A93" s="116"/>
      <c r="B93" s="179" t="s">
        <v>114</v>
      </c>
      <c r="C93" s="179"/>
      <c r="D93" s="180"/>
      <c r="E93" s="180"/>
      <c r="F93" s="180"/>
      <c r="G93" s="180"/>
      <c r="H93" s="180"/>
      <c r="I93" s="180"/>
      <c r="J93" s="180"/>
      <c r="K93" s="180"/>
      <c r="L93" s="188"/>
      <c r="M93" s="180"/>
      <c r="N93" s="180"/>
      <c r="O93" s="180"/>
      <c r="P93" s="180"/>
      <c r="Q93" s="180"/>
      <c r="R93" s="181"/>
    </row>
    <row r="94" spans="1:19" ht="15.5" x14ac:dyDescent="0.35">
      <c r="A94" s="116"/>
      <c r="B94" s="182">
        <v>12</v>
      </c>
      <c r="C94" s="182"/>
      <c r="D94" s="183">
        <f t="shared" ref="D94:Q96" si="12">D86</f>
        <v>0</v>
      </c>
      <c r="E94" s="183">
        <f t="shared" si="12"/>
        <v>42.769230769230774</v>
      </c>
      <c r="F94" s="183">
        <f t="shared" si="12"/>
        <v>261.79487179487182</v>
      </c>
      <c r="G94" s="183">
        <f t="shared" si="12"/>
        <v>187.5128205128205</v>
      </c>
      <c r="H94" s="183">
        <f t="shared" si="12"/>
        <v>60.666666666666664</v>
      </c>
      <c r="I94" s="183">
        <f t="shared" si="12"/>
        <v>0</v>
      </c>
      <c r="J94" s="183">
        <f t="shared" si="12"/>
        <v>0</v>
      </c>
      <c r="K94" s="183">
        <f t="shared" si="12"/>
        <v>0</v>
      </c>
      <c r="L94" s="186">
        <f t="shared" si="12"/>
        <v>0</v>
      </c>
      <c r="M94" s="183">
        <f t="shared" si="12"/>
        <v>0</v>
      </c>
      <c r="N94" s="183">
        <f t="shared" si="12"/>
        <v>0</v>
      </c>
      <c r="O94" s="183">
        <f t="shared" si="12"/>
        <v>0</v>
      </c>
      <c r="P94" s="183">
        <f t="shared" si="12"/>
        <v>0</v>
      </c>
      <c r="Q94" s="183">
        <f t="shared" si="12"/>
        <v>0</v>
      </c>
      <c r="R94" s="115">
        <f>SUM(D94:Q94)</f>
        <v>552.74358974358972</v>
      </c>
    </row>
    <row r="95" spans="1:19" ht="15.5" x14ac:dyDescent="0.35">
      <c r="A95" s="116"/>
      <c r="B95" s="182">
        <v>15</v>
      </c>
      <c r="C95" s="182"/>
      <c r="D95" s="183">
        <f t="shared" si="12"/>
        <v>0</v>
      </c>
      <c r="E95" s="183">
        <f t="shared" si="12"/>
        <v>0</v>
      </c>
      <c r="F95" s="183">
        <f t="shared" si="12"/>
        <v>76.52100840336135</v>
      </c>
      <c r="G95" s="183">
        <f t="shared" si="12"/>
        <v>102.33333333333334</v>
      </c>
      <c r="H95" s="183">
        <f t="shared" si="12"/>
        <v>183.06666666666666</v>
      </c>
      <c r="I95" s="183">
        <f t="shared" si="12"/>
        <v>193.64</v>
      </c>
      <c r="J95" s="183">
        <f t="shared" si="12"/>
        <v>375.06625590388217</v>
      </c>
      <c r="K95" s="183">
        <f t="shared" si="12"/>
        <v>152.93333333333334</v>
      </c>
      <c r="L95" s="186">
        <f t="shared" si="12"/>
        <v>315.26251267836159</v>
      </c>
      <c r="M95" s="183">
        <f t="shared" si="12"/>
        <v>0</v>
      </c>
      <c r="N95" s="183">
        <f t="shared" si="12"/>
        <v>0</v>
      </c>
      <c r="O95" s="183">
        <f t="shared" si="12"/>
        <v>0</v>
      </c>
      <c r="P95" s="183">
        <f t="shared" si="12"/>
        <v>0</v>
      </c>
      <c r="Q95" s="183">
        <f t="shared" si="12"/>
        <v>0</v>
      </c>
      <c r="R95" s="115">
        <f>SUM(D95:Q95)</f>
        <v>1398.8231103189385</v>
      </c>
    </row>
    <row r="96" spans="1:19" ht="15.5" x14ac:dyDescent="0.35">
      <c r="A96" s="116"/>
      <c r="B96" s="182">
        <v>18</v>
      </c>
      <c r="C96" s="182"/>
      <c r="D96" s="183">
        <f t="shared" si="12"/>
        <v>0</v>
      </c>
      <c r="E96" s="183">
        <f t="shared" si="12"/>
        <v>0</v>
      </c>
      <c r="F96" s="183">
        <f t="shared" si="12"/>
        <v>0</v>
      </c>
      <c r="G96" s="183">
        <f t="shared" si="12"/>
        <v>0</v>
      </c>
      <c r="H96" s="183">
        <f t="shared" si="12"/>
        <v>0</v>
      </c>
      <c r="I96" s="183">
        <f t="shared" si="12"/>
        <v>0</v>
      </c>
      <c r="J96" s="183">
        <f t="shared" si="12"/>
        <v>0</v>
      </c>
      <c r="K96" s="183">
        <f t="shared" si="12"/>
        <v>0</v>
      </c>
      <c r="L96" s="186">
        <f t="shared" si="12"/>
        <v>0</v>
      </c>
      <c r="M96" s="183">
        <f t="shared" si="12"/>
        <v>166.78543772010551</v>
      </c>
      <c r="N96" s="183">
        <f t="shared" si="12"/>
        <v>300.62599050437262</v>
      </c>
      <c r="O96" s="183">
        <f t="shared" si="12"/>
        <v>198.16666666666666</v>
      </c>
      <c r="P96" s="183">
        <f t="shared" si="12"/>
        <v>135.63842336953189</v>
      </c>
      <c r="Q96" s="183">
        <f t="shared" si="12"/>
        <v>51.333333333333336</v>
      </c>
      <c r="R96" s="115">
        <f>SUM(D96:Q96)</f>
        <v>852.54985159401008</v>
      </c>
    </row>
    <row r="97" spans="1:18" ht="15.5" x14ac:dyDescent="0.35">
      <c r="A97" s="116"/>
      <c r="B97" s="179" t="s">
        <v>115</v>
      </c>
      <c r="C97" s="179"/>
      <c r="D97" s="180"/>
      <c r="E97" s="180"/>
      <c r="F97" s="180"/>
      <c r="G97" s="180"/>
      <c r="H97" s="180"/>
      <c r="I97" s="180"/>
      <c r="J97" s="180"/>
      <c r="K97" s="180"/>
      <c r="L97" s="188"/>
      <c r="M97" s="180"/>
      <c r="N97" s="180"/>
      <c r="O97" s="180"/>
      <c r="P97" s="180"/>
      <c r="Q97" s="180"/>
      <c r="R97" s="181"/>
    </row>
    <row r="98" spans="1:18" ht="15.5" x14ac:dyDescent="0.35">
      <c r="A98" s="116"/>
      <c r="B98" s="182">
        <v>12</v>
      </c>
      <c r="C98" s="182"/>
      <c r="D98" s="183">
        <f t="shared" ref="D98:Q100" si="13">D86</f>
        <v>0</v>
      </c>
      <c r="E98" s="183">
        <f t="shared" si="13"/>
        <v>42.769230769230774</v>
      </c>
      <c r="F98" s="183">
        <f t="shared" si="13"/>
        <v>261.79487179487182</v>
      </c>
      <c r="G98" s="183">
        <f t="shared" si="13"/>
        <v>187.5128205128205</v>
      </c>
      <c r="H98" s="183">
        <f t="shared" si="13"/>
        <v>60.666666666666664</v>
      </c>
      <c r="I98" s="183">
        <f t="shared" si="13"/>
        <v>0</v>
      </c>
      <c r="J98" s="183">
        <f t="shared" si="13"/>
        <v>0</v>
      </c>
      <c r="K98" s="183">
        <f t="shared" si="13"/>
        <v>0</v>
      </c>
      <c r="L98" s="186">
        <f t="shared" si="13"/>
        <v>0</v>
      </c>
      <c r="M98" s="183">
        <f t="shared" si="13"/>
        <v>0</v>
      </c>
      <c r="N98" s="183">
        <f t="shared" si="13"/>
        <v>0</v>
      </c>
      <c r="O98" s="183">
        <f t="shared" si="13"/>
        <v>0</v>
      </c>
      <c r="P98" s="183">
        <f t="shared" si="13"/>
        <v>0</v>
      </c>
      <c r="Q98" s="183">
        <f t="shared" si="13"/>
        <v>0</v>
      </c>
      <c r="R98" s="115">
        <f>SUM(D98:Q98)</f>
        <v>552.74358974358972</v>
      </c>
    </row>
    <row r="99" spans="1:18" ht="15.5" x14ac:dyDescent="0.35">
      <c r="A99" s="116"/>
      <c r="B99" s="182">
        <v>15</v>
      </c>
      <c r="C99" s="182"/>
      <c r="D99" s="183">
        <f t="shared" si="13"/>
        <v>0</v>
      </c>
      <c r="E99" s="183">
        <f t="shared" si="13"/>
        <v>0</v>
      </c>
      <c r="F99" s="183">
        <f t="shared" si="13"/>
        <v>76.52100840336135</v>
      </c>
      <c r="G99" s="183">
        <f t="shared" si="13"/>
        <v>102.33333333333334</v>
      </c>
      <c r="H99" s="183">
        <f t="shared" si="13"/>
        <v>183.06666666666666</v>
      </c>
      <c r="I99" s="183">
        <f t="shared" si="13"/>
        <v>193.64</v>
      </c>
      <c r="J99" s="183">
        <f t="shared" si="13"/>
        <v>375.06625590388217</v>
      </c>
      <c r="K99" s="183">
        <f t="shared" si="13"/>
        <v>152.93333333333334</v>
      </c>
      <c r="L99" s="186">
        <f t="shared" si="13"/>
        <v>315.26251267836159</v>
      </c>
      <c r="M99" s="183">
        <f t="shared" si="13"/>
        <v>0</v>
      </c>
      <c r="N99" s="183">
        <f t="shared" si="13"/>
        <v>0</v>
      </c>
      <c r="O99" s="183">
        <f t="shared" si="13"/>
        <v>0</v>
      </c>
      <c r="P99" s="183">
        <f t="shared" si="13"/>
        <v>0</v>
      </c>
      <c r="Q99" s="183">
        <f t="shared" si="13"/>
        <v>0</v>
      </c>
      <c r="R99" s="115">
        <f>SUM(D99:Q99)</f>
        <v>1398.8231103189385</v>
      </c>
    </row>
    <row r="100" spans="1:18" ht="15.5" x14ac:dyDescent="0.35">
      <c r="A100" s="116"/>
      <c r="B100" s="182">
        <v>18</v>
      </c>
      <c r="C100" s="182"/>
      <c r="D100" s="183">
        <f t="shared" si="13"/>
        <v>0</v>
      </c>
      <c r="E100" s="183">
        <f t="shared" si="13"/>
        <v>0</v>
      </c>
      <c r="F100" s="183">
        <f t="shared" si="13"/>
        <v>0</v>
      </c>
      <c r="G100" s="183">
        <f t="shared" si="13"/>
        <v>0</v>
      </c>
      <c r="H100" s="183">
        <f t="shared" si="13"/>
        <v>0</v>
      </c>
      <c r="I100" s="183">
        <f t="shared" si="13"/>
        <v>0</v>
      </c>
      <c r="J100" s="183">
        <f t="shared" si="13"/>
        <v>0</v>
      </c>
      <c r="K100" s="183">
        <f t="shared" si="13"/>
        <v>0</v>
      </c>
      <c r="L100" s="186">
        <f t="shared" si="13"/>
        <v>0</v>
      </c>
      <c r="M100" s="183">
        <f t="shared" si="13"/>
        <v>166.78543772010551</v>
      </c>
      <c r="N100" s="183">
        <f t="shared" si="13"/>
        <v>300.62599050437262</v>
      </c>
      <c r="O100" s="183">
        <f t="shared" si="13"/>
        <v>198.16666666666666</v>
      </c>
      <c r="P100" s="183">
        <f t="shared" si="13"/>
        <v>135.63842336953189</v>
      </c>
      <c r="Q100" s="183">
        <f t="shared" si="13"/>
        <v>51.333333333333336</v>
      </c>
      <c r="R100" s="115">
        <f>SUM(D100:Q100)</f>
        <v>852.54985159401008</v>
      </c>
    </row>
    <row r="101" spans="1:18" ht="15.5" x14ac:dyDescent="0.35">
      <c r="A101" s="116"/>
      <c r="B101" s="179" t="s">
        <v>116</v>
      </c>
      <c r="C101" s="179"/>
      <c r="D101" s="180">
        <f>SUM(D103:D105)</f>
        <v>0</v>
      </c>
      <c r="E101" s="180">
        <f t="shared" ref="E101:Q101" si="14">SUM(E103:E105)</f>
        <v>42.769230769230774</v>
      </c>
      <c r="F101" s="180">
        <f t="shared" si="14"/>
        <v>338.31588019823317</v>
      </c>
      <c r="G101" s="180">
        <f t="shared" si="14"/>
        <v>267.84615384615381</v>
      </c>
      <c r="H101" s="180">
        <f t="shared" si="14"/>
        <v>221.73333333333329</v>
      </c>
      <c r="I101" s="180">
        <f t="shared" si="14"/>
        <v>193.64</v>
      </c>
      <c r="J101" s="180">
        <f t="shared" si="14"/>
        <v>354.65599949362581</v>
      </c>
      <c r="K101" s="180">
        <f t="shared" si="14"/>
        <v>170.73333333333335</v>
      </c>
      <c r="L101" s="180">
        <f t="shared" si="14"/>
        <v>293.92917934502822</v>
      </c>
      <c r="M101" s="180">
        <f t="shared" si="14"/>
        <v>122.21947897794577</v>
      </c>
      <c r="N101" s="180">
        <f t="shared" si="14"/>
        <v>300.62599050437262</v>
      </c>
      <c r="O101" s="180">
        <f t="shared" si="14"/>
        <v>198.16666666666663</v>
      </c>
      <c r="P101" s="180">
        <f t="shared" si="14"/>
        <v>135.63842336953184</v>
      </c>
      <c r="Q101" s="180">
        <f t="shared" si="14"/>
        <v>51.333333333333329</v>
      </c>
      <c r="R101" s="181">
        <f>SUM(C101:Q101)</f>
        <v>2691.6070031707882</v>
      </c>
    </row>
    <row r="102" spans="1:18" ht="15.5" x14ac:dyDescent="0.35">
      <c r="A102" s="193">
        <v>0.33</v>
      </c>
      <c r="B102" s="116" t="s">
        <v>257</v>
      </c>
      <c r="C102" s="116"/>
      <c r="D102" s="183">
        <f>'EC-UNC'!D102</f>
        <v>0</v>
      </c>
      <c r="E102" s="183">
        <f>$A102*SUM('EC-UNC'!E$103:E$105)</f>
        <v>14.113846153846156</v>
      </c>
      <c r="F102" s="183">
        <f>$A102*SUM('EC-UNC'!F$103:F$105)</f>
        <v>111.64424046541696</v>
      </c>
      <c r="G102" s="183">
        <f>$A102*SUM('EC-UNC'!G$103:G$105)</f>
        <v>88.389230769230764</v>
      </c>
      <c r="H102" s="183">
        <f>$A102*SUM('EC-UNC'!H$103:H$105)</f>
        <v>73.171999999999997</v>
      </c>
      <c r="I102" s="183">
        <f>$A102*SUM('EC-UNC'!I$103:I$105)</f>
        <v>63.90120000000001</v>
      </c>
      <c r="J102" s="183">
        <f>$A102*SUM('EC-UNC'!J$103:J$105)</f>
        <v>117.03647983289652</v>
      </c>
      <c r="K102" s="183">
        <f>$A102*SUM('EC-UNC'!K$103:K$105)</f>
        <v>56.342000000000006</v>
      </c>
      <c r="L102" s="183">
        <f>$A102*SUM('EC-UNC'!L$103:L$105)</f>
        <v>96.996629183859312</v>
      </c>
      <c r="M102" s="183">
        <f>$A102*SUM('EC-UNC'!M$103:M$105)</f>
        <v>40.332428062722109</v>
      </c>
      <c r="N102" s="183">
        <f>$A102*SUM('EC-UNC'!N$103:N$105)</f>
        <v>99.206576866442973</v>
      </c>
      <c r="O102" s="183">
        <f>$A102*SUM('EC-UNC'!O$103:O$105)</f>
        <v>65.394999999999996</v>
      </c>
      <c r="P102" s="183">
        <f>$A102*SUM('EC-UNC'!P$103:P$105)</f>
        <v>44.760679711945514</v>
      </c>
      <c r="Q102" s="183">
        <f>$A102*SUM('EC-UNC'!Q$103:Q$105)</f>
        <v>16.940000000000001</v>
      </c>
      <c r="R102" s="115">
        <f>SUM(D102:Q102)</f>
        <v>888.2303110463605</v>
      </c>
    </row>
    <row r="103" spans="1:18" ht="15.5" x14ac:dyDescent="0.35">
      <c r="A103" s="193">
        <f>Assumptions!K16</f>
        <v>0.33333333333333331</v>
      </c>
      <c r="B103" s="116" t="s">
        <v>258</v>
      </c>
      <c r="C103" s="116"/>
      <c r="D103" s="183">
        <f>'EC-UNC'!D103</f>
        <v>0</v>
      </c>
      <c r="E103" s="183">
        <f>$A103*SUM('EC-UNC'!E$103:E$105)</f>
        <v>14.256410256410257</v>
      </c>
      <c r="F103" s="183">
        <f>$A103*SUM('EC-UNC'!F$103:F$105)</f>
        <v>112.77196006607772</v>
      </c>
      <c r="G103" s="183">
        <f>$A103*SUM('EC-UNC'!G$103:G$105)</f>
        <v>89.28205128205127</v>
      </c>
      <c r="H103" s="183">
        <f>$A103*SUM('EC-UNC'!H$103:H$105)</f>
        <v>73.911111111111097</v>
      </c>
      <c r="I103" s="183">
        <f>$A103*SUM('EC-UNC'!I$103:I$105)</f>
        <v>64.546666666666667</v>
      </c>
      <c r="J103" s="183">
        <f>$A103*SUM('EC-UNC'!J$103:J$105)</f>
        <v>118.21866649787526</v>
      </c>
      <c r="K103" s="183">
        <f>$A103*SUM('EC-UNC'!K$103:K$105)</f>
        <v>56.911111111111111</v>
      </c>
      <c r="L103" s="183">
        <f>$A103*SUM('EC-UNC'!L$103:L$105)</f>
        <v>97.976393115009401</v>
      </c>
      <c r="M103" s="183">
        <f>$A103*SUM('EC-UNC'!M$103:M$105)</f>
        <v>40.739826325981923</v>
      </c>
      <c r="N103" s="183">
        <f>$A103*SUM('EC-UNC'!N$103:N$105)</f>
        <v>100.20866350145754</v>
      </c>
      <c r="O103" s="183">
        <f>$A103*SUM('EC-UNC'!O$103:O$105)</f>
        <v>66.055555555555543</v>
      </c>
      <c r="P103" s="183">
        <f>$A103*SUM('EC-UNC'!P$103:P$105)</f>
        <v>45.21280778984395</v>
      </c>
      <c r="Q103" s="183">
        <f>$A103*SUM('EC-UNC'!Q$103:Q$105)</f>
        <v>17.111111111111111</v>
      </c>
      <c r="R103" s="115">
        <f>SUM(D103:Q103)</f>
        <v>897.20233439026288</v>
      </c>
    </row>
    <row r="104" spans="1:18" ht="15.5" x14ac:dyDescent="0.35">
      <c r="A104" s="193">
        <f>Assumptions!K17</f>
        <v>0.33333333333333331</v>
      </c>
      <c r="B104" s="116" t="s">
        <v>117</v>
      </c>
      <c r="C104" s="116"/>
      <c r="D104" s="183">
        <f>'EC-UNC'!D104</f>
        <v>0</v>
      </c>
      <c r="E104" s="183">
        <f>$A104*SUM('EC-UNC'!E$103:E$105)</f>
        <v>14.256410256410257</v>
      </c>
      <c r="F104" s="183">
        <f>$A104*SUM('EC-UNC'!F$103:F$105)</f>
        <v>112.77196006607772</v>
      </c>
      <c r="G104" s="183">
        <f>$A104*SUM('EC-UNC'!G$103:G$105)</f>
        <v>89.28205128205127</v>
      </c>
      <c r="H104" s="183">
        <f>$A104*SUM('EC-UNC'!H$103:H$105)</f>
        <v>73.911111111111097</v>
      </c>
      <c r="I104" s="183">
        <f>$A104*SUM('EC-UNC'!I$103:I$105)</f>
        <v>64.546666666666667</v>
      </c>
      <c r="J104" s="183">
        <f>$A104*SUM('EC-UNC'!J$103:J$105)</f>
        <v>118.21866649787526</v>
      </c>
      <c r="K104" s="183">
        <f>$A104*SUM('EC-UNC'!K$103:K$105)</f>
        <v>56.911111111111111</v>
      </c>
      <c r="L104" s="183">
        <f>$A104*SUM('EC-UNC'!L$103:L$105)</f>
        <v>97.976393115009401</v>
      </c>
      <c r="M104" s="183">
        <f>$A104*SUM('EC-UNC'!M$103:M$105)</f>
        <v>40.739826325981923</v>
      </c>
      <c r="N104" s="183">
        <f>$A104*SUM('EC-UNC'!N$103:N$105)</f>
        <v>100.20866350145754</v>
      </c>
      <c r="O104" s="183">
        <f>$A104*SUM('EC-UNC'!O$103:O$105)</f>
        <v>66.055555555555543</v>
      </c>
      <c r="P104" s="183">
        <f>$A104*SUM('EC-UNC'!P$103:P$105)</f>
        <v>45.21280778984395</v>
      </c>
      <c r="Q104" s="183">
        <f>$A104*SUM('EC-UNC'!Q$103:Q$105)</f>
        <v>17.111111111111111</v>
      </c>
      <c r="R104" s="115">
        <f>SUM(D104:Q104)</f>
        <v>897.20233439026288</v>
      </c>
    </row>
    <row r="105" spans="1:18" ht="15.5" x14ac:dyDescent="0.35">
      <c r="A105" s="193">
        <f>Assumptions!K18</f>
        <v>0.33333333333333331</v>
      </c>
      <c r="B105" s="116" t="s">
        <v>118</v>
      </c>
      <c r="C105" s="116"/>
      <c r="D105" s="183">
        <f>'EC-UNC'!D105</f>
        <v>0</v>
      </c>
      <c r="E105" s="183">
        <f>$A105*SUM('EC-UNC'!E$103:E$105)</f>
        <v>14.256410256410257</v>
      </c>
      <c r="F105" s="183">
        <f>$A105*SUM('EC-UNC'!F$103:F$105)</f>
        <v>112.77196006607772</v>
      </c>
      <c r="G105" s="183">
        <f>$A105*SUM('EC-UNC'!G$103:G$105)</f>
        <v>89.28205128205127</v>
      </c>
      <c r="H105" s="183">
        <f>$A105*SUM('EC-UNC'!H$103:H$105)</f>
        <v>73.911111111111097</v>
      </c>
      <c r="I105" s="183">
        <f>$A105*SUM('EC-UNC'!I$103:I$105)</f>
        <v>64.546666666666667</v>
      </c>
      <c r="J105" s="183">
        <f>$A105*SUM('EC-UNC'!J$103:J$105)</f>
        <v>118.21866649787526</v>
      </c>
      <c r="K105" s="183">
        <f>$A105*SUM('EC-UNC'!K$103:K$105)</f>
        <v>56.911111111111111</v>
      </c>
      <c r="L105" s="183">
        <f>$A105*SUM('EC-UNC'!L$103:L$105)</f>
        <v>97.976393115009401</v>
      </c>
      <c r="M105" s="183">
        <f>$A105*SUM('EC-UNC'!M$103:M$105)</f>
        <v>40.739826325981923</v>
      </c>
      <c r="N105" s="183">
        <f>$A105*SUM('EC-UNC'!N$103:N$105)</f>
        <v>100.20866350145754</v>
      </c>
      <c r="O105" s="183">
        <f>$A105*SUM('EC-UNC'!O$103:O$105)</f>
        <v>66.055555555555543</v>
      </c>
      <c r="P105" s="183">
        <f>$A105*SUM('EC-UNC'!P$103:P$105)</f>
        <v>45.21280778984395</v>
      </c>
      <c r="Q105" s="183">
        <f>$A105*SUM('EC-UNC'!Q$103:Q$105)</f>
        <v>17.111111111111111</v>
      </c>
      <c r="R105" s="115">
        <f>SUM(D105:Q105)</f>
        <v>897.20233439026288</v>
      </c>
    </row>
    <row r="106" spans="1:18" ht="15.5" x14ac:dyDescent="0.35">
      <c r="A106" s="116"/>
      <c r="B106" s="116" t="s">
        <v>354</v>
      </c>
      <c r="C106" s="116"/>
      <c r="D106" s="183">
        <f>'EC-UNC'!D106</f>
        <v>0</v>
      </c>
      <c r="E106" s="183">
        <f>'EC-UNC'!E106*E$83/'EC-UNC'!E$83</f>
        <v>2</v>
      </c>
      <c r="F106" s="183">
        <f>'EC-UNC'!F106*F$83/'EC-UNC'!F$83</f>
        <v>10</v>
      </c>
      <c r="G106" s="183">
        <f>'EC-UNC'!G106*G$83/'EC-UNC'!G$83</f>
        <v>9</v>
      </c>
      <c r="H106" s="183">
        <f>'EC-UNC'!H106*H$83/'EC-UNC'!H$83</f>
        <v>7</v>
      </c>
      <c r="I106" s="183">
        <f>'EC-UNC'!I106*I$83/'EC-UNC'!I$83</f>
        <v>5</v>
      </c>
      <c r="J106" s="183">
        <f>'EC-UNC'!J106*J$83/'EC-UNC'!J$83</f>
        <v>8</v>
      </c>
      <c r="K106" s="183">
        <f>'EC-UNC'!K106*K$83/'EC-UNC'!K$83</f>
        <v>5</v>
      </c>
      <c r="L106" s="186">
        <f>'EC-UNC'!L106*L$83/'EC-UNC'!L$83</f>
        <v>11</v>
      </c>
      <c r="M106" s="183">
        <f>'EC-UNC'!M106*M$83/'EC-UNC'!M$83</f>
        <v>3</v>
      </c>
      <c r="N106" s="183">
        <f>'EC-UNC'!N106*N$83/'EC-UNC'!N$83</f>
        <v>10</v>
      </c>
      <c r="O106" s="183">
        <f>'EC-UNC'!O106*O$83/'EC-UNC'!O$83</f>
        <v>6</v>
      </c>
      <c r="P106" s="183">
        <f>'EC-UNC'!P106*P$83/'EC-UNC'!P$83</f>
        <v>5</v>
      </c>
      <c r="Q106" s="183">
        <f>'EC-UNC'!Q106*Q$83/'EC-UNC'!Q$83</f>
        <v>2</v>
      </c>
      <c r="R106" s="115">
        <f>SUM(D106:Q106)</f>
        <v>83</v>
      </c>
    </row>
    <row r="107" spans="1:18" ht="15.5" x14ac:dyDescent="0.35">
      <c r="A107" s="116"/>
      <c r="B107" s="179" t="s">
        <v>119</v>
      </c>
      <c r="C107" s="179"/>
      <c r="D107" s="180"/>
      <c r="E107" s="180"/>
      <c r="F107" s="180"/>
      <c r="G107" s="180"/>
      <c r="H107" s="180"/>
      <c r="I107" s="180"/>
      <c r="J107" s="180"/>
      <c r="K107" s="180"/>
      <c r="L107" s="188"/>
      <c r="M107" s="180"/>
      <c r="N107" s="180"/>
      <c r="O107" s="180"/>
      <c r="P107" s="180"/>
      <c r="Q107" s="180"/>
      <c r="R107" s="181"/>
    </row>
    <row r="108" spans="1:18" ht="15.5" x14ac:dyDescent="0.35">
      <c r="A108" s="116"/>
      <c r="B108" s="116" t="s">
        <v>271</v>
      </c>
      <c r="C108" s="116"/>
      <c r="D108" s="183"/>
      <c r="E108" s="183">
        <f>'EC-UNC'!E108*E$83/'EC-UNC'!E$83</f>
        <v>2</v>
      </c>
      <c r="F108" s="183">
        <f>'EC-UNC'!F108*F$83/'EC-UNC'!F$83</f>
        <v>10</v>
      </c>
      <c r="G108" s="183">
        <f>'EC-UNC'!G108*G$83/'EC-UNC'!G$83</f>
        <v>6</v>
      </c>
      <c r="H108" s="183">
        <f>'EC-UNC'!H108*H$83/'EC-UNC'!H$83</f>
        <v>7</v>
      </c>
      <c r="I108" s="183">
        <f>'EC-UNC'!I108*I$83/'EC-UNC'!I$83</f>
        <v>5</v>
      </c>
      <c r="J108" s="183">
        <f>'EC-UNC'!J108*J$83/'EC-UNC'!J$83</f>
        <v>8</v>
      </c>
      <c r="K108" s="183">
        <f>'EC-UNC'!K108*K$83/'EC-UNC'!K$83</f>
        <v>5</v>
      </c>
      <c r="L108" s="186">
        <f>'EC-UNC'!L108*L$83/'EC-UNC'!L$83</f>
        <v>8</v>
      </c>
      <c r="M108" s="183">
        <f>'EC-UNC'!M108*M$83/'EC-UNC'!M$83</f>
        <v>3</v>
      </c>
      <c r="N108" s="183">
        <f>'EC-UNC'!N108*N$83/'EC-UNC'!N$83</f>
        <v>10</v>
      </c>
      <c r="O108" s="183">
        <f>'EC-UNC'!O108*O$83/'EC-UNC'!O$83</f>
        <v>6</v>
      </c>
      <c r="P108" s="183">
        <f>'EC-UNC'!P108*P$83/'EC-UNC'!P$83</f>
        <v>5</v>
      </c>
      <c r="Q108" s="183">
        <f>'EC-UNC'!Q108*Q$83/'EC-UNC'!Q$83</f>
        <v>2</v>
      </c>
      <c r="R108" s="115">
        <f>SUM(D108:Q108)</f>
        <v>77</v>
      </c>
    </row>
    <row r="109" spans="1:18" ht="15.5" x14ac:dyDescent="0.35">
      <c r="A109" s="116"/>
      <c r="B109" s="179" t="s">
        <v>120</v>
      </c>
      <c r="C109" s="179"/>
      <c r="D109" s="180"/>
      <c r="E109" s="180"/>
      <c r="F109" s="180"/>
      <c r="G109" s="180"/>
      <c r="H109" s="180"/>
      <c r="I109" s="180"/>
      <c r="J109" s="180"/>
      <c r="K109" s="180"/>
      <c r="L109" s="188"/>
      <c r="M109" s="180"/>
      <c r="N109" s="180"/>
      <c r="O109" s="180"/>
      <c r="P109" s="180"/>
      <c r="Q109" s="180"/>
      <c r="R109" s="181"/>
    </row>
    <row r="110" spans="1:18" ht="15.5" x14ac:dyDescent="0.35">
      <c r="A110" s="116"/>
      <c r="B110" s="116" t="s">
        <v>357</v>
      </c>
      <c r="C110" s="116"/>
      <c r="D110" s="183">
        <v>0</v>
      </c>
      <c r="E110" s="183">
        <f>'EC-UNC'!E110*E$83/'EC-UNC'!E$83</f>
        <v>125.50240000000001</v>
      </c>
      <c r="F110" s="183">
        <f>'EC-UNC'!F110*F$83/'EC-UNC'!F$83</f>
        <v>862.25390096961871</v>
      </c>
      <c r="G110" s="183">
        <f>'EC-UNC'!G110*G$83/'EC-UNC'!G$83</f>
        <v>725.58714358974373</v>
      </c>
      <c r="H110" s="183">
        <f>'EC-UNC'!H110*H$83/'EC-UNC'!H$83</f>
        <v>520.27304000000004</v>
      </c>
      <c r="I110" s="183">
        <f>'EC-UNC'!I110*I$83/'EC-UNC'!I$83</f>
        <v>417.65050133333341</v>
      </c>
      <c r="J110" s="183">
        <f>'EC-UNC'!J110*J$83/'EC-UNC'!J$83</f>
        <v>1004.9766712982587</v>
      </c>
      <c r="K110" s="183">
        <f>'EC-UNC'!K110*K$83/'EC-UNC'!K$83</f>
        <v>335.84160000000003</v>
      </c>
      <c r="L110" s="186">
        <f>'EC-UNC'!L110*L$83/'EC-UNC'!L$83</f>
        <v>954.23567784168199</v>
      </c>
      <c r="M110" s="183">
        <f>'EC-UNC'!M110*M$83/'EC-UNC'!M$83</f>
        <v>268.39397583556899</v>
      </c>
      <c r="N110" s="183">
        <f>'EC-UNC'!N110*N$83/'EC-UNC'!N$83</f>
        <v>866.85067514760215</v>
      </c>
      <c r="O110" s="183">
        <f>'EC-UNC'!O110*O$83/'EC-UNC'!O$83</f>
        <v>435.17399999999998</v>
      </c>
      <c r="P110" s="183">
        <f>'EC-UNC'!P110*P$83/'EC-UNC'!P$83</f>
        <v>297.86197771949202</v>
      </c>
      <c r="Q110" s="183">
        <f>'EC-UNC'!Q110*Q$83/'EC-UNC'!Q$83</f>
        <v>112.72800000000001</v>
      </c>
      <c r="R110" s="115">
        <f>SUM(D110:Q110)</f>
        <v>6927.3295637353003</v>
      </c>
    </row>
    <row r="111" spans="1:18" ht="15.5" x14ac:dyDescent="0.35">
      <c r="A111" s="116"/>
      <c r="B111" s="116" t="s">
        <v>358</v>
      </c>
      <c r="C111" s="116"/>
      <c r="D111" s="183">
        <v>0</v>
      </c>
      <c r="E111" s="183">
        <f>'EC-UNC'!E111*E$83/'EC-UNC'!E$83</f>
        <v>256</v>
      </c>
      <c r="F111" s="183">
        <f>'EC-UNC'!F111*F$83/'EC-UNC'!F$83</f>
        <v>926.41359999999997</v>
      </c>
      <c r="G111" s="183">
        <f>'EC-UNC'!G111*G$83/'EC-UNC'!G$83</f>
        <v>505.5</v>
      </c>
      <c r="H111" s="183">
        <f>'EC-UNC'!H111*H$83/'EC-UNC'!H$83</f>
        <v>498.67899999999997</v>
      </c>
      <c r="I111" s="183">
        <f>'EC-UNC'!I111*I$83/'EC-UNC'!I$83</f>
        <v>526</v>
      </c>
      <c r="J111" s="183">
        <f>'EC-UNC'!J111*J$83/'EC-UNC'!J$83</f>
        <v>658.6653</v>
      </c>
      <c r="K111" s="183">
        <f>'EC-UNC'!K111*K$83/'EC-UNC'!K$83</f>
        <v>690.26030000000003</v>
      </c>
      <c r="L111" s="186">
        <f>'EC-UNC'!L111*L$83/'EC-UNC'!L$83</f>
        <v>679.90499999999997</v>
      </c>
      <c r="M111" s="183">
        <f>'EC-UNC'!M111*M$83/'EC-UNC'!M$83</f>
        <v>363.00000000000006</v>
      </c>
      <c r="N111" s="183">
        <f>'EC-UNC'!N111*N$83/'EC-UNC'!N$83</f>
        <v>1402.405</v>
      </c>
      <c r="O111" s="183">
        <f>'EC-UNC'!O111*O$83/'EC-UNC'!O$83</f>
        <v>900</v>
      </c>
      <c r="P111" s="183">
        <f>'EC-UNC'!P111*P$83/'EC-UNC'!P$83</f>
        <v>672.40499999999997</v>
      </c>
      <c r="Q111" s="183">
        <f>'EC-UNC'!Q111*Q$83/'EC-UNC'!Q$83</f>
        <v>280</v>
      </c>
      <c r="R111" s="115">
        <f>SUM(D111:Q111)</f>
        <v>8359.2331999999988</v>
      </c>
    </row>
    <row r="112" spans="1:18" ht="15.5" x14ac:dyDescent="0.35">
      <c r="A112" s="116"/>
      <c r="B112" s="179" t="s">
        <v>137</v>
      </c>
      <c r="C112" s="179"/>
      <c r="D112" s="180"/>
      <c r="E112" s="180"/>
      <c r="F112" s="180"/>
      <c r="G112" s="180"/>
      <c r="H112" s="180"/>
      <c r="I112" s="180"/>
      <c r="J112" s="180"/>
      <c r="K112" s="180"/>
      <c r="L112" s="188"/>
      <c r="M112" s="180"/>
      <c r="N112" s="180"/>
      <c r="O112" s="180"/>
      <c r="P112" s="180"/>
      <c r="Q112" s="180"/>
      <c r="R112" s="181"/>
    </row>
    <row r="113" spans="1:18" ht="15.5" x14ac:dyDescent="0.35">
      <c r="A113" s="116"/>
      <c r="B113" s="116" t="s">
        <v>121</v>
      </c>
      <c r="C113" s="116"/>
      <c r="D113" s="183">
        <f>D86*Assumptions!$K$25/24</f>
        <v>0</v>
      </c>
      <c r="E113" s="183">
        <f>E86*Assumptions!$K$25/24</f>
        <v>64.15384615384616</v>
      </c>
      <c r="F113" s="183">
        <f>F86*Assumptions!$K$25/24</f>
        <v>392.69230769230779</v>
      </c>
      <c r="G113" s="183">
        <f>G86*Assumptions!$K$25/24</f>
        <v>281.26923076923077</v>
      </c>
      <c r="H113" s="183">
        <f>H86*Assumptions!$K$25/24</f>
        <v>91</v>
      </c>
      <c r="I113" s="183">
        <f>I86*Assumptions!$K$25/24</f>
        <v>0</v>
      </c>
      <c r="J113" s="183">
        <f>J86*Assumptions!$K$25/24</f>
        <v>0</v>
      </c>
      <c r="K113" s="183">
        <f>K86*Assumptions!$K$25/24</f>
        <v>0</v>
      </c>
      <c r="L113" s="186">
        <f>L86*Assumptions!$K$25/24</f>
        <v>0</v>
      </c>
      <c r="M113" s="183">
        <f>M86*Assumptions!$K$25/24</f>
        <v>0</v>
      </c>
      <c r="N113" s="183">
        <f>N86*Assumptions!$K$25/24</f>
        <v>0</v>
      </c>
      <c r="O113" s="183">
        <f>O86*Assumptions!$K$25/24</f>
        <v>0</v>
      </c>
      <c r="P113" s="183">
        <f>P86*Assumptions!$K$25/24</f>
        <v>0</v>
      </c>
      <c r="Q113" s="183">
        <f>Q86*Assumptions!$K$25/24</f>
        <v>0</v>
      </c>
      <c r="R113" s="115"/>
    </row>
    <row r="114" spans="1:18" ht="15.5" x14ac:dyDescent="0.35">
      <c r="A114" s="116"/>
      <c r="B114" s="116" t="s">
        <v>122</v>
      </c>
      <c r="C114" s="116"/>
      <c r="D114" s="183">
        <f>D87*Assumptions!$K$25/24</f>
        <v>0</v>
      </c>
      <c r="E114" s="183">
        <f>E87*Assumptions!$K$25/24</f>
        <v>0</v>
      </c>
      <c r="F114" s="183">
        <f>F87*Assumptions!$K$25/24</f>
        <v>114.78151260504201</v>
      </c>
      <c r="G114" s="183">
        <f>G87*Assumptions!$K$25/24</f>
        <v>153.50000000000003</v>
      </c>
      <c r="H114" s="183">
        <f>H87*Assumptions!$K$25/24</f>
        <v>274.59999999999997</v>
      </c>
      <c r="I114" s="183">
        <f>I87*Assumptions!$K$25/24</f>
        <v>290.45999999999998</v>
      </c>
      <c r="J114" s="183">
        <f>J87*Assumptions!$K$25/24</f>
        <v>562.59938385582325</v>
      </c>
      <c r="K114" s="183">
        <f>K87*Assumptions!$K$25/24</f>
        <v>229.4</v>
      </c>
      <c r="L114" s="186">
        <f>L87*Assumptions!$K$25/24</f>
        <v>472.89376901754235</v>
      </c>
      <c r="M114" s="183">
        <f>M87*Assumptions!$K$25/24</f>
        <v>0</v>
      </c>
      <c r="N114" s="183">
        <f>N87*Assumptions!$K$25/24</f>
        <v>0</v>
      </c>
      <c r="O114" s="183">
        <f>O87*Assumptions!$K$25/24</f>
        <v>0</v>
      </c>
      <c r="P114" s="183">
        <f>P87*Assumptions!$K$25/24</f>
        <v>0</v>
      </c>
      <c r="Q114" s="183">
        <f>Q87*Assumptions!$K$25/24</f>
        <v>0</v>
      </c>
      <c r="R114" s="115"/>
    </row>
    <row r="115" spans="1:18" ht="15.5" x14ac:dyDescent="0.35">
      <c r="A115" s="116"/>
      <c r="B115" s="116" t="s">
        <v>123</v>
      </c>
      <c r="C115" s="116"/>
      <c r="D115" s="183">
        <f>D88*Assumptions!$K$25/24</f>
        <v>0</v>
      </c>
      <c r="E115" s="183">
        <f>E88*Assumptions!$K$25/24</f>
        <v>0</v>
      </c>
      <c r="F115" s="183">
        <f>F88*Assumptions!$K$25/24</f>
        <v>0</v>
      </c>
      <c r="G115" s="183">
        <f>G88*Assumptions!$K$25/24</f>
        <v>0</v>
      </c>
      <c r="H115" s="183">
        <f>H88*Assumptions!$K$25/24</f>
        <v>0</v>
      </c>
      <c r="I115" s="183">
        <f>I88*Assumptions!$K$25/24</f>
        <v>0</v>
      </c>
      <c r="J115" s="183">
        <f>J88*Assumptions!$K$25/24</f>
        <v>0</v>
      </c>
      <c r="K115" s="183">
        <f>K88*Assumptions!$K$25/24</f>
        <v>0</v>
      </c>
      <c r="L115" s="186">
        <f>L88*Assumptions!$K$25/24</f>
        <v>0</v>
      </c>
      <c r="M115" s="183">
        <f>M88*Assumptions!$K$25/24</f>
        <v>250.17815658015829</v>
      </c>
      <c r="N115" s="183">
        <f>N88*Assumptions!$K$25/24</f>
        <v>450.93898575655891</v>
      </c>
      <c r="O115" s="183">
        <f>O88*Assumptions!$K$25/24</f>
        <v>297.25</v>
      </c>
      <c r="P115" s="183">
        <f>P88*Assumptions!$K$25/24</f>
        <v>203.45763505429784</v>
      </c>
      <c r="Q115" s="183">
        <f>Q88*Assumptions!$K$25/24</f>
        <v>77</v>
      </c>
      <c r="R115" s="115"/>
    </row>
    <row r="116" spans="1:18" ht="15.5" x14ac:dyDescent="0.35">
      <c r="A116" s="116"/>
      <c r="B116" s="116" t="s">
        <v>140</v>
      </c>
      <c r="C116" s="116"/>
      <c r="D116" s="183">
        <f>(D102+D105)*Assumptions!$K$26/24</f>
        <v>0</v>
      </c>
      <c r="E116" s="183">
        <f>(E102+E105)*Assumptions!$K$26/24</f>
        <v>42.555384615384618</v>
      </c>
      <c r="F116" s="183">
        <f>(F102+F105)*Assumptions!$K$26/24</f>
        <v>336.62430079724203</v>
      </c>
      <c r="G116" s="183">
        <f>(G102+G105)*Assumptions!$K$26/24</f>
        <v>266.5069230769231</v>
      </c>
      <c r="H116" s="183">
        <f>(H102+H105)*Assumptions!$K$26/24</f>
        <v>220.62466666666663</v>
      </c>
      <c r="I116" s="183">
        <f>(I102+I105)*Assumptions!$K$26/24</f>
        <v>192.67179999999999</v>
      </c>
      <c r="J116" s="183">
        <f>(J102+J105)*Assumptions!$K$26/24</f>
        <v>352.88271949615768</v>
      </c>
      <c r="K116" s="183">
        <f>(K102+K105)*Assumptions!$K$26/24</f>
        <v>169.87966666666668</v>
      </c>
      <c r="L116" s="186">
        <f>(L102+L105)*Assumptions!$K$26/24</f>
        <v>292.45953344830309</v>
      </c>
      <c r="M116" s="183">
        <f>(M102+M105)*Assumptions!$K$26/24</f>
        <v>121.60838158305607</v>
      </c>
      <c r="N116" s="183">
        <f>(N102+N105)*Assumptions!$K$26/24</f>
        <v>299.12286055185075</v>
      </c>
      <c r="O116" s="183">
        <f>(O102+O105)*Assumptions!$K$26/24</f>
        <v>197.17583333333332</v>
      </c>
      <c r="P116" s="183">
        <f>(P102+P105)*Assumptions!$K$26/24</f>
        <v>134.9602312526842</v>
      </c>
      <c r="Q116" s="183">
        <f>(Q102+Q105)*Assumptions!$K$26/24</f>
        <v>51.076666666666675</v>
      </c>
      <c r="R116" s="115"/>
    </row>
    <row r="117" spans="1:18" ht="15.5" x14ac:dyDescent="0.35">
      <c r="A117" s="116"/>
      <c r="B117" s="116" t="s">
        <v>293</v>
      </c>
      <c r="C117" s="116"/>
      <c r="D117" s="107"/>
      <c r="E117" s="108">
        <f>SUM(E113:E116)</f>
        <v>106.70923076923077</v>
      </c>
      <c r="F117" s="108">
        <f t="shared" ref="F117:Q117" si="15">SUM(F113:F116)</f>
        <v>844.09812109459176</v>
      </c>
      <c r="G117" s="108">
        <f t="shared" si="15"/>
        <v>701.27615384615387</v>
      </c>
      <c r="H117" s="108">
        <f t="shared" si="15"/>
        <v>586.22466666666662</v>
      </c>
      <c r="I117" s="108">
        <f t="shared" si="15"/>
        <v>483.1318</v>
      </c>
      <c r="J117" s="108">
        <f t="shared" si="15"/>
        <v>915.48210335198087</v>
      </c>
      <c r="K117" s="108">
        <f>SUM(K113:K116)</f>
        <v>399.27966666666669</v>
      </c>
      <c r="L117" s="108">
        <f t="shared" si="15"/>
        <v>765.35330246584545</v>
      </c>
      <c r="M117" s="108">
        <f t="shared" si="15"/>
        <v>371.78653816321435</v>
      </c>
      <c r="N117" s="108">
        <f t="shared" si="15"/>
        <v>750.06184630840971</v>
      </c>
      <c r="O117" s="108">
        <f t="shared" si="15"/>
        <v>494.42583333333334</v>
      </c>
      <c r="P117" s="108">
        <f t="shared" si="15"/>
        <v>338.41786630698203</v>
      </c>
      <c r="Q117" s="108">
        <f t="shared" si="15"/>
        <v>128.07666666666668</v>
      </c>
      <c r="R117" s="115"/>
    </row>
    <row r="118" spans="1:18" ht="15.5" x14ac:dyDescent="0.35">
      <c r="A118" s="116"/>
      <c r="B118" s="116" t="s">
        <v>138</v>
      </c>
      <c r="C118" s="116"/>
      <c r="D118" s="183">
        <f>D108*Assumptions!$K$27/24</f>
        <v>0</v>
      </c>
      <c r="E118" s="183">
        <f>E108*Assumptions!$K$27/24</f>
        <v>20</v>
      </c>
      <c r="F118" s="183">
        <f>F108*Assumptions!$K$27/24</f>
        <v>100</v>
      </c>
      <c r="G118" s="183">
        <f>G108*Assumptions!$K$27/24</f>
        <v>60</v>
      </c>
      <c r="H118" s="183">
        <f>H108*Assumptions!$K$27/24</f>
        <v>70</v>
      </c>
      <c r="I118" s="183">
        <f>I108*Assumptions!$K$27/24</f>
        <v>50</v>
      </c>
      <c r="J118" s="183">
        <f>J108*Assumptions!$K$27/24</f>
        <v>80</v>
      </c>
      <c r="K118" s="183">
        <f>K108*Assumptions!$K$27/24</f>
        <v>50</v>
      </c>
      <c r="L118" s="186">
        <f>L108*Assumptions!$K$27/24</f>
        <v>80</v>
      </c>
      <c r="M118" s="183">
        <f>M108*Assumptions!$K$27/24</f>
        <v>30</v>
      </c>
      <c r="N118" s="183">
        <f>N108*Assumptions!$K$27/24</f>
        <v>100</v>
      </c>
      <c r="O118" s="183">
        <f>O108*Assumptions!$K$27/24</f>
        <v>60</v>
      </c>
      <c r="P118" s="183">
        <f>P108*Assumptions!$K$27/24</f>
        <v>50</v>
      </c>
      <c r="Q118" s="183">
        <f>Q108*Assumptions!$K$27/24</f>
        <v>20</v>
      </c>
      <c r="R118" s="115"/>
    </row>
    <row r="119" spans="1:18" ht="15.5" x14ac:dyDescent="0.35">
      <c r="A119" s="116"/>
      <c r="B119" s="116" t="s">
        <v>195</v>
      </c>
      <c r="C119" s="116"/>
      <c r="D119" s="183">
        <f>(ROUNDUP(D83/400,1)+D84)*Assumptions!$K$45+SUM(D110:D111)/Assumptions!$K$44</f>
        <v>0</v>
      </c>
      <c r="E119" s="183">
        <f>(ROUNDUP(E83/400,1)+E84)*Assumptions!$K$45+SUM(E110:E111)/Assumptions!$K$44</f>
        <v>161.37560000000002</v>
      </c>
      <c r="F119" s="183">
        <f>(ROUNDUP(F83/400,1)+F84)*Assumptions!$K$45+SUM(F110:F111)/Assumptions!$K$44</f>
        <v>783.16687524240456</v>
      </c>
      <c r="G119" s="183">
        <f>(ROUNDUP(G83/400,1)+G84)*Assumptions!$K$45+SUM(G110:G111)/Assumptions!$K$44</f>
        <v>597.77178589743596</v>
      </c>
      <c r="H119" s="183">
        <f>(ROUNDUP(H83/400,1)+H84)*Assumptions!$K$45+SUM(H110:H111)/Assumptions!$K$44</f>
        <v>548.73801000000003</v>
      </c>
      <c r="I119" s="183">
        <f>(ROUNDUP(I83/400,1)+I84)*Assumptions!$K$45+SUM(I110:I111)/Assumptions!$K$44</f>
        <v>441.91262533333338</v>
      </c>
      <c r="J119" s="183">
        <f>(ROUNDUP(J83/400,1)+J84)*Assumptions!$K$45+SUM(J110:J111)/Assumptions!$K$44</f>
        <v>837.9104928245647</v>
      </c>
      <c r="K119" s="183">
        <f>(ROUNDUP(K83/400,1)+K84)*Assumptions!$K$45+SUM(K110:K111)/Assumptions!$K$44</f>
        <v>432.52547500000003</v>
      </c>
      <c r="L119" s="186">
        <f>(ROUNDUP(L83/400,1)+L84)*Assumptions!$K$45+SUM(L110:L111)/Assumptions!$K$44</f>
        <v>766.53516946042055</v>
      </c>
      <c r="M119" s="183">
        <f>(ROUNDUP(M83/400,1)+M84)*Assumptions!$K$45+SUM(M110:M111)/Assumptions!$K$44</f>
        <v>349.84849395889228</v>
      </c>
      <c r="N119" s="183">
        <f>(ROUNDUP(N83/400,1)+N84)*Assumptions!$K$45+SUM(N110:N111)/Assumptions!$K$44</f>
        <v>899.31391878690056</v>
      </c>
      <c r="O119" s="183">
        <f>(ROUNDUP(O83/400,1)+O84)*Assumptions!$K$45+SUM(O110:O111)/Assumptions!$K$44</f>
        <v>533.79349999999999</v>
      </c>
      <c r="P119" s="183">
        <f>(ROUNDUP(P83/400,1)+P84)*Assumptions!$K$45+SUM(P110:P111)/Assumptions!$K$44</f>
        <v>406.56674442987298</v>
      </c>
      <c r="Q119" s="183">
        <f>(ROUNDUP(Q83/400,1)+Q84)*Assumptions!$K$45+SUM(Q110:Q111)/Assumptions!$K$44</f>
        <v>166.18200000000002</v>
      </c>
      <c r="R119" s="115"/>
    </row>
    <row r="120" spans="1:18" ht="15.5" x14ac:dyDescent="0.35">
      <c r="A120" s="116"/>
      <c r="B120" s="106" t="s">
        <v>297</v>
      </c>
      <c r="C120" s="116"/>
      <c r="D120" s="107">
        <f>(ROUNDUP(D84/400,1)+D85)*Assumptions!$K$45+SUM(D111:D111)/Assumptions!$K$44</f>
        <v>0</v>
      </c>
      <c r="E120" s="108">
        <f>E102*Assumptions!$K$28/24</f>
        <v>21.170769230769235</v>
      </c>
      <c r="F120" s="108">
        <f>F102*Assumptions!$K$28/24</f>
        <v>167.46636069812544</v>
      </c>
      <c r="G120" s="108">
        <f>G102*Assumptions!$K$28/24</f>
        <v>132.58384615384614</v>
      </c>
      <c r="H120" s="108">
        <f>H102*Assumptions!$K$28/24</f>
        <v>109.758</v>
      </c>
      <c r="I120" s="108">
        <f>I102*Assumptions!$K$28/24</f>
        <v>95.851800000000011</v>
      </c>
      <c r="J120" s="108">
        <f>J102*Assumptions!$K$28/24</f>
        <v>175.5547197493448</v>
      </c>
      <c r="K120" s="108">
        <f>K102*Assumptions!$K$28/24</f>
        <v>84.513000000000005</v>
      </c>
      <c r="L120" s="108">
        <f>L102*Assumptions!$K$28/24</f>
        <v>145.49494377578898</v>
      </c>
      <c r="M120" s="108">
        <f>M102*Assumptions!$K$28/24</f>
        <v>60.498642094083159</v>
      </c>
      <c r="N120" s="108">
        <f>N102*Assumptions!$K$28/24</f>
        <v>148.80986529966447</v>
      </c>
      <c r="O120" s="108">
        <f>O102*Assumptions!$K$28/24</f>
        <v>98.092499999999987</v>
      </c>
      <c r="P120" s="108">
        <f>P102*Assumptions!$K$28/24</f>
        <v>67.141019567918264</v>
      </c>
      <c r="Q120" s="108">
        <f>Q102*Assumptions!$K$28/24</f>
        <v>25.41</v>
      </c>
      <c r="R120" s="115"/>
    </row>
    <row r="121" spans="1:18" ht="15.5" x14ac:dyDescent="0.35">
      <c r="A121" s="116"/>
      <c r="B121" s="179" t="s">
        <v>141</v>
      </c>
      <c r="C121" s="179"/>
      <c r="D121" s="180"/>
      <c r="E121" s="180"/>
      <c r="F121" s="180"/>
      <c r="G121" s="180"/>
      <c r="H121" s="180"/>
      <c r="I121" s="180"/>
      <c r="J121" s="180"/>
      <c r="K121" s="180"/>
      <c r="L121" s="188"/>
      <c r="M121" s="180"/>
      <c r="N121" s="180"/>
      <c r="O121" s="180"/>
      <c r="P121" s="180"/>
      <c r="Q121" s="180"/>
      <c r="R121" s="181"/>
    </row>
    <row r="122" spans="1:18" ht="15.5" x14ac:dyDescent="0.35">
      <c r="A122" s="116"/>
      <c r="B122" s="116" t="s">
        <v>121</v>
      </c>
      <c r="C122" s="116"/>
      <c r="D122" s="183">
        <f>ROUNDUP(D113/(Assumptions!$C$36*365),0)</f>
        <v>0</v>
      </c>
      <c r="E122" s="183">
        <f>ROUNDUP(E113/(Assumptions!$C$36*365),0)</f>
        <v>1</v>
      </c>
      <c r="F122" s="183">
        <f>ROUNDUP(F113/(Assumptions!$C$36*365),0)</f>
        <v>2</v>
      </c>
      <c r="G122" s="183">
        <f>ROUNDUP(G113/(Assumptions!$C$36*365),0)</f>
        <v>2</v>
      </c>
      <c r="H122" s="183">
        <f>ROUNDUP(H113/(Assumptions!$C$36*365),0)</f>
        <v>1</v>
      </c>
      <c r="I122" s="183">
        <f>ROUNDUP(I113/(Assumptions!$C$36*365),0)</f>
        <v>0</v>
      </c>
      <c r="J122" s="183">
        <f>ROUNDUP(J113/(Assumptions!$C$36*365),0)</f>
        <v>0</v>
      </c>
      <c r="K122" s="183">
        <f>ROUNDUP(K113/(Assumptions!$C$36*365),0)</f>
        <v>0</v>
      </c>
      <c r="L122" s="186">
        <f>ROUNDUP(L113/(Assumptions!$C$36*365),0)</f>
        <v>0</v>
      </c>
      <c r="M122" s="183">
        <f>ROUNDUP(M113/(Assumptions!$C$36*365),0)</f>
        <v>0</v>
      </c>
      <c r="N122" s="183">
        <f>ROUNDUP(N113/(Assumptions!$C$36*365),0)</f>
        <v>0</v>
      </c>
      <c r="O122" s="183">
        <f>ROUNDUP(O113/(Assumptions!$C$36*365),0)</f>
        <v>0</v>
      </c>
      <c r="P122" s="183">
        <f>ROUNDUP(P113/(Assumptions!$C$36*365),0)</f>
        <v>0</v>
      </c>
      <c r="Q122" s="183">
        <f>ROUNDUP(Q113/(Assumptions!$C$36*365),0)</f>
        <v>0</v>
      </c>
      <c r="R122" s="115"/>
    </row>
    <row r="123" spans="1:18" ht="15.5" x14ac:dyDescent="0.35">
      <c r="A123" s="116"/>
      <c r="B123" s="116" t="s">
        <v>122</v>
      </c>
      <c r="C123" s="116"/>
      <c r="D123" s="183">
        <f>ROUNDUP(D114/(Assumptions!$C$36*365),0)</f>
        <v>0</v>
      </c>
      <c r="E123" s="183">
        <f>ROUNDUP(E114/(Assumptions!$C$36*365),0)</f>
        <v>0</v>
      </c>
      <c r="F123" s="183">
        <f>ROUNDUP(F114/(Assumptions!$C$36*365),0)</f>
        <v>1</v>
      </c>
      <c r="G123" s="183">
        <f>ROUNDUP(G114/(Assumptions!$C$36*365),0)</f>
        <v>1</v>
      </c>
      <c r="H123" s="183">
        <f>ROUNDUP(H114/(Assumptions!$C$36*365),0)</f>
        <v>2</v>
      </c>
      <c r="I123" s="183">
        <f>ROUNDUP(I114/(Assumptions!$C$36*365),0)</f>
        <v>2</v>
      </c>
      <c r="J123" s="183">
        <f>ROUNDUP(J114/(Assumptions!$C$36*365),0)</f>
        <v>3</v>
      </c>
      <c r="K123" s="183">
        <f>ROUNDUP(K114/(Assumptions!$C$36*365),0)</f>
        <v>1</v>
      </c>
      <c r="L123" s="186">
        <f>ROUNDUP(L114/(Assumptions!$C$36*365),0)</f>
        <v>2</v>
      </c>
      <c r="M123" s="183">
        <f>ROUNDUP(M114/(Assumptions!$C$36*365),0)</f>
        <v>0</v>
      </c>
      <c r="N123" s="183">
        <f>ROUNDUP(N114/(Assumptions!$C$36*365),0)</f>
        <v>0</v>
      </c>
      <c r="O123" s="183">
        <f>ROUNDUP(O114/(Assumptions!$C$36*365),0)</f>
        <v>0</v>
      </c>
      <c r="P123" s="183">
        <f>ROUNDUP(P114/(Assumptions!$C$36*365),0)</f>
        <v>0</v>
      </c>
      <c r="Q123" s="183">
        <f>ROUNDUP(Q114/(Assumptions!$C$36*365),0)</f>
        <v>0</v>
      </c>
      <c r="R123" s="115"/>
    </row>
    <row r="124" spans="1:18" ht="15.5" x14ac:dyDescent="0.35">
      <c r="A124" s="116"/>
      <c r="B124" s="116" t="s">
        <v>123</v>
      </c>
      <c r="C124" s="116"/>
      <c r="D124" s="183">
        <f>ROUNDUP(D115/(Assumptions!$C$36*365),0)</f>
        <v>0</v>
      </c>
      <c r="E124" s="183">
        <f>ROUNDUP(E115/(Assumptions!$C$36*365),0)</f>
        <v>0</v>
      </c>
      <c r="F124" s="183">
        <f>ROUNDUP(F115/(Assumptions!$C$36*365),0)</f>
        <v>0</v>
      </c>
      <c r="G124" s="183">
        <f>ROUNDUP(G115/(Assumptions!$C$36*365),0)</f>
        <v>0</v>
      </c>
      <c r="H124" s="183">
        <f>ROUNDUP(H115/(Assumptions!$C$36*365),0)</f>
        <v>0</v>
      </c>
      <c r="I124" s="183">
        <f>ROUNDUP(I115/(Assumptions!$C$36*365),0)</f>
        <v>0</v>
      </c>
      <c r="J124" s="183">
        <f>ROUNDUP(J115/(Assumptions!$C$36*365),0)</f>
        <v>0</v>
      </c>
      <c r="K124" s="183">
        <f>ROUNDUP(K115/(Assumptions!$C$36*365),0)</f>
        <v>0</v>
      </c>
      <c r="L124" s="186">
        <f>ROUNDUP(L115/(Assumptions!$C$36*365),0)</f>
        <v>0</v>
      </c>
      <c r="M124" s="183">
        <f>ROUNDUP(M115/(Assumptions!$C$36*365),0)</f>
        <v>2</v>
      </c>
      <c r="N124" s="183">
        <f>ROUNDUP(N115/(Assumptions!$C$36*365),0)</f>
        <v>2</v>
      </c>
      <c r="O124" s="183">
        <f>ROUNDUP(O115/(Assumptions!$C$36*365),0)</f>
        <v>2</v>
      </c>
      <c r="P124" s="183">
        <f>ROUNDUP(P115/(Assumptions!$C$36*365),0)</f>
        <v>1</v>
      </c>
      <c r="Q124" s="183">
        <f>ROUNDUP(Q115/(Assumptions!$C$36*365),0)</f>
        <v>1</v>
      </c>
      <c r="R124" s="115"/>
    </row>
    <row r="125" spans="1:18" ht="15.5" x14ac:dyDescent="0.35">
      <c r="A125" s="116"/>
      <c r="B125" s="116" t="s">
        <v>140</v>
      </c>
      <c r="C125" s="116"/>
      <c r="D125" s="183">
        <f>ROUNDUP(D116/(Assumptions!$C$36*365),0)</f>
        <v>0</v>
      </c>
      <c r="E125" s="183">
        <f>ROUNDUP(E116/(Assumptions!$C$36*365),0)</f>
        <v>1</v>
      </c>
      <c r="F125" s="183">
        <f>ROUNDUP(F116/(Assumptions!$C$36*365),0)</f>
        <v>2</v>
      </c>
      <c r="G125" s="183">
        <f>ROUNDUP(G116/(Assumptions!$C$36*365),0)</f>
        <v>2</v>
      </c>
      <c r="H125" s="183">
        <f>ROUNDUP(H116/(Assumptions!$C$36*365),0)</f>
        <v>1</v>
      </c>
      <c r="I125" s="183">
        <f>ROUNDUP(I116/(Assumptions!$C$36*365),0)</f>
        <v>1</v>
      </c>
      <c r="J125" s="183">
        <f>ROUNDUP(J116/(Assumptions!$C$36*365),0)</f>
        <v>2</v>
      </c>
      <c r="K125" s="183">
        <f>ROUNDUP(K116/(Assumptions!$C$36*365),0)</f>
        <v>1</v>
      </c>
      <c r="L125" s="186">
        <f>ROUNDUP(L116/(Assumptions!$C$36*365),0)</f>
        <v>2</v>
      </c>
      <c r="M125" s="183">
        <f>ROUNDUP(M116/(Assumptions!$C$36*365),0)</f>
        <v>1</v>
      </c>
      <c r="N125" s="183">
        <f>ROUNDUP(N116/(Assumptions!$C$36*365),0)</f>
        <v>2</v>
      </c>
      <c r="O125" s="183">
        <f>ROUNDUP(O116/(Assumptions!$C$36*365),0)</f>
        <v>1</v>
      </c>
      <c r="P125" s="183">
        <f>ROUNDUP(P116/(Assumptions!$C$36*365),0)</f>
        <v>1</v>
      </c>
      <c r="Q125" s="183">
        <f>ROUNDUP(Q116/(Assumptions!$C$36*365),0)</f>
        <v>1</v>
      </c>
      <c r="R125" s="115"/>
    </row>
    <row r="126" spans="1:18" ht="15.5" x14ac:dyDescent="0.35">
      <c r="A126" s="116"/>
      <c r="B126" s="189" t="s">
        <v>149</v>
      </c>
      <c r="C126" s="125"/>
      <c r="D126" s="124">
        <f>SUM(D122:D125)</f>
        <v>0</v>
      </c>
      <c r="E126" s="124">
        <f t="shared" ref="E126:Q126" si="16">SUM(E122:E125)</f>
        <v>2</v>
      </c>
      <c r="F126" s="124">
        <f t="shared" si="16"/>
        <v>5</v>
      </c>
      <c r="G126" s="124">
        <f t="shared" si="16"/>
        <v>5</v>
      </c>
      <c r="H126" s="124">
        <f t="shared" si="16"/>
        <v>4</v>
      </c>
      <c r="I126" s="124">
        <f>SUM(I122:I125)</f>
        <v>3</v>
      </c>
      <c r="J126" s="124">
        <f t="shared" si="16"/>
        <v>5</v>
      </c>
      <c r="K126" s="124">
        <f t="shared" si="16"/>
        <v>2</v>
      </c>
      <c r="L126" s="190">
        <f t="shared" si="16"/>
        <v>4</v>
      </c>
      <c r="M126" s="124">
        <f t="shared" si="16"/>
        <v>3</v>
      </c>
      <c r="N126" s="124">
        <f t="shared" si="16"/>
        <v>4</v>
      </c>
      <c r="O126" s="124">
        <f t="shared" si="16"/>
        <v>3</v>
      </c>
      <c r="P126" s="124">
        <f t="shared" si="16"/>
        <v>2</v>
      </c>
      <c r="Q126" s="124">
        <f t="shared" si="16"/>
        <v>2</v>
      </c>
      <c r="R126" s="191"/>
    </row>
    <row r="127" spans="1:18" ht="15.5" x14ac:dyDescent="0.35">
      <c r="A127" s="116"/>
      <c r="B127" s="105"/>
      <c r="C127" s="106"/>
      <c r="D127" s="107"/>
      <c r="E127" s="108">
        <f>ROUNDUP(E116/(Assumptions!$C$36*365),0)</f>
        <v>1</v>
      </c>
      <c r="F127" s="108">
        <f>ROUNDUP(F116/(Assumptions!$C$36*365),0)</f>
        <v>2</v>
      </c>
      <c r="G127" s="108">
        <f>ROUNDUP(G116/(Assumptions!$C$36*365),0)</f>
        <v>2</v>
      </c>
      <c r="H127" s="108">
        <f>ROUNDUP(H116/(Assumptions!$C$36*365),0)</f>
        <v>1</v>
      </c>
      <c r="I127" s="108">
        <f>ROUNDUP(I116/(Assumptions!$C$36*365),0)</f>
        <v>1</v>
      </c>
      <c r="J127" s="108">
        <f>ROUNDUP(J116/(Assumptions!$C$36*365),0)</f>
        <v>2</v>
      </c>
      <c r="K127" s="108">
        <f>ROUNDUP(K116/(Assumptions!$C$36*365),0)</f>
        <v>1</v>
      </c>
      <c r="L127" s="108">
        <f>ROUNDUP(L116/(Assumptions!$C$36*365),0)</f>
        <v>2</v>
      </c>
      <c r="M127" s="108">
        <f>ROUNDUP(M116/(Assumptions!$C$36*365),0)</f>
        <v>1</v>
      </c>
      <c r="N127" s="108">
        <f>ROUNDUP(N116/(Assumptions!$C$36*365),0)</f>
        <v>2</v>
      </c>
      <c r="O127" s="108">
        <f>ROUNDUP(O116/(Assumptions!$C$36*365),0)</f>
        <v>1</v>
      </c>
      <c r="P127" s="108">
        <f>ROUNDUP(P116/(Assumptions!$C$36*365),0)</f>
        <v>1</v>
      </c>
      <c r="Q127" s="108">
        <f>ROUNDUP(Q116/(Assumptions!$C$36*365),0)</f>
        <v>1</v>
      </c>
      <c r="R127" s="113"/>
    </row>
    <row r="128" spans="1:18" ht="15.5" x14ac:dyDescent="0.35">
      <c r="A128" s="116"/>
      <c r="B128" s="116" t="s">
        <v>138</v>
      </c>
      <c r="C128" s="116"/>
      <c r="D128" s="183">
        <f>ROUNDUP(D118/(Assumptions!$C$36*365),0)</f>
        <v>0</v>
      </c>
      <c r="E128" s="183">
        <f>ROUNDUP(E118/(Assumptions!$C$36*365),0)</f>
        <v>1</v>
      </c>
      <c r="F128" s="183">
        <f>ROUNDUP(F118/(Assumptions!$C$36*365),0)</f>
        <v>1</v>
      </c>
      <c r="G128" s="183">
        <f>ROUNDUP(G118/(Assumptions!$C$36*365),0)</f>
        <v>1</v>
      </c>
      <c r="H128" s="183">
        <f>ROUNDUP(H118/(Assumptions!$C$36*365),0)</f>
        <v>1</v>
      </c>
      <c r="I128" s="183">
        <f>ROUNDUP(I118/(Assumptions!$C$36*365),0)</f>
        <v>1</v>
      </c>
      <c r="J128" s="183">
        <f>ROUNDUP(J118/(Assumptions!$C$36*365),0)</f>
        <v>1</v>
      </c>
      <c r="K128" s="183">
        <f>ROUNDUP(K118/(Assumptions!$C$36*365),0)</f>
        <v>1</v>
      </c>
      <c r="L128" s="186">
        <f>ROUNDUP(L118/(Assumptions!$C$36*365),0)</f>
        <v>1</v>
      </c>
      <c r="M128" s="183">
        <f>ROUNDUP(M118/(Assumptions!$C$36*365),0)</f>
        <v>1</v>
      </c>
      <c r="N128" s="183">
        <f>ROUNDUP(N118/(Assumptions!$C$36*365),0)</f>
        <v>1</v>
      </c>
      <c r="O128" s="183">
        <f>ROUNDUP(O118/(Assumptions!$C$36*365),0)</f>
        <v>1</v>
      </c>
      <c r="P128" s="183">
        <f>ROUNDUP(P118/(Assumptions!$C$36*365),0)</f>
        <v>1</v>
      </c>
      <c r="Q128" s="183">
        <f>ROUNDUP(Q118/(Assumptions!$C$36*365),0)</f>
        <v>1</v>
      </c>
      <c r="R128" s="115"/>
    </row>
    <row r="129" spans="1:18" ht="15.5" x14ac:dyDescent="0.35">
      <c r="A129" s="116"/>
      <c r="B129" s="116" t="s">
        <v>142</v>
      </c>
      <c r="C129" s="116"/>
      <c r="D129" s="183">
        <f>D126*2</f>
        <v>0</v>
      </c>
      <c r="E129" s="183">
        <f t="shared" ref="E129:Q129" si="17">E126*2</f>
        <v>4</v>
      </c>
      <c r="F129" s="183">
        <f t="shared" si="17"/>
        <v>10</v>
      </c>
      <c r="G129" s="183">
        <f t="shared" si="17"/>
        <v>10</v>
      </c>
      <c r="H129" s="183">
        <f t="shared" si="17"/>
        <v>8</v>
      </c>
      <c r="I129" s="183">
        <f t="shared" si="17"/>
        <v>6</v>
      </c>
      <c r="J129" s="183">
        <f t="shared" si="17"/>
        <v>10</v>
      </c>
      <c r="K129" s="183">
        <f t="shared" si="17"/>
        <v>4</v>
      </c>
      <c r="L129" s="186">
        <f t="shared" si="17"/>
        <v>8</v>
      </c>
      <c r="M129" s="183">
        <f t="shared" si="17"/>
        <v>6</v>
      </c>
      <c r="N129" s="183">
        <f t="shared" si="17"/>
        <v>8</v>
      </c>
      <c r="O129" s="183">
        <f t="shared" si="17"/>
        <v>6</v>
      </c>
      <c r="P129" s="183">
        <f t="shared" si="17"/>
        <v>4</v>
      </c>
      <c r="Q129" s="183">
        <f t="shared" si="17"/>
        <v>4</v>
      </c>
      <c r="R129" s="115"/>
    </row>
    <row r="130" spans="1:18" ht="15.5" x14ac:dyDescent="0.35">
      <c r="A130" s="116"/>
      <c r="B130" s="116" t="s">
        <v>179</v>
      </c>
      <c r="C130" s="116"/>
      <c r="D130" s="183">
        <v>0</v>
      </c>
      <c r="E130" s="183">
        <f>E84*Assumptions!$K$35+D84*Assumptions!$K$36+SUM($C84:C84)*Assumptions!$K$37+Assumptions!$K$38</f>
        <v>6</v>
      </c>
      <c r="F130" s="183">
        <f>F84*Assumptions!$K$35+E84*Assumptions!$K$36+SUM($C84:D84)*Assumptions!$K$37+Assumptions!$K$38</f>
        <v>18</v>
      </c>
      <c r="G130" s="183">
        <f>G84*Assumptions!$K$35+F84*Assumptions!$K$36+SUM($C84:E84)*Assumptions!$K$37+Assumptions!$K$38</f>
        <v>26</v>
      </c>
      <c r="H130" s="183">
        <f>H84*Assumptions!$K$35+G84*Assumptions!$K$36+SUM($C84:F84)*Assumptions!$K$37+Assumptions!$K$38</f>
        <v>32</v>
      </c>
      <c r="I130" s="183">
        <f>I84*Assumptions!$K$35+H84*Assumptions!$K$36+SUM($C84:G84)*Assumptions!$K$37+Assumptions!$K$38</f>
        <v>33</v>
      </c>
      <c r="J130" s="183">
        <f>J84*Assumptions!$K$35+I84*Assumptions!$K$36+SUM($C84:H84)*Assumptions!$K$37+Assumptions!$K$38</f>
        <v>41</v>
      </c>
      <c r="K130" s="183">
        <f>K84*Assumptions!$K$35+J84*Assumptions!$K$36+SUM($C84:I84)*Assumptions!$K$37+Assumptions!$K$38</f>
        <v>44</v>
      </c>
      <c r="L130" s="186">
        <f>L84*Assumptions!$K$35+K84*Assumptions!$K$36+SUM($C84:J84)*Assumptions!$K$37+Assumptions!$K$38</f>
        <v>49</v>
      </c>
      <c r="M130" s="183">
        <f>M84*Assumptions!$K$35+L84*Assumptions!$K$36+SUM($C84:K84)*Assumptions!$K$37+Assumptions!$K$38</f>
        <v>50</v>
      </c>
      <c r="N130" s="183">
        <f>N84*Assumptions!$K$35+M84*Assumptions!$K$36+SUM($C84:L84)*Assumptions!$K$37+Assumptions!$K$38</f>
        <v>50</v>
      </c>
      <c r="O130" s="183">
        <f>O84*Assumptions!$K$35+N84*Assumptions!$K$36+SUM($C84:M84)*Assumptions!$K$37+Assumptions!$K$38</f>
        <v>50</v>
      </c>
      <c r="P130" s="183">
        <f>P84*Assumptions!$K$35+O84*Assumptions!$K$36+SUM($C84:N84)*Assumptions!$K$37+Assumptions!$K$38</f>
        <v>51</v>
      </c>
      <c r="Q130" s="183">
        <f>Q84*Assumptions!$K$35+P84*Assumptions!$K$36+SUM($C84:O84)*Assumptions!$K$37+Assumptions!$K$38</f>
        <v>52</v>
      </c>
      <c r="R130" s="115">
        <f>Q130</f>
        <v>52</v>
      </c>
    </row>
    <row r="131" spans="1:18" ht="15.5" x14ac:dyDescent="0.35">
      <c r="B131" s="106" t="s">
        <v>343</v>
      </c>
      <c r="C131" s="106"/>
      <c r="D131" s="108">
        <v>0</v>
      </c>
      <c r="E131" s="108">
        <f>ROUNDUP((SUM($E86:E88)+D131)/Assumptions!$K$41,0)</f>
        <v>1</v>
      </c>
      <c r="F131" s="108">
        <f>ROUNDUP((SUM($E86:F88)+E131)/Assumptions!$K$41,0)</f>
        <v>2</v>
      </c>
      <c r="G131" s="108">
        <f>ROUNDUP((SUM($E86:G88)+F131)/Assumptions!$K$41,0)</f>
        <v>4</v>
      </c>
      <c r="H131" s="108">
        <f>ROUNDUP((SUM($E86:H88)+G131)/Assumptions!$K$41,0)</f>
        <v>5</v>
      </c>
      <c r="I131" s="108">
        <f>ROUNDUP((SUM($E86:I88)+H131)/Assumptions!$K$41,0)</f>
        <v>6</v>
      </c>
      <c r="J131" s="108">
        <f>ROUNDUP((SUM($E86:J88)+I131)/Assumptions!$K$41,0)</f>
        <v>8</v>
      </c>
      <c r="K131" s="108">
        <f>ROUNDUP((SUM($E86:K88)+J131)/Assumptions!$K$41,0)</f>
        <v>9</v>
      </c>
      <c r="L131" s="108">
        <f>ROUNDUP((SUM($E86:L88)+K131)/Assumptions!$K$41,0)</f>
        <v>10</v>
      </c>
      <c r="M131" s="108">
        <f>ROUNDUP((SUM($E86:M88)+L131)/Assumptions!$K$41,0)</f>
        <v>11</v>
      </c>
      <c r="N131" s="108">
        <f>ROUNDUP((SUM($E86:N88)+M131)/Assumptions!$K$41,0)</f>
        <v>13</v>
      </c>
      <c r="O131" s="108">
        <f>ROUNDUP((SUM($E86:O88)+N131)/Assumptions!$K$41,0)</f>
        <v>14</v>
      </c>
      <c r="P131" s="108">
        <f>ROUNDUP((SUM($E86:P88)+O131)/Assumptions!$K$41,0)</f>
        <v>14</v>
      </c>
      <c r="Q131" s="108">
        <f>ROUNDUP((SUM($E86:Q88)+P131)/Assumptions!$K$41,0)</f>
        <v>15</v>
      </c>
      <c r="R131" s="113">
        <f>Q131</f>
        <v>15</v>
      </c>
    </row>
    <row r="132" spans="1:18" ht="15.5" x14ac:dyDescent="0.35">
      <c r="A132" s="116"/>
      <c r="B132" s="116" t="s">
        <v>195</v>
      </c>
      <c r="C132" s="116"/>
      <c r="D132" s="183">
        <f>ROUNDUP(D119/(Assumptions!$C$36*365),0)</f>
        <v>0</v>
      </c>
      <c r="E132" s="183">
        <f>ROUNDUP(E119/(Assumptions!$C$36*365),0)</f>
        <v>1</v>
      </c>
      <c r="F132" s="183">
        <f>ROUNDUP(F119/(Assumptions!$C$36*365),0)</f>
        <v>4</v>
      </c>
      <c r="G132" s="183">
        <f>ROUNDUP(G119/(Assumptions!$C$36*365),0)</f>
        <v>3</v>
      </c>
      <c r="H132" s="183">
        <f>ROUNDUP(H119/(Assumptions!$C$36*365),0)</f>
        <v>3</v>
      </c>
      <c r="I132" s="183">
        <f>ROUNDUP(I119/(Assumptions!$C$36*365),0)</f>
        <v>2</v>
      </c>
      <c r="J132" s="183">
        <f>ROUNDUP(J119/(Assumptions!$C$36*365),0)</f>
        <v>4</v>
      </c>
      <c r="K132" s="183">
        <f>ROUNDUP(K119/(Assumptions!$C$36*365),0)</f>
        <v>2</v>
      </c>
      <c r="L132" s="183">
        <f>ROUNDUP(L119/(Assumptions!$C$36*365),0)</f>
        <v>4</v>
      </c>
      <c r="M132" s="183">
        <f>ROUNDUP(M119/(Assumptions!$C$36*365),0)</f>
        <v>2</v>
      </c>
      <c r="N132" s="183">
        <f>ROUNDUP(N119/(Assumptions!$C$36*365),0)</f>
        <v>4</v>
      </c>
      <c r="O132" s="183">
        <f>ROUNDUP(O119/(Assumptions!$C$36*365),0)</f>
        <v>3</v>
      </c>
      <c r="P132" s="183">
        <f>ROUNDUP(P119/(Assumptions!$C$36*365),0)</f>
        <v>2</v>
      </c>
      <c r="Q132" s="183">
        <f>ROUNDUP(Q119/(Assumptions!$C$36*365),0)</f>
        <v>1</v>
      </c>
      <c r="R132" s="115">
        <f>R85*Assumptions!Y52+Q85*Assumptions!Y53+SUM($C85:P85)*Assumptions!Y54</f>
        <v>0</v>
      </c>
    </row>
    <row r="133" spans="1:18" ht="15.5" x14ac:dyDescent="0.35">
      <c r="A133" s="116"/>
      <c r="B133" s="106" t="s">
        <v>305</v>
      </c>
      <c r="C133" s="106"/>
      <c r="D133" s="107"/>
      <c r="E133" s="108">
        <f>ROUNDUP(E120/(Assumptions!$C$36*365),0)</f>
        <v>1</v>
      </c>
      <c r="F133" s="108">
        <f>ROUNDUP(F120/(Assumptions!$C$36*365),0)</f>
        <v>1</v>
      </c>
      <c r="G133" s="108">
        <f>ROUNDUP(G120/(Assumptions!$C$36*365),0)</f>
        <v>1</v>
      </c>
      <c r="H133" s="108">
        <f>ROUNDUP(H120/(Assumptions!$C$36*365),0)</f>
        <v>1</v>
      </c>
      <c r="I133" s="108">
        <f>ROUNDUP(I120/(Assumptions!$C$36*365),0)</f>
        <v>1</v>
      </c>
      <c r="J133" s="108">
        <f>ROUNDUP(J120/(Assumptions!$C$36*365),0)</f>
        <v>1</v>
      </c>
      <c r="K133" s="108">
        <f>ROUNDUP(K120/(Assumptions!$C$36*365),0)</f>
        <v>1</v>
      </c>
      <c r="L133" s="108">
        <f>ROUNDUP(L120/(Assumptions!$C$36*365),0)</f>
        <v>1</v>
      </c>
      <c r="M133" s="108">
        <f>ROUNDUP(M120/(Assumptions!$C$36*365),0)</f>
        <v>1</v>
      </c>
      <c r="N133" s="108">
        <f>ROUNDUP(N120/(Assumptions!$C$36*365),0)</f>
        <v>1</v>
      </c>
      <c r="O133" s="108">
        <f>ROUNDUP(O120/(Assumptions!$C$36*365),0)</f>
        <v>1</v>
      </c>
      <c r="P133" s="108">
        <f>ROUNDUP(P120/(Assumptions!$C$36*365),0)</f>
        <v>1</v>
      </c>
      <c r="Q133" s="108">
        <f>ROUNDUP(Q120/(Assumptions!$C$36*365),0)</f>
        <v>1</v>
      </c>
      <c r="R133" s="114"/>
    </row>
    <row r="134" spans="1:18" ht="15.5" x14ac:dyDescent="0.35">
      <c r="A134" s="116"/>
      <c r="B134" s="116"/>
      <c r="C134" s="116"/>
      <c r="D134" s="116"/>
      <c r="E134" s="116"/>
      <c r="F134" s="116"/>
      <c r="G134" s="116"/>
      <c r="H134" s="116"/>
      <c r="I134" s="116"/>
      <c r="J134" s="116"/>
      <c r="K134" s="116"/>
      <c r="L134" s="116"/>
      <c r="M134" s="116"/>
      <c r="N134" s="116"/>
      <c r="O134" s="116"/>
      <c r="P134" s="116"/>
      <c r="Q134" s="116"/>
      <c r="R134" s="116"/>
    </row>
    <row r="135" spans="1:18" ht="15.5" x14ac:dyDescent="0.35">
      <c r="A135" s="116"/>
      <c r="B135" s="116"/>
      <c r="C135" s="116"/>
      <c r="D135" s="116"/>
      <c r="E135" s="116"/>
      <c r="F135" s="116"/>
      <c r="G135" s="116"/>
      <c r="H135" s="116"/>
      <c r="I135" s="116"/>
      <c r="J135" s="116"/>
      <c r="K135" s="116"/>
      <c r="L135" s="116"/>
      <c r="M135" s="116"/>
      <c r="N135" s="116"/>
      <c r="O135" s="116"/>
      <c r="P135" s="116"/>
      <c r="Q135" s="116"/>
      <c r="R135" s="116"/>
    </row>
    <row r="136" spans="1:18" ht="15.5" x14ac:dyDescent="0.35">
      <c r="A136" s="116"/>
      <c r="B136" s="116"/>
      <c r="C136" s="116"/>
      <c r="D136" s="116"/>
      <c r="E136" s="116"/>
      <c r="F136" s="116"/>
      <c r="G136" s="116"/>
      <c r="H136" s="116"/>
      <c r="I136" s="116"/>
      <c r="J136" s="116"/>
      <c r="K136" s="116"/>
      <c r="L136" s="116"/>
      <c r="M136" s="116"/>
      <c r="N136" s="116"/>
      <c r="O136" s="116"/>
      <c r="P136" s="116"/>
      <c r="Q136" s="116"/>
      <c r="R136" s="116"/>
    </row>
    <row r="137" spans="1:18" ht="15.5" x14ac:dyDescent="0.35">
      <c r="A137" s="116"/>
      <c r="B137" s="179"/>
      <c r="C137" s="179"/>
      <c r="D137" s="179"/>
      <c r="E137" s="179"/>
      <c r="F137" s="179"/>
      <c r="G137" s="179"/>
      <c r="H137" s="179"/>
      <c r="I137" s="179"/>
      <c r="J137" s="179"/>
      <c r="K137" s="179"/>
      <c r="L137" s="179"/>
      <c r="M137" s="179"/>
      <c r="N137" s="179"/>
      <c r="O137" s="179"/>
      <c r="P137" s="179"/>
      <c r="Q137" s="179"/>
      <c r="R137" s="179"/>
    </row>
    <row r="138" spans="1:18" ht="15.5" x14ac:dyDescent="0.35">
      <c r="A138" s="116"/>
      <c r="B138" s="116"/>
      <c r="C138" s="116"/>
      <c r="D138" s="115"/>
      <c r="E138" s="115"/>
      <c r="F138" s="115"/>
      <c r="G138" s="115"/>
      <c r="H138" s="115"/>
      <c r="I138" s="115"/>
      <c r="J138" s="115"/>
      <c r="K138" s="115"/>
      <c r="L138" s="115"/>
      <c r="M138" s="115"/>
      <c r="N138" s="115"/>
      <c r="O138" s="115"/>
      <c r="P138" s="115"/>
      <c r="Q138" s="115"/>
      <c r="R138" s="116"/>
    </row>
    <row r="139" spans="1:18" ht="15.5" x14ac:dyDescent="0.35">
      <c r="A139" s="116"/>
      <c r="B139" s="116"/>
      <c r="C139" s="116"/>
      <c r="D139" s="115"/>
      <c r="E139" s="115"/>
      <c r="F139" s="115"/>
      <c r="G139" s="115"/>
      <c r="H139" s="115"/>
      <c r="I139" s="115"/>
      <c r="J139" s="115"/>
      <c r="K139" s="115"/>
      <c r="L139" s="115"/>
      <c r="M139" s="115"/>
      <c r="N139" s="115"/>
      <c r="O139" s="115"/>
      <c r="P139" s="115"/>
      <c r="Q139" s="115"/>
      <c r="R139" s="116"/>
    </row>
    <row r="140" spans="1:18" ht="15.5" x14ac:dyDescent="0.35">
      <c r="A140" s="116"/>
      <c r="B140" s="116"/>
      <c r="C140" s="116"/>
      <c r="D140" s="115"/>
      <c r="E140" s="115"/>
      <c r="F140" s="115"/>
      <c r="G140" s="115"/>
      <c r="H140" s="115"/>
      <c r="I140" s="115"/>
      <c r="J140" s="115"/>
      <c r="K140" s="115"/>
      <c r="L140" s="115"/>
      <c r="M140" s="115"/>
      <c r="N140" s="115"/>
      <c r="O140" s="115"/>
      <c r="P140" s="115"/>
      <c r="Q140" s="115"/>
      <c r="R140" s="116"/>
    </row>
    <row r="141" spans="1:18" ht="15.5" x14ac:dyDescent="0.35">
      <c r="A141" s="116"/>
      <c r="B141" s="116"/>
      <c r="C141" s="116"/>
      <c r="D141" s="116"/>
      <c r="E141" s="116"/>
      <c r="F141" s="115"/>
      <c r="G141" s="115"/>
      <c r="H141" s="115"/>
      <c r="I141" s="115"/>
      <c r="J141" s="115"/>
      <c r="K141" s="115"/>
      <c r="L141" s="115"/>
      <c r="M141" s="115"/>
      <c r="N141" s="115"/>
      <c r="O141" s="115"/>
      <c r="P141" s="115"/>
      <c r="Q141" s="115"/>
      <c r="R141" s="116"/>
    </row>
    <row r="142" spans="1:18" ht="15.5" x14ac:dyDescent="0.35">
      <c r="A142" s="116"/>
      <c r="B142" s="116"/>
      <c r="C142" s="116"/>
      <c r="D142" s="116"/>
      <c r="E142" s="116"/>
      <c r="F142" s="116"/>
      <c r="G142" s="116"/>
      <c r="H142" s="116"/>
      <c r="I142" s="116"/>
      <c r="J142" s="116"/>
      <c r="K142" s="116"/>
      <c r="L142" s="116"/>
      <c r="M142" s="116"/>
      <c r="N142" s="116"/>
      <c r="O142" s="116"/>
      <c r="P142" s="116"/>
      <c r="Q142" s="116"/>
      <c r="R142" s="116"/>
    </row>
    <row r="143" spans="1:18" ht="15.5" x14ac:dyDescent="0.35">
      <c r="A143" s="116"/>
      <c r="B143" s="116"/>
      <c r="C143" s="116"/>
      <c r="D143" s="116"/>
      <c r="E143" s="116"/>
      <c r="F143" s="192"/>
      <c r="G143" s="192"/>
      <c r="H143" s="192"/>
      <c r="I143" s="192"/>
      <c r="J143" s="192"/>
      <c r="K143" s="192"/>
      <c r="L143" s="192"/>
      <c r="M143" s="192"/>
      <c r="N143" s="192"/>
      <c r="O143" s="192"/>
      <c r="P143" s="192"/>
      <c r="Q143" s="192"/>
      <c r="R143" s="116"/>
    </row>
    <row r="144" spans="1:18" ht="15.5" x14ac:dyDescent="0.35">
      <c r="A144" s="116"/>
      <c r="B144" s="116"/>
      <c r="C144" s="116"/>
      <c r="D144" s="116"/>
      <c r="E144" s="116"/>
      <c r="F144" s="192"/>
      <c r="G144" s="192"/>
      <c r="H144" s="192"/>
      <c r="I144" s="192"/>
      <c r="J144" s="192"/>
      <c r="K144" s="192"/>
      <c r="L144" s="192"/>
      <c r="M144" s="192"/>
      <c r="N144" s="192"/>
      <c r="O144" s="192"/>
      <c r="P144" s="192"/>
      <c r="Q144" s="192"/>
      <c r="R144" s="116"/>
    </row>
    <row r="145" spans="1:18" ht="15.5" x14ac:dyDescent="0.35">
      <c r="A145" s="116"/>
      <c r="B145" s="116"/>
      <c r="C145" s="116"/>
      <c r="D145" s="116"/>
      <c r="E145" s="116"/>
      <c r="F145" s="192"/>
      <c r="G145" s="192"/>
      <c r="H145" s="192"/>
      <c r="I145" s="192"/>
      <c r="J145" s="192"/>
      <c r="K145" s="192"/>
      <c r="L145" s="192"/>
      <c r="M145" s="192"/>
      <c r="N145" s="192"/>
      <c r="O145" s="192"/>
      <c r="P145" s="192"/>
      <c r="Q145" s="192"/>
      <c r="R145" s="116"/>
    </row>
    <row r="146" spans="1:18" ht="15.5" x14ac:dyDescent="0.35">
      <c r="A146" s="116"/>
      <c r="B146" s="116"/>
      <c r="C146" s="116"/>
      <c r="D146" s="116"/>
      <c r="E146" s="116"/>
      <c r="F146" s="192"/>
      <c r="G146" s="192"/>
      <c r="H146" s="192"/>
      <c r="I146" s="192"/>
      <c r="J146" s="192"/>
      <c r="K146" s="192"/>
      <c r="L146" s="192"/>
      <c r="M146" s="192"/>
      <c r="N146" s="192"/>
      <c r="O146" s="192"/>
      <c r="P146" s="192"/>
      <c r="Q146" s="192"/>
      <c r="R146" s="116"/>
    </row>
  </sheetData>
  <conditionalFormatting sqref="D107:Q107">
    <cfRule type="colorScale" priority="39">
      <colorScale>
        <cfvo type="min"/>
        <cfvo type="max"/>
        <color rgb="FFFCFCFF"/>
        <color rgb="FF00B050"/>
      </colorScale>
    </cfRule>
  </conditionalFormatting>
  <conditionalFormatting sqref="D86:Q88">
    <cfRule type="colorScale" priority="38">
      <colorScale>
        <cfvo type="min"/>
        <cfvo type="max"/>
        <color theme="0"/>
        <color rgb="FF5D9732"/>
      </colorScale>
    </cfRule>
  </conditionalFormatting>
  <conditionalFormatting sqref="D90:Q92">
    <cfRule type="colorScale" priority="37">
      <colorScale>
        <cfvo type="min"/>
        <cfvo type="max"/>
        <color theme="0"/>
        <color rgb="FF5D9732"/>
      </colorScale>
    </cfRule>
  </conditionalFormatting>
  <conditionalFormatting sqref="D94:Q96">
    <cfRule type="colorScale" priority="36">
      <colorScale>
        <cfvo type="min"/>
        <cfvo type="max"/>
        <color theme="0"/>
        <color rgb="FF5D9732"/>
      </colorScale>
    </cfRule>
  </conditionalFormatting>
  <conditionalFormatting sqref="D98:Q100">
    <cfRule type="colorScale" priority="35">
      <colorScale>
        <cfvo type="min"/>
        <cfvo type="max"/>
        <color theme="0"/>
        <color rgb="FF5D9732"/>
      </colorScale>
    </cfRule>
  </conditionalFormatting>
  <conditionalFormatting sqref="D77:Q80">
    <cfRule type="colorScale" priority="40">
      <colorScale>
        <cfvo type="min"/>
        <cfvo type="max"/>
        <color rgb="FFFCFCFF"/>
        <color rgb="FF00B050"/>
      </colorScale>
    </cfRule>
  </conditionalFormatting>
  <conditionalFormatting sqref="D84:Q84">
    <cfRule type="colorScale" priority="34">
      <colorScale>
        <cfvo type="min"/>
        <cfvo type="max"/>
        <color theme="0"/>
        <color rgb="FF5D9732"/>
      </colorScale>
    </cfRule>
  </conditionalFormatting>
  <conditionalFormatting sqref="D102:Q105">
    <cfRule type="colorScale" priority="33">
      <colorScale>
        <cfvo type="min"/>
        <cfvo type="max"/>
        <color theme="0"/>
        <color rgb="FF5D9732"/>
      </colorScale>
    </cfRule>
  </conditionalFormatting>
  <conditionalFormatting sqref="D106:Q106">
    <cfRule type="colorScale" priority="32">
      <colorScale>
        <cfvo type="min"/>
        <cfvo type="max"/>
        <color theme="0"/>
        <color rgb="FF5D9732"/>
      </colorScale>
    </cfRule>
  </conditionalFormatting>
  <conditionalFormatting sqref="D108:Q108">
    <cfRule type="colorScale" priority="31">
      <colorScale>
        <cfvo type="min"/>
        <cfvo type="max"/>
        <color theme="0"/>
        <color rgb="FF5D9732"/>
      </colorScale>
    </cfRule>
  </conditionalFormatting>
  <conditionalFormatting sqref="D113:Q116 D118:Q118">
    <cfRule type="colorScale" priority="30">
      <colorScale>
        <cfvo type="min"/>
        <cfvo type="max"/>
        <color rgb="FFFCFCFF"/>
        <color rgb="FF5D9732"/>
      </colorScale>
    </cfRule>
  </conditionalFormatting>
  <conditionalFormatting sqref="D122:Q126 D128:Q128">
    <cfRule type="colorScale" priority="29">
      <colorScale>
        <cfvo type="min"/>
        <cfvo type="max"/>
        <color rgb="FFFCFCFF"/>
        <color rgb="FF5D9732"/>
      </colorScale>
    </cfRule>
  </conditionalFormatting>
  <conditionalFormatting sqref="E129:Q130 E132:Q132">
    <cfRule type="colorScale" priority="28">
      <colorScale>
        <cfvo type="min"/>
        <cfvo type="max"/>
        <color rgb="FFFCFCFF"/>
        <color rgb="FF5D9732"/>
      </colorScale>
    </cfRule>
  </conditionalFormatting>
  <conditionalFormatting sqref="D110:Q111">
    <cfRule type="colorScale" priority="27">
      <colorScale>
        <cfvo type="min"/>
        <cfvo type="max"/>
        <color theme="0"/>
        <color rgb="FF5D9732"/>
      </colorScale>
    </cfRule>
  </conditionalFormatting>
  <conditionalFormatting sqref="D119:Q119">
    <cfRule type="colorScale" priority="26">
      <colorScale>
        <cfvo type="min"/>
        <cfvo type="max"/>
        <color rgb="FFFCFCFF"/>
        <color rgb="FF5D9732"/>
      </colorScale>
    </cfRule>
  </conditionalFormatting>
  <conditionalFormatting sqref="C10:Q12">
    <cfRule type="colorScale" priority="25">
      <colorScale>
        <cfvo type="min"/>
        <cfvo type="max"/>
        <color theme="0"/>
        <color rgb="FF5D9732"/>
      </colorScale>
    </cfRule>
  </conditionalFormatting>
  <conditionalFormatting sqref="C18:Q20">
    <cfRule type="colorScale" priority="24">
      <colorScale>
        <cfvo type="min"/>
        <cfvo type="max"/>
        <color theme="0"/>
        <color rgb="FF5D9732"/>
      </colorScale>
    </cfRule>
  </conditionalFormatting>
  <conditionalFormatting sqref="C30:Q32">
    <cfRule type="colorScale" priority="23">
      <colorScale>
        <cfvo type="min"/>
        <cfvo type="max"/>
        <color theme="0"/>
        <color rgb="FF5D9732"/>
      </colorScale>
    </cfRule>
  </conditionalFormatting>
  <conditionalFormatting sqref="C34:Q35">
    <cfRule type="colorScale" priority="22">
      <colorScale>
        <cfvo type="min"/>
        <cfvo type="max"/>
        <color theme="0"/>
        <color rgb="FF5D9732"/>
      </colorScale>
    </cfRule>
  </conditionalFormatting>
  <conditionalFormatting sqref="C14:Q16">
    <cfRule type="colorScale" priority="21">
      <colorScale>
        <cfvo type="min"/>
        <cfvo type="max"/>
        <color theme="0"/>
        <color rgb="FF5D9732"/>
      </colorScale>
    </cfRule>
  </conditionalFormatting>
  <conditionalFormatting sqref="C22:Q24">
    <cfRule type="colorScale" priority="20">
      <colorScale>
        <cfvo type="min"/>
        <cfvo type="max"/>
        <color theme="0"/>
        <color rgb="FF5D9732"/>
      </colorScale>
    </cfRule>
  </conditionalFormatting>
  <conditionalFormatting sqref="C26:Q29">
    <cfRule type="colorScale" priority="19">
      <colorScale>
        <cfvo type="min"/>
        <cfvo type="max"/>
        <color theme="0"/>
        <color rgb="FF5D9732"/>
      </colorScale>
    </cfRule>
  </conditionalFormatting>
  <conditionalFormatting sqref="D67:Q67">
    <cfRule type="colorScale" priority="18">
      <colorScale>
        <cfvo type="min"/>
        <cfvo type="max"/>
        <color rgb="FFFCFCFF"/>
        <color rgb="FF00B050"/>
      </colorScale>
    </cfRule>
  </conditionalFormatting>
  <conditionalFormatting sqref="C50:Q52">
    <cfRule type="colorScale" priority="17">
      <colorScale>
        <cfvo type="min"/>
        <cfvo type="max"/>
        <color theme="0"/>
        <color rgb="FF5D9732"/>
      </colorScale>
    </cfRule>
  </conditionalFormatting>
  <conditionalFormatting sqref="Q58:Q60">
    <cfRule type="colorScale" priority="16">
      <colorScale>
        <cfvo type="min"/>
        <cfvo type="max"/>
        <color theme="0"/>
        <color rgb="FF00B050"/>
      </colorScale>
    </cfRule>
  </conditionalFormatting>
  <conditionalFormatting sqref="C68:Q68">
    <cfRule type="colorScale" priority="15">
      <colorScale>
        <cfvo type="min"/>
        <cfvo type="max"/>
        <color theme="0"/>
        <color rgb="FF5D9732"/>
      </colorScale>
    </cfRule>
  </conditionalFormatting>
  <conditionalFormatting sqref="C70:Q71">
    <cfRule type="colorScale" priority="14">
      <colorScale>
        <cfvo type="min"/>
        <cfvo type="max"/>
        <color theme="0"/>
        <color rgb="FF5D9732"/>
      </colorScale>
    </cfRule>
  </conditionalFormatting>
  <conditionalFormatting sqref="C46:Q48">
    <cfRule type="colorScale" priority="13">
      <colorScale>
        <cfvo type="min"/>
        <cfvo type="max"/>
        <color theme="0"/>
        <color rgb="FF5D9732"/>
      </colorScale>
    </cfRule>
  </conditionalFormatting>
  <conditionalFormatting sqref="C54:Q60">
    <cfRule type="colorScale" priority="12">
      <colorScale>
        <cfvo type="min"/>
        <cfvo type="max"/>
        <color theme="0"/>
        <color rgb="FF5D9732"/>
      </colorScale>
    </cfRule>
  </conditionalFormatting>
  <conditionalFormatting sqref="C62:Q65">
    <cfRule type="colorScale" priority="11">
      <colorScale>
        <cfvo type="min"/>
        <cfvo type="max"/>
        <color theme="0"/>
        <color rgb="FF5D9732"/>
      </colorScale>
    </cfRule>
  </conditionalFormatting>
  <conditionalFormatting sqref="C66:P66">
    <cfRule type="colorScale" priority="10">
      <colorScale>
        <cfvo type="min"/>
        <cfvo type="max"/>
        <color rgb="FFFCFCFF"/>
        <color rgb="FF5D9732"/>
      </colorScale>
    </cfRule>
  </conditionalFormatting>
  <conditionalFormatting sqref="D117:Q117">
    <cfRule type="colorScale" priority="9">
      <colorScale>
        <cfvo type="min"/>
        <cfvo type="max"/>
        <color rgb="FFFCFCFF"/>
        <color rgb="FF5D9732"/>
      </colorScale>
    </cfRule>
  </conditionalFormatting>
  <conditionalFormatting sqref="D127:Q127">
    <cfRule type="colorScale" priority="8">
      <colorScale>
        <cfvo type="min"/>
        <cfvo type="max"/>
        <color rgb="FFFCFCFF"/>
        <color rgb="FF5D9732"/>
      </colorScale>
    </cfRule>
  </conditionalFormatting>
  <conditionalFormatting sqref="D120:Q120">
    <cfRule type="colorScale" priority="5">
      <colorScale>
        <cfvo type="min"/>
        <cfvo type="max"/>
        <color rgb="FFFCFCFF"/>
        <color rgb="FF5D9732"/>
      </colorScale>
    </cfRule>
  </conditionalFormatting>
  <conditionalFormatting sqref="E133:Q133">
    <cfRule type="colorScale" priority="4">
      <colorScale>
        <cfvo type="min"/>
        <cfvo type="max"/>
        <color rgb="FFFCFCFF"/>
        <color rgb="FF5D9732"/>
      </colorScale>
    </cfRule>
  </conditionalFormatting>
  <conditionalFormatting sqref="E133:Q133">
    <cfRule type="colorScale" priority="3">
      <colorScale>
        <cfvo type="min"/>
        <cfvo type="max"/>
        <color theme="0"/>
        <color rgb="FF5D9732"/>
      </colorScale>
    </cfRule>
  </conditionalFormatting>
  <conditionalFormatting sqref="D131:Q131">
    <cfRule type="colorScale" priority="1">
      <colorScale>
        <cfvo type="min"/>
        <cfvo type="max"/>
        <color theme="0"/>
        <color rgb="FF5D9732"/>
      </colorScale>
    </cfRule>
  </conditionalFormatting>
  <pageMargins left="0.7" right="0.7" top="0.75" bottom="0.75" header="0.3" footer="0.3"/>
  <pageSetup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EE7812-2179-41ED-9068-883D993C4118}">
  <sheetPr>
    <tabColor rgb="FF8CC63F"/>
  </sheetPr>
  <dimension ref="A1:S146"/>
  <sheetViews>
    <sheetView topLeftCell="A64" zoomScale="70" zoomScaleNormal="70" workbookViewId="0">
      <selection activeCell="B99" sqref="B99"/>
    </sheetView>
  </sheetViews>
  <sheetFormatPr defaultRowHeight="14.5" x14ac:dyDescent="0.35"/>
  <cols>
    <col min="2" max="2" width="18.453125" customWidth="1"/>
    <col min="3" max="3" width="8.6328125" hidden="1" customWidth="1"/>
    <col min="6" max="17" width="9.36328125" bestFit="1" customWidth="1"/>
  </cols>
  <sheetData>
    <row r="1" spans="1:19" x14ac:dyDescent="0.35">
      <c r="Q1" s="19"/>
      <c r="R1" s="19"/>
    </row>
    <row r="2" spans="1:19" x14ac:dyDescent="0.35">
      <c r="B2" s="7" t="str">
        <f xml:space="preserve"> CONCATENATE("GBF-UNC - Unconstrained scenario, with ",100*ROUND(A104,2),"% GBF Foundations.")</f>
        <v>GBF-UNC - Unconstrained scenario, with 0% GBF Foundations.</v>
      </c>
      <c r="Q2" s="19"/>
      <c r="R2" s="19"/>
    </row>
    <row r="3" spans="1:19" x14ac:dyDescent="0.35">
      <c r="Q3" s="19"/>
      <c r="R3" s="19"/>
    </row>
    <row r="4" spans="1:19" x14ac:dyDescent="0.35">
      <c r="Q4" s="19"/>
      <c r="R4" s="19"/>
    </row>
    <row r="5" spans="1:19" x14ac:dyDescent="0.35">
      <c r="C5" t="s">
        <v>105</v>
      </c>
    </row>
    <row r="6" spans="1:19" ht="21" x14ac:dyDescent="0.5">
      <c r="C6" s="81">
        <v>2021</v>
      </c>
      <c r="D6" s="81">
        <v>2022</v>
      </c>
      <c r="E6" s="81">
        <f t="shared" ref="E6:Q6" si="0">D6+1</f>
        <v>2023</v>
      </c>
      <c r="F6" s="81">
        <f t="shared" si="0"/>
        <v>2024</v>
      </c>
      <c r="G6" s="81">
        <f t="shared" si="0"/>
        <v>2025</v>
      </c>
      <c r="H6" s="81">
        <f t="shared" si="0"/>
        <v>2026</v>
      </c>
      <c r="I6" s="81">
        <f t="shared" si="0"/>
        <v>2027</v>
      </c>
      <c r="J6" s="81">
        <f t="shared" si="0"/>
        <v>2028</v>
      </c>
      <c r="K6" s="81">
        <f t="shared" si="0"/>
        <v>2029</v>
      </c>
      <c r="L6" s="82">
        <f t="shared" si="0"/>
        <v>2030</v>
      </c>
      <c r="M6" s="81">
        <f t="shared" si="0"/>
        <v>2031</v>
      </c>
      <c r="N6" s="81">
        <f t="shared" si="0"/>
        <v>2032</v>
      </c>
      <c r="O6" s="81">
        <f t="shared" si="0"/>
        <v>2033</v>
      </c>
      <c r="P6" s="81">
        <f t="shared" si="0"/>
        <v>2034</v>
      </c>
      <c r="Q6">
        <f t="shared" si="0"/>
        <v>2035</v>
      </c>
      <c r="R6" t="s">
        <v>106</v>
      </c>
    </row>
    <row r="7" spans="1:19" ht="15.5" x14ac:dyDescent="0.35">
      <c r="A7" s="116" t="s">
        <v>132</v>
      </c>
      <c r="B7" s="117" t="s">
        <v>107</v>
      </c>
      <c r="C7" s="117"/>
      <c r="D7" s="118"/>
      <c r="E7" s="118"/>
      <c r="F7" s="118"/>
      <c r="G7" s="118"/>
      <c r="H7" s="118"/>
      <c r="I7" s="118"/>
      <c r="J7" s="118"/>
      <c r="K7" s="118"/>
      <c r="L7" s="118"/>
      <c r="M7" s="118"/>
      <c r="N7" s="118"/>
      <c r="O7" s="118"/>
      <c r="P7" s="118"/>
      <c r="Q7" s="118"/>
      <c r="R7" s="119"/>
    </row>
    <row r="8" spans="1:19" ht="15.5" x14ac:dyDescent="0.35">
      <c r="A8" s="116"/>
      <c r="B8" s="120" t="s">
        <v>108</v>
      </c>
      <c r="C8" s="120"/>
      <c r="D8" s="116"/>
      <c r="E8" s="116"/>
      <c r="F8" s="116"/>
      <c r="G8" s="116"/>
      <c r="H8" s="116"/>
      <c r="I8" s="116"/>
      <c r="J8" s="116"/>
      <c r="K8" s="116"/>
      <c r="L8" s="116"/>
      <c r="M8" s="116"/>
      <c r="N8" s="116"/>
      <c r="O8" s="116"/>
      <c r="P8" s="116"/>
      <c r="Q8" s="116"/>
      <c r="R8" s="115"/>
    </row>
    <row r="9" spans="1:19" ht="15.5" x14ac:dyDescent="0.35">
      <c r="A9" s="116"/>
      <c r="B9" s="129" t="s">
        <v>350</v>
      </c>
      <c r="C9" s="180">
        <f ca="1">SUM(C10:C12)</f>
        <v>42.769230769230774</v>
      </c>
      <c r="D9" s="180">
        <f t="shared" ref="D9:Q9" ca="1" si="1">SUM(D10:D12)</f>
        <v>338.31588019823317</v>
      </c>
      <c r="E9" s="180">
        <f t="shared" ca="1" si="1"/>
        <v>289.84615384615381</v>
      </c>
      <c r="F9" s="180">
        <f t="shared" ca="1" si="1"/>
        <v>243.73333333333332</v>
      </c>
      <c r="G9" s="180">
        <f t="shared" ca="1" si="1"/>
        <v>193.64</v>
      </c>
      <c r="H9" s="180">
        <f t="shared" ca="1" si="1"/>
        <v>375.06625590388217</v>
      </c>
      <c r="I9" s="180">
        <f t="shared" ca="1" si="1"/>
        <v>152.93333333333334</v>
      </c>
      <c r="J9" s="180">
        <f t="shared" ca="1" si="1"/>
        <v>315.26251267836159</v>
      </c>
      <c r="K9" s="180">
        <f t="shared" ca="1" si="1"/>
        <v>166.78543772010551</v>
      </c>
      <c r="L9" s="180">
        <f t="shared" ca="1" si="1"/>
        <v>300.62599050437262</v>
      </c>
      <c r="M9" s="180">
        <f t="shared" ca="1" si="1"/>
        <v>198.16666666666666</v>
      </c>
      <c r="N9" s="180">
        <f t="shared" ca="1" si="1"/>
        <v>135.63842336953189</v>
      </c>
      <c r="O9" s="180">
        <f t="shared" ca="1" si="1"/>
        <v>51.333333333333336</v>
      </c>
      <c r="P9" s="180">
        <f t="shared" si="1"/>
        <v>0</v>
      </c>
      <c r="Q9" s="180">
        <f t="shared" si="1"/>
        <v>0</v>
      </c>
      <c r="R9" s="181">
        <f ca="1">SUM(C9:Q9)</f>
        <v>2804.1165516565384</v>
      </c>
    </row>
    <row r="10" spans="1:19" ht="15.5" x14ac:dyDescent="0.35">
      <c r="A10" s="121">
        <f>MAX(Assumptions!C$45:C$47)</f>
        <v>1</v>
      </c>
      <c r="B10" s="111">
        <v>12</v>
      </c>
      <c r="C10" s="183" cm="1">
        <f t="array" aca="1" ref="C10" ca="1">INDIRECT("R[36]C["&amp;$A$10&amp;"]",FALSE)</f>
        <v>42.769230769230774</v>
      </c>
      <c r="D10" s="183" cm="1">
        <f t="array" aca="1" ref="D10" ca="1">INDIRECT("R[36]C["&amp;$A$10&amp;"]",FALSE)</f>
        <v>261.79487179487182</v>
      </c>
      <c r="E10" s="183" cm="1">
        <f t="array" aca="1" ref="E10" ca="1">INDIRECT("R[36]C["&amp;$A$10&amp;"]",FALSE)</f>
        <v>187.5128205128205</v>
      </c>
      <c r="F10" s="183" cm="1">
        <f t="array" aca="1" ref="F10" ca="1">INDIRECT("R[36]C["&amp;$A$10&amp;"]",FALSE)</f>
        <v>60.666666666666664</v>
      </c>
      <c r="G10" s="183" cm="1">
        <f t="array" aca="1" ref="G10" ca="1">INDIRECT("R[36]C["&amp;$A$10&amp;"]",FALSE)</f>
        <v>0</v>
      </c>
      <c r="H10" s="183" cm="1">
        <f t="array" aca="1" ref="H10" ca="1">INDIRECT("R[36]C["&amp;$A$10&amp;"]",FALSE)</f>
        <v>0</v>
      </c>
      <c r="I10" s="183" cm="1">
        <f t="array" aca="1" ref="I10" ca="1">INDIRECT("R[36]C["&amp;$A$10&amp;"]",FALSE)</f>
        <v>0</v>
      </c>
      <c r="J10" s="183" cm="1">
        <f t="array" aca="1" ref="J10" ca="1">INDIRECT("R[36]C["&amp;$A$10&amp;"]",FALSE)</f>
        <v>0</v>
      </c>
      <c r="K10" s="183" cm="1">
        <f t="array" aca="1" ref="K10" ca="1">INDIRECT("R[36]C["&amp;$A$10&amp;"]",FALSE)</f>
        <v>0</v>
      </c>
      <c r="L10" s="183" cm="1">
        <f t="array" aca="1" ref="L10" ca="1">INDIRECT("R[36]C["&amp;$A$10&amp;"]",FALSE)</f>
        <v>0</v>
      </c>
      <c r="M10" s="183" cm="1">
        <f t="array" aca="1" ref="M10" ca="1">INDIRECT("R[36]C["&amp;$A$10&amp;"]",FALSE)</f>
        <v>0</v>
      </c>
      <c r="N10" s="183" cm="1">
        <f t="array" aca="1" ref="N10" ca="1">INDIRECT("R[36]C["&amp;$A$10&amp;"]",FALSE)</f>
        <v>0</v>
      </c>
      <c r="O10" s="183" cm="1">
        <f t="array" aca="1" ref="O10" ca="1">INDIRECT("R[36]C["&amp;$A$10&amp;"]",FALSE)</f>
        <v>0</v>
      </c>
      <c r="P10" s="115"/>
      <c r="Q10" s="115"/>
      <c r="R10" s="115">
        <f ca="1">SUM(C10:P10)</f>
        <v>552.74358974358972</v>
      </c>
    </row>
    <row r="11" spans="1:19" ht="15.5" x14ac:dyDescent="0.35">
      <c r="A11" s="121">
        <f>MAX(Assumptions!C$45:C$47)</f>
        <v>1</v>
      </c>
      <c r="B11" s="111">
        <v>15</v>
      </c>
      <c r="C11" s="183" cm="1">
        <f t="array" aca="1" ref="C11" ca="1">INDIRECT("R[36]C["&amp;$A$11&amp;"]",FALSE)</f>
        <v>0</v>
      </c>
      <c r="D11" s="183" cm="1">
        <f t="array" aca="1" ref="D11" ca="1">INDIRECT("R[36]C["&amp;$A$11&amp;"]",FALSE)</f>
        <v>76.52100840336135</v>
      </c>
      <c r="E11" s="183" cm="1">
        <f t="array" aca="1" ref="E11" ca="1">INDIRECT("R[36]C["&amp;$A$11&amp;"]",FALSE)</f>
        <v>102.33333333333334</v>
      </c>
      <c r="F11" s="183" cm="1">
        <f t="array" aca="1" ref="F11" ca="1">INDIRECT("R[36]C["&amp;$A$11&amp;"]",FALSE)</f>
        <v>183.06666666666666</v>
      </c>
      <c r="G11" s="183" cm="1">
        <f t="array" aca="1" ref="G11" ca="1">INDIRECT("R[36]C["&amp;$A$11&amp;"]",FALSE)</f>
        <v>193.64</v>
      </c>
      <c r="H11" s="183" cm="1">
        <f t="array" aca="1" ref="H11" ca="1">INDIRECT("R[36]C["&amp;$A$11&amp;"]",FALSE)</f>
        <v>375.06625590388217</v>
      </c>
      <c r="I11" s="183" cm="1">
        <f t="array" aca="1" ref="I11" ca="1">INDIRECT("R[36]C["&amp;$A$11&amp;"]",FALSE)</f>
        <v>152.93333333333334</v>
      </c>
      <c r="J11" s="183" cm="1">
        <f t="array" aca="1" ref="J11" ca="1">INDIRECT("R[36]C["&amp;$A$11&amp;"]",FALSE)</f>
        <v>315.26251267836159</v>
      </c>
      <c r="K11" s="183" cm="1">
        <f t="array" aca="1" ref="K11" ca="1">INDIRECT("R[36]C["&amp;$A$11&amp;"]",FALSE)</f>
        <v>0</v>
      </c>
      <c r="L11" s="183" cm="1">
        <f t="array" aca="1" ref="L11" ca="1">INDIRECT("R[36]C["&amp;$A$11&amp;"]",FALSE)</f>
        <v>0</v>
      </c>
      <c r="M11" s="183" cm="1">
        <f t="array" aca="1" ref="M11" ca="1">INDIRECT("R[36]C["&amp;$A$11&amp;"]",FALSE)</f>
        <v>0</v>
      </c>
      <c r="N11" s="183" cm="1">
        <f t="array" aca="1" ref="N11" ca="1">INDIRECT("R[36]C["&amp;$A$11&amp;"]",FALSE)</f>
        <v>0</v>
      </c>
      <c r="O11" s="183" cm="1">
        <f t="array" aca="1" ref="O11" ca="1">INDIRECT("R[36]C["&amp;$A$11&amp;"]",FALSE)</f>
        <v>0</v>
      </c>
      <c r="P11" s="115"/>
      <c r="Q11" s="115"/>
      <c r="R11" s="115">
        <f t="shared" ref="R11:R12" ca="1" si="2">SUM(C11:P11)</f>
        <v>1398.8231103189385</v>
      </c>
    </row>
    <row r="12" spans="1:19" ht="15.5" x14ac:dyDescent="0.35">
      <c r="A12" s="121">
        <f>MAX(Assumptions!C$45:C$47)</f>
        <v>1</v>
      </c>
      <c r="B12" s="111">
        <v>18</v>
      </c>
      <c r="C12" s="183" cm="1">
        <f t="array" aca="1" ref="C12" ca="1">INDIRECT("R[36]C["&amp;$A$12&amp;"]",FALSE)</f>
        <v>0</v>
      </c>
      <c r="D12" s="183" cm="1">
        <f t="array" aca="1" ref="D12" ca="1">INDIRECT("R[36]C["&amp;$A$12&amp;"]",FALSE)</f>
        <v>0</v>
      </c>
      <c r="E12" s="183" cm="1">
        <f t="array" aca="1" ref="E12" ca="1">INDIRECT("R[36]C["&amp;$A$12&amp;"]",FALSE)</f>
        <v>0</v>
      </c>
      <c r="F12" s="183" cm="1">
        <f t="array" aca="1" ref="F12" ca="1">INDIRECT("R[36]C["&amp;$A$12&amp;"]",FALSE)</f>
        <v>0</v>
      </c>
      <c r="G12" s="183" cm="1">
        <f t="array" aca="1" ref="G12" ca="1">INDIRECT("R[36]C["&amp;$A$12&amp;"]",FALSE)</f>
        <v>0</v>
      </c>
      <c r="H12" s="183" cm="1">
        <f t="array" aca="1" ref="H12" ca="1">INDIRECT("R[36]C["&amp;$A$12&amp;"]",FALSE)</f>
        <v>0</v>
      </c>
      <c r="I12" s="183" cm="1">
        <f t="array" aca="1" ref="I12" ca="1">INDIRECT("R[36]C["&amp;$A$12&amp;"]",FALSE)</f>
        <v>0</v>
      </c>
      <c r="J12" s="183" cm="1">
        <f t="array" aca="1" ref="J12" ca="1">INDIRECT("R[36]C["&amp;$A$12&amp;"]",FALSE)</f>
        <v>0</v>
      </c>
      <c r="K12" s="183" cm="1">
        <f t="array" aca="1" ref="K12" ca="1">INDIRECT("R[36]C["&amp;$A$12&amp;"]",FALSE)</f>
        <v>166.78543772010551</v>
      </c>
      <c r="L12" s="183" cm="1">
        <f t="array" aca="1" ref="L12" ca="1">INDIRECT("R[36]C["&amp;$A$12&amp;"]",FALSE)</f>
        <v>300.62599050437262</v>
      </c>
      <c r="M12" s="183" cm="1">
        <f t="array" aca="1" ref="M12" ca="1">INDIRECT("R[36]C["&amp;$A$12&amp;"]",FALSE)</f>
        <v>198.16666666666666</v>
      </c>
      <c r="N12" s="183" cm="1">
        <f t="array" aca="1" ref="N12" ca="1">INDIRECT("R[36]C["&amp;$A$12&amp;"]",FALSE)</f>
        <v>135.63842336953189</v>
      </c>
      <c r="O12" s="183" cm="1">
        <f t="array" aca="1" ref="O12" ca="1">INDIRECT("R[36]C["&amp;$A$12&amp;"]",FALSE)</f>
        <v>51.333333333333336</v>
      </c>
      <c r="P12" s="115"/>
      <c r="Q12" s="115"/>
      <c r="R12" s="115">
        <f t="shared" ca="1" si="2"/>
        <v>852.54985159401008</v>
      </c>
      <c r="S12" t="s">
        <v>91</v>
      </c>
    </row>
    <row r="13" spans="1:19" ht="15.5" x14ac:dyDescent="0.35">
      <c r="A13" s="116"/>
      <c r="B13" s="129" t="s">
        <v>351</v>
      </c>
      <c r="C13" s="179"/>
      <c r="D13" s="179"/>
      <c r="E13" s="179"/>
      <c r="F13" s="179"/>
      <c r="G13" s="179"/>
      <c r="H13" s="179"/>
      <c r="I13" s="179"/>
      <c r="J13" s="179"/>
      <c r="K13" s="179"/>
      <c r="L13" s="179"/>
      <c r="M13" s="179"/>
      <c r="N13" s="179"/>
      <c r="O13" s="179"/>
      <c r="P13" s="179"/>
      <c r="Q13" s="179"/>
      <c r="R13" s="181"/>
    </row>
    <row r="14" spans="1:19" ht="15.5" x14ac:dyDescent="0.35">
      <c r="A14" s="121">
        <f>Assumptions!C$45</f>
        <v>1</v>
      </c>
      <c r="B14" s="111">
        <v>12</v>
      </c>
      <c r="C14" s="183" cm="1">
        <f t="array" aca="1" ref="C14" ca="1">INDIRECT("R[36]C["&amp;$A$14&amp;"]",FALSE)</f>
        <v>128.30769230769232</v>
      </c>
      <c r="D14" s="183" cm="1">
        <f t="array" aca="1" ref="D14" ca="1">INDIRECT("R[36]C["&amp;$A$14&amp;"]",FALSE)</f>
        <v>785.38461538461547</v>
      </c>
      <c r="E14" s="183" cm="1">
        <f t="array" aca="1" ref="E14" ca="1">INDIRECT("R[36]C["&amp;$A$14&amp;"]",FALSE)</f>
        <v>562.53846153846143</v>
      </c>
      <c r="F14" s="183" cm="1">
        <f t="array" aca="1" ref="F14" ca="1">INDIRECT("R[36]C["&amp;$A$14&amp;"]",FALSE)</f>
        <v>182</v>
      </c>
      <c r="G14" s="183" cm="1">
        <f t="array" aca="1" ref="G14" ca="1">INDIRECT("R[36]C["&amp;$A$14&amp;"]",FALSE)</f>
        <v>0</v>
      </c>
      <c r="H14" s="183" cm="1">
        <f t="array" aca="1" ref="H14" ca="1">INDIRECT("R[36]C["&amp;$A$14&amp;"]",FALSE)</f>
        <v>0</v>
      </c>
      <c r="I14" s="183" cm="1">
        <f t="array" aca="1" ref="I14" ca="1">INDIRECT("R[36]C["&amp;$A$14&amp;"]",FALSE)</f>
        <v>0</v>
      </c>
      <c r="J14" s="183" cm="1">
        <f t="array" aca="1" ref="J14" ca="1">INDIRECT("R[36]C["&amp;$A$14&amp;"]",FALSE)</f>
        <v>0</v>
      </c>
      <c r="K14" s="183" cm="1">
        <f t="array" aca="1" ref="K14" ca="1">INDIRECT("R[36]C["&amp;$A$14&amp;"]",FALSE)</f>
        <v>0</v>
      </c>
      <c r="L14" s="183" cm="1">
        <f t="array" aca="1" ref="L14" ca="1">INDIRECT("R[36]C["&amp;$A$14&amp;"]",FALSE)</f>
        <v>0</v>
      </c>
      <c r="M14" s="183" cm="1">
        <f t="array" aca="1" ref="M14" ca="1">INDIRECT("R[36]C["&amp;$A$14&amp;"]",FALSE)</f>
        <v>0</v>
      </c>
      <c r="N14" s="183" cm="1">
        <f t="array" aca="1" ref="N14" ca="1">INDIRECT("R[36]C["&amp;$A$14&amp;"]",FALSE)</f>
        <v>0</v>
      </c>
      <c r="O14" s="183" cm="1">
        <f t="array" aca="1" ref="O14" ca="1">INDIRECT("R[36]C["&amp;$A$14&amp;"]",FALSE)</f>
        <v>0</v>
      </c>
      <c r="P14" s="116"/>
      <c r="Q14" s="116"/>
      <c r="R14" s="115">
        <f ca="1">SUM(C14:P14)</f>
        <v>1658.2307692307693</v>
      </c>
    </row>
    <row r="15" spans="1:19" ht="15.5" x14ac:dyDescent="0.35">
      <c r="A15" s="121">
        <f>Assumptions!C$45</f>
        <v>1</v>
      </c>
      <c r="B15" s="111">
        <v>15</v>
      </c>
      <c r="C15" s="183" cm="1">
        <f t="array" aca="1" ref="C15" ca="1">INDIRECT("R[36]C["&amp;$A$15&amp;"]",FALSE)</f>
        <v>0</v>
      </c>
      <c r="D15" s="183" cm="1">
        <f t="array" aca="1" ref="D15" ca="1">INDIRECT("R[36]C["&amp;$A$15&amp;"]",FALSE)</f>
        <v>229.56302521008405</v>
      </c>
      <c r="E15" s="183" cm="1">
        <f t="array" aca="1" ref="E15" ca="1">INDIRECT("R[36]C["&amp;$A$15&amp;"]",FALSE)</f>
        <v>307</v>
      </c>
      <c r="F15" s="183" cm="1">
        <f t="array" aca="1" ref="F15" ca="1">INDIRECT("R[36]C["&amp;$A$15&amp;"]",FALSE)</f>
        <v>549.20000000000005</v>
      </c>
      <c r="G15" s="183" cm="1">
        <f t="array" aca="1" ref="G15" ca="1">INDIRECT("R[36]C["&amp;$A$15&amp;"]",FALSE)</f>
        <v>580.91999999999996</v>
      </c>
      <c r="H15" s="183" cm="1">
        <f t="array" aca="1" ref="H15" ca="1">INDIRECT("R[36]C["&amp;$A$15&amp;"]",FALSE)</f>
        <v>1125.1987677116465</v>
      </c>
      <c r="I15" s="183" cm="1">
        <f t="array" aca="1" ref="I15" ca="1">INDIRECT("R[36]C["&amp;$A$15&amp;"]",FALSE)</f>
        <v>458.8</v>
      </c>
      <c r="J15" s="183" cm="1">
        <f t="array" aca="1" ref="J15" ca="1">INDIRECT("R[36]C["&amp;$A$15&amp;"]",FALSE)</f>
        <v>945.78753803508471</v>
      </c>
      <c r="K15" s="183" cm="1">
        <f t="array" aca="1" ref="K15" ca="1">INDIRECT("R[36]C["&amp;$A$15&amp;"]",FALSE)</f>
        <v>0</v>
      </c>
      <c r="L15" s="183" cm="1">
        <f t="array" aca="1" ref="L15" ca="1">INDIRECT("R[36]C["&amp;$A$15&amp;"]",FALSE)</f>
        <v>0</v>
      </c>
      <c r="M15" s="183" cm="1">
        <f t="array" aca="1" ref="M15" ca="1">INDIRECT("R[36]C["&amp;$A$15&amp;"]",FALSE)</f>
        <v>0</v>
      </c>
      <c r="N15" s="183" cm="1">
        <f t="array" aca="1" ref="N15" ca="1">INDIRECT("R[36]C["&amp;$A$15&amp;"]",FALSE)</f>
        <v>0</v>
      </c>
      <c r="O15" s="183" cm="1">
        <f t="array" aca="1" ref="O15" ca="1">INDIRECT("R[36]C["&amp;$A$15&amp;"]",FALSE)</f>
        <v>0</v>
      </c>
      <c r="P15" s="116"/>
      <c r="Q15" s="116"/>
      <c r="R15" s="115">
        <f t="shared" ref="R15:R16" ca="1" si="3">SUM(C15:P15)</f>
        <v>4196.4693309568156</v>
      </c>
    </row>
    <row r="16" spans="1:19" ht="15.5" x14ac:dyDescent="0.35">
      <c r="A16" s="121">
        <f>Assumptions!C$45</f>
        <v>1</v>
      </c>
      <c r="B16" s="111">
        <v>18</v>
      </c>
      <c r="C16" s="183" cm="1">
        <f t="array" aca="1" ref="C16" ca="1">INDIRECT("R[36]C["&amp;$A$16&amp;"]",FALSE)</f>
        <v>0</v>
      </c>
      <c r="D16" s="183" cm="1">
        <f t="array" aca="1" ref="D16" ca="1">INDIRECT("R[36]C["&amp;$A$16&amp;"]",FALSE)</f>
        <v>0</v>
      </c>
      <c r="E16" s="183" cm="1">
        <f t="array" aca="1" ref="E16" ca="1">INDIRECT("R[36]C["&amp;$A$16&amp;"]",FALSE)</f>
        <v>0</v>
      </c>
      <c r="F16" s="183" cm="1">
        <f t="array" aca="1" ref="F16" ca="1">INDIRECT("R[36]C["&amp;$A$16&amp;"]",FALSE)</f>
        <v>0</v>
      </c>
      <c r="G16" s="183" cm="1">
        <f t="array" aca="1" ref="G16" ca="1">INDIRECT("R[36]C["&amp;$A$16&amp;"]",FALSE)</f>
        <v>0</v>
      </c>
      <c r="H16" s="183" cm="1">
        <f t="array" aca="1" ref="H16" ca="1">INDIRECT("R[36]C["&amp;$A$16&amp;"]",FALSE)</f>
        <v>0</v>
      </c>
      <c r="I16" s="183" cm="1">
        <f t="array" aca="1" ref="I16" ca="1">INDIRECT("R[36]C["&amp;$A$16&amp;"]",FALSE)</f>
        <v>0</v>
      </c>
      <c r="J16" s="183" cm="1">
        <f t="array" aca="1" ref="J16" ca="1">INDIRECT("R[36]C["&amp;$A$16&amp;"]",FALSE)</f>
        <v>0</v>
      </c>
      <c r="K16" s="183" cm="1">
        <f t="array" aca="1" ref="K16" ca="1">INDIRECT("R[36]C["&amp;$A$16&amp;"]",FALSE)</f>
        <v>500.35631316031652</v>
      </c>
      <c r="L16" s="183" cm="1">
        <f t="array" aca="1" ref="L16" ca="1">INDIRECT("R[36]C["&amp;$A$16&amp;"]",FALSE)</f>
        <v>901.87797151311793</v>
      </c>
      <c r="M16" s="183" cm="1">
        <f t="array" aca="1" ref="M16" ca="1">INDIRECT("R[36]C["&amp;$A$16&amp;"]",FALSE)</f>
        <v>594.5</v>
      </c>
      <c r="N16" s="183" cm="1">
        <f t="array" aca="1" ref="N16" ca="1">INDIRECT("R[36]C["&amp;$A$16&amp;"]",FALSE)</f>
        <v>406.91527010859568</v>
      </c>
      <c r="O16" s="183" cm="1">
        <f t="array" aca="1" ref="O16" ca="1">INDIRECT("R[36]C["&amp;$A$16&amp;"]",FALSE)</f>
        <v>154</v>
      </c>
      <c r="P16" s="116"/>
      <c r="Q16" s="116"/>
      <c r="R16" s="115">
        <f t="shared" ca="1" si="3"/>
        <v>2557.6495547820305</v>
      </c>
    </row>
    <row r="17" spans="1:18" ht="15.5" x14ac:dyDescent="0.35">
      <c r="A17" s="116"/>
      <c r="B17" s="129" t="s">
        <v>114</v>
      </c>
      <c r="C17" s="179"/>
      <c r="D17" s="179"/>
      <c r="E17" s="179"/>
      <c r="F17" s="179"/>
      <c r="G17" s="179"/>
      <c r="H17" s="179"/>
      <c r="I17" s="179"/>
      <c r="J17" s="179"/>
      <c r="K17" s="179"/>
      <c r="L17" s="179"/>
      <c r="M17" s="179"/>
      <c r="N17" s="179"/>
      <c r="O17" s="179"/>
      <c r="P17" s="179"/>
      <c r="Q17" s="179"/>
      <c r="R17" s="181"/>
    </row>
    <row r="18" spans="1:18" ht="15.5" x14ac:dyDescent="0.35">
      <c r="A18" s="121">
        <f>Assumptions!C46</f>
        <v>1</v>
      </c>
      <c r="B18" s="111">
        <v>12</v>
      </c>
      <c r="C18" s="183" cm="1">
        <f t="array" aca="1" ref="C18" ca="1">INDIRECT("R[36]C["&amp;$A$18&amp;"]",FALSE)</f>
        <v>42.769230769230774</v>
      </c>
      <c r="D18" s="183" cm="1">
        <f t="array" aca="1" ref="D18" ca="1">INDIRECT("R[36]C["&amp;$A$18&amp;"]",FALSE)</f>
        <v>261.79487179487182</v>
      </c>
      <c r="E18" s="183" cm="1">
        <f t="array" aca="1" ref="E18" ca="1">INDIRECT("R[36]C["&amp;$A$18&amp;"]",FALSE)</f>
        <v>187.5128205128205</v>
      </c>
      <c r="F18" s="183" cm="1">
        <f t="array" aca="1" ref="F18" ca="1">INDIRECT("R[36]C["&amp;$A$18&amp;"]",FALSE)</f>
        <v>60.666666666666664</v>
      </c>
      <c r="G18" s="183" cm="1">
        <f t="array" aca="1" ref="G18" ca="1">INDIRECT("R[36]C["&amp;$A$18&amp;"]",FALSE)</f>
        <v>0</v>
      </c>
      <c r="H18" s="183" cm="1">
        <f t="array" aca="1" ref="H18" ca="1">INDIRECT("R[36]C["&amp;$A$18&amp;"]",FALSE)</f>
        <v>0</v>
      </c>
      <c r="I18" s="183" cm="1">
        <f t="array" aca="1" ref="I18" ca="1">INDIRECT("R[36]C["&amp;$A$18&amp;"]",FALSE)</f>
        <v>0</v>
      </c>
      <c r="J18" s="183" cm="1">
        <f t="array" aca="1" ref="J18" ca="1">INDIRECT("R[36]C["&amp;$A$18&amp;"]",FALSE)</f>
        <v>0</v>
      </c>
      <c r="K18" s="183" cm="1">
        <f t="array" aca="1" ref="K18" ca="1">INDIRECT("R[36]C["&amp;$A$18&amp;"]",FALSE)</f>
        <v>0</v>
      </c>
      <c r="L18" s="183" cm="1">
        <f t="array" aca="1" ref="L18" ca="1">INDIRECT("R[36]C["&amp;$A$18&amp;"]",FALSE)</f>
        <v>0</v>
      </c>
      <c r="M18" s="183" cm="1">
        <f t="array" aca="1" ref="M18" ca="1">INDIRECT("R[36]C["&amp;$A$18&amp;"]",FALSE)</f>
        <v>0</v>
      </c>
      <c r="N18" s="183" cm="1">
        <f t="array" aca="1" ref="N18" ca="1">INDIRECT("R[36]C["&amp;$A$18&amp;"]",FALSE)</f>
        <v>0</v>
      </c>
      <c r="O18" s="183" cm="1">
        <f t="array" aca="1" ref="O18" ca="1">INDIRECT("R[36]C["&amp;$A$18&amp;"]",FALSE)</f>
        <v>0</v>
      </c>
      <c r="P18" s="116"/>
      <c r="Q18" s="116"/>
      <c r="R18" s="115">
        <f ca="1">SUM(C18:P18)</f>
        <v>552.74358974358972</v>
      </c>
    </row>
    <row r="19" spans="1:18" ht="15.5" x14ac:dyDescent="0.35">
      <c r="A19" s="121">
        <f>A18</f>
        <v>1</v>
      </c>
      <c r="B19" s="111">
        <v>15</v>
      </c>
      <c r="C19" s="183" cm="1">
        <f t="array" aca="1" ref="C19" ca="1">INDIRECT("R[36]C["&amp;$A$19&amp;"]",FALSE)</f>
        <v>0</v>
      </c>
      <c r="D19" s="183" cm="1">
        <f t="array" aca="1" ref="D19" ca="1">INDIRECT("R[36]C["&amp;$A$19&amp;"]",FALSE)</f>
        <v>76.52100840336135</v>
      </c>
      <c r="E19" s="183" cm="1">
        <f t="array" aca="1" ref="E19" ca="1">INDIRECT("R[36]C["&amp;$A$19&amp;"]",FALSE)</f>
        <v>102.33333333333334</v>
      </c>
      <c r="F19" s="183" cm="1">
        <f t="array" aca="1" ref="F19" ca="1">INDIRECT("R[36]C["&amp;$A$19&amp;"]",FALSE)</f>
        <v>183.06666666666666</v>
      </c>
      <c r="G19" s="183" cm="1">
        <f t="array" aca="1" ref="G19" ca="1">INDIRECT("R[36]C["&amp;$A$19&amp;"]",FALSE)</f>
        <v>193.64</v>
      </c>
      <c r="H19" s="183" cm="1">
        <f t="array" aca="1" ref="H19" ca="1">INDIRECT("R[36]C["&amp;$A$19&amp;"]",FALSE)</f>
        <v>375.06625590388217</v>
      </c>
      <c r="I19" s="183" cm="1">
        <f t="array" aca="1" ref="I19" ca="1">INDIRECT("R[36]C["&amp;$A$19&amp;"]",FALSE)</f>
        <v>152.93333333333334</v>
      </c>
      <c r="J19" s="183" cm="1">
        <f t="array" aca="1" ref="J19" ca="1">INDIRECT("R[36]C["&amp;$A$19&amp;"]",FALSE)</f>
        <v>315.26251267836159</v>
      </c>
      <c r="K19" s="183" cm="1">
        <f t="array" aca="1" ref="K19" ca="1">INDIRECT("R[36]C["&amp;$A$19&amp;"]",FALSE)</f>
        <v>0</v>
      </c>
      <c r="L19" s="183" cm="1">
        <f t="array" aca="1" ref="L19" ca="1">INDIRECT("R[36]C["&amp;$A$19&amp;"]",FALSE)</f>
        <v>0</v>
      </c>
      <c r="M19" s="183" cm="1">
        <f t="array" aca="1" ref="M19" ca="1">INDIRECT("R[36]C["&amp;$A$19&amp;"]",FALSE)</f>
        <v>0</v>
      </c>
      <c r="N19" s="183" cm="1">
        <f t="array" aca="1" ref="N19" ca="1">INDIRECT("R[36]C["&amp;$A$19&amp;"]",FALSE)</f>
        <v>0</v>
      </c>
      <c r="O19" s="183" cm="1">
        <f t="array" aca="1" ref="O19" ca="1">INDIRECT("R[36]C["&amp;$A$19&amp;"]",FALSE)</f>
        <v>0</v>
      </c>
      <c r="P19" s="116"/>
      <c r="Q19" s="116"/>
      <c r="R19" s="115">
        <f t="shared" ref="R19:R20" ca="1" si="4">SUM(C19:P19)</f>
        <v>1398.8231103189385</v>
      </c>
    </row>
    <row r="20" spans="1:18" ht="15.5" x14ac:dyDescent="0.35">
      <c r="A20" s="121">
        <f>A18</f>
        <v>1</v>
      </c>
      <c r="B20" s="111">
        <v>18</v>
      </c>
      <c r="C20" s="183" cm="1">
        <f t="array" aca="1" ref="C20" ca="1">INDIRECT("R[36]C["&amp;$A$20&amp;"]",FALSE)</f>
        <v>0</v>
      </c>
      <c r="D20" s="183" cm="1">
        <f t="array" aca="1" ref="D20" ca="1">INDIRECT("R[36]C["&amp;$A$20&amp;"]",FALSE)</f>
        <v>0</v>
      </c>
      <c r="E20" s="183" cm="1">
        <f t="array" aca="1" ref="E20" ca="1">INDIRECT("R[36]C["&amp;$A$20&amp;"]",FALSE)</f>
        <v>0</v>
      </c>
      <c r="F20" s="183" cm="1">
        <f t="array" aca="1" ref="F20" ca="1">INDIRECT("R[36]C["&amp;$A$20&amp;"]",FALSE)</f>
        <v>0</v>
      </c>
      <c r="G20" s="183" cm="1">
        <f t="array" aca="1" ref="G20" ca="1">INDIRECT("R[36]C["&amp;$A$20&amp;"]",FALSE)</f>
        <v>0</v>
      </c>
      <c r="H20" s="183" cm="1">
        <f t="array" aca="1" ref="H20" ca="1">INDIRECT("R[36]C["&amp;$A$20&amp;"]",FALSE)</f>
        <v>0</v>
      </c>
      <c r="I20" s="183" cm="1">
        <f t="array" aca="1" ref="I20" ca="1">INDIRECT("R[36]C["&amp;$A$20&amp;"]",FALSE)</f>
        <v>0</v>
      </c>
      <c r="J20" s="183" cm="1">
        <f t="array" aca="1" ref="J20" ca="1">INDIRECT("R[36]C["&amp;$A$20&amp;"]",FALSE)</f>
        <v>0</v>
      </c>
      <c r="K20" s="183" cm="1">
        <f t="array" aca="1" ref="K20" ca="1">INDIRECT("R[36]C["&amp;$A$20&amp;"]",FALSE)</f>
        <v>166.78543772010551</v>
      </c>
      <c r="L20" s="183" cm="1">
        <f t="array" aca="1" ref="L20" ca="1">INDIRECT("R[36]C["&amp;$A$20&amp;"]",FALSE)</f>
        <v>300.62599050437262</v>
      </c>
      <c r="M20" s="183" cm="1">
        <f t="array" aca="1" ref="M20" ca="1">INDIRECT("R[36]C["&amp;$A$20&amp;"]",FALSE)</f>
        <v>198.16666666666666</v>
      </c>
      <c r="N20" s="183" cm="1">
        <f t="array" aca="1" ref="N20" ca="1">INDIRECT("R[36]C["&amp;$A$20&amp;"]",FALSE)</f>
        <v>135.63842336953189</v>
      </c>
      <c r="O20" s="183" cm="1">
        <f t="array" aca="1" ref="O20" ca="1">INDIRECT("R[36]C["&amp;$A$20&amp;"]",FALSE)</f>
        <v>51.333333333333336</v>
      </c>
      <c r="P20" s="116"/>
      <c r="Q20" s="116"/>
      <c r="R20" s="115">
        <f t="shared" ca="1" si="4"/>
        <v>852.54985159401008</v>
      </c>
    </row>
    <row r="21" spans="1:18" ht="15.5" x14ac:dyDescent="0.35">
      <c r="A21" s="116"/>
      <c r="B21" s="129" t="s">
        <v>352</v>
      </c>
      <c r="C21" s="179"/>
      <c r="D21" s="179"/>
      <c r="E21" s="179"/>
      <c r="F21" s="179"/>
      <c r="G21" s="179"/>
      <c r="H21" s="179"/>
      <c r="I21" s="179"/>
      <c r="J21" s="179"/>
      <c r="K21" s="179"/>
      <c r="L21" s="179"/>
      <c r="M21" s="179"/>
      <c r="N21" s="179"/>
      <c r="O21" s="179"/>
      <c r="P21" s="179"/>
      <c r="Q21" s="179"/>
      <c r="R21" s="181"/>
    </row>
    <row r="22" spans="1:18" ht="15.5" x14ac:dyDescent="0.35">
      <c r="A22" s="121">
        <f>Assumptions!C47</f>
        <v>1</v>
      </c>
      <c r="B22" s="111">
        <v>12</v>
      </c>
      <c r="C22" s="183" cm="1">
        <f t="array" aca="1" ref="C22" ca="1">INDIRECT("R[36]C["&amp;$A$22&amp;"]",FALSE)</f>
        <v>42.769230769230774</v>
      </c>
      <c r="D22" s="183" cm="1">
        <f t="array" aca="1" ref="D22" ca="1">INDIRECT("R[36]C["&amp;$A$18&amp;"]",FALSE)</f>
        <v>261.79487179487182</v>
      </c>
      <c r="E22" s="183" cm="1">
        <f t="array" aca="1" ref="E22" ca="1">INDIRECT("R[36]C["&amp;$A$18&amp;"]",FALSE)</f>
        <v>187.5128205128205</v>
      </c>
      <c r="F22" s="183" cm="1">
        <f t="array" aca="1" ref="F22" ca="1">INDIRECT("R[36]C["&amp;$A$18&amp;"]",FALSE)</f>
        <v>60.666666666666664</v>
      </c>
      <c r="G22" s="183" cm="1">
        <f t="array" aca="1" ref="G22" ca="1">INDIRECT("R[36]C["&amp;$A$18&amp;"]",FALSE)</f>
        <v>0</v>
      </c>
      <c r="H22" s="183" cm="1">
        <f t="array" aca="1" ref="H22" ca="1">INDIRECT("R[36]C["&amp;$A$18&amp;"]",FALSE)</f>
        <v>0</v>
      </c>
      <c r="I22" s="183" cm="1">
        <f t="array" aca="1" ref="I22" ca="1">INDIRECT("R[36]C["&amp;$A$18&amp;"]",FALSE)</f>
        <v>0</v>
      </c>
      <c r="J22" s="183" cm="1">
        <f t="array" aca="1" ref="J22" ca="1">INDIRECT("R[36]C["&amp;$A$18&amp;"]",FALSE)</f>
        <v>0</v>
      </c>
      <c r="K22" s="183" cm="1">
        <f t="array" aca="1" ref="K22" ca="1">INDIRECT("R[36]C["&amp;$A$18&amp;"]",FALSE)</f>
        <v>0</v>
      </c>
      <c r="L22" s="183" cm="1">
        <f t="array" aca="1" ref="L22" ca="1">INDIRECT("R[36]C["&amp;$A$18&amp;"]",FALSE)</f>
        <v>0</v>
      </c>
      <c r="M22" s="183" cm="1">
        <f t="array" aca="1" ref="M22" ca="1">INDIRECT("R[36]C["&amp;$A$18&amp;"]",FALSE)</f>
        <v>0</v>
      </c>
      <c r="N22" s="183" cm="1">
        <f t="array" aca="1" ref="N22" ca="1">INDIRECT("R[36]C["&amp;$A$18&amp;"]",FALSE)</f>
        <v>0</v>
      </c>
      <c r="O22" s="183" cm="1">
        <f t="array" aca="1" ref="O22" ca="1">INDIRECT("R[36]C["&amp;$A$18&amp;"]",FALSE)</f>
        <v>0</v>
      </c>
      <c r="P22" s="182"/>
      <c r="Q22" s="182"/>
      <c r="R22" s="115">
        <f ca="1">SUM(C22:P22)</f>
        <v>552.74358974358972</v>
      </c>
    </row>
    <row r="23" spans="1:18" ht="15.5" x14ac:dyDescent="0.35">
      <c r="A23" s="121">
        <f>A22</f>
        <v>1</v>
      </c>
      <c r="B23" s="111">
        <v>15</v>
      </c>
      <c r="C23" s="183" cm="1">
        <f t="array" aca="1" ref="C23" ca="1">INDIRECT("R[36]C["&amp;$A$23&amp;"]",FALSE)</f>
        <v>0</v>
      </c>
      <c r="D23" s="183" cm="1">
        <f t="array" aca="1" ref="D23" ca="1">INDIRECT("R[36]C["&amp;$A$19&amp;"]",FALSE)</f>
        <v>76.52100840336135</v>
      </c>
      <c r="E23" s="183" cm="1">
        <f t="array" aca="1" ref="E23" ca="1">INDIRECT("R[36]C["&amp;$A$19&amp;"]",FALSE)</f>
        <v>102.33333333333334</v>
      </c>
      <c r="F23" s="183" cm="1">
        <f t="array" aca="1" ref="F23" ca="1">INDIRECT("R[36]C["&amp;$A$19&amp;"]",FALSE)</f>
        <v>183.06666666666666</v>
      </c>
      <c r="G23" s="183" cm="1">
        <f t="array" aca="1" ref="G23" ca="1">INDIRECT("R[36]C["&amp;$A$19&amp;"]",FALSE)</f>
        <v>193.64</v>
      </c>
      <c r="H23" s="183" cm="1">
        <f t="array" aca="1" ref="H23" ca="1">INDIRECT("R[36]C["&amp;$A$19&amp;"]",FALSE)</f>
        <v>375.06625590388217</v>
      </c>
      <c r="I23" s="183" cm="1">
        <f t="array" aca="1" ref="I23" ca="1">INDIRECT("R[36]C["&amp;$A$19&amp;"]",FALSE)</f>
        <v>152.93333333333334</v>
      </c>
      <c r="J23" s="183" cm="1">
        <f t="array" aca="1" ref="J23" ca="1">INDIRECT("R[36]C["&amp;$A$19&amp;"]",FALSE)</f>
        <v>315.26251267836159</v>
      </c>
      <c r="K23" s="183" cm="1">
        <f t="array" aca="1" ref="K23" ca="1">INDIRECT("R[36]C["&amp;$A$19&amp;"]",FALSE)</f>
        <v>0</v>
      </c>
      <c r="L23" s="183" cm="1">
        <f t="array" aca="1" ref="L23" ca="1">INDIRECT("R[36]C["&amp;$A$19&amp;"]",FALSE)</f>
        <v>0</v>
      </c>
      <c r="M23" s="183" cm="1">
        <f t="array" aca="1" ref="M23" ca="1">INDIRECT("R[36]C["&amp;$A$19&amp;"]",FALSE)</f>
        <v>0</v>
      </c>
      <c r="N23" s="183" cm="1">
        <f t="array" aca="1" ref="N23" ca="1">INDIRECT("R[36]C["&amp;$A$19&amp;"]",FALSE)</f>
        <v>0</v>
      </c>
      <c r="O23" s="183" cm="1">
        <f t="array" aca="1" ref="O23" ca="1">INDIRECT("R[36]C["&amp;$A$19&amp;"]",FALSE)</f>
        <v>0</v>
      </c>
      <c r="P23" s="182"/>
      <c r="Q23" s="182"/>
      <c r="R23" s="115">
        <f t="shared" ref="R23:R24" ca="1" si="5">SUM(C23:P23)</f>
        <v>1398.8231103189385</v>
      </c>
    </row>
    <row r="24" spans="1:18" ht="15.5" x14ac:dyDescent="0.35">
      <c r="A24" s="121">
        <f>A22</f>
        <v>1</v>
      </c>
      <c r="B24" s="111">
        <v>18</v>
      </c>
      <c r="C24" s="183" cm="1">
        <f t="array" aca="1" ref="C24" ca="1">INDIRECT("R[36]C["&amp;$A$24&amp;"]",FALSE)</f>
        <v>0</v>
      </c>
      <c r="D24" s="183" cm="1">
        <f t="array" aca="1" ref="D24" ca="1">INDIRECT("R[36]C["&amp;$A$20&amp;"]",FALSE)</f>
        <v>0</v>
      </c>
      <c r="E24" s="183" cm="1">
        <f t="array" aca="1" ref="E24" ca="1">INDIRECT("R[36]C["&amp;$A$20&amp;"]",FALSE)</f>
        <v>0</v>
      </c>
      <c r="F24" s="183" cm="1">
        <f t="array" aca="1" ref="F24" ca="1">INDIRECT("R[36]C["&amp;$A$20&amp;"]",FALSE)</f>
        <v>0</v>
      </c>
      <c r="G24" s="183" cm="1">
        <f t="array" aca="1" ref="G24" ca="1">INDIRECT("R[36]C["&amp;$A$20&amp;"]",FALSE)</f>
        <v>0</v>
      </c>
      <c r="H24" s="183" cm="1">
        <f t="array" aca="1" ref="H24" ca="1">INDIRECT("R[36]C["&amp;$A$20&amp;"]",FALSE)</f>
        <v>0</v>
      </c>
      <c r="I24" s="183" cm="1">
        <f t="array" aca="1" ref="I24" ca="1">INDIRECT("R[36]C["&amp;$A$20&amp;"]",FALSE)</f>
        <v>0</v>
      </c>
      <c r="J24" s="183" cm="1">
        <f t="array" aca="1" ref="J24" ca="1">INDIRECT("R[36]C["&amp;$A$20&amp;"]",FALSE)</f>
        <v>0</v>
      </c>
      <c r="K24" s="183" cm="1">
        <f t="array" aca="1" ref="K24" ca="1">INDIRECT("R[36]C["&amp;$A$20&amp;"]",FALSE)</f>
        <v>166.78543772010551</v>
      </c>
      <c r="L24" s="183" cm="1">
        <f t="array" aca="1" ref="L24" ca="1">INDIRECT("R[36]C["&amp;$A$20&amp;"]",FALSE)</f>
        <v>300.62599050437262</v>
      </c>
      <c r="M24" s="183" cm="1">
        <f t="array" aca="1" ref="M24" ca="1">INDIRECT("R[36]C["&amp;$A$20&amp;"]",FALSE)</f>
        <v>198.16666666666666</v>
      </c>
      <c r="N24" s="183" cm="1">
        <f t="array" aca="1" ref="N24" ca="1">INDIRECT("R[36]C["&amp;$A$20&amp;"]",FALSE)</f>
        <v>135.63842336953189</v>
      </c>
      <c r="O24" s="183" cm="1">
        <f t="array" aca="1" ref="O24" ca="1">INDIRECT("R[36]C["&amp;$A$20&amp;"]",FALSE)</f>
        <v>51.333333333333336</v>
      </c>
      <c r="P24" s="182"/>
      <c r="Q24" s="182"/>
      <c r="R24" s="115">
        <f t="shared" ca="1" si="5"/>
        <v>852.54985159401008</v>
      </c>
    </row>
    <row r="25" spans="1:18" ht="15.5" x14ac:dyDescent="0.35">
      <c r="A25" s="116"/>
      <c r="B25" s="129" t="s">
        <v>116</v>
      </c>
      <c r="C25" s="184"/>
      <c r="D25" s="184"/>
      <c r="E25" s="184"/>
      <c r="F25" s="184"/>
      <c r="G25" s="184"/>
      <c r="H25" s="184"/>
      <c r="I25" s="184"/>
      <c r="J25" s="184"/>
      <c r="K25" s="184"/>
      <c r="L25" s="184"/>
      <c r="M25" s="184"/>
      <c r="N25" s="184"/>
      <c r="O25" s="184"/>
      <c r="P25" s="184"/>
      <c r="Q25" s="184"/>
      <c r="R25" s="181"/>
    </row>
    <row r="26" spans="1:18" ht="15.5" x14ac:dyDescent="0.35">
      <c r="A26" s="121">
        <f>Assumptions!C51</f>
        <v>1</v>
      </c>
      <c r="B26" s="106" t="s">
        <v>257</v>
      </c>
      <c r="C26" s="183" cm="1">
        <f t="array" aca="1" ref="C26" ca="1">INDIRECT("R[36]C["&amp;$A$26&amp;"]",FALSE)</f>
        <v>42.769230769230774</v>
      </c>
      <c r="D26" s="183" cm="1">
        <f t="array" aca="1" ref="D26" ca="1">INDIRECT("R[36]C["&amp;$A$18&amp;"]",FALSE)</f>
        <v>338.31588019823317</v>
      </c>
      <c r="E26" s="183" cm="1">
        <f t="array" aca="1" ref="E26" ca="1">INDIRECT("R[36]C["&amp;$A$18&amp;"]",FALSE)</f>
        <v>267.84615384615381</v>
      </c>
      <c r="F26" s="183" cm="1">
        <f t="array" aca="1" ref="F26" ca="1">INDIRECT("R[36]C["&amp;$A$18&amp;"]",FALSE)</f>
        <v>221.73333333333332</v>
      </c>
      <c r="G26" s="183" cm="1">
        <f t="array" aca="1" ref="G26" ca="1">INDIRECT("R[36]C["&amp;$A$18&amp;"]",FALSE)</f>
        <v>193.64000000000001</v>
      </c>
      <c r="H26" s="183" cm="1">
        <f t="array" aca="1" ref="H26" ca="1">INDIRECT("R[36]C["&amp;$A$18&amp;"]",FALSE)</f>
        <v>354.65599949362581</v>
      </c>
      <c r="I26" s="183" cm="1">
        <f t="array" aca="1" ref="I26" ca="1">INDIRECT("R[36]C["&amp;$A$18&amp;"]",FALSE)</f>
        <v>170.73333333333335</v>
      </c>
      <c r="J26" s="183" cm="1">
        <f t="array" aca="1" ref="J26" ca="1">INDIRECT("R[36]C["&amp;$A$18&amp;"]",FALSE)</f>
        <v>293.92917934502822</v>
      </c>
      <c r="K26" s="183" cm="1">
        <f t="array" aca="1" ref="K26" ca="1">INDIRECT("R[36]C["&amp;$A$18&amp;"]",FALSE)</f>
        <v>122.21947897794578</v>
      </c>
      <c r="L26" s="183" cm="1">
        <f t="array" aca="1" ref="L26" ca="1">INDIRECT("R[36]C["&amp;$A$18&amp;"]",FALSE)</f>
        <v>300.62599050437262</v>
      </c>
      <c r="M26" s="183" cm="1">
        <f t="array" aca="1" ref="M26" ca="1">INDIRECT("R[36]C["&amp;$A$18&amp;"]",FALSE)</f>
        <v>198.16666666666663</v>
      </c>
      <c r="N26" s="183" cm="1">
        <f t="array" aca="1" ref="N26" ca="1">INDIRECT("R[36]C["&amp;$A$18&amp;"]",FALSE)</f>
        <v>135.63842336953186</v>
      </c>
      <c r="O26" s="183" cm="1">
        <f t="array" aca="1" ref="O26" ca="1">INDIRECT("R[36]C["&amp;$A$18&amp;"]",FALSE)</f>
        <v>51.333333333333336</v>
      </c>
      <c r="P26" s="183"/>
      <c r="Q26" s="183"/>
      <c r="R26" s="115">
        <f ca="1">SUM(C26:Q26)</f>
        <v>2691.6070031707886</v>
      </c>
    </row>
    <row r="27" spans="1:18" ht="15.5" x14ac:dyDescent="0.35">
      <c r="A27" s="121">
        <f>A26</f>
        <v>1</v>
      </c>
      <c r="B27" s="106" t="s">
        <v>258</v>
      </c>
      <c r="C27" s="183" cm="1">
        <f t="array" aca="1" ref="C27" ca="1">INDIRECT("R[36]C["&amp;$A$27&amp;"]",FALSE)</f>
        <v>42.769230769230774</v>
      </c>
      <c r="D27" s="183" cm="1">
        <f t="array" aca="1" ref="D27" ca="1">INDIRECT("R[36]C["&amp;$A$19&amp;"]",FALSE)</f>
        <v>338.31588019823317</v>
      </c>
      <c r="E27" s="183" cm="1">
        <f t="array" aca="1" ref="E27" ca="1">INDIRECT("R[36]C["&amp;$A$19&amp;"]",FALSE)</f>
        <v>267.84615384615381</v>
      </c>
      <c r="F27" s="183" cm="1">
        <f t="array" aca="1" ref="F27" ca="1">INDIRECT("R[36]C["&amp;$A$19&amp;"]",FALSE)</f>
        <v>221.73333333333332</v>
      </c>
      <c r="G27" s="183" cm="1">
        <f t="array" aca="1" ref="G27" ca="1">INDIRECT("R[36]C["&amp;$A$19&amp;"]",FALSE)</f>
        <v>193.64000000000001</v>
      </c>
      <c r="H27" s="183" cm="1">
        <f t="array" aca="1" ref="H27" ca="1">INDIRECT("R[36]C["&amp;$A$19&amp;"]",FALSE)</f>
        <v>354.65599949362581</v>
      </c>
      <c r="I27" s="183" cm="1">
        <f t="array" aca="1" ref="I27" ca="1">INDIRECT("R[36]C["&amp;$A$19&amp;"]",FALSE)</f>
        <v>170.73333333333335</v>
      </c>
      <c r="J27" s="183" cm="1">
        <f t="array" aca="1" ref="J27" ca="1">INDIRECT("R[36]C["&amp;$A$19&amp;"]",FALSE)</f>
        <v>293.92917934502822</v>
      </c>
      <c r="K27" s="183" cm="1">
        <f t="array" aca="1" ref="K27" ca="1">INDIRECT("R[36]C["&amp;$A$19&amp;"]",FALSE)</f>
        <v>122.21947897794578</v>
      </c>
      <c r="L27" s="183" cm="1">
        <f t="array" aca="1" ref="L27" ca="1">INDIRECT("R[36]C["&amp;$A$19&amp;"]",FALSE)</f>
        <v>300.62599050437262</v>
      </c>
      <c r="M27" s="183" cm="1">
        <f t="array" aca="1" ref="M27" ca="1">INDIRECT("R[36]C["&amp;$A$19&amp;"]",FALSE)</f>
        <v>198.16666666666663</v>
      </c>
      <c r="N27" s="183" cm="1">
        <f t="array" aca="1" ref="N27" ca="1">INDIRECT("R[36]C["&amp;$A$19&amp;"]",FALSE)</f>
        <v>135.63842336953186</v>
      </c>
      <c r="O27" s="183" cm="1">
        <f t="array" aca="1" ref="O27" ca="1">INDIRECT("R[36]C["&amp;$A$19&amp;"]",FALSE)</f>
        <v>51.333333333333336</v>
      </c>
      <c r="P27" s="183"/>
      <c r="Q27" s="183"/>
      <c r="R27" s="115">
        <f t="shared" ref="R27:R30" ca="1" si="6">SUM(C27:Q27)</f>
        <v>2691.6070031707886</v>
      </c>
    </row>
    <row r="28" spans="1:18" ht="15.5" x14ac:dyDescent="0.35">
      <c r="A28" s="121">
        <f>Assumptions!C53</f>
        <v>1</v>
      </c>
      <c r="B28" s="106" t="s">
        <v>353</v>
      </c>
      <c r="C28" s="183" cm="1">
        <f t="array" aca="1" ref="C28" ca="1">INDIRECT("R[36]C["&amp;$A$28&amp;"]",FALSE)</f>
        <v>0</v>
      </c>
      <c r="D28" s="183" cm="1">
        <f t="array" aca="1" ref="D28" ca="1">INDIRECT("R[36]C["&amp;$A$28&amp;"]",FALSE)</f>
        <v>0</v>
      </c>
      <c r="E28" s="183" cm="1">
        <f t="array" aca="1" ref="E28" ca="1">INDIRECT("R[36]C["&amp;$A$28&amp;"]",FALSE)</f>
        <v>0</v>
      </c>
      <c r="F28" s="183" cm="1">
        <f t="array" aca="1" ref="F28" ca="1">INDIRECT("R[36]C["&amp;$A$28&amp;"]",FALSE)</f>
        <v>0</v>
      </c>
      <c r="G28" s="183" cm="1">
        <f t="array" aca="1" ref="G28" ca="1">INDIRECT("R[36]C["&amp;$A$28&amp;"]",FALSE)</f>
        <v>0</v>
      </c>
      <c r="H28" s="183" cm="1">
        <f t="array" aca="1" ref="H28" ca="1">INDIRECT("R[36]C["&amp;$A$28&amp;"]",FALSE)</f>
        <v>0</v>
      </c>
      <c r="I28" s="183" cm="1">
        <f t="array" aca="1" ref="I28" ca="1">INDIRECT("R[36]C["&amp;$A$28&amp;"]",FALSE)</f>
        <v>0</v>
      </c>
      <c r="J28" s="183" cm="1">
        <f t="array" aca="1" ref="J28" ca="1">INDIRECT("R[36]C["&amp;$A$28&amp;"]",FALSE)</f>
        <v>0</v>
      </c>
      <c r="K28" s="183" cm="1">
        <f t="array" aca="1" ref="K28" ca="1">INDIRECT("R[36]C["&amp;$A$28&amp;"]",FALSE)</f>
        <v>0</v>
      </c>
      <c r="L28" s="183" cm="1">
        <f t="array" aca="1" ref="L28" ca="1">INDIRECT("R[36]C["&amp;$A$28&amp;"]",FALSE)</f>
        <v>0</v>
      </c>
      <c r="M28" s="183" cm="1">
        <f t="array" aca="1" ref="M28" ca="1">INDIRECT("R[36]C["&amp;$A$28&amp;"]",FALSE)</f>
        <v>0</v>
      </c>
      <c r="N28" s="183" cm="1">
        <f t="array" aca="1" ref="N28" ca="1">INDIRECT("R[36]C["&amp;$A$28&amp;"]",FALSE)</f>
        <v>0</v>
      </c>
      <c r="O28" s="183" cm="1">
        <f t="array" aca="1" ref="O28" ca="1">INDIRECT("R[36]C["&amp;$A$28&amp;"]",FALSE)</f>
        <v>0</v>
      </c>
      <c r="P28" s="183"/>
      <c r="Q28" s="183"/>
      <c r="R28" s="115">
        <f t="shared" ca="1" si="6"/>
        <v>0</v>
      </c>
    </row>
    <row r="29" spans="1:18" ht="15.5" x14ac:dyDescent="0.35">
      <c r="A29" s="121">
        <f>Assumptions!C52</f>
        <v>1</v>
      </c>
      <c r="B29" s="106" t="s">
        <v>117</v>
      </c>
      <c r="C29" s="183" cm="1">
        <f t="array" aca="1" ref="C29" ca="1">INDIRECT("R[36]C["&amp;$A$29&amp;"]",FALSE)</f>
        <v>0</v>
      </c>
      <c r="D29" s="183" cm="1">
        <f t="array" aca="1" ref="D29" ca="1">INDIRECT("R[36]C["&amp;$A$29&amp;"]",FALSE)</f>
        <v>0</v>
      </c>
      <c r="E29" s="183" cm="1">
        <f t="array" aca="1" ref="E29" ca="1">INDIRECT("R[36]C["&amp;$A$29&amp;"]",FALSE)</f>
        <v>0</v>
      </c>
      <c r="F29" s="183" cm="1">
        <f t="array" aca="1" ref="F29" ca="1">INDIRECT("R[36]C["&amp;$A$29&amp;"]",FALSE)</f>
        <v>0</v>
      </c>
      <c r="G29" s="183" cm="1">
        <f t="array" aca="1" ref="G29" ca="1">INDIRECT("R[36]C["&amp;$A$29&amp;"]",FALSE)</f>
        <v>0</v>
      </c>
      <c r="H29" s="183" cm="1">
        <f t="array" aca="1" ref="H29" ca="1">INDIRECT("R[36]C["&amp;$A$29&amp;"]",FALSE)</f>
        <v>0</v>
      </c>
      <c r="I29" s="183" cm="1">
        <f t="array" aca="1" ref="I29" ca="1">INDIRECT("R[36]C["&amp;$A$29&amp;"]",FALSE)</f>
        <v>0</v>
      </c>
      <c r="J29" s="183" cm="1">
        <f t="array" aca="1" ref="J29" ca="1">INDIRECT("R[36]C["&amp;$A$29&amp;"]",FALSE)</f>
        <v>0</v>
      </c>
      <c r="K29" s="183" cm="1">
        <f t="array" aca="1" ref="K29" ca="1">INDIRECT("R[36]C["&amp;$A$29&amp;"]",FALSE)</f>
        <v>0</v>
      </c>
      <c r="L29" s="183" cm="1">
        <f t="array" aca="1" ref="L29" ca="1">INDIRECT("R[36]C["&amp;$A$29&amp;"]",FALSE)</f>
        <v>0</v>
      </c>
      <c r="M29" s="183" cm="1">
        <f t="array" aca="1" ref="M29" ca="1">INDIRECT("R[36]C["&amp;$A$29&amp;"]",FALSE)</f>
        <v>0</v>
      </c>
      <c r="N29" s="183" cm="1">
        <f t="array" aca="1" ref="N29" ca="1">INDIRECT("R[36]C["&amp;$A$29&amp;"]",FALSE)</f>
        <v>0</v>
      </c>
      <c r="O29" s="183" cm="1">
        <f t="array" aca="1" ref="O29" ca="1">INDIRECT("R[36]C["&amp;$A$29&amp;"]",FALSE)</f>
        <v>0</v>
      </c>
      <c r="P29" s="183"/>
      <c r="Q29" s="183"/>
      <c r="R29" s="115">
        <f t="shared" ca="1" si="6"/>
        <v>0</v>
      </c>
    </row>
    <row r="30" spans="1:18" ht="15.5" x14ac:dyDescent="0.35">
      <c r="A30" s="121">
        <f>Assumptions!C54</f>
        <v>1</v>
      </c>
      <c r="B30" s="106" t="s">
        <v>354</v>
      </c>
      <c r="C30" s="183" cm="1">
        <f t="array" aca="1" ref="C30" ca="1">INDIRECT("R[36]C["&amp;$A$30&amp;"]",FALSE)</f>
        <v>2</v>
      </c>
      <c r="D30" s="183" cm="1">
        <f t="array" aca="1" ref="D30" ca="1">INDIRECT("R[36]C["&amp;$A$30&amp;"]",FALSE)</f>
        <v>10</v>
      </c>
      <c r="E30" s="183" cm="1">
        <f t="array" aca="1" ref="E30" ca="1">INDIRECT("R[36]C["&amp;$A$30&amp;"]",FALSE)</f>
        <v>9</v>
      </c>
      <c r="F30" s="183" cm="1">
        <f t="array" aca="1" ref="F30" ca="1">INDIRECT("R[36]C["&amp;$A$30&amp;"]",FALSE)</f>
        <v>7</v>
      </c>
      <c r="G30" s="183" cm="1">
        <f t="array" aca="1" ref="G30" ca="1">INDIRECT("R[36]C["&amp;$A$30&amp;"]",FALSE)</f>
        <v>5</v>
      </c>
      <c r="H30" s="183" cm="1">
        <f t="array" aca="1" ref="H30" ca="1">INDIRECT("R[36]C["&amp;$A$30&amp;"]",FALSE)</f>
        <v>8</v>
      </c>
      <c r="I30" s="183" cm="1">
        <f t="array" aca="1" ref="I30" ca="1">INDIRECT("R[36]C["&amp;$A$30&amp;"]",FALSE)</f>
        <v>5</v>
      </c>
      <c r="J30" s="183" cm="1">
        <f t="array" aca="1" ref="J30" ca="1">INDIRECT("R[36]C["&amp;$A$30&amp;"]",FALSE)</f>
        <v>11</v>
      </c>
      <c r="K30" s="183" cm="1">
        <f t="array" aca="1" ref="K30" ca="1">INDIRECT("R[36]C["&amp;$A$30&amp;"]",FALSE)</f>
        <v>3</v>
      </c>
      <c r="L30" s="183" cm="1">
        <f t="array" aca="1" ref="L30" ca="1">INDIRECT("R[36]C["&amp;$A$30&amp;"]",FALSE)</f>
        <v>10</v>
      </c>
      <c r="M30" s="183" cm="1">
        <f t="array" aca="1" ref="M30" ca="1">INDIRECT("R[36]C["&amp;$A$30&amp;"]",FALSE)</f>
        <v>6</v>
      </c>
      <c r="N30" s="183" cm="1">
        <f t="array" aca="1" ref="N30" ca="1">INDIRECT("R[36]C["&amp;$A$30&amp;"]",FALSE)</f>
        <v>5</v>
      </c>
      <c r="O30" s="183" cm="1">
        <f t="array" aca="1" ref="O30" ca="1">INDIRECT("R[36]C["&amp;$A$30&amp;"]",FALSE)</f>
        <v>2</v>
      </c>
      <c r="P30" s="183"/>
      <c r="Q30" s="183"/>
      <c r="R30" s="115">
        <f t="shared" ca="1" si="6"/>
        <v>83</v>
      </c>
    </row>
    <row r="31" spans="1:18" ht="15.5" x14ac:dyDescent="0.35">
      <c r="A31" s="116"/>
      <c r="B31" s="129" t="s">
        <v>119</v>
      </c>
      <c r="C31" s="184"/>
      <c r="D31" s="180"/>
      <c r="E31" s="180"/>
      <c r="F31" s="180"/>
      <c r="G31" s="180"/>
      <c r="H31" s="180"/>
      <c r="I31" s="180"/>
      <c r="J31" s="180"/>
      <c r="K31" s="180"/>
      <c r="L31" s="180"/>
      <c r="M31" s="180"/>
      <c r="N31" s="180"/>
      <c r="O31" s="180"/>
      <c r="P31" s="180"/>
      <c r="Q31" s="180"/>
      <c r="R31" s="181"/>
    </row>
    <row r="32" spans="1:18" ht="15.5" x14ac:dyDescent="0.35">
      <c r="A32" s="121">
        <f>Assumptions!C48</f>
        <v>2</v>
      </c>
      <c r="B32" s="106" t="s">
        <v>355</v>
      </c>
      <c r="C32" s="183" cm="1">
        <f t="array" aca="1" ref="C32" ca="1">INDIRECT("R[36]C["&amp;$A$32&amp;"]",FALSE)</f>
        <v>10</v>
      </c>
      <c r="D32" s="183" cm="1">
        <f t="array" aca="1" ref="D32" ca="1">INDIRECT("R[36]C["&amp;$A$32&amp;"]",FALSE)</f>
        <v>6</v>
      </c>
      <c r="E32" s="183" cm="1">
        <f t="array" aca="1" ref="E32" ca="1">INDIRECT("R[36]C["&amp;$A$32&amp;"]",FALSE)</f>
        <v>7</v>
      </c>
      <c r="F32" s="183" cm="1">
        <f t="array" aca="1" ref="F32" ca="1">INDIRECT("R[36]C["&amp;$A$32&amp;"]",FALSE)</f>
        <v>5</v>
      </c>
      <c r="G32" s="183" cm="1">
        <f t="array" aca="1" ref="G32" ca="1">INDIRECT("R[36]C["&amp;$A$32&amp;"]",FALSE)</f>
        <v>8</v>
      </c>
      <c r="H32" s="183" cm="1">
        <f t="array" aca="1" ref="H32" ca="1">INDIRECT("R[36]C["&amp;$A$32&amp;"]",FALSE)</f>
        <v>5</v>
      </c>
      <c r="I32" s="183" cm="1">
        <f t="array" aca="1" ref="I32" ca="1">INDIRECT("R[36]C["&amp;$A$32&amp;"]",FALSE)</f>
        <v>8</v>
      </c>
      <c r="J32" s="183" cm="1">
        <f t="array" aca="1" ref="J32" ca="1">INDIRECT("R[36]C["&amp;$A$32&amp;"]",FALSE)</f>
        <v>3</v>
      </c>
      <c r="K32" s="183" cm="1">
        <f t="array" aca="1" ref="K32" ca="1">INDIRECT("R[36]C["&amp;$A$32&amp;"]",FALSE)</f>
        <v>10</v>
      </c>
      <c r="L32" s="183" cm="1">
        <f t="array" aca="1" ref="L32" ca="1">INDIRECT("R[36]C["&amp;$A$32&amp;"]",FALSE)</f>
        <v>6</v>
      </c>
      <c r="M32" s="183" cm="1">
        <f t="array" aca="1" ref="M32" ca="1">INDIRECT("R[36]C["&amp;$A$32&amp;"]",FALSE)</f>
        <v>5</v>
      </c>
      <c r="N32" s="183" cm="1">
        <f t="array" aca="1" ref="N32" ca="1">INDIRECT("R[36]C["&amp;$A$32&amp;"]",FALSE)</f>
        <v>2</v>
      </c>
      <c r="O32" s="183" cm="1">
        <f t="array" aca="1" ref="O32" ca="1">INDIRECT("R[36]C["&amp;$A$32&amp;"]",FALSE)</f>
        <v>0</v>
      </c>
      <c r="P32" s="183"/>
      <c r="Q32" s="183"/>
      <c r="R32" s="115">
        <f ca="1">SUM(C32:Q32)</f>
        <v>75</v>
      </c>
    </row>
    <row r="33" spans="1:19" ht="15.5" x14ac:dyDescent="0.35">
      <c r="A33" s="116"/>
      <c r="B33" s="129" t="s">
        <v>356</v>
      </c>
      <c r="C33" s="184"/>
      <c r="D33" s="184"/>
      <c r="E33" s="184"/>
      <c r="F33" s="184"/>
      <c r="G33" s="184"/>
      <c r="H33" s="184"/>
      <c r="I33" s="184"/>
      <c r="J33" s="184"/>
      <c r="K33" s="184"/>
      <c r="L33" s="184"/>
      <c r="M33" s="184"/>
      <c r="N33" s="184"/>
      <c r="O33" s="184"/>
      <c r="P33" s="184"/>
      <c r="Q33" s="184"/>
      <c r="R33" s="181"/>
    </row>
    <row r="34" spans="1:19" ht="15.5" x14ac:dyDescent="0.35">
      <c r="A34" s="121">
        <f>Assumptions!C49</f>
        <v>1</v>
      </c>
      <c r="B34" s="106" t="s">
        <v>357</v>
      </c>
      <c r="C34" s="183" cm="1">
        <f t="array" aca="1" ref="C34" ca="1">INDIRECT("R[36]C["&amp;$A$34&amp;"]",FALSE)</f>
        <v>125.50240000000001</v>
      </c>
      <c r="D34" s="183" cm="1">
        <f t="array" aca="1" ref="D34" ca="1">INDIRECT("R[36]C["&amp;$A$34&amp;"]",FALSE)</f>
        <v>862.25390096961871</v>
      </c>
      <c r="E34" s="183" cm="1">
        <f t="array" aca="1" ref="E34" ca="1">INDIRECT("R[36]C["&amp;$A$34&amp;"]",FALSE)</f>
        <v>725.58714358974373</v>
      </c>
      <c r="F34" s="183" cm="1">
        <f t="array" aca="1" ref="F34" ca="1">INDIRECT("R[36]C["&amp;$A$34&amp;"]",FALSE)</f>
        <v>520.27304000000004</v>
      </c>
      <c r="G34" s="183" cm="1">
        <f t="array" aca="1" ref="G34" ca="1">INDIRECT("R[36]C["&amp;$A$34&amp;"]",FALSE)</f>
        <v>417.65050133333341</v>
      </c>
      <c r="H34" s="183" cm="1">
        <f t="array" aca="1" ref="H34" ca="1">INDIRECT("R[36]C["&amp;$A$34&amp;"]",FALSE)</f>
        <v>1004.9766712982587</v>
      </c>
      <c r="I34" s="183" cm="1">
        <f t="array" aca="1" ref="I34" ca="1">INDIRECT("R[36]C["&amp;$A$34&amp;"]",FALSE)</f>
        <v>335.84160000000003</v>
      </c>
      <c r="J34" s="183" cm="1">
        <f t="array" aca="1" ref="J34" ca="1">INDIRECT("R[36]C["&amp;$A$34&amp;"]",FALSE)</f>
        <v>954.23567784168199</v>
      </c>
      <c r="K34" s="183" cm="1">
        <f t="array" aca="1" ref="K34" ca="1">INDIRECT("R[36]C["&amp;$A$34&amp;"]",FALSE)</f>
        <v>268.39397583556899</v>
      </c>
      <c r="L34" s="183" cm="1">
        <f t="array" aca="1" ref="L34" ca="1">INDIRECT("R[36]C["&amp;$A$34&amp;"]",FALSE)</f>
        <v>866.85067514760215</v>
      </c>
      <c r="M34" s="183" cm="1">
        <f t="array" aca="1" ref="M34" ca="1">INDIRECT("R[36]C["&amp;$A$34&amp;"]",FALSE)</f>
        <v>435.17399999999998</v>
      </c>
      <c r="N34" s="183" cm="1">
        <f t="array" aca="1" ref="N34" ca="1">INDIRECT("R[36]C["&amp;$A$34&amp;"]",FALSE)</f>
        <v>297.86197771949202</v>
      </c>
      <c r="O34" s="183" cm="1">
        <f t="array" aca="1" ref="O34" ca="1">INDIRECT("R[36]C["&amp;$A$34&amp;"]",FALSE)</f>
        <v>112.72800000000001</v>
      </c>
      <c r="P34" s="183"/>
      <c r="Q34" s="183"/>
      <c r="R34" s="115">
        <f ca="1">SUM(C34:Q34)</f>
        <v>6927.3295637353003</v>
      </c>
    </row>
    <row r="35" spans="1:19" ht="15.5" x14ac:dyDescent="0.35">
      <c r="A35" s="121">
        <f>Assumptions!C50</f>
        <v>1</v>
      </c>
      <c r="B35" s="106" t="s">
        <v>358</v>
      </c>
      <c r="C35" s="183" cm="1">
        <f t="array" aca="1" ref="C35" ca="1">INDIRECT("R[36]C["&amp;$A$35&amp;"]",FALSE)</f>
        <v>256</v>
      </c>
      <c r="D35" s="183" cm="1">
        <f t="array" aca="1" ref="D35" ca="1">INDIRECT("R[36]C["&amp;$A$35&amp;"]",FALSE)</f>
        <v>926.41359999999997</v>
      </c>
      <c r="E35" s="183" cm="1">
        <f t="array" aca="1" ref="E35" ca="1">INDIRECT("R[36]C["&amp;$A$35&amp;"]",FALSE)</f>
        <v>505.5</v>
      </c>
      <c r="F35" s="183" cm="1">
        <f t="array" aca="1" ref="F35" ca="1">INDIRECT("R[36]C["&amp;$A$35&amp;"]",FALSE)</f>
        <v>498.67899999999997</v>
      </c>
      <c r="G35" s="183" cm="1">
        <f t="array" aca="1" ref="G35" ca="1">INDIRECT("R[36]C["&amp;$A$35&amp;"]",FALSE)</f>
        <v>526</v>
      </c>
      <c r="H35" s="183" cm="1">
        <f t="array" aca="1" ref="H35" ca="1">INDIRECT("R[36]C["&amp;$A$35&amp;"]",FALSE)</f>
        <v>658.6653</v>
      </c>
      <c r="I35" s="183" cm="1">
        <f t="array" aca="1" ref="I35" ca="1">INDIRECT("R[36]C["&amp;$A$35&amp;"]",FALSE)</f>
        <v>690.26030000000003</v>
      </c>
      <c r="J35" s="183" cm="1">
        <f t="array" aca="1" ref="J35" ca="1">INDIRECT("R[36]C["&amp;$A$35&amp;"]",FALSE)</f>
        <v>679.90499999999997</v>
      </c>
      <c r="K35" s="183" cm="1">
        <f t="array" aca="1" ref="K35" ca="1">INDIRECT("R[36]C["&amp;$A$35&amp;"]",FALSE)</f>
        <v>363.00000000000006</v>
      </c>
      <c r="L35" s="183" cm="1">
        <f t="array" aca="1" ref="L35" ca="1">INDIRECT("R[36]C["&amp;$A$35&amp;"]",FALSE)</f>
        <v>1402.405</v>
      </c>
      <c r="M35" s="183" cm="1">
        <f t="array" aca="1" ref="M35" ca="1">INDIRECT("R[36]C["&amp;$A$35&amp;"]",FALSE)</f>
        <v>900</v>
      </c>
      <c r="N35" s="183" cm="1">
        <f t="array" aca="1" ref="N35" ca="1">INDIRECT("R[36]C["&amp;$A$35&amp;"]",FALSE)</f>
        <v>672.40499999999997</v>
      </c>
      <c r="O35" s="183" cm="1">
        <f t="array" aca="1" ref="O35" ca="1">INDIRECT("R[36]C["&amp;$A$35&amp;"]",FALSE)</f>
        <v>280</v>
      </c>
      <c r="P35" s="183"/>
      <c r="Q35" s="183"/>
      <c r="R35" s="115">
        <f ca="1">SUM(C35:Q35)</f>
        <v>8359.2331999999988</v>
      </c>
    </row>
    <row r="36" spans="1:19" ht="15.5" x14ac:dyDescent="0.35">
      <c r="A36" s="116"/>
      <c r="B36" s="129"/>
      <c r="C36" s="179"/>
      <c r="D36" s="179"/>
      <c r="E36" s="179"/>
      <c r="F36" s="179"/>
      <c r="G36" s="179"/>
      <c r="H36" s="179"/>
      <c r="I36" s="179"/>
      <c r="J36" s="179"/>
      <c r="K36" s="179"/>
      <c r="L36" s="179"/>
      <c r="M36" s="179"/>
      <c r="N36" s="179"/>
      <c r="O36" s="179"/>
      <c r="P36" s="179"/>
      <c r="Q36" s="179"/>
      <c r="R36" s="181"/>
    </row>
    <row r="37" spans="1:19" ht="15.5" x14ac:dyDescent="0.35">
      <c r="A37" s="116"/>
      <c r="B37" s="116"/>
      <c r="C37" s="116"/>
      <c r="D37" s="115"/>
      <c r="E37" s="115"/>
      <c r="F37" s="115"/>
      <c r="G37" s="115"/>
      <c r="H37" s="115"/>
      <c r="I37" s="115"/>
      <c r="J37" s="115"/>
      <c r="K37" s="115"/>
      <c r="L37" s="115"/>
      <c r="M37" s="115"/>
      <c r="N37" s="115"/>
      <c r="O37" s="115"/>
      <c r="P37" s="115"/>
      <c r="Q37" s="115"/>
      <c r="R37" s="115"/>
    </row>
    <row r="38" spans="1:19" ht="15.5" x14ac:dyDescent="0.35">
      <c r="A38" s="116"/>
      <c r="B38" s="116"/>
      <c r="C38" s="116"/>
      <c r="D38" s="115"/>
      <c r="E38" s="115"/>
      <c r="F38" s="115"/>
      <c r="G38" s="115"/>
      <c r="H38" s="115"/>
      <c r="I38" s="115"/>
      <c r="J38" s="115"/>
      <c r="K38" s="115"/>
      <c r="L38" s="115"/>
      <c r="M38" s="115"/>
      <c r="N38" s="115"/>
      <c r="O38" s="115"/>
      <c r="P38" s="115"/>
      <c r="Q38" s="115"/>
      <c r="R38" s="115"/>
    </row>
    <row r="39" spans="1:19" ht="15.5" x14ac:dyDescent="0.35">
      <c r="A39" s="116"/>
      <c r="B39" s="116" t="s">
        <v>235</v>
      </c>
      <c r="C39" s="116"/>
      <c r="D39" s="115"/>
      <c r="E39" s="115"/>
      <c r="F39" s="115"/>
      <c r="G39" s="115"/>
      <c r="H39" s="115"/>
      <c r="I39" s="115"/>
      <c r="J39" s="115"/>
      <c r="K39" s="115"/>
      <c r="L39" s="115"/>
      <c r="M39" s="115"/>
      <c r="N39" s="115"/>
      <c r="O39" s="115"/>
      <c r="P39" s="115"/>
      <c r="Q39" s="115"/>
      <c r="R39" s="115"/>
    </row>
    <row r="40" spans="1:19" ht="15.5" x14ac:dyDescent="0.35">
      <c r="A40" s="116"/>
      <c r="B40" s="116"/>
      <c r="C40" s="116"/>
      <c r="D40" s="115"/>
      <c r="E40" s="115"/>
      <c r="F40" s="115"/>
      <c r="G40" s="115"/>
      <c r="H40" s="115"/>
      <c r="I40" s="115"/>
      <c r="J40" s="115"/>
      <c r="K40" s="115"/>
      <c r="L40" s="115"/>
      <c r="M40" s="115"/>
      <c r="N40" s="115"/>
      <c r="O40" s="115"/>
      <c r="P40" s="115"/>
      <c r="Q40" s="115"/>
      <c r="R40" s="115"/>
    </row>
    <row r="41" spans="1:19" ht="15.5" x14ac:dyDescent="0.35">
      <c r="A41" s="116"/>
      <c r="B41" s="116"/>
      <c r="C41" s="116"/>
      <c r="D41" s="115"/>
      <c r="E41" s="115"/>
      <c r="F41" s="115"/>
      <c r="G41" s="115"/>
      <c r="H41" s="115"/>
      <c r="I41" s="115"/>
      <c r="J41" s="115"/>
      <c r="K41" s="115"/>
      <c r="L41" s="115"/>
      <c r="M41" s="115"/>
      <c r="N41" s="115"/>
      <c r="O41" s="115"/>
      <c r="P41" s="115"/>
      <c r="Q41" s="115"/>
      <c r="R41" s="115"/>
    </row>
    <row r="42" spans="1:19" ht="15.5" x14ac:dyDescent="0.35">
      <c r="A42" s="116"/>
      <c r="B42" s="116"/>
      <c r="C42" s="116"/>
      <c r="D42" s="116"/>
      <c r="E42" s="116"/>
      <c r="F42" s="116"/>
      <c r="G42" s="116"/>
      <c r="H42" s="116"/>
      <c r="I42" s="116"/>
      <c r="J42" s="116"/>
      <c r="K42" s="116"/>
      <c r="L42" s="116"/>
      <c r="M42" s="116"/>
      <c r="N42" s="116"/>
      <c r="O42" s="116"/>
      <c r="P42" s="116"/>
      <c r="Q42" s="116"/>
      <c r="R42" s="115"/>
    </row>
    <row r="43" spans="1:19" ht="15.5" x14ac:dyDescent="0.35">
      <c r="A43" s="116"/>
      <c r="B43" s="116"/>
      <c r="C43" s="116"/>
      <c r="D43" s="116"/>
      <c r="E43" s="116"/>
      <c r="F43" s="116"/>
      <c r="G43" s="116"/>
      <c r="H43" s="116"/>
      <c r="I43" s="116"/>
      <c r="J43" s="116"/>
      <c r="K43" s="116"/>
      <c r="L43" s="116"/>
      <c r="M43" s="116"/>
      <c r="N43" s="116"/>
      <c r="O43" s="116"/>
      <c r="P43" s="116"/>
      <c r="Q43" s="116"/>
      <c r="R43" s="115"/>
    </row>
    <row r="44" spans="1:19" ht="15.5" x14ac:dyDescent="0.35">
      <c r="A44" s="116"/>
      <c r="B44" s="120" t="s">
        <v>193</v>
      </c>
      <c r="C44" s="120"/>
      <c r="D44" s="116"/>
      <c r="E44" s="116"/>
      <c r="F44" s="116"/>
      <c r="G44" s="116"/>
      <c r="H44" s="116"/>
      <c r="I44" s="116"/>
      <c r="J44" s="116"/>
      <c r="K44" s="116"/>
      <c r="L44" s="116"/>
      <c r="M44" s="116"/>
      <c r="N44" s="116"/>
      <c r="O44" s="116"/>
      <c r="P44" s="116"/>
      <c r="Q44" s="116"/>
      <c r="R44" s="115"/>
    </row>
    <row r="45" spans="1:19" ht="15.5" x14ac:dyDescent="0.35">
      <c r="A45" s="116"/>
      <c r="B45" s="129" t="s">
        <v>112</v>
      </c>
      <c r="C45" s="180">
        <f ca="1">SUM(C46:C48)</f>
        <v>0</v>
      </c>
      <c r="D45" s="180">
        <f t="shared" ref="D45:Q45" ca="1" si="7">SUM(D46:D48)</f>
        <v>42.769230769230774</v>
      </c>
      <c r="E45" s="180">
        <f t="shared" ca="1" si="7"/>
        <v>338.31588019823317</v>
      </c>
      <c r="F45" s="180">
        <f t="shared" ca="1" si="7"/>
        <v>289.84615384615381</v>
      </c>
      <c r="G45" s="180">
        <f t="shared" ca="1" si="7"/>
        <v>243.73333333333332</v>
      </c>
      <c r="H45" s="180">
        <f t="shared" ca="1" si="7"/>
        <v>193.64</v>
      </c>
      <c r="I45" s="180">
        <f t="shared" ca="1" si="7"/>
        <v>375.06625590388217</v>
      </c>
      <c r="J45" s="180">
        <f t="shared" ca="1" si="7"/>
        <v>152.93333333333334</v>
      </c>
      <c r="K45" s="180">
        <f t="shared" ca="1" si="7"/>
        <v>315.26251267836159</v>
      </c>
      <c r="L45" s="180">
        <f t="shared" ca="1" si="7"/>
        <v>166.78543772010551</v>
      </c>
      <c r="M45" s="180">
        <f t="shared" ca="1" si="7"/>
        <v>300.62599050437262</v>
      </c>
      <c r="N45" s="180">
        <f t="shared" ca="1" si="7"/>
        <v>198.16666666666666</v>
      </c>
      <c r="O45" s="180">
        <f t="shared" ca="1" si="7"/>
        <v>135.63842336953189</v>
      </c>
      <c r="P45" s="180">
        <f t="shared" ca="1" si="7"/>
        <v>51.333333333333336</v>
      </c>
      <c r="Q45" s="180">
        <f t="shared" si="7"/>
        <v>0</v>
      </c>
      <c r="R45" s="181">
        <f ca="1">SUM(C45:Q45)</f>
        <v>2804.1165516565384</v>
      </c>
    </row>
    <row r="46" spans="1:19" ht="15.5" x14ac:dyDescent="0.35">
      <c r="A46" s="121">
        <f>Assumptions!C55</f>
        <v>1</v>
      </c>
      <c r="B46" s="123">
        <v>12</v>
      </c>
      <c r="C46" s="183" cm="1">
        <f t="array" aca="1" ref="C46" ca="1">INDIRECT("R[40]C["&amp;$A$46&amp;"]",FALSE)</f>
        <v>0</v>
      </c>
      <c r="D46" s="183" cm="1">
        <f t="array" aca="1" ref="D46" ca="1">INDIRECT("R[40]C["&amp;$A$46&amp;"]",FALSE)</f>
        <v>42.769230769230774</v>
      </c>
      <c r="E46" s="183" cm="1">
        <f t="array" aca="1" ref="E46" ca="1">INDIRECT("R[40]C["&amp;$A$46&amp;"]",FALSE)</f>
        <v>261.79487179487182</v>
      </c>
      <c r="F46" s="183" cm="1">
        <f t="array" aca="1" ref="F46" ca="1">INDIRECT("R[40]C["&amp;$A$46&amp;"]",FALSE)</f>
        <v>187.5128205128205</v>
      </c>
      <c r="G46" s="183" cm="1">
        <f t="array" aca="1" ref="G46" ca="1">INDIRECT("R[40]C["&amp;$A$46&amp;"]",FALSE)</f>
        <v>60.666666666666664</v>
      </c>
      <c r="H46" s="183" cm="1">
        <f t="array" aca="1" ref="H46" ca="1">INDIRECT("R[40]C["&amp;$A$46&amp;"]",FALSE)</f>
        <v>0</v>
      </c>
      <c r="I46" s="183" cm="1">
        <f t="array" aca="1" ref="I46" ca="1">INDIRECT("R[40]C["&amp;$A$46&amp;"]",FALSE)</f>
        <v>0</v>
      </c>
      <c r="J46" s="183" cm="1">
        <f t="array" aca="1" ref="J46" ca="1">INDIRECT("R[40]C["&amp;$A$46&amp;"]",FALSE)</f>
        <v>0</v>
      </c>
      <c r="K46" s="183" cm="1">
        <f t="array" aca="1" ref="K46" ca="1">INDIRECT("R[40]C["&amp;$A$46&amp;"]",FALSE)</f>
        <v>0</v>
      </c>
      <c r="L46" s="183" cm="1">
        <f t="array" aca="1" ref="L46" ca="1">INDIRECT("R[40]C["&amp;$A$46&amp;"]",FALSE)</f>
        <v>0</v>
      </c>
      <c r="M46" s="183" cm="1">
        <f t="array" aca="1" ref="M46" ca="1">INDIRECT("R[40]C["&amp;$A$46&amp;"]",FALSE)</f>
        <v>0</v>
      </c>
      <c r="N46" s="183" cm="1">
        <f t="array" aca="1" ref="N46" ca="1">INDIRECT("R[40]C["&amp;$A$46&amp;"]",FALSE)</f>
        <v>0</v>
      </c>
      <c r="O46" s="183" cm="1">
        <f t="array" aca="1" ref="O46" ca="1">INDIRECT("R[40]C["&amp;$A$46&amp;"]",FALSE)</f>
        <v>0</v>
      </c>
      <c r="P46" s="183" cm="1">
        <f t="array" aca="1" ref="P46" ca="1">INDIRECT("R[40]C["&amp;$A$46&amp;"]",FALSE)</f>
        <v>0</v>
      </c>
      <c r="Q46" s="116"/>
      <c r="R46" s="115">
        <f ca="1">SUM(D46:P46)</f>
        <v>552.74358974358972</v>
      </c>
    </row>
    <row r="47" spans="1:19" ht="15.5" x14ac:dyDescent="0.35">
      <c r="A47" s="121">
        <f>A46</f>
        <v>1</v>
      </c>
      <c r="B47" s="123">
        <v>15</v>
      </c>
      <c r="C47" s="183" cm="1">
        <f t="array" aca="1" ref="C47" ca="1">INDIRECT("R[40]C["&amp;$A$46&amp;"]",FALSE)</f>
        <v>0</v>
      </c>
      <c r="D47" s="183" cm="1">
        <f t="array" aca="1" ref="D47" ca="1">INDIRECT("R[40]C["&amp;$A$46&amp;"]",FALSE)</f>
        <v>0</v>
      </c>
      <c r="E47" s="183" cm="1">
        <f t="array" aca="1" ref="E47" ca="1">INDIRECT("R[40]C["&amp;$A$46&amp;"]",FALSE)</f>
        <v>76.52100840336135</v>
      </c>
      <c r="F47" s="183" cm="1">
        <f t="array" aca="1" ref="F47" ca="1">INDIRECT("R[40]C["&amp;$A$46&amp;"]",FALSE)</f>
        <v>102.33333333333334</v>
      </c>
      <c r="G47" s="183" cm="1">
        <f t="array" aca="1" ref="G47" ca="1">INDIRECT("R[40]C["&amp;$A$46&amp;"]",FALSE)</f>
        <v>183.06666666666666</v>
      </c>
      <c r="H47" s="183" cm="1">
        <f t="array" aca="1" ref="H47" ca="1">INDIRECT("R[40]C["&amp;$A$46&amp;"]",FALSE)</f>
        <v>193.64</v>
      </c>
      <c r="I47" s="183" cm="1">
        <f t="array" aca="1" ref="I47" ca="1">INDIRECT("R[40]C["&amp;$A$46&amp;"]",FALSE)</f>
        <v>375.06625590388217</v>
      </c>
      <c r="J47" s="183" cm="1">
        <f t="array" aca="1" ref="J47" ca="1">INDIRECT("R[40]C["&amp;$A$46&amp;"]",FALSE)</f>
        <v>152.93333333333334</v>
      </c>
      <c r="K47" s="183" cm="1">
        <f t="array" aca="1" ref="K47" ca="1">INDIRECT("R[40]C["&amp;$A$46&amp;"]",FALSE)</f>
        <v>315.26251267836159</v>
      </c>
      <c r="L47" s="183" cm="1">
        <f t="array" aca="1" ref="L47" ca="1">INDIRECT("R[40]C["&amp;$A$46&amp;"]",FALSE)</f>
        <v>0</v>
      </c>
      <c r="M47" s="183" cm="1">
        <f t="array" aca="1" ref="M47" ca="1">INDIRECT("R[40]C["&amp;$A$46&amp;"]",FALSE)</f>
        <v>0</v>
      </c>
      <c r="N47" s="183" cm="1">
        <f t="array" aca="1" ref="N47" ca="1">INDIRECT("R[40]C["&amp;$A$46&amp;"]",FALSE)</f>
        <v>0</v>
      </c>
      <c r="O47" s="183" cm="1">
        <f t="array" aca="1" ref="O47" ca="1">INDIRECT("R[40]C["&amp;$A$46&amp;"]",FALSE)</f>
        <v>0</v>
      </c>
      <c r="P47" s="183" cm="1">
        <f t="array" aca="1" ref="P47" ca="1">INDIRECT("R[40]C["&amp;$A$46&amp;"]",FALSE)</f>
        <v>0</v>
      </c>
      <c r="Q47" s="116"/>
      <c r="R47" s="115">
        <f ca="1">SUM(D47:P47)</f>
        <v>1398.8231103189385</v>
      </c>
    </row>
    <row r="48" spans="1:19" ht="15.5" x14ac:dyDescent="0.35">
      <c r="A48" s="121">
        <f>A47</f>
        <v>1</v>
      </c>
      <c r="B48" s="123">
        <v>18</v>
      </c>
      <c r="C48" s="183" cm="1">
        <f t="array" aca="1" ref="C48" ca="1">INDIRECT("R[40]C["&amp;$A$46&amp;"]",FALSE)</f>
        <v>0</v>
      </c>
      <c r="D48" s="183" cm="1">
        <f t="array" aca="1" ref="D48" ca="1">INDIRECT("R[40]C["&amp;$A$46&amp;"]",FALSE)</f>
        <v>0</v>
      </c>
      <c r="E48" s="183" cm="1">
        <f t="array" aca="1" ref="E48" ca="1">INDIRECT("R[40]C["&amp;$A$46&amp;"]",FALSE)</f>
        <v>0</v>
      </c>
      <c r="F48" s="183" cm="1">
        <f t="array" aca="1" ref="F48" ca="1">INDIRECT("R[40]C["&amp;$A$46&amp;"]",FALSE)</f>
        <v>0</v>
      </c>
      <c r="G48" s="183" cm="1">
        <f t="array" aca="1" ref="G48" ca="1">INDIRECT("R[40]C["&amp;$A$46&amp;"]",FALSE)</f>
        <v>0</v>
      </c>
      <c r="H48" s="183" cm="1">
        <f t="array" aca="1" ref="H48" ca="1">INDIRECT("R[40]C["&amp;$A$46&amp;"]",FALSE)</f>
        <v>0</v>
      </c>
      <c r="I48" s="183" cm="1">
        <f t="array" aca="1" ref="I48" ca="1">INDIRECT("R[40]C["&amp;$A$46&amp;"]",FALSE)</f>
        <v>0</v>
      </c>
      <c r="J48" s="183" cm="1">
        <f t="array" aca="1" ref="J48" ca="1">INDIRECT("R[40]C["&amp;$A$46&amp;"]",FALSE)</f>
        <v>0</v>
      </c>
      <c r="K48" s="183" cm="1">
        <f t="array" aca="1" ref="K48" ca="1">INDIRECT("R[40]C["&amp;$A$46&amp;"]",FALSE)</f>
        <v>0</v>
      </c>
      <c r="L48" s="183" cm="1">
        <f t="array" aca="1" ref="L48" ca="1">INDIRECT("R[40]C["&amp;$A$46&amp;"]",FALSE)</f>
        <v>166.78543772010551</v>
      </c>
      <c r="M48" s="183" cm="1">
        <f t="array" aca="1" ref="M48" ca="1">INDIRECT("R[40]C["&amp;$A$46&amp;"]",FALSE)</f>
        <v>300.62599050437262</v>
      </c>
      <c r="N48" s="183" cm="1">
        <f t="array" aca="1" ref="N48" ca="1">INDIRECT("R[40]C["&amp;$A$46&amp;"]",FALSE)</f>
        <v>198.16666666666666</v>
      </c>
      <c r="O48" s="183" cm="1">
        <f t="array" aca="1" ref="O48" ca="1">INDIRECT("R[40]C["&amp;$A$46&amp;"]",FALSE)</f>
        <v>135.63842336953189</v>
      </c>
      <c r="P48" s="183" cm="1">
        <f t="array" aca="1" ref="P48" ca="1">INDIRECT("R[40]C["&amp;$A$46&amp;"]",FALSE)</f>
        <v>51.333333333333336</v>
      </c>
      <c r="Q48" s="116"/>
      <c r="R48" s="115">
        <f ca="1">SUM(D48:P48)</f>
        <v>852.54985159401008</v>
      </c>
      <c r="S48" t="s">
        <v>91</v>
      </c>
    </row>
    <row r="49" spans="1:18" ht="15.5" x14ac:dyDescent="0.35">
      <c r="A49" s="116"/>
      <c r="B49" s="129" t="s">
        <v>351</v>
      </c>
      <c r="C49" s="179"/>
      <c r="D49" s="179"/>
      <c r="E49" s="179"/>
      <c r="F49" s="179"/>
      <c r="G49" s="179"/>
      <c r="H49" s="179"/>
      <c r="I49" s="179"/>
      <c r="J49" s="179"/>
      <c r="K49" s="179"/>
      <c r="L49" s="179"/>
      <c r="M49" s="179"/>
      <c r="N49" s="179"/>
      <c r="O49" s="179"/>
      <c r="P49" s="179"/>
      <c r="Q49" s="179"/>
      <c r="R49" s="181"/>
    </row>
    <row r="50" spans="1:18" ht="15.5" x14ac:dyDescent="0.35">
      <c r="A50" s="121">
        <f>A48</f>
        <v>1</v>
      </c>
      <c r="B50" s="123">
        <v>12</v>
      </c>
      <c r="C50" s="183" cm="1">
        <f t="array" aca="1" ref="C50" ca="1">INDIRECT("R[40]C["&amp;$A$50&amp;"]",FALSE)</f>
        <v>0</v>
      </c>
      <c r="D50" s="183" cm="1">
        <f t="array" aca="1" ref="D50" ca="1">INDIRECT("R[40]C["&amp;$A$50&amp;"]",FALSE)</f>
        <v>128.30769230769232</v>
      </c>
      <c r="E50" s="183" cm="1">
        <f t="array" aca="1" ref="E50" ca="1">INDIRECT("R[40]C["&amp;$A$50&amp;"]",FALSE)</f>
        <v>785.38461538461547</v>
      </c>
      <c r="F50" s="183" cm="1">
        <f t="array" aca="1" ref="F50" ca="1">INDIRECT("R[40]C["&amp;$A$50&amp;"]",FALSE)</f>
        <v>562.53846153846143</v>
      </c>
      <c r="G50" s="183" cm="1">
        <f t="array" aca="1" ref="G50" ca="1">INDIRECT("R[40]C["&amp;$A$50&amp;"]",FALSE)</f>
        <v>182</v>
      </c>
      <c r="H50" s="183" cm="1">
        <f t="array" aca="1" ref="H50" ca="1">INDIRECT("R[40]C["&amp;$A$50&amp;"]",FALSE)</f>
        <v>0</v>
      </c>
      <c r="I50" s="183" cm="1">
        <f t="array" aca="1" ref="I50" ca="1">INDIRECT("R[40]C["&amp;$A$50&amp;"]",FALSE)</f>
        <v>0</v>
      </c>
      <c r="J50" s="183" cm="1">
        <f t="array" aca="1" ref="J50" ca="1">INDIRECT("R[40]C["&amp;$A$50&amp;"]",FALSE)</f>
        <v>0</v>
      </c>
      <c r="K50" s="183" cm="1">
        <f t="array" aca="1" ref="K50" ca="1">INDIRECT("R[40]C["&amp;$A$50&amp;"]",FALSE)</f>
        <v>0</v>
      </c>
      <c r="L50" s="183" cm="1">
        <f t="array" aca="1" ref="L50" ca="1">INDIRECT("R[40]C["&amp;$A$50&amp;"]",FALSE)</f>
        <v>0</v>
      </c>
      <c r="M50" s="183" cm="1">
        <f t="array" aca="1" ref="M50" ca="1">INDIRECT("R[40]C["&amp;$A$50&amp;"]",FALSE)</f>
        <v>0</v>
      </c>
      <c r="N50" s="183" cm="1">
        <f t="array" aca="1" ref="N50" ca="1">INDIRECT("R[40]C["&amp;$A$50&amp;"]",FALSE)</f>
        <v>0</v>
      </c>
      <c r="O50" s="183" cm="1">
        <f t="array" aca="1" ref="O50" ca="1">INDIRECT("R[40]C["&amp;$A$50&amp;"]",FALSE)</f>
        <v>0</v>
      </c>
      <c r="P50" s="183" cm="1">
        <f t="array" aca="1" ref="P50" ca="1">INDIRECT("R[40]C["&amp;$A$50&amp;"]",FALSE)</f>
        <v>0</v>
      </c>
      <c r="Q50" s="115"/>
      <c r="R50" s="115">
        <f ca="1">SUM(D50:P50)</f>
        <v>1658.2307692307693</v>
      </c>
    </row>
    <row r="51" spans="1:18" ht="15.5" x14ac:dyDescent="0.35">
      <c r="A51" s="121">
        <f>A50</f>
        <v>1</v>
      </c>
      <c r="B51" s="123">
        <v>15</v>
      </c>
      <c r="C51" s="183" cm="1">
        <f t="array" aca="1" ref="C51" ca="1">INDIRECT("R[40]C["&amp;$A$50&amp;"]",FALSE)</f>
        <v>0</v>
      </c>
      <c r="D51" s="183" cm="1">
        <f t="array" aca="1" ref="D51" ca="1">INDIRECT("R[40]C["&amp;$A$50&amp;"]",FALSE)</f>
        <v>0</v>
      </c>
      <c r="E51" s="183" cm="1">
        <f t="array" aca="1" ref="E51" ca="1">INDIRECT("R[40]C["&amp;$A$50&amp;"]",FALSE)</f>
        <v>229.56302521008405</v>
      </c>
      <c r="F51" s="183" cm="1">
        <f t="array" aca="1" ref="F51" ca="1">INDIRECT("R[40]C["&amp;$A$50&amp;"]",FALSE)</f>
        <v>307</v>
      </c>
      <c r="G51" s="183" cm="1">
        <f t="array" aca="1" ref="G51" ca="1">INDIRECT("R[40]C["&amp;$A$50&amp;"]",FALSE)</f>
        <v>549.20000000000005</v>
      </c>
      <c r="H51" s="183" cm="1">
        <f t="array" aca="1" ref="H51" ca="1">INDIRECT("R[40]C["&amp;$A$50&amp;"]",FALSE)</f>
        <v>580.91999999999996</v>
      </c>
      <c r="I51" s="183" cm="1">
        <f t="array" aca="1" ref="I51" ca="1">INDIRECT("R[40]C["&amp;$A$50&amp;"]",FALSE)</f>
        <v>1125.1987677116465</v>
      </c>
      <c r="J51" s="183" cm="1">
        <f t="array" aca="1" ref="J51" ca="1">INDIRECT("R[40]C["&amp;$A$50&amp;"]",FALSE)</f>
        <v>458.8</v>
      </c>
      <c r="K51" s="183" cm="1">
        <f t="array" aca="1" ref="K51" ca="1">INDIRECT("R[40]C["&amp;$A$50&amp;"]",FALSE)</f>
        <v>945.78753803508471</v>
      </c>
      <c r="L51" s="183" cm="1">
        <f t="array" aca="1" ref="L51" ca="1">INDIRECT("R[40]C["&amp;$A$50&amp;"]",FALSE)</f>
        <v>0</v>
      </c>
      <c r="M51" s="183" cm="1">
        <f t="array" aca="1" ref="M51" ca="1">INDIRECT("R[40]C["&amp;$A$50&amp;"]",FALSE)</f>
        <v>0</v>
      </c>
      <c r="N51" s="183" cm="1">
        <f t="array" aca="1" ref="N51" ca="1">INDIRECT("R[40]C["&amp;$A$50&amp;"]",FALSE)</f>
        <v>0</v>
      </c>
      <c r="O51" s="183" cm="1">
        <f t="array" aca="1" ref="O51" ca="1">INDIRECT("R[40]C["&amp;$A$50&amp;"]",FALSE)</f>
        <v>0</v>
      </c>
      <c r="P51" s="183" cm="1">
        <f t="array" aca="1" ref="P51" ca="1">INDIRECT("R[40]C["&amp;$A$50&amp;"]",FALSE)</f>
        <v>0</v>
      </c>
      <c r="Q51" s="115"/>
      <c r="R51" s="115">
        <f ca="1">SUM(D51:P51)</f>
        <v>4196.4693309568156</v>
      </c>
    </row>
    <row r="52" spans="1:18" ht="15.5" x14ac:dyDescent="0.35">
      <c r="A52" s="121">
        <f>A51</f>
        <v>1</v>
      </c>
      <c r="B52" s="123">
        <v>18</v>
      </c>
      <c r="C52" s="183" cm="1">
        <f t="array" aca="1" ref="C52" ca="1">INDIRECT("R[40]C["&amp;$A$50&amp;"]",FALSE)</f>
        <v>0</v>
      </c>
      <c r="D52" s="183" cm="1">
        <f t="array" aca="1" ref="D52" ca="1">INDIRECT("R[40]C["&amp;$A$50&amp;"]",FALSE)</f>
        <v>0</v>
      </c>
      <c r="E52" s="183" cm="1">
        <f t="array" aca="1" ref="E52" ca="1">INDIRECT("R[40]C["&amp;$A$50&amp;"]",FALSE)</f>
        <v>0</v>
      </c>
      <c r="F52" s="183" cm="1">
        <f t="array" aca="1" ref="F52" ca="1">INDIRECT("R[40]C["&amp;$A$50&amp;"]",FALSE)</f>
        <v>0</v>
      </c>
      <c r="G52" s="183" cm="1">
        <f t="array" aca="1" ref="G52" ca="1">INDIRECT("R[40]C["&amp;$A$50&amp;"]",FALSE)</f>
        <v>0</v>
      </c>
      <c r="H52" s="183" cm="1">
        <f t="array" aca="1" ref="H52" ca="1">INDIRECT("R[40]C["&amp;$A$50&amp;"]",FALSE)</f>
        <v>0</v>
      </c>
      <c r="I52" s="183" cm="1">
        <f t="array" aca="1" ref="I52" ca="1">INDIRECT("R[40]C["&amp;$A$50&amp;"]",FALSE)</f>
        <v>0</v>
      </c>
      <c r="J52" s="183" cm="1">
        <f t="array" aca="1" ref="J52" ca="1">INDIRECT("R[40]C["&amp;$A$50&amp;"]",FALSE)</f>
        <v>0</v>
      </c>
      <c r="K52" s="183" cm="1">
        <f t="array" aca="1" ref="K52" ca="1">INDIRECT("R[40]C["&amp;$A$50&amp;"]",FALSE)</f>
        <v>0</v>
      </c>
      <c r="L52" s="183" cm="1">
        <f t="array" aca="1" ref="L52" ca="1">INDIRECT("R[40]C["&amp;$A$50&amp;"]",FALSE)</f>
        <v>500.35631316031652</v>
      </c>
      <c r="M52" s="183" cm="1">
        <f t="array" aca="1" ref="M52" ca="1">INDIRECT("R[40]C["&amp;$A$50&amp;"]",FALSE)</f>
        <v>901.87797151311793</v>
      </c>
      <c r="N52" s="183" cm="1">
        <f t="array" aca="1" ref="N52" ca="1">INDIRECT("R[40]C["&amp;$A$50&amp;"]",FALSE)</f>
        <v>594.5</v>
      </c>
      <c r="O52" s="183" cm="1">
        <f t="array" aca="1" ref="O52" ca="1">INDIRECT("R[40]C["&amp;$A$50&amp;"]",FALSE)</f>
        <v>406.91527010859568</v>
      </c>
      <c r="P52" s="183" cm="1">
        <f t="array" aca="1" ref="P52" ca="1">INDIRECT("R[40]C["&amp;$A$50&amp;"]",FALSE)</f>
        <v>154</v>
      </c>
      <c r="Q52" s="115"/>
      <c r="R52" s="115">
        <f ca="1">SUM(D52:P52)</f>
        <v>2557.6495547820305</v>
      </c>
    </row>
    <row r="53" spans="1:18" ht="15.5" x14ac:dyDescent="0.35">
      <c r="A53" s="116"/>
      <c r="B53" s="129" t="s">
        <v>114</v>
      </c>
      <c r="C53" s="179"/>
      <c r="D53" s="179"/>
      <c r="E53" s="179"/>
      <c r="F53" s="179"/>
      <c r="G53" s="179"/>
      <c r="H53" s="179"/>
      <c r="I53" s="179"/>
      <c r="J53" s="179"/>
      <c r="K53" s="179"/>
      <c r="L53" s="179"/>
      <c r="M53" s="179"/>
      <c r="N53" s="179"/>
      <c r="O53" s="179"/>
      <c r="P53" s="179"/>
      <c r="Q53" s="179"/>
      <c r="R53" s="181"/>
    </row>
    <row r="54" spans="1:18" ht="15.5" x14ac:dyDescent="0.35">
      <c r="A54" s="121">
        <f>A52</f>
        <v>1</v>
      </c>
      <c r="B54" s="123">
        <v>12</v>
      </c>
      <c r="C54" s="183" cm="1">
        <f t="array" aca="1" ref="C54" ca="1">INDIRECT("R[40]C["&amp;$A$46&amp;"]",FALSE)</f>
        <v>0</v>
      </c>
      <c r="D54" s="183" cm="1">
        <f t="array" aca="1" ref="D54" ca="1">INDIRECT("R[40]C["&amp;$A$46&amp;"]",FALSE)</f>
        <v>42.769230769230774</v>
      </c>
      <c r="E54" s="183" cm="1">
        <f t="array" aca="1" ref="E54" ca="1">INDIRECT("R[40]C["&amp;$A$46&amp;"]",FALSE)</f>
        <v>261.79487179487182</v>
      </c>
      <c r="F54" s="183" cm="1">
        <f t="array" aca="1" ref="F54" ca="1">INDIRECT("R[40]C["&amp;$A$46&amp;"]",FALSE)</f>
        <v>187.5128205128205</v>
      </c>
      <c r="G54" s="183" cm="1">
        <f t="array" aca="1" ref="G54" ca="1">INDIRECT("R[40]C["&amp;$A$46&amp;"]",FALSE)</f>
        <v>60.666666666666664</v>
      </c>
      <c r="H54" s="183" cm="1">
        <f t="array" aca="1" ref="H54" ca="1">INDIRECT("R[40]C["&amp;$A$46&amp;"]",FALSE)</f>
        <v>0</v>
      </c>
      <c r="I54" s="183" cm="1">
        <f t="array" aca="1" ref="I54" ca="1">INDIRECT("R[40]C["&amp;$A$46&amp;"]",FALSE)</f>
        <v>0</v>
      </c>
      <c r="J54" s="183" cm="1">
        <f t="array" aca="1" ref="J54" ca="1">INDIRECT("R[40]C["&amp;$A$46&amp;"]",FALSE)</f>
        <v>0</v>
      </c>
      <c r="K54" s="183" cm="1">
        <f t="array" aca="1" ref="K54" ca="1">INDIRECT("R[40]C["&amp;$A$46&amp;"]",FALSE)</f>
        <v>0</v>
      </c>
      <c r="L54" s="183" cm="1">
        <f t="array" aca="1" ref="L54" ca="1">INDIRECT("R[40]C["&amp;$A$46&amp;"]",FALSE)</f>
        <v>0</v>
      </c>
      <c r="M54" s="183" cm="1">
        <f t="array" aca="1" ref="M54" ca="1">INDIRECT("R[40]C["&amp;$A$46&amp;"]",FALSE)</f>
        <v>0</v>
      </c>
      <c r="N54" s="183" cm="1">
        <f t="array" aca="1" ref="N54" ca="1">INDIRECT("R[40]C["&amp;$A$46&amp;"]",FALSE)</f>
        <v>0</v>
      </c>
      <c r="O54" s="183" cm="1">
        <f t="array" aca="1" ref="O54" ca="1">INDIRECT("R[40]C["&amp;$A$46&amp;"]",FALSE)</f>
        <v>0</v>
      </c>
      <c r="P54" s="183" cm="1">
        <f t="array" aca="1" ref="P54" ca="1">INDIRECT("R[40]C["&amp;$A$46&amp;"]",FALSE)</f>
        <v>0</v>
      </c>
      <c r="Q54" s="182"/>
      <c r="R54" s="115">
        <f ca="1">SUM(D54:P54)</f>
        <v>552.74358974358972</v>
      </c>
    </row>
    <row r="55" spans="1:18" ht="15.5" x14ac:dyDescent="0.35">
      <c r="A55" s="121">
        <f>A54</f>
        <v>1</v>
      </c>
      <c r="B55" s="123">
        <v>15</v>
      </c>
      <c r="C55" s="183" cm="1">
        <f t="array" aca="1" ref="C55" ca="1">INDIRECT("R[40]C["&amp;$A$46&amp;"]",FALSE)</f>
        <v>0</v>
      </c>
      <c r="D55" s="183" cm="1">
        <f t="array" aca="1" ref="D55" ca="1">INDIRECT("R[40]C["&amp;$A$46&amp;"]",FALSE)</f>
        <v>0</v>
      </c>
      <c r="E55" s="183" cm="1">
        <f t="array" aca="1" ref="E55" ca="1">INDIRECT("R[40]C["&amp;$A$46&amp;"]",FALSE)</f>
        <v>76.52100840336135</v>
      </c>
      <c r="F55" s="183" cm="1">
        <f t="array" aca="1" ref="F55" ca="1">INDIRECT("R[40]C["&amp;$A$46&amp;"]",FALSE)</f>
        <v>102.33333333333334</v>
      </c>
      <c r="G55" s="183" cm="1">
        <f t="array" aca="1" ref="G55" ca="1">INDIRECT("R[40]C["&amp;$A$46&amp;"]",FALSE)</f>
        <v>183.06666666666666</v>
      </c>
      <c r="H55" s="183" cm="1">
        <f t="array" aca="1" ref="H55" ca="1">INDIRECT("R[40]C["&amp;$A$46&amp;"]",FALSE)</f>
        <v>193.64</v>
      </c>
      <c r="I55" s="183" cm="1">
        <f t="array" aca="1" ref="I55" ca="1">INDIRECT("R[40]C["&amp;$A$46&amp;"]",FALSE)</f>
        <v>375.06625590388217</v>
      </c>
      <c r="J55" s="183" cm="1">
        <f t="array" aca="1" ref="J55" ca="1">INDIRECT("R[40]C["&amp;$A$46&amp;"]",FALSE)</f>
        <v>152.93333333333334</v>
      </c>
      <c r="K55" s="183" cm="1">
        <f t="array" aca="1" ref="K55" ca="1">INDIRECT("R[40]C["&amp;$A$46&amp;"]",FALSE)</f>
        <v>315.26251267836159</v>
      </c>
      <c r="L55" s="183" cm="1">
        <f t="array" aca="1" ref="L55" ca="1">INDIRECT("R[40]C["&amp;$A$46&amp;"]",FALSE)</f>
        <v>0</v>
      </c>
      <c r="M55" s="183" cm="1">
        <f t="array" aca="1" ref="M55" ca="1">INDIRECT("R[40]C["&amp;$A$46&amp;"]",FALSE)</f>
        <v>0</v>
      </c>
      <c r="N55" s="183" cm="1">
        <f t="array" aca="1" ref="N55" ca="1">INDIRECT("R[40]C["&amp;$A$46&amp;"]",FALSE)</f>
        <v>0</v>
      </c>
      <c r="O55" s="183" cm="1">
        <f t="array" aca="1" ref="O55" ca="1">INDIRECT("R[40]C["&amp;$A$46&amp;"]",FALSE)</f>
        <v>0</v>
      </c>
      <c r="P55" s="183" cm="1">
        <f t="array" aca="1" ref="P55" ca="1">INDIRECT("R[40]C["&amp;$A$46&amp;"]",FALSE)</f>
        <v>0</v>
      </c>
      <c r="Q55" s="182"/>
      <c r="R55" s="115">
        <f ca="1">SUM(D55:P55)</f>
        <v>1398.8231103189385</v>
      </c>
    </row>
    <row r="56" spans="1:18" ht="15.5" x14ac:dyDescent="0.35">
      <c r="A56" s="121">
        <f>A55</f>
        <v>1</v>
      </c>
      <c r="B56" s="123">
        <v>18</v>
      </c>
      <c r="C56" s="183" cm="1">
        <f t="array" aca="1" ref="C56" ca="1">INDIRECT("R[40]C["&amp;$A$46&amp;"]",FALSE)</f>
        <v>0</v>
      </c>
      <c r="D56" s="183" cm="1">
        <f t="array" aca="1" ref="D56" ca="1">INDIRECT("R[40]C["&amp;$A$46&amp;"]",FALSE)</f>
        <v>0</v>
      </c>
      <c r="E56" s="183" cm="1">
        <f t="array" aca="1" ref="E56" ca="1">INDIRECT("R[40]C["&amp;$A$46&amp;"]",FALSE)</f>
        <v>0</v>
      </c>
      <c r="F56" s="183" cm="1">
        <f t="array" aca="1" ref="F56" ca="1">INDIRECT("R[40]C["&amp;$A$46&amp;"]",FALSE)</f>
        <v>0</v>
      </c>
      <c r="G56" s="183" cm="1">
        <f t="array" aca="1" ref="G56" ca="1">INDIRECT("R[40]C["&amp;$A$46&amp;"]",FALSE)</f>
        <v>0</v>
      </c>
      <c r="H56" s="183" cm="1">
        <f t="array" aca="1" ref="H56" ca="1">INDIRECT("R[40]C["&amp;$A$46&amp;"]",FALSE)</f>
        <v>0</v>
      </c>
      <c r="I56" s="183" cm="1">
        <f t="array" aca="1" ref="I56" ca="1">INDIRECT("R[40]C["&amp;$A$46&amp;"]",FALSE)</f>
        <v>0</v>
      </c>
      <c r="J56" s="183" cm="1">
        <f t="array" aca="1" ref="J56" ca="1">INDIRECT("R[40]C["&amp;$A$46&amp;"]",FALSE)</f>
        <v>0</v>
      </c>
      <c r="K56" s="183" cm="1">
        <f t="array" aca="1" ref="K56" ca="1">INDIRECT("R[40]C["&amp;$A$46&amp;"]",FALSE)</f>
        <v>0</v>
      </c>
      <c r="L56" s="183" cm="1">
        <f t="array" aca="1" ref="L56" ca="1">INDIRECT("R[40]C["&amp;$A$46&amp;"]",FALSE)</f>
        <v>166.78543772010551</v>
      </c>
      <c r="M56" s="183" cm="1">
        <f t="array" aca="1" ref="M56" ca="1">INDIRECT("R[40]C["&amp;$A$46&amp;"]",FALSE)</f>
        <v>300.62599050437262</v>
      </c>
      <c r="N56" s="183" cm="1">
        <f t="array" aca="1" ref="N56" ca="1">INDIRECT("R[40]C["&amp;$A$46&amp;"]",FALSE)</f>
        <v>198.16666666666666</v>
      </c>
      <c r="O56" s="183" cm="1">
        <f t="array" aca="1" ref="O56" ca="1">INDIRECT("R[40]C["&amp;$A$46&amp;"]",FALSE)</f>
        <v>135.63842336953189</v>
      </c>
      <c r="P56" s="183" cm="1">
        <f t="array" aca="1" ref="P56" ca="1">INDIRECT("R[40]C["&amp;$A$46&amp;"]",FALSE)</f>
        <v>51.333333333333336</v>
      </c>
      <c r="Q56" s="182"/>
      <c r="R56" s="115">
        <f ca="1">SUM(D56:P56)</f>
        <v>852.54985159401008</v>
      </c>
    </row>
    <row r="57" spans="1:18" ht="15.5" x14ac:dyDescent="0.35">
      <c r="A57" s="116"/>
      <c r="B57" s="129" t="s">
        <v>352</v>
      </c>
      <c r="C57" s="179"/>
      <c r="D57" s="179"/>
      <c r="E57" s="179"/>
      <c r="F57" s="179"/>
      <c r="G57" s="179"/>
      <c r="H57" s="179"/>
      <c r="I57" s="179"/>
      <c r="J57" s="179"/>
      <c r="K57" s="179"/>
      <c r="L57" s="179"/>
      <c r="M57" s="179"/>
      <c r="N57" s="179"/>
      <c r="O57" s="179"/>
      <c r="P57" s="179"/>
      <c r="Q57" s="179"/>
      <c r="R57" s="181"/>
    </row>
    <row r="58" spans="1:18" ht="15.5" x14ac:dyDescent="0.35">
      <c r="A58" s="121">
        <f>A56</f>
        <v>1</v>
      </c>
      <c r="B58" s="123">
        <v>12</v>
      </c>
      <c r="C58" s="183" cm="1">
        <f t="array" aca="1" ref="C58" ca="1">INDIRECT("R[40]C["&amp;$A$58&amp;"]",FALSE)</f>
        <v>0</v>
      </c>
      <c r="D58" s="183" cm="1">
        <f t="array" aca="1" ref="D58" ca="1">INDIRECT("R[40]C["&amp;$A$58&amp;"]",FALSE)</f>
        <v>42.769230769230774</v>
      </c>
      <c r="E58" s="183" cm="1">
        <f t="array" aca="1" ref="E58" ca="1">INDIRECT("R[40]C["&amp;$A$58&amp;"]",FALSE)</f>
        <v>261.79487179487182</v>
      </c>
      <c r="F58" s="183" cm="1">
        <f t="array" aca="1" ref="F58" ca="1">INDIRECT("R[40]C["&amp;$A$58&amp;"]",FALSE)</f>
        <v>187.5128205128205</v>
      </c>
      <c r="G58" s="183" cm="1">
        <f t="array" aca="1" ref="G58" ca="1">INDIRECT("R[40]C["&amp;$A$58&amp;"]",FALSE)</f>
        <v>60.666666666666664</v>
      </c>
      <c r="H58" s="183" cm="1">
        <f t="array" aca="1" ref="H58" ca="1">INDIRECT("R[40]C["&amp;$A$58&amp;"]",FALSE)</f>
        <v>0</v>
      </c>
      <c r="I58" s="183" cm="1">
        <f t="array" aca="1" ref="I58" ca="1">INDIRECT("R[40]C["&amp;$A$58&amp;"]",FALSE)</f>
        <v>0</v>
      </c>
      <c r="J58" s="183" cm="1">
        <f t="array" aca="1" ref="J58" ca="1">INDIRECT("R[40]C["&amp;$A$58&amp;"]",FALSE)</f>
        <v>0</v>
      </c>
      <c r="K58" s="183" cm="1">
        <f t="array" aca="1" ref="K58" ca="1">INDIRECT("R[40]C["&amp;$A$58&amp;"]",FALSE)</f>
        <v>0</v>
      </c>
      <c r="L58" s="183" cm="1">
        <f t="array" aca="1" ref="L58" ca="1">INDIRECT("R[40]C["&amp;$A$58&amp;"]",FALSE)</f>
        <v>0</v>
      </c>
      <c r="M58" s="183" cm="1">
        <f t="array" aca="1" ref="M58" ca="1">INDIRECT("R[40]C["&amp;$A$58&amp;"]",FALSE)</f>
        <v>0</v>
      </c>
      <c r="N58" s="183" cm="1">
        <f t="array" aca="1" ref="N58" ca="1">INDIRECT("R[40]C["&amp;$A$58&amp;"]",FALSE)</f>
        <v>0</v>
      </c>
      <c r="O58" s="183" cm="1">
        <f t="array" aca="1" ref="O58" ca="1">INDIRECT("R[40]C["&amp;$A$58&amp;"]",FALSE)</f>
        <v>0</v>
      </c>
      <c r="P58" s="183" cm="1">
        <f t="array" aca="1" ref="P58" ca="1">INDIRECT("R[40]C["&amp;$A$58&amp;"]",FALSE)</f>
        <v>0</v>
      </c>
      <c r="Q58" s="116"/>
      <c r="R58" s="115">
        <f ca="1">SUM(D58:P58)</f>
        <v>552.74358974358972</v>
      </c>
    </row>
    <row r="59" spans="1:18" ht="15.5" x14ac:dyDescent="0.35">
      <c r="A59" s="121">
        <f>A56</f>
        <v>1</v>
      </c>
      <c r="B59" s="123">
        <v>15</v>
      </c>
      <c r="C59" s="183" cm="1">
        <f t="array" aca="1" ref="C59" ca="1">INDIRECT("R[40]C["&amp;$A$58&amp;"]",FALSE)</f>
        <v>0</v>
      </c>
      <c r="D59" s="183" cm="1">
        <f t="array" aca="1" ref="D59" ca="1">INDIRECT("R[40]C["&amp;$A$58&amp;"]",FALSE)</f>
        <v>0</v>
      </c>
      <c r="E59" s="183" cm="1">
        <f t="array" aca="1" ref="E59" ca="1">INDIRECT("R[40]C["&amp;$A$58&amp;"]",FALSE)</f>
        <v>76.52100840336135</v>
      </c>
      <c r="F59" s="183" cm="1">
        <f t="array" aca="1" ref="F59" ca="1">INDIRECT("R[40]C["&amp;$A$58&amp;"]",FALSE)</f>
        <v>102.33333333333334</v>
      </c>
      <c r="G59" s="183" cm="1">
        <f t="array" aca="1" ref="G59" ca="1">INDIRECT("R[40]C["&amp;$A$58&amp;"]",FALSE)</f>
        <v>183.06666666666666</v>
      </c>
      <c r="H59" s="183" cm="1">
        <f t="array" aca="1" ref="H59" ca="1">INDIRECT("R[40]C["&amp;$A$58&amp;"]",FALSE)</f>
        <v>193.64</v>
      </c>
      <c r="I59" s="183" cm="1">
        <f t="array" aca="1" ref="I59" ca="1">INDIRECT("R[40]C["&amp;$A$58&amp;"]",FALSE)</f>
        <v>375.06625590388217</v>
      </c>
      <c r="J59" s="183" cm="1">
        <f t="array" aca="1" ref="J59" ca="1">INDIRECT("R[40]C["&amp;$A$58&amp;"]",FALSE)</f>
        <v>152.93333333333334</v>
      </c>
      <c r="K59" s="183" cm="1">
        <f t="array" aca="1" ref="K59" ca="1">INDIRECT("R[40]C["&amp;$A$58&amp;"]",FALSE)</f>
        <v>315.26251267836159</v>
      </c>
      <c r="L59" s="183" cm="1">
        <f t="array" aca="1" ref="L59" ca="1">INDIRECT("R[40]C["&amp;$A$58&amp;"]",FALSE)</f>
        <v>0</v>
      </c>
      <c r="M59" s="183" cm="1">
        <f t="array" aca="1" ref="M59" ca="1">INDIRECT("R[40]C["&amp;$A$58&amp;"]",FALSE)</f>
        <v>0</v>
      </c>
      <c r="N59" s="183" cm="1">
        <f t="array" aca="1" ref="N59" ca="1">INDIRECT("R[40]C["&amp;$A$58&amp;"]",FALSE)</f>
        <v>0</v>
      </c>
      <c r="O59" s="183" cm="1">
        <f t="array" aca="1" ref="O59" ca="1">INDIRECT("R[40]C["&amp;$A$58&amp;"]",FALSE)</f>
        <v>0</v>
      </c>
      <c r="P59" s="183" cm="1">
        <f t="array" aca="1" ref="P59" ca="1">INDIRECT("R[40]C["&amp;$A$58&amp;"]",FALSE)</f>
        <v>0</v>
      </c>
      <c r="Q59" s="116"/>
      <c r="R59" s="115">
        <f ca="1">SUM(D59:P59)</f>
        <v>1398.8231103189385</v>
      </c>
    </row>
    <row r="60" spans="1:18" ht="15.5" x14ac:dyDescent="0.35">
      <c r="A60" s="121">
        <f>A56</f>
        <v>1</v>
      </c>
      <c r="B60" s="123">
        <v>18</v>
      </c>
      <c r="C60" s="183" cm="1">
        <f t="array" aca="1" ref="C60" ca="1">INDIRECT("R[40]C["&amp;$A$58&amp;"]",FALSE)</f>
        <v>0</v>
      </c>
      <c r="D60" s="183" cm="1">
        <f t="array" aca="1" ref="D60" ca="1">INDIRECT("R[40]C["&amp;$A$58&amp;"]",FALSE)</f>
        <v>0</v>
      </c>
      <c r="E60" s="183" cm="1">
        <f t="array" aca="1" ref="E60" ca="1">INDIRECT("R[40]C["&amp;$A$58&amp;"]",FALSE)</f>
        <v>0</v>
      </c>
      <c r="F60" s="183" cm="1">
        <f t="array" aca="1" ref="F60" ca="1">INDIRECT("R[40]C["&amp;$A$58&amp;"]",FALSE)</f>
        <v>0</v>
      </c>
      <c r="G60" s="183" cm="1">
        <f t="array" aca="1" ref="G60" ca="1">INDIRECT("R[40]C["&amp;$A$58&amp;"]",FALSE)</f>
        <v>0</v>
      </c>
      <c r="H60" s="183" cm="1">
        <f t="array" aca="1" ref="H60" ca="1">INDIRECT("R[40]C["&amp;$A$58&amp;"]",FALSE)</f>
        <v>0</v>
      </c>
      <c r="I60" s="183" cm="1">
        <f t="array" aca="1" ref="I60" ca="1">INDIRECT("R[40]C["&amp;$A$58&amp;"]",FALSE)</f>
        <v>0</v>
      </c>
      <c r="J60" s="183" cm="1">
        <f t="array" aca="1" ref="J60" ca="1">INDIRECT("R[40]C["&amp;$A$58&amp;"]",FALSE)</f>
        <v>0</v>
      </c>
      <c r="K60" s="183" cm="1">
        <f t="array" aca="1" ref="K60" ca="1">INDIRECT("R[40]C["&amp;$A$58&amp;"]",FALSE)</f>
        <v>0</v>
      </c>
      <c r="L60" s="183" cm="1">
        <f t="array" aca="1" ref="L60" ca="1">INDIRECT("R[40]C["&amp;$A$58&amp;"]",FALSE)</f>
        <v>166.78543772010551</v>
      </c>
      <c r="M60" s="183" cm="1">
        <f t="array" aca="1" ref="M60" ca="1">INDIRECT("R[40]C["&amp;$A$58&amp;"]",FALSE)</f>
        <v>300.62599050437262</v>
      </c>
      <c r="N60" s="183" cm="1">
        <f t="array" aca="1" ref="N60" ca="1">INDIRECT("R[40]C["&amp;$A$58&amp;"]",FALSE)</f>
        <v>198.16666666666666</v>
      </c>
      <c r="O60" s="183" cm="1">
        <f t="array" aca="1" ref="O60" ca="1">INDIRECT("R[40]C["&amp;$A$58&amp;"]",FALSE)</f>
        <v>135.63842336953189</v>
      </c>
      <c r="P60" s="183" cm="1">
        <f t="array" aca="1" ref="P60" ca="1">INDIRECT("R[40]C["&amp;$A$58&amp;"]",FALSE)</f>
        <v>51.333333333333336</v>
      </c>
      <c r="Q60" s="116"/>
      <c r="R60" s="115">
        <f ca="1">SUM(D60:P60)</f>
        <v>852.54985159401008</v>
      </c>
    </row>
    <row r="61" spans="1:18" ht="15.5" x14ac:dyDescent="0.35">
      <c r="A61" s="116"/>
      <c r="B61" s="129" t="s">
        <v>116</v>
      </c>
      <c r="C61" s="179"/>
      <c r="D61" s="179"/>
      <c r="E61" s="179"/>
      <c r="F61" s="179"/>
      <c r="G61" s="179"/>
      <c r="H61" s="179"/>
      <c r="I61" s="179"/>
      <c r="J61" s="179"/>
      <c r="K61" s="179"/>
      <c r="L61" s="179"/>
      <c r="M61" s="179"/>
      <c r="N61" s="179"/>
      <c r="O61" s="179"/>
      <c r="P61" s="179"/>
      <c r="Q61" s="179"/>
      <c r="R61" s="181"/>
    </row>
    <row r="62" spans="1:18" ht="15.5" x14ac:dyDescent="0.35">
      <c r="A62" s="121">
        <f>A60</f>
        <v>1</v>
      </c>
      <c r="B62" s="125" t="s">
        <v>257</v>
      </c>
      <c r="C62" s="183" cm="1">
        <f t="array" aca="1" ref="C62" ca="1">INDIRECT("R[40]C["&amp;$A$62&amp;"]",FALSE)</f>
        <v>0</v>
      </c>
      <c r="D62" s="183" cm="1">
        <f t="array" aca="1" ref="D62" ca="1">INDIRECT("R[40]C["&amp;$A$62&amp;"]",FALSE)</f>
        <v>42.769230769230774</v>
      </c>
      <c r="E62" s="183" cm="1">
        <f t="array" aca="1" ref="E62" ca="1">INDIRECT("R[40]C["&amp;$A$62&amp;"]",FALSE)</f>
        <v>338.31588019823317</v>
      </c>
      <c r="F62" s="183" cm="1">
        <f t="array" aca="1" ref="F62" ca="1">INDIRECT("R[40]C["&amp;$A$62&amp;"]",FALSE)</f>
        <v>267.84615384615381</v>
      </c>
      <c r="G62" s="183" cm="1">
        <f t="array" aca="1" ref="G62" ca="1">INDIRECT("R[40]C["&amp;$A$62&amp;"]",FALSE)</f>
        <v>221.73333333333332</v>
      </c>
      <c r="H62" s="183" cm="1">
        <f t="array" aca="1" ref="H62" ca="1">INDIRECT("R[40]C["&amp;$A$62&amp;"]",FALSE)</f>
        <v>193.64000000000001</v>
      </c>
      <c r="I62" s="183" cm="1">
        <f t="array" aca="1" ref="I62" ca="1">INDIRECT("R[40]C["&amp;$A$62&amp;"]",FALSE)</f>
        <v>354.65599949362581</v>
      </c>
      <c r="J62" s="183" cm="1">
        <f t="array" aca="1" ref="J62" ca="1">INDIRECT("R[40]C["&amp;$A$62&amp;"]",FALSE)</f>
        <v>170.73333333333335</v>
      </c>
      <c r="K62" s="183" cm="1">
        <f t="array" aca="1" ref="K62" ca="1">INDIRECT("R[40]C["&amp;$A$62&amp;"]",FALSE)</f>
        <v>293.92917934502822</v>
      </c>
      <c r="L62" s="183" cm="1">
        <f t="array" aca="1" ref="L62" ca="1">INDIRECT("R[40]C["&amp;$A$62&amp;"]",FALSE)</f>
        <v>122.21947897794578</v>
      </c>
      <c r="M62" s="183" cm="1">
        <f t="array" aca="1" ref="M62" ca="1">INDIRECT("R[40]C["&amp;$A$62&amp;"]",FALSE)</f>
        <v>300.62599050437262</v>
      </c>
      <c r="N62" s="183" cm="1">
        <f t="array" aca="1" ref="N62" ca="1">INDIRECT("R[40]C["&amp;$A$62&amp;"]",FALSE)</f>
        <v>198.16666666666663</v>
      </c>
      <c r="O62" s="183" cm="1">
        <f t="array" aca="1" ref="O62" ca="1">INDIRECT("R[40]C["&amp;$A$62&amp;"]",FALSE)</f>
        <v>135.63842336953186</v>
      </c>
      <c r="P62" s="183" cm="1">
        <f t="array" aca="1" ref="P62" ca="1">INDIRECT("R[40]C["&amp;$A$62&amp;"]",FALSE)</f>
        <v>51.333333333333336</v>
      </c>
      <c r="Q62" s="183"/>
      <c r="R62" s="115">
        <f ca="1">SUM(D62:Q62)</f>
        <v>2691.6070031707886</v>
      </c>
    </row>
    <row r="63" spans="1:18" ht="15.5" x14ac:dyDescent="0.35">
      <c r="A63" s="121">
        <f>A60</f>
        <v>1</v>
      </c>
      <c r="B63" s="125" t="s">
        <v>258</v>
      </c>
      <c r="C63" s="183" cm="1">
        <f t="array" aca="1" ref="C63" ca="1">INDIRECT("R[40]C["&amp;$A$62&amp;"]",FALSE)</f>
        <v>0</v>
      </c>
      <c r="D63" s="183" cm="1">
        <f t="array" aca="1" ref="D63" ca="1">INDIRECT("R[40]C["&amp;$A$62&amp;"]",FALSE)</f>
        <v>42.769230769230774</v>
      </c>
      <c r="E63" s="183" cm="1">
        <f t="array" aca="1" ref="E63" ca="1">INDIRECT("R[40]C["&amp;$A$62&amp;"]",FALSE)</f>
        <v>338.31588019823317</v>
      </c>
      <c r="F63" s="183" cm="1">
        <f t="array" aca="1" ref="F63" ca="1">INDIRECT("R[40]C["&amp;$A$62&amp;"]",FALSE)</f>
        <v>267.84615384615381</v>
      </c>
      <c r="G63" s="183" cm="1">
        <f t="array" aca="1" ref="G63" ca="1">INDIRECT("R[40]C["&amp;$A$62&amp;"]",FALSE)</f>
        <v>221.73333333333332</v>
      </c>
      <c r="H63" s="183" cm="1">
        <f t="array" aca="1" ref="H63" ca="1">INDIRECT("R[40]C["&amp;$A$62&amp;"]",FALSE)</f>
        <v>193.64000000000001</v>
      </c>
      <c r="I63" s="183" cm="1">
        <f t="array" aca="1" ref="I63" ca="1">INDIRECT("R[40]C["&amp;$A$62&amp;"]",FALSE)</f>
        <v>354.65599949362581</v>
      </c>
      <c r="J63" s="183" cm="1">
        <f t="array" aca="1" ref="J63" ca="1">INDIRECT("R[40]C["&amp;$A$62&amp;"]",FALSE)</f>
        <v>170.73333333333335</v>
      </c>
      <c r="K63" s="183" cm="1">
        <f t="array" aca="1" ref="K63" ca="1">INDIRECT("R[40]C["&amp;$A$62&amp;"]",FALSE)</f>
        <v>293.92917934502822</v>
      </c>
      <c r="L63" s="183" cm="1">
        <f t="array" aca="1" ref="L63" ca="1">INDIRECT("R[40]C["&amp;$A$62&amp;"]",FALSE)</f>
        <v>122.21947897794578</v>
      </c>
      <c r="M63" s="183" cm="1">
        <f t="array" aca="1" ref="M63" ca="1">INDIRECT("R[40]C["&amp;$A$62&amp;"]",FALSE)</f>
        <v>300.62599050437262</v>
      </c>
      <c r="N63" s="183" cm="1">
        <f t="array" aca="1" ref="N63" ca="1">INDIRECT("R[40]C["&amp;$A$62&amp;"]",FALSE)</f>
        <v>198.16666666666663</v>
      </c>
      <c r="O63" s="183" cm="1">
        <f t="array" aca="1" ref="O63" ca="1">INDIRECT("R[40]C["&amp;$A$62&amp;"]",FALSE)</f>
        <v>135.63842336953186</v>
      </c>
      <c r="P63" s="183" cm="1">
        <f t="array" aca="1" ref="P63" ca="1">INDIRECT("R[40]C["&amp;$A$62&amp;"]",FALSE)</f>
        <v>51.333333333333336</v>
      </c>
      <c r="Q63" s="183"/>
      <c r="R63" s="115"/>
    </row>
    <row r="64" spans="1:18" ht="15.5" x14ac:dyDescent="0.35">
      <c r="A64" s="121">
        <f>A60</f>
        <v>1</v>
      </c>
      <c r="B64" s="125" t="s">
        <v>353</v>
      </c>
      <c r="C64" s="183" cm="1">
        <f t="array" aca="1" ref="C64" ca="1">INDIRECT("R[40]C["&amp;$A$62&amp;"]",FALSE)</f>
        <v>0</v>
      </c>
      <c r="D64" s="183" cm="1">
        <f t="array" aca="1" ref="D64" ca="1">INDIRECT("R[40]C["&amp;$A$62&amp;"]",FALSE)</f>
        <v>0</v>
      </c>
      <c r="E64" s="183" cm="1">
        <f t="array" aca="1" ref="E64" ca="1">INDIRECT("R[40]C["&amp;$A$62&amp;"]",FALSE)</f>
        <v>0</v>
      </c>
      <c r="F64" s="183" cm="1">
        <f t="array" aca="1" ref="F64" ca="1">INDIRECT("R[40]C["&amp;$A$62&amp;"]",FALSE)</f>
        <v>0</v>
      </c>
      <c r="G64" s="183" cm="1">
        <f t="array" aca="1" ref="G64" ca="1">INDIRECT("R[40]C["&amp;$A$62&amp;"]",FALSE)</f>
        <v>0</v>
      </c>
      <c r="H64" s="183" cm="1">
        <f t="array" aca="1" ref="H64" ca="1">INDIRECT("R[40]C["&amp;$A$62&amp;"]",FALSE)</f>
        <v>0</v>
      </c>
      <c r="I64" s="183" cm="1">
        <f t="array" aca="1" ref="I64" ca="1">INDIRECT("R[40]C["&amp;$A$62&amp;"]",FALSE)</f>
        <v>0</v>
      </c>
      <c r="J64" s="183" cm="1">
        <f t="array" aca="1" ref="J64" ca="1">INDIRECT("R[40]C["&amp;$A$62&amp;"]",FALSE)</f>
        <v>0</v>
      </c>
      <c r="K64" s="183" cm="1">
        <f t="array" aca="1" ref="K64" ca="1">INDIRECT("R[40]C["&amp;$A$62&amp;"]",FALSE)</f>
        <v>0</v>
      </c>
      <c r="L64" s="183" cm="1">
        <f t="array" aca="1" ref="L64" ca="1">INDIRECT("R[40]C["&amp;$A$62&amp;"]",FALSE)</f>
        <v>0</v>
      </c>
      <c r="M64" s="183" cm="1">
        <f t="array" aca="1" ref="M64" ca="1">INDIRECT("R[40]C["&amp;$A$62&amp;"]",FALSE)</f>
        <v>0</v>
      </c>
      <c r="N64" s="183" cm="1">
        <f t="array" aca="1" ref="N64" ca="1">INDIRECT("R[40]C["&amp;$A$62&amp;"]",FALSE)</f>
        <v>0</v>
      </c>
      <c r="O64" s="183" cm="1">
        <f t="array" aca="1" ref="O64" ca="1">INDIRECT("R[40]C["&amp;$A$62&amp;"]",FALSE)</f>
        <v>0</v>
      </c>
      <c r="P64" s="183" cm="1">
        <f t="array" aca="1" ref="P64" ca="1">INDIRECT("R[40]C["&amp;$A$62&amp;"]",FALSE)</f>
        <v>0</v>
      </c>
      <c r="Q64" s="183"/>
      <c r="R64" s="115">
        <f ca="1">SUM(D64:Q64)</f>
        <v>0</v>
      </c>
    </row>
    <row r="65" spans="1:18" ht="15.5" x14ac:dyDescent="0.35">
      <c r="A65" s="121">
        <f>A60</f>
        <v>1</v>
      </c>
      <c r="B65" s="125" t="s">
        <v>117</v>
      </c>
      <c r="C65" s="183" cm="1">
        <f t="array" aca="1" ref="C65" ca="1">INDIRECT("R[40]C["&amp;$A$62&amp;"]",FALSE)</f>
        <v>0</v>
      </c>
      <c r="D65" s="183" cm="1">
        <f t="array" aca="1" ref="D65" ca="1">INDIRECT("R[40]C["&amp;$A$62&amp;"]",FALSE)</f>
        <v>0</v>
      </c>
      <c r="E65" s="183" cm="1">
        <f t="array" aca="1" ref="E65" ca="1">INDIRECT("R[40]C["&amp;$A$62&amp;"]",FALSE)</f>
        <v>0</v>
      </c>
      <c r="F65" s="183" cm="1">
        <f t="array" aca="1" ref="F65" ca="1">INDIRECT("R[40]C["&amp;$A$62&amp;"]",FALSE)</f>
        <v>0</v>
      </c>
      <c r="G65" s="183" cm="1">
        <f t="array" aca="1" ref="G65" ca="1">INDIRECT("R[40]C["&amp;$A$62&amp;"]",FALSE)</f>
        <v>0</v>
      </c>
      <c r="H65" s="183" cm="1">
        <f t="array" aca="1" ref="H65" ca="1">INDIRECT("R[40]C["&amp;$A$62&amp;"]",FALSE)</f>
        <v>0</v>
      </c>
      <c r="I65" s="183" cm="1">
        <f t="array" aca="1" ref="I65" ca="1">INDIRECT("R[40]C["&amp;$A$62&amp;"]",FALSE)</f>
        <v>0</v>
      </c>
      <c r="J65" s="183" cm="1">
        <f t="array" aca="1" ref="J65" ca="1">INDIRECT("R[40]C["&amp;$A$62&amp;"]",FALSE)</f>
        <v>0</v>
      </c>
      <c r="K65" s="183" cm="1">
        <f t="array" aca="1" ref="K65" ca="1">INDIRECT("R[40]C["&amp;$A$62&amp;"]",FALSE)</f>
        <v>0</v>
      </c>
      <c r="L65" s="183" cm="1">
        <f t="array" aca="1" ref="L65" ca="1">INDIRECT("R[40]C["&amp;$A$62&amp;"]",FALSE)</f>
        <v>0</v>
      </c>
      <c r="M65" s="183" cm="1">
        <f t="array" aca="1" ref="M65" ca="1">INDIRECT("R[40]C["&amp;$A$62&amp;"]",FALSE)</f>
        <v>0</v>
      </c>
      <c r="N65" s="183" cm="1">
        <f t="array" aca="1" ref="N65" ca="1">INDIRECT("R[40]C["&amp;$A$62&amp;"]",FALSE)</f>
        <v>0</v>
      </c>
      <c r="O65" s="183" cm="1">
        <f t="array" aca="1" ref="O65" ca="1">INDIRECT("R[40]C["&amp;$A$62&amp;"]",FALSE)</f>
        <v>0</v>
      </c>
      <c r="P65" s="183" cm="1">
        <f t="array" aca="1" ref="P65" ca="1">INDIRECT("R[40]C["&amp;$A$62&amp;"]",FALSE)</f>
        <v>0</v>
      </c>
      <c r="Q65" s="183"/>
      <c r="R65" s="115">
        <f ca="1">SUM(D65:Q65)</f>
        <v>0</v>
      </c>
    </row>
    <row r="66" spans="1:18" ht="15.5" x14ac:dyDescent="0.35">
      <c r="A66" s="121">
        <f>A60</f>
        <v>1</v>
      </c>
      <c r="B66" s="125" t="s">
        <v>354</v>
      </c>
      <c r="C66" s="183" cm="1">
        <f t="array" aca="1" ref="C66" ca="1">INDIRECT("R[40]C["&amp;$A$62&amp;"]",FALSE)</f>
        <v>0</v>
      </c>
      <c r="D66" s="183" cm="1">
        <f t="array" aca="1" ref="D66" ca="1">INDIRECT("R[40]C["&amp;$A$62&amp;"]",FALSE)</f>
        <v>2</v>
      </c>
      <c r="E66" s="183" cm="1">
        <f t="array" aca="1" ref="E66" ca="1">INDIRECT("R[40]C["&amp;$A$62&amp;"]",FALSE)</f>
        <v>10</v>
      </c>
      <c r="F66" s="183" cm="1">
        <f t="array" aca="1" ref="F66" ca="1">INDIRECT("R[40]C["&amp;$A$62&amp;"]",FALSE)</f>
        <v>9</v>
      </c>
      <c r="G66" s="183" cm="1">
        <f t="array" aca="1" ref="G66" ca="1">INDIRECT("R[40]C["&amp;$A$62&amp;"]",FALSE)</f>
        <v>7</v>
      </c>
      <c r="H66" s="183" cm="1">
        <f t="array" aca="1" ref="H66" ca="1">INDIRECT("R[40]C["&amp;$A$62&amp;"]",FALSE)</f>
        <v>5</v>
      </c>
      <c r="I66" s="183" cm="1">
        <f t="array" aca="1" ref="I66" ca="1">INDIRECT("R[40]C["&amp;$A$62&amp;"]",FALSE)</f>
        <v>8</v>
      </c>
      <c r="J66" s="183" cm="1">
        <f t="array" aca="1" ref="J66" ca="1">INDIRECT("R[40]C["&amp;$A$62&amp;"]",FALSE)</f>
        <v>5</v>
      </c>
      <c r="K66" s="183" cm="1">
        <f t="array" aca="1" ref="K66" ca="1">INDIRECT("R[40]C["&amp;$A$62&amp;"]",FALSE)</f>
        <v>11</v>
      </c>
      <c r="L66" s="183" cm="1">
        <f t="array" aca="1" ref="L66" ca="1">INDIRECT("R[40]C["&amp;$A$62&amp;"]",FALSE)</f>
        <v>3</v>
      </c>
      <c r="M66" s="183" cm="1">
        <f t="array" aca="1" ref="M66" ca="1">INDIRECT("R[40]C["&amp;$A$62&amp;"]",FALSE)</f>
        <v>10</v>
      </c>
      <c r="N66" s="183" cm="1">
        <f t="array" aca="1" ref="N66" ca="1">INDIRECT("R[40]C["&amp;$A$62&amp;"]",FALSE)</f>
        <v>6</v>
      </c>
      <c r="O66" s="183" cm="1">
        <f t="array" aca="1" ref="O66" ca="1">INDIRECT("R[40]C["&amp;$A$62&amp;"]",FALSE)</f>
        <v>5</v>
      </c>
      <c r="P66" s="183" cm="1">
        <f t="array" aca="1" ref="P66" ca="1">INDIRECT("R[40]C["&amp;$A$62&amp;"]",FALSE)</f>
        <v>2</v>
      </c>
      <c r="Q66" s="183"/>
      <c r="R66" s="115">
        <f ca="1">SUM(D66:Q66)</f>
        <v>83</v>
      </c>
    </row>
    <row r="67" spans="1:18" ht="15.5" x14ac:dyDescent="0.35">
      <c r="A67" s="116"/>
      <c r="B67" s="129" t="s">
        <v>119</v>
      </c>
      <c r="C67" s="184"/>
      <c r="D67" s="180"/>
      <c r="E67" s="180"/>
      <c r="F67" s="180"/>
      <c r="G67" s="180"/>
      <c r="H67" s="180"/>
      <c r="I67" s="180"/>
      <c r="J67" s="180"/>
      <c r="K67" s="180"/>
      <c r="L67" s="180"/>
      <c r="M67" s="180"/>
      <c r="N67" s="180"/>
      <c r="O67" s="180"/>
      <c r="P67" s="180"/>
      <c r="Q67" s="180"/>
      <c r="R67" s="181"/>
    </row>
    <row r="68" spans="1:18" ht="15.5" x14ac:dyDescent="0.35">
      <c r="A68" s="121">
        <f>A59</f>
        <v>1</v>
      </c>
      <c r="B68" s="125" t="s">
        <v>355</v>
      </c>
      <c r="C68" s="183" cm="1">
        <f t="array" aca="1" ref="C68" ca="1">INDIRECT("R[40]C["&amp;$A$68&amp;"]",FALSE)</f>
        <v>0</v>
      </c>
      <c r="D68" s="183" cm="1">
        <f t="array" aca="1" ref="D68" ca="1">INDIRECT("R[40]C["&amp;$A$68&amp;"]",FALSE)</f>
        <v>2</v>
      </c>
      <c r="E68" s="183" cm="1">
        <f t="array" aca="1" ref="E68" ca="1">INDIRECT("R[40]C["&amp;$A$68&amp;"]",FALSE)</f>
        <v>10</v>
      </c>
      <c r="F68" s="183" cm="1">
        <f t="array" aca="1" ref="F68" ca="1">INDIRECT("R[40]C["&amp;$A$68&amp;"]",FALSE)</f>
        <v>6</v>
      </c>
      <c r="G68" s="183" cm="1">
        <f t="array" aca="1" ref="G68" ca="1">INDIRECT("R[40]C["&amp;$A$68&amp;"]",FALSE)</f>
        <v>7</v>
      </c>
      <c r="H68" s="183" cm="1">
        <f t="array" aca="1" ref="H68" ca="1">INDIRECT("R[40]C["&amp;$A$68&amp;"]",FALSE)</f>
        <v>5</v>
      </c>
      <c r="I68" s="183" cm="1">
        <f t="array" aca="1" ref="I68" ca="1">INDIRECT("R[40]C["&amp;$A$68&amp;"]",FALSE)</f>
        <v>8</v>
      </c>
      <c r="J68" s="183" cm="1">
        <f t="array" aca="1" ref="J68" ca="1">INDIRECT("R[40]C["&amp;$A$68&amp;"]",FALSE)</f>
        <v>5</v>
      </c>
      <c r="K68" s="183" cm="1">
        <f t="array" aca="1" ref="K68" ca="1">INDIRECT("R[40]C["&amp;$A$68&amp;"]",FALSE)</f>
        <v>8</v>
      </c>
      <c r="L68" s="183" cm="1">
        <f t="array" aca="1" ref="L68" ca="1">INDIRECT("R[40]C["&amp;$A$68&amp;"]",FALSE)</f>
        <v>3</v>
      </c>
      <c r="M68" s="183" cm="1">
        <f t="array" aca="1" ref="M68" ca="1">INDIRECT("R[40]C["&amp;$A$68&amp;"]",FALSE)</f>
        <v>10</v>
      </c>
      <c r="N68" s="183" cm="1">
        <f t="array" aca="1" ref="N68" ca="1">INDIRECT("R[40]C["&amp;$A$68&amp;"]",FALSE)</f>
        <v>6</v>
      </c>
      <c r="O68" s="183" cm="1">
        <f t="array" aca="1" ref="O68" ca="1">INDIRECT("R[40]C["&amp;$A$68&amp;"]",FALSE)</f>
        <v>5</v>
      </c>
      <c r="P68" s="183" cm="1">
        <f t="array" aca="1" ref="P68" ca="1">INDIRECT("R[40]C["&amp;$A$68&amp;"]",FALSE)</f>
        <v>2</v>
      </c>
      <c r="Q68" s="183"/>
      <c r="R68" s="115">
        <f ca="1">SUM(D68:Q68)</f>
        <v>77</v>
      </c>
    </row>
    <row r="69" spans="1:18" ht="15.5" x14ac:dyDescent="0.35">
      <c r="A69" s="116"/>
      <c r="B69" s="129" t="s">
        <v>356</v>
      </c>
      <c r="C69" s="184"/>
      <c r="D69" s="184"/>
      <c r="E69" s="184"/>
      <c r="F69" s="184"/>
      <c r="G69" s="184"/>
      <c r="H69" s="184"/>
      <c r="I69" s="184"/>
      <c r="J69" s="184"/>
      <c r="K69" s="184"/>
      <c r="L69" s="184"/>
      <c r="M69" s="184"/>
      <c r="N69" s="184"/>
      <c r="O69" s="184"/>
      <c r="P69" s="184"/>
      <c r="Q69" s="184"/>
      <c r="R69" s="181"/>
    </row>
    <row r="70" spans="1:18" ht="15.5" x14ac:dyDescent="0.35">
      <c r="A70" s="121">
        <f>A59</f>
        <v>1</v>
      </c>
      <c r="B70" s="125" t="s">
        <v>357</v>
      </c>
      <c r="C70" s="183" cm="1">
        <f t="array" aca="1" ref="C70" ca="1">INDIRECT("R[40]C["&amp;$A$70&amp;"]",FALSE)</f>
        <v>0</v>
      </c>
      <c r="D70" s="183" cm="1">
        <f t="array" aca="1" ref="D70" ca="1">INDIRECT("R[40]C["&amp;$A$70&amp;"]",FALSE)</f>
        <v>125.50240000000001</v>
      </c>
      <c r="E70" s="183" cm="1">
        <f t="array" aca="1" ref="E70" ca="1">INDIRECT("R[40]C["&amp;$A$70&amp;"]",FALSE)</f>
        <v>862.25390096961871</v>
      </c>
      <c r="F70" s="183" cm="1">
        <f t="array" aca="1" ref="F70" ca="1">INDIRECT("R[40]C["&amp;$A$70&amp;"]",FALSE)</f>
        <v>725.58714358974373</v>
      </c>
      <c r="G70" s="183" cm="1">
        <f t="array" aca="1" ref="G70" ca="1">INDIRECT("R[40]C["&amp;$A$70&amp;"]",FALSE)</f>
        <v>520.27304000000004</v>
      </c>
      <c r="H70" s="183" cm="1">
        <f t="array" aca="1" ref="H70" ca="1">INDIRECT("R[40]C["&amp;$A$70&amp;"]",FALSE)</f>
        <v>417.65050133333341</v>
      </c>
      <c r="I70" s="183" cm="1">
        <f t="array" aca="1" ref="I70" ca="1">INDIRECT("R[40]C["&amp;$A$70&amp;"]",FALSE)</f>
        <v>1004.9766712982587</v>
      </c>
      <c r="J70" s="183" cm="1">
        <f t="array" aca="1" ref="J70" ca="1">INDIRECT("R[40]C["&amp;$A$70&amp;"]",FALSE)</f>
        <v>335.84160000000003</v>
      </c>
      <c r="K70" s="183" cm="1">
        <f t="array" aca="1" ref="K70" ca="1">INDIRECT("R[40]C["&amp;$A$70&amp;"]",FALSE)</f>
        <v>954.23567784168199</v>
      </c>
      <c r="L70" s="183" cm="1">
        <f t="array" aca="1" ref="L70" ca="1">INDIRECT("R[40]C["&amp;$A$70&amp;"]",FALSE)</f>
        <v>268.39397583556899</v>
      </c>
      <c r="M70" s="183" cm="1">
        <f t="array" aca="1" ref="M70" ca="1">INDIRECT("R[40]C["&amp;$A$70&amp;"]",FALSE)</f>
        <v>866.85067514760215</v>
      </c>
      <c r="N70" s="183" cm="1">
        <f t="array" aca="1" ref="N70" ca="1">INDIRECT("R[40]C["&amp;$A$70&amp;"]",FALSE)</f>
        <v>435.17399999999998</v>
      </c>
      <c r="O70" s="183" cm="1">
        <f t="array" aca="1" ref="O70" ca="1">INDIRECT("R[40]C["&amp;$A$70&amp;"]",FALSE)</f>
        <v>297.86197771949202</v>
      </c>
      <c r="P70" s="183" cm="1">
        <f t="array" aca="1" ref="P70" ca="1">INDIRECT("R[40]C["&amp;$A$70&amp;"]",FALSE)</f>
        <v>112.72800000000001</v>
      </c>
      <c r="Q70" s="183"/>
      <c r="R70" s="115">
        <f ca="1">SUM(D70:Q70)</f>
        <v>6927.3295637353003</v>
      </c>
    </row>
    <row r="71" spans="1:18" ht="15.5" x14ac:dyDescent="0.35">
      <c r="A71" s="121">
        <f>A59</f>
        <v>1</v>
      </c>
      <c r="B71" s="125" t="s">
        <v>358</v>
      </c>
      <c r="C71" s="183" cm="1">
        <f t="array" aca="1" ref="C71" ca="1">INDIRECT("R[40]C["&amp;$A$70&amp;"]",FALSE)</f>
        <v>0</v>
      </c>
      <c r="D71" s="183" cm="1">
        <f t="array" aca="1" ref="D71" ca="1">INDIRECT("R[40]C["&amp;$A$70&amp;"]",FALSE)</f>
        <v>256</v>
      </c>
      <c r="E71" s="183" cm="1">
        <f t="array" aca="1" ref="E71" ca="1">INDIRECT("R[40]C["&amp;$A$70&amp;"]",FALSE)</f>
        <v>926.41359999999997</v>
      </c>
      <c r="F71" s="183" cm="1">
        <f t="array" aca="1" ref="F71" ca="1">INDIRECT("R[40]C["&amp;$A$70&amp;"]",FALSE)</f>
        <v>505.5</v>
      </c>
      <c r="G71" s="183" cm="1">
        <f t="array" aca="1" ref="G71" ca="1">INDIRECT("R[40]C["&amp;$A$70&amp;"]",FALSE)</f>
        <v>498.67899999999997</v>
      </c>
      <c r="H71" s="183" cm="1">
        <f t="array" aca="1" ref="H71" ca="1">INDIRECT("R[40]C["&amp;$A$70&amp;"]",FALSE)</f>
        <v>526</v>
      </c>
      <c r="I71" s="183" cm="1">
        <f t="array" aca="1" ref="I71" ca="1">INDIRECT("R[40]C["&amp;$A$70&amp;"]",FALSE)</f>
        <v>658.6653</v>
      </c>
      <c r="J71" s="183" cm="1">
        <f t="array" aca="1" ref="J71" ca="1">INDIRECT("R[40]C["&amp;$A$70&amp;"]",FALSE)</f>
        <v>690.26030000000003</v>
      </c>
      <c r="K71" s="183" cm="1">
        <f t="array" aca="1" ref="K71" ca="1">INDIRECT("R[40]C["&amp;$A$70&amp;"]",FALSE)</f>
        <v>679.90499999999997</v>
      </c>
      <c r="L71" s="183" cm="1">
        <f t="array" aca="1" ref="L71" ca="1">INDIRECT("R[40]C["&amp;$A$70&amp;"]",FALSE)</f>
        <v>363.00000000000006</v>
      </c>
      <c r="M71" s="183" cm="1">
        <f t="array" aca="1" ref="M71" ca="1">INDIRECT("R[40]C["&amp;$A$70&amp;"]",FALSE)</f>
        <v>1402.405</v>
      </c>
      <c r="N71" s="183" cm="1">
        <f t="array" aca="1" ref="N71" ca="1">INDIRECT("R[40]C["&amp;$A$70&amp;"]",FALSE)</f>
        <v>900</v>
      </c>
      <c r="O71" s="183" cm="1">
        <f t="array" aca="1" ref="O71" ca="1">INDIRECT("R[40]C["&amp;$A$70&amp;"]",FALSE)</f>
        <v>672.40499999999997</v>
      </c>
      <c r="P71" s="183" cm="1">
        <f t="array" aca="1" ref="P71" ca="1">INDIRECT("R[40]C["&amp;$A$70&amp;"]",FALSE)</f>
        <v>280</v>
      </c>
      <c r="Q71" s="183"/>
      <c r="R71" s="115">
        <f ca="1">SUM(D71:Q71)</f>
        <v>8359.2331999999988</v>
      </c>
    </row>
    <row r="72" spans="1:18" ht="15.5" x14ac:dyDescent="0.35">
      <c r="A72" s="116"/>
      <c r="B72" s="179" t="str">
        <f>[1]Detailed!B66</f>
        <v>VESSELS</v>
      </c>
      <c r="C72" s="184"/>
      <c r="D72" s="184"/>
      <c r="E72" s="184"/>
      <c r="F72" s="184"/>
      <c r="G72" s="184"/>
      <c r="H72" s="184"/>
      <c r="I72" s="184"/>
      <c r="J72" s="184"/>
      <c r="K72" s="184"/>
      <c r="L72" s="184"/>
      <c r="M72" s="184"/>
      <c r="N72" s="184"/>
      <c r="O72" s="184"/>
      <c r="P72" s="184"/>
      <c r="Q72" s="179"/>
      <c r="R72" s="181"/>
    </row>
    <row r="73" spans="1:18" ht="15.5" x14ac:dyDescent="0.35">
      <c r="A73" s="116"/>
      <c r="B73" s="116"/>
      <c r="C73" s="116"/>
      <c r="D73" s="116"/>
      <c r="E73" s="116"/>
      <c r="F73" s="116"/>
      <c r="G73" s="116"/>
      <c r="H73" s="116"/>
      <c r="I73" s="116"/>
      <c r="J73" s="116"/>
      <c r="K73" s="116"/>
      <c r="L73" s="116"/>
      <c r="M73" s="116"/>
      <c r="N73" s="116"/>
      <c r="O73" s="116"/>
      <c r="P73" s="116"/>
      <c r="Q73" s="116"/>
      <c r="R73" s="115">
        <f>SUM(D73:Q73)</f>
        <v>0</v>
      </c>
    </row>
    <row r="74" spans="1:18" ht="15.5" x14ac:dyDescent="0.35">
      <c r="A74" s="116"/>
      <c r="B74" s="116"/>
      <c r="C74" s="116"/>
      <c r="D74" s="116"/>
      <c r="E74" s="116"/>
      <c r="F74" s="116"/>
      <c r="G74" s="116"/>
      <c r="H74" s="116"/>
      <c r="I74" s="116"/>
      <c r="J74" s="116"/>
      <c r="K74" s="116"/>
      <c r="L74" s="116"/>
      <c r="M74" s="116"/>
      <c r="N74" s="116"/>
      <c r="O74" s="116"/>
      <c r="P74" s="116"/>
      <c r="Q74" s="116"/>
      <c r="R74" s="115">
        <f>SUM(D74:Q74)</f>
        <v>0</v>
      </c>
    </row>
    <row r="75" spans="1:18" ht="15.5" x14ac:dyDescent="0.35">
      <c r="A75" s="116"/>
      <c r="B75" s="116"/>
      <c r="C75" s="116"/>
      <c r="D75" s="116"/>
      <c r="E75" s="116"/>
      <c r="F75" s="116"/>
      <c r="G75" s="116"/>
      <c r="H75" s="116"/>
      <c r="I75" s="116"/>
      <c r="J75" s="116"/>
      <c r="K75" s="116"/>
      <c r="L75" s="116"/>
      <c r="M75" s="116"/>
      <c r="N75" s="116"/>
      <c r="O75" s="116"/>
      <c r="P75" s="116"/>
      <c r="Q75" s="116"/>
      <c r="R75" s="116"/>
    </row>
    <row r="76" spans="1:18" ht="15.5" x14ac:dyDescent="0.35">
      <c r="A76" s="116"/>
      <c r="B76" s="116"/>
      <c r="C76" s="116"/>
      <c r="D76" s="116"/>
      <c r="E76" s="116"/>
      <c r="F76" s="116"/>
      <c r="G76" s="116"/>
      <c r="H76" s="116"/>
      <c r="I76" s="116"/>
      <c r="J76" s="116"/>
      <c r="K76" s="116"/>
      <c r="L76" s="116"/>
      <c r="M76" s="116"/>
      <c r="N76" s="116"/>
      <c r="O76" s="116"/>
      <c r="P76" s="116"/>
      <c r="Q76" s="116"/>
      <c r="R76" s="116"/>
    </row>
    <row r="77" spans="1:18" ht="15.5" x14ac:dyDescent="0.35">
      <c r="A77" s="116"/>
      <c r="B77" s="116"/>
      <c r="C77" s="116"/>
      <c r="D77" s="116"/>
      <c r="E77" s="116"/>
      <c r="F77" s="116"/>
      <c r="G77" s="116"/>
      <c r="H77" s="116"/>
      <c r="I77" s="116"/>
      <c r="J77" s="116"/>
      <c r="K77" s="116"/>
      <c r="L77" s="116"/>
      <c r="M77" s="116"/>
      <c r="N77" s="116"/>
      <c r="O77" s="116"/>
      <c r="P77" s="116"/>
      <c r="Q77" s="116"/>
      <c r="R77" s="115"/>
    </row>
    <row r="78" spans="1:18" ht="15.5" x14ac:dyDescent="0.35">
      <c r="A78" s="116"/>
      <c r="B78" s="116"/>
      <c r="C78" s="116"/>
      <c r="D78" s="116"/>
      <c r="E78" s="116"/>
      <c r="F78" s="116"/>
      <c r="G78" s="116"/>
      <c r="H78" s="116"/>
      <c r="I78" s="116"/>
      <c r="J78" s="116"/>
      <c r="K78" s="116"/>
      <c r="L78" s="116"/>
      <c r="M78" s="116"/>
      <c r="N78" s="116"/>
      <c r="O78" s="116"/>
      <c r="P78" s="116"/>
      <c r="Q78" s="116"/>
      <c r="R78" s="115"/>
    </row>
    <row r="79" spans="1:18" ht="15.5" x14ac:dyDescent="0.35">
      <c r="A79" s="116"/>
      <c r="B79" s="116"/>
      <c r="C79" s="116"/>
      <c r="D79" s="116"/>
      <c r="E79" s="116"/>
      <c r="F79" s="116"/>
      <c r="G79" s="116"/>
      <c r="H79" s="116"/>
      <c r="I79" s="116"/>
      <c r="J79" s="116"/>
      <c r="K79" s="116"/>
      <c r="L79" s="116"/>
      <c r="M79" s="116"/>
      <c r="N79" s="116"/>
      <c r="O79" s="116"/>
      <c r="P79" s="116"/>
      <c r="Q79" s="116"/>
      <c r="R79" s="115"/>
    </row>
    <row r="80" spans="1:18" ht="15.5" hidden="1" x14ac:dyDescent="0.35">
      <c r="A80" s="116"/>
      <c r="B80" s="185" t="s">
        <v>109</v>
      </c>
      <c r="C80" s="185"/>
      <c r="D80" s="185"/>
      <c r="E80" s="185"/>
      <c r="F80" s="185"/>
      <c r="G80" s="185"/>
      <c r="H80" s="185"/>
      <c r="I80" s="185"/>
      <c r="J80" s="185"/>
      <c r="K80" s="116"/>
      <c r="L80" s="116"/>
      <c r="M80" s="116"/>
      <c r="N80" s="116"/>
      <c r="O80" s="116"/>
      <c r="P80" s="116"/>
      <c r="Q80" s="116"/>
      <c r="R80" s="115"/>
    </row>
    <row r="81" spans="1:19" ht="15.5" x14ac:dyDescent="0.35">
      <c r="A81" s="116"/>
      <c r="B81" s="120" t="s">
        <v>170</v>
      </c>
      <c r="C81" s="120"/>
      <c r="D81" s="116"/>
      <c r="E81" s="116"/>
      <c r="F81" s="116"/>
      <c r="G81" s="116"/>
      <c r="H81" s="116"/>
      <c r="I81" s="116"/>
      <c r="J81" s="116"/>
      <c r="K81" s="116"/>
      <c r="L81" s="116"/>
      <c r="M81" s="116"/>
      <c r="N81" s="116"/>
      <c r="O81" s="116"/>
      <c r="P81" s="116"/>
      <c r="Q81" s="116"/>
      <c r="R81" s="115"/>
    </row>
    <row r="82" spans="1:19" ht="15.5" x14ac:dyDescent="0.35">
      <c r="A82" s="116"/>
      <c r="B82" s="120" t="s">
        <v>110</v>
      </c>
      <c r="C82" s="120"/>
      <c r="D82" s="183">
        <f>D83</f>
        <v>0</v>
      </c>
      <c r="E82" s="183">
        <f t="shared" ref="E82:Q82" si="8">E83+D82</f>
        <v>513.23076923076928</v>
      </c>
      <c r="F82" s="183">
        <f t="shared" si="8"/>
        <v>4802.5843568196515</v>
      </c>
      <c r="G82" s="183">
        <f t="shared" si="8"/>
        <v>8587.7382029734981</v>
      </c>
      <c r="H82" s="183">
        <f t="shared" si="8"/>
        <v>12061.738202973498</v>
      </c>
      <c r="I82" s="183">
        <f t="shared" si="8"/>
        <v>14966.338202973498</v>
      </c>
      <c r="J82" s="183">
        <f t="shared" si="8"/>
        <v>20592.332041531732</v>
      </c>
      <c r="K82" s="183">
        <f t="shared" si="8"/>
        <v>22886.332041531732</v>
      </c>
      <c r="L82" s="186">
        <f t="shared" si="8"/>
        <v>27615.269731707158</v>
      </c>
      <c r="M82" s="183">
        <f t="shared" si="8"/>
        <v>30617.407610669055</v>
      </c>
      <c r="N82" s="183">
        <f t="shared" si="8"/>
        <v>36028.675439747763</v>
      </c>
      <c r="O82" s="183">
        <f t="shared" si="8"/>
        <v>39595.675439747763</v>
      </c>
      <c r="P82" s="183">
        <f t="shared" si="8"/>
        <v>42037.167060399341</v>
      </c>
      <c r="Q82" s="183">
        <f t="shared" si="8"/>
        <v>42961.167060399341</v>
      </c>
      <c r="R82" s="115">
        <f>Q82</f>
        <v>42961.167060399341</v>
      </c>
    </row>
    <row r="83" spans="1:19" ht="15.5" x14ac:dyDescent="0.35">
      <c r="A83" s="116"/>
      <c r="B83" s="120" t="s">
        <v>111</v>
      </c>
      <c r="C83" s="120"/>
      <c r="D83" s="183">
        <f t="shared" ref="D83:Q83" si="9">SUMPRODUCT(D86:D88,$B$86:$B$88)</f>
        <v>0</v>
      </c>
      <c r="E83" s="183">
        <f>SUMPRODUCT(E86:E88,$B$86:$B$88)</f>
        <v>513.23076923076928</v>
      </c>
      <c r="F83" s="183">
        <f>SUMPRODUCT(F86:F88,$B$86:$B$88)</f>
        <v>4289.353587588882</v>
      </c>
      <c r="G83" s="183">
        <f t="shared" si="9"/>
        <v>3785.1538461538457</v>
      </c>
      <c r="H83" s="183">
        <f t="shared" si="9"/>
        <v>3474</v>
      </c>
      <c r="I83" s="183">
        <f>SUMPRODUCT(I86:I88,$B$86:$B$88)</f>
        <v>2904.6</v>
      </c>
      <c r="J83" s="183">
        <f t="shared" si="9"/>
        <v>5625.9938385582327</v>
      </c>
      <c r="K83" s="183">
        <f t="shared" si="9"/>
        <v>2294</v>
      </c>
      <c r="L83" s="186">
        <f t="shared" si="9"/>
        <v>4728.937690175424</v>
      </c>
      <c r="M83" s="183">
        <f t="shared" si="9"/>
        <v>3002.1378789618993</v>
      </c>
      <c r="N83" s="183">
        <f t="shared" si="9"/>
        <v>5411.2678290787071</v>
      </c>
      <c r="O83" s="183">
        <f t="shared" si="9"/>
        <v>3567</v>
      </c>
      <c r="P83" s="183">
        <f t="shared" si="9"/>
        <v>2441.4916206515741</v>
      </c>
      <c r="Q83" s="183">
        <f t="shared" si="9"/>
        <v>924</v>
      </c>
      <c r="R83" s="115">
        <f>SUM(D83:Q83)</f>
        <v>42961.167060399341</v>
      </c>
    </row>
    <row r="84" spans="1:19" ht="15.5" x14ac:dyDescent="0.35">
      <c r="A84" s="116"/>
      <c r="B84" s="120" t="s">
        <v>84</v>
      </c>
      <c r="C84" s="120"/>
      <c r="D84" s="183">
        <f>'EC-UNC'!D84</f>
        <v>0</v>
      </c>
      <c r="E84" s="183">
        <f>'EC-UNC'!E84*E83/'EC-UNC'!E83</f>
        <v>2</v>
      </c>
      <c r="F84" s="183">
        <f>'EC-UNC'!F84*F83/'EC-UNC'!F83</f>
        <v>6</v>
      </c>
      <c r="G84" s="183">
        <f>'EC-UNC'!G84*G83/'EC-UNC'!G83</f>
        <v>4.9999999999999991</v>
      </c>
      <c r="H84" s="183">
        <f>'EC-UNC'!H84*H83/'EC-UNC'!H83</f>
        <v>6</v>
      </c>
      <c r="I84" s="183">
        <f>'EC-UNC'!I84*I83/'EC-UNC'!I83</f>
        <v>3</v>
      </c>
      <c r="J84" s="183">
        <f>'EC-UNC'!J84*J83/'EC-UNC'!J83</f>
        <v>6.9999999999999991</v>
      </c>
      <c r="K84" s="183">
        <f>'EC-UNC'!K84*K83/'EC-UNC'!K83</f>
        <v>3</v>
      </c>
      <c r="L84" s="186">
        <f>'EC-UNC'!L84*L83/'EC-UNC'!L83</f>
        <v>6</v>
      </c>
      <c r="M84" s="183">
        <f>'EC-UNC'!M84*M83/'EC-UNC'!M83</f>
        <v>2</v>
      </c>
      <c r="N84" s="183">
        <f>'EC-UNC'!N84*N83/'EC-UNC'!N83</f>
        <v>3</v>
      </c>
      <c r="O84" s="183">
        <f>'EC-UNC'!O84*O83/'EC-UNC'!O83</f>
        <v>1</v>
      </c>
      <c r="P84" s="183">
        <f>'EC-UNC'!P84*P83/'EC-UNC'!P83</f>
        <v>2</v>
      </c>
      <c r="Q84" s="183">
        <f>'EC-UNC'!Q84*Q83/'EC-UNC'!Q83</f>
        <v>1</v>
      </c>
      <c r="R84" s="115">
        <f>SUM(D84:Q84)</f>
        <v>47</v>
      </c>
    </row>
    <row r="85" spans="1:19" ht="15.5" x14ac:dyDescent="0.35">
      <c r="A85" s="116"/>
      <c r="B85" s="179" t="s">
        <v>112</v>
      </c>
      <c r="C85" s="180">
        <f>SUM(C86:C88)</f>
        <v>0</v>
      </c>
      <c r="D85" s="180">
        <f t="shared" ref="D85:Q85" si="10">SUM(D86:D88)</f>
        <v>0</v>
      </c>
      <c r="E85" s="180">
        <f t="shared" si="10"/>
        <v>42.769230769230774</v>
      </c>
      <c r="F85" s="180">
        <f t="shared" si="10"/>
        <v>338.31588019823317</v>
      </c>
      <c r="G85" s="180">
        <f t="shared" si="10"/>
        <v>289.84615384615381</v>
      </c>
      <c r="H85" s="180">
        <f t="shared" si="10"/>
        <v>243.73333333333332</v>
      </c>
      <c r="I85" s="180">
        <f t="shared" si="10"/>
        <v>193.64</v>
      </c>
      <c r="J85" s="180">
        <f t="shared" si="10"/>
        <v>375.06625590388217</v>
      </c>
      <c r="K85" s="180">
        <f t="shared" si="10"/>
        <v>152.93333333333334</v>
      </c>
      <c r="L85" s="180">
        <f t="shared" si="10"/>
        <v>315.26251267836159</v>
      </c>
      <c r="M85" s="180">
        <f t="shared" si="10"/>
        <v>166.78543772010551</v>
      </c>
      <c r="N85" s="180">
        <f t="shared" si="10"/>
        <v>300.62599050437262</v>
      </c>
      <c r="O85" s="180">
        <f t="shared" si="10"/>
        <v>198.16666666666666</v>
      </c>
      <c r="P85" s="180">
        <f t="shared" si="10"/>
        <v>135.63842336953189</v>
      </c>
      <c r="Q85" s="180">
        <f t="shared" si="10"/>
        <v>51.333333333333336</v>
      </c>
      <c r="R85" s="181">
        <f>SUM(C85:Q85)</f>
        <v>2804.1165516565384</v>
      </c>
    </row>
    <row r="86" spans="1:19" ht="15.5" x14ac:dyDescent="0.35">
      <c r="A86" s="187"/>
      <c r="B86" s="182">
        <v>12</v>
      </c>
      <c r="C86" s="182"/>
      <c r="D86" s="183">
        <f>'EC-UNC'!D86</f>
        <v>0</v>
      </c>
      <c r="E86" s="183">
        <f>'EC-UNC'!E86</f>
        <v>42.769230769230774</v>
      </c>
      <c r="F86" s="183">
        <f>'EC-UNC'!F86</f>
        <v>261.79487179487182</v>
      </c>
      <c r="G86" s="183">
        <f>'EC-UNC'!G86</f>
        <v>187.5128205128205</v>
      </c>
      <c r="H86" s="183">
        <f>'EC-UNC'!H86</f>
        <v>60.666666666666664</v>
      </c>
      <c r="I86" s="183">
        <f>'EC-UNC'!I86</f>
        <v>0</v>
      </c>
      <c r="J86" s="183">
        <f>'EC-UNC'!J86</f>
        <v>0</v>
      </c>
      <c r="K86" s="183">
        <f>'EC-UNC'!K86</f>
        <v>0</v>
      </c>
      <c r="L86" s="183">
        <f>'EC-UNC'!L86</f>
        <v>0</v>
      </c>
      <c r="M86" s="183">
        <f>'EC-UNC'!M86</f>
        <v>0</v>
      </c>
      <c r="N86" s="183">
        <f>'EC-UNC'!N86</f>
        <v>0</v>
      </c>
      <c r="O86" s="183">
        <f>'EC-UNC'!O86</f>
        <v>0</v>
      </c>
      <c r="P86" s="183">
        <f>'EC-UNC'!P86</f>
        <v>0</v>
      </c>
      <c r="Q86" s="183">
        <f>'EC-UNC'!Q86</f>
        <v>0</v>
      </c>
      <c r="R86" s="115">
        <f>SUM(D86:Q86)</f>
        <v>552.74358974358972</v>
      </c>
      <c r="S86" s="22"/>
    </row>
    <row r="87" spans="1:19" ht="15.5" x14ac:dyDescent="0.35">
      <c r="A87" s="116"/>
      <c r="B87" s="182">
        <v>15</v>
      </c>
      <c r="C87" s="182"/>
      <c r="D87" s="183">
        <f>'EC-UNC'!D87</f>
        <v>0</v>
      </c>
      <c r="E87" s="183">
        <f>'EC-UNC'!E87</f>
        <v>0</v>
      </c>
      <c r="F87" s="183">
        <f>'EC-UNC'!F87</f>
        <v>76.52100840336135</v>
      </c>
      <c r="G87" s="183">
        <f>'EC-UNC'!G87</f>
        <v>102.33333333333334</v>
      </c>
      <c r="H87" s="183">
        <f>'EC-UNC'!H87</f>
        <v>183.06666666666666</v>
      </c>
      <c r="I87" s="183">
        <f>'EC-UNC'!I87</f>
        <v>193.64</v>
      </c>
      <c r="J87" s="183">
        <f>'EC-UNC'!J87</f>
        <v>375.06625590388217</v>
      </c>
      <c r="K87" s="183">
        <f>'EC-UNC'!K87</f>
        <v>152.93333333333334</v>
      </c>
      <c r="L87" s="183">
        <f>'EC-UNC'!L87</f>
        <v>315.26251267836159</v>
      </c>
      <c r="M87" s="183">
        <f>'EC-UNC'!M87</f>
        <v>0</v>
      </c>
      <c r="N87" s="183">
        <f>'EC-UNC'!N87</f>
        <v>0</v>
      </c>
      <c r="O87" s="183">
        <f>'EC-UNC'!O87</f>
        <v>0</v>
      </c>
      <c r="P87" s="183">
        <f>'EC-UNC'!P87</f>
        <v>0</v>
      </c>
      <c r="Q87" s="183">
        <f>'EC-UNC'!Q87</f>
        <v>0</v>
      </c>
      <c r="R87" s="115">
        <f>SUM(D87:Q87)</f>
        <v>1398.8231103189385</v>
      </c>
      <c r="S87" s="22"/>
    </row>
    <row r="88" spans="1:19" ht="15.5" x14ac:dyDescent="0.35">
      <c r="A88" s="116"/>
      <c r="B88" s="182">
        <v>18</v>
      </c>
      <c r="C88" s="182"/>
      <c r="D88" s="183">
        <f>'EC-UNC'!D88</f>
        <v>0</v>
      </c>
      <c r="E88" s="183">
        <f>'EC-UNC'!E88</f>
        <v>0</v>
      </c>
      <c r="F88" s="183">
        <f>'EC-UNC'!F88</f>
        <v>0</v>
      </c>
      <c r="G88" s="183">
        <f>'EC-UNC'!G88</f>
        <v>0</v>
      </c>
      <c r="H88" s="183">
        <f>'EC-UNC'!H88</f>
        <v>0</v>
      </c>
      <c r="I88" s="183">
        <f>'EC-UNC'!I88</f>
        <v>0</v>
      </c>
      <c r="J88" s="183">
        <f>'EC-UNC'!J88</f>
        <v>0</v>
      </c>
      <c r="K88" s="183">
        <f>'EC-UNC'!K88</f>
        <v>0</v>
      </c>
      <c r="L88" s="183">
        <f>'EC-UNC'!L88</f>
        <v>0</v>
      </c>
      <c r="M88" s="183">
        <f>'EC-UNC'!M88</f>
        <v>166.78543772010551</v>
      </c>
      <c r="N88" s="183">
        <f>'EC-UNC'!N88</f>
        <v>300.62599050437262</v>
      </c>
      <c r="O88" s="183">
        <f>'EC-UNC'!O88</f>
        <v>198.16666666666666</v>
      </c>
      <c r="P88" s="183">
        <f>'EC-UNC'!P88</f>
        <v>135.63842336953189</v>
      </c>
      <c r="Q88" s="183">
        <f>'EC-UNC'!Q88</f>
        <v>51.333333333333336</v>
      </c>
      <c r="R88" s="115">
        <f>SUM(D88:Q88)</f>
        <v>852.54985159401008</v>
      </c>
      <c r="S88" s="22"/>
    </row>
    <row r="89" spans="1:19" ht="15.5" x14ac:dyDescent="0.35">
      <c r="A89" s="116"/>
      <c r="B89" s="179" t="s">
        <v>113</v>
      </c>
      <c r="C89" s="179"/>
      <c r="D89" s="180"/>
      <c r="E89" s="180"/>
      <c r="F89" s="180"/>
      <c r="G89" s="180"/>
      <c r="H89" s="180"/>
      <c r="I89" s="180"/>
      <c r="J89" s="180"/>
      <c r="K89" s="180"/>
      <c r="L89" s="188"/>
      <c r="M89" s="180"/>
      <c r="N89" s="180"/>
      <c r="O89" s="180"/>
      <c r="P89" s="180"/>
      <c r="Q89" s="180"/>
      <c r="R89" s="181"/>
      <c r="S89" s="22"/>
    </row>
    <row r="90" spans="1:19" ht="15.5" x14ac:dyDescent="0.35">
      <c r="A90" s="116"/>
      <c r="B90" s="182">
        <v>12</v>
      </c>
      <c r="C90" s="182"/>
      <c r="D90" s="183">
        <f t="shared" ref="D90:Q92" si="11">3*D86</f>
        <v>0</v>
      </c>
      <c r="E90" s="183">
        <f t="shared" si="11"/>
        <v>128.30769230769232</v>
      </c>
      <c r="F90" s="183">
        <f t="shared" si="11"/>
        <v>785.38461538461547</v>
      </c>
      <c r="G90" s="183">
        <f t="shared" si="11"/>
        <v>562.53846153846143</v>
      </c>
      <c r="H90" s="183">
        <f t="shared" si="11"/>
        <v>182</v>
      </c>
      <c r="I90" s="183">
        <f t="shared" si="11"/>
        <v>0</v>
      </c>
      <c r="J90" s="183">
        <f t="shared" si="11"/>
        <v>0</v>
      </c>
      <c r="K90" s="183">
        <f t="shared" si="11"/>
        <v>0</v>
      </c>
      <c r="L90" s="186">
        <f t="shared" si="11"/>
        <v>0</v>
      </c>
      <c r="M90" s="183">
        <f t="shared" si="11"/>
        <v>0</v>
      </c>
      <c r="N90" s="183">
        <f t="shared" si="11"/>
        <v>0</v>
      </c>
      <c r="O90" s="183">
        <f t="shared" si="11"/>
        <v>0</v>
      </c>
      <c r="P90" s="183">
        <f t="shared" si="11"/>
        <v>0</v>
      </c>
      <c r="Q90" s="183">
        <f t="shared" si="11"/>
        <v>0</v>
      </c>
      <c r="R90" s="115">
        <f>SUM(D90:Q90)</f>
        <v>1658.2307692307693</v>
      </c>
    </row>
    <row r="91" spans="1:19" ht="15.5" x14ac:dyDescent="0.35">
      <c r="A91" s="116"/>
      <c r="B91" s="182">
        <v>15</v>
      </c>
      <c r="C91" s="182"/>
      <c r="D91" s="183">
        <f t="shared" si="11"/>
        <v>0</v>
      </c>
      <c r="E91" s="183">
        <f t="shared" si="11"/>
        <v>0</v>
      </c>
      <c r="F91" s="183">
        <f t="shared" si="11"/>
        <v>229.56302521008405</v>
      </c>
      <c r="G91" s="183">
        <f t="shared" si="11"/>
        <v>307</v>
      </c>
      <c r="H91" s="183">
        <f t="shared" si="11"/>
        <v>549.20000000000005</v>
      </c>
      <c r="I91" s="183">
        <f t="shared" si="11"/>
        <v>580.91999999999996</v>
      </c>
      <c r="J91" s="183">
        <f t="shared" si="11"/>
        <v>1125.1987677116465</v>
      </c>
      <c r="K91" s="183">
        <f t="shared" si="11"/>
        <v>458.8</v>
      </c>
      <c r="L91" s="186">
        <f t="shared" si="11"/>
        <v>945.78753803508471</v>
      </c>
      <c r="M91" s="183">
        <f t="shared" si="11"/>
        <v>0</v>
      </c>
      <c r="N91" s="183">
        <f t="shared" si="11"/>
        <v>0</v>
      </c>
      <c r="O91" s="183">
        <f t="shared" si="11"/>
        <v>0</v>
      </c>
      <c r="P91" s="183">
        <f t="shared" si="11"/>
        <v>0</v>
      </c>
      <c r="Q91" s="183">
        <f t="shared" si="11"/>
        <v>0</v>
      </c>
      <c r="R91" s="115">
        <f>SUM(D91:Q91)</f>
        <v>4196.4693309568156</v>
      </c>
    </row>
    <row r="92" spans="1:19" ht="15.5" x14ac:dyDescent="0.35">
      <c r="A92" s="116"/>
      <c r="B92" s="182">
        <v>18</v>
      </c>
      <c r="C92" s="182"/>
      <c r="D92" s="183">
        <f t="shared" si="11"/>
        <v>0</v>
      </c>
      <c r="E92" s="183">
        <f t="shared" si="11"/>
        <v>0</v>
      </c>
      <c r="F92" s="183">
        <f t="shared" si="11"/>
        <v>0</v>
      </c>
      <c r="G92" s="183">
        <f t="shared" si="11"/>
        <v>0</v>
      </c>
      <c r="H92" s="183">
        <f t="shared" si="11"/>
        <v>0</v>
      </c>
      <c r="I92" s="183">
        <f t="shared" si="11"/>
        <v>0</v>
      </c>
      <c r="J92" s="183">
        <f t="shared" si="11"/>
        <v>0</v>
      </c>
      <c r="K92" s="183">
        <f t="shared" si="11"/>
        <v>0</v>
      </c>
      <c r="L92" s="186">
        <f t="shared" si="11"/>
        <v>0</v>
      </c>
      <c r="M92" s="183">
        <f t="shared" si="11"/>
        <v>500.35631316031652</v>
      </c>
      <c r="N92" s="183">
        <f t="shared" si="11"/>
        <v>901.87797151311793</v>
      </c>
      <c r="O92" s="183">
        <f t="shared" si="11"/>
        <v>594.5</v>
      </c>
      <c r="P92" s="183">
        <f t="shared" si="11"/>
        <v>406.91527010859568</v>
      </c>
      <c r="Q92" s="183">
        <f t="shared" si="11"/>
        <v>154</v>
      </c>
      <c r="R92" s="115">
        <f>SUM(D92:Q92)</f>
        <v>2557.6495547820305</v>
      </c>
    </row>
    <row r="93" spans="1:19" ht="15.5" x14ac:dyDescent="0.35">
      <c r="A93" s="116"/>
      <c r="B93" s="179" t="s">
        <v>114</v>
      </c>
      <c r="C93" s="179"/>
      <c r="D93" s="180"/>
      <c r="E93" s="180"/>
      <c r="F93" s="180"/>
      <c r="G93" s="180"/>
      <c r="H93" s="180"/>
      <c r="I93" s="180"/>
      <c r="J93" s="180"/>
      <c r="K93" s="180"/>
      <c r="L93" s="188"/>
      <c r="M93" s="180"/>
      <c r="N93" s="180"/>
      <c r="O93" s="180"/>
      <c r="P93" s="180"/>
      <c r="Q93" s="180"/>
      <c r="R93" s="181"/>
    </row>
    <row r="94" spans="1:19" ht="15.5" x14ac:dyDescent="0.35">
      <c r="A94" s="116"/>
      <c r="B94" s="182">
        <v>12</v>
      </c>
      <c r="C94" s="182"/>
      <c r="D94" s="183">
        <f t="shared" ref="D94:Q96" si="12">D86</f>
        <v>0</v>
      </c>
      <c r="E94" s="183">
        <f t="shared" si="12"/>
        <v>42.769230769230774</v>
      </c>
      <c r="F94" s="183">
        <f t="shared" si="12"/>
        <v>261.79487179487182</v>
      </c>
      <c r="G94" s="183">
        <f t="shared" si="12"/>
        <v>187.5128205128205</v>
      </c>
      <c r="H94" s="183">
        <f t="shared" si="12"/>
        <v>60.666666666666664</v>
      </c>
      <c r="I94" s="183">
        <f t="shared" si="12"/>
        <v>0</v>
      </c>
      <c r="J94" s="183">
        <f t="shared" si="12"/>
        <v>0</v>
      </c>
      <c r="K94" s="183">
        <f t="shared" si="12"/>
        <v>0</v>
      </c>
      <c r="L94" s="186">
        <f t="shared" si="12"/>
        <v>0</v>
      </c>
      <c r="M94" s="183">
        <f t="shared" si="12"/>
        <v>0</v>
      </c>
      <c r="N94" s="183">
        <f t="shared" si="12"/>
        <v>0</v>
      </c>
      <c r="O94" s="183">
        <f t="shared" si="12"/>
        <v>0</v>
      </c>
      <c r="P94" s="183">
        <f t="shared" si="12"/>
        <v>0</v>
      </c>
      <c r="Q94" s="183">
        <f t="shared" si="12"/>
        <v>0</v>
      </c>
      <c r="R94" s="115">
        <f>SUM(D94:Q94)</f>
        <v>552.74358974358972</v>
      </c>
    </row>
    <row r="95" spans="1:19" ht="15.5" x14ac:dyDescent="0.35">
      <c r="A95" s="116"/>
      <c r="B95" s="182">
        <v>15</v>
      </c>
      <c r="C95" s="182"/>
      <c r="D95" s="183">
        <f t="shared" si="12"/>
        <v>0</v>
      </c>
      <c r="E95" s="183">
        <f t="shared" si="12"/>
        <v>0</v>
      </c>
      <c r="F95" s="183">
        <f t="shared" si="12"/>
        <v>76.52100840336135</v>
      </c>
      <c r="G95" s="183">
        <f t="shared" si="12"/>
        <v>102.33333333333334</v>
      </c>
      <c r="H95" s="183">
        <f t="shared" si="12"/>
        <v>183.06666666666666</v>
      </c>
      <c r="I95" s="183">
        <f t="shared" si="12"/>
        <v>193.64</v>
      </c>
      <c r="J95" s="183">
        <f t="shared" si="12"/>
        <v>375.06625590388217</v>
      </c>
      <c r="K95" s="183">
        <f t="shared" si="12"/>
        <v>152.93333333333334</v>
      </c>
      <c r="L95" s="186">
        <f t="shared" si="12"/>
        <v>315.26251267836159</v>
      </c>
      <c r="M95" s="183">
        <f t="shared" si="12"/>
        <v>0</v>
      </c>
      <c r="N95" s="183">
        <f t="shared" si="12"/>
        <v>0</v>
      </c>
      <c r="O95" s="183">
        <f t="shared" si="12"/>
        <v>0</v>
      </c>
      <c r="P95" s="183">
        <f t="shared" si="12"/>
        <v>0</v>
      </c>
      <c r="Q95" s="183">
        <f t="shared" si="12"/>
        <v>0</v>
      </c>
      <c r="R95" s="115">
        <f>SUM(D95:Q95)</f>
        <v>1398.8231103189385</v>
      </c>
    </row>
    <row r="96" spans="1:19" ht="15.5" x14ac:dyDescent="0.35">
      <c r="A96" s="116"/>
      <c r="B96" s="182">
        <v>18</v>
      </c>
      <c r="C96" s="182"/>
      <c r="D96" s="183">
        <f t="shared" si="12"/>
        <v>0</v>
      </c>
      <c r="E96" s="183">
        <f t="shared" si="12"/>
        <v>0</v>
      </c>
      <c r="F96" s="183">
        <f t="shared" si="12"/>
        <v>0</v>
      </c>
      <c r="G96" s="183">
        <f t="shared" si="12"/>
        <v>0</v>
      </c>
      <c r="H96" s="183">
        <f t="shared" si="12"/>
        <v>0</v>
      </c>
      <c r="I96" s="183">
        <f t="shared" si="12"/>
        <v>0</v>
      </c>
      <c r="J96" s="183">
        <f t="shared" si="12"/>
        <v>0</v>
      </c>
      <c r="K96" s="183">
        <f t="shared" si="12"/>
        <v>0</v>
      </c>
      <c r="L96" s="186">
        <f t="shared" si="12"/>
        <v>0</v>
      </c>
      <c r="M96" s="183">
        <f t="shared" si="12"/>
        <v>166.78543772010551</v>
      </c>
      <c r="N96" s="183">
        <f t="shared" si="12"/>
        <v>300.62599050437262</v>
      </c>
      <c r="O96" s="183">
        <f t="shared" si="12"/>
        <v>198.16666666666666</v>
      </c>
      <c r="P96" s="183">
        <f t="shared" si="12"/>
        <v>135.63842336953189</v>
      </c>
      <c r="Q96" s="183">
        <f t="shared" si="12"/>
        <v>51.333333333333336</v>
      </c>
      <c r="R96" s="115">
        <f>SUM(D96:Q96)</f>
        <v>852.54985159401008</v>
      </c>
    </row>
    <row r="97" spans="1:18" ht="15.5" x14ac:dyDescent="0.35">
      <c r="A97" s="116"/>
      <c r="B97" s="179" t="s">
        <v>115</v>
      </c>
      <c r="C97" s="179"/>
      <c r="D97" s="180"/>
      <c r="E97" s="180"/>
      <c r="F97" s="180"/>
      <c r="G97" s="180"/>
      <c r="H97" s="180"/>
      <c r="I97" s="180"/>
      <c r="J97" s="180"/>
      <c r="K97" s="180"/>
      <c r="L97" s="188"/>
      <c r="M97" s="180"/>
      <c r="N97" s="180"/>
      <c r="O97" s="180"/>
      <c r="P97" s="180"/>
      <c r="Q97" s="180"/>
      <c r="R97" s="181"/>
    </row>
    <row r="98" spans="1:18" ht="15.5" x14ac:dyDescent="0.35">
      <c r="A98" s="116"/>
      <c r="B98" s="182">
        <v>12</v>
      </c>
      <c r="C98" s="182"/>
      <c r="D98" s="183">
        <f t="shared" ref="D98:Q100" si="13">D86</f>
        <v>0</v>
      </c>
      <c r="E98" s="183">
        <f t="shared" si="13"/>
        <v>42.769230769230774</v>
      </c>
      <c r="F98" s="183">
        <f t="shared" si="13"/>
        <v>261.79487179487182</v>
      </c>
      <c r="G98" s="183">
        <f t="shared" si="13"/>
        <v>187.5128205128205</v>
      </c>
      <c r="H98" s="183">
        <f t="shared" si="13"/>
        <v>60.666666666666664</v>
      </c>
      <c r="I98" s="183">
        <f t="shared" si="13"/>
        <v>0</v>
      </c>
      <c r="J98" s="183">
        <f t="shared" si="13"/>
        <v>0</v>
      </c>
      <c r="K98" s="183">
        <f t="shared" si="13"/>
        <v>0</v>
      </c>
      <c r="L98" s="186">
        <f t="shared" si="13"/>
        <v>0</v>
      </c>
      <c r="M98" s="183">
        <f t="shared" si="13"/>
        <v>0</v>
      </c>
      <c r="N98" s="183">
        <f t="shared" si="13"/>
        <v>0</v>
      </c>
      <c r="O98" s="183">
        <f t="shared" si="13"/>
        <v>0</v>
      </c>
      <c r="P98" s="183">
        <f t="shared" si="13"/>
        <v>0</v>
      </c>
      <c r="Q98" s="183">
        <f t="shared" si="13"/>
        <v>0</v>
      </c>
      <c r="R98" s="115">
        <f>SUM(D98:Q98)</f>
        <v>552.74358974358972</v>
      </c>
    </row>
    <row r="99" spans="1:18" ht="15.5" x14ac:dyDescent="0.35">
      <c r="A99" s="116"/>
      <c r="B99" s="182">
        <v>15</v>
      </c>
      <c r="C99" s="182"/>
      <c r="D99" s="183">
        <f t="shared" si="13"/>
        <v>0</v>
      </c>
      <c r="E99" s="183">
        <f t="shared" si="13"/>
        <v>0</v>
      </c>
      <c r="F99" s="183">
        <f t="shared" si="13"/>
        <v>76.52100840336135</v>
      </c>
      <c r="G99" s="183">
        <f t="shared" si="13"/>
        <v>102.33333333333334</v>
      </c>
      <c r="H99" s="183">
        <f t="shared" si="13"/>
        <v>183.06666666666666</v>
      </c>
      <c r="I99" s="183">
        <f t="shared" si="13"/>
        <v>193.64</v>
      </c>
      <c r="J99" s="183">
        <f t="shared" si="13"/>
        <v>375.06625590388217</v>
      </c>
      <c r="K99" s="183">
        <f t="shared" si="13"/>
        <v>152.93333333333334</v>
      </c>
      <c r="L99" s="186">
        <f t="shared" si="13"/>
        <v>315.26251267836159</v>
      </c>
      <c r="M99" s="183">
        <f t="shared" si="13"/>
        <v>0</v>
      </c>
      <c r="N99" s="183">
        <f t="shared" si="13"/>
        <v>0</v>
      </c>
      <c r="O99" s="183">
        <f t="shared" si="13"/>
        <v>0</v>
      </c>
      <c r="P99" s="183">
        <f t="shared" si="13"/>
        <v>0</v>
      </c>
      <c r="Q99" s="183">
        <f t="shared" si="13"/>
        <v>0</v>
      </c>
      <c r="R99" s="115">
        <f>SUM(D99:Q99)</f>
        <v>1398.8231103189385</v>
      </c>
    </row>
    <row r="100" spans="1:18" ht="15.5" x14ac:dyDescent="0.35">
      <c r="A100" s="116"/>
      <c r="B100" s="182">
        <v>18</v>
      </c>
      <c r="C100" s="182"/>
      <c r="D100" s="183">
        <f t="shared" si="13"/>
        <v>0</v>
      </c>
      <c r="E100" s="183">
        <f t="shared" si="13"/>
        <v>0</v>
      </c>
      <c r="F100" s="183">
        <f t="shared" si="13"/>
        <v>0</v>
      </c>
      <c r="G100" s="183">
        <f t="shared" si="13"/>
        <v>0</v>
      </c>
      <c r="H100" s="183">
        <f t="shared" si="13"/>
        <v>0</v>
      </c>
      <c r="I100" s="183">
        <f t="shared" si="13"/>
        <v>0</v>
      </c>
      <c r="J100" s="183">
        <f t="shared" si="13"/>
        <v>0</v>
      </c>
      <c r="K100" s="183">
        <f t="shared" si="13"/>
        <v>0</v>
      </c>
      <c r="L100" s="186">
        <f t="shared" si="13"/>
        <v>0</v>
      </c>
      <c r="M100" s="183">
        <f t="shared" si="13"/>
        <v>166.78543772010551</v>
      </c>
      <c r="N100" s="183">
        <f t="shared" si="13"/>
        <v>300.62599050437262</v>
      </c>
      <c r="O100" s="183">
        <f t="shared" si="13"/>
        <v>198.16666666666666</v>
      </c>
      <c r="P100" s="183">
        <f t="shared" si="13"/>
        <v>135.63842336953189</v>
      </c>
      <c r="Q100" s="183">
        <f t="shared" si="13"/>
        <v>51.333333333333336</v>
      </c>
      <c r="R100" s="115">
        <f>SUM(D100:Q100)</f>
        <v>852.54985159401008</v>
      </c>
    </row>
    <row r="101" spans="1:18" ht="15.5" x14ac:dyDescent="0.35">
      <c r="A101" s="116"/>
      <c r="B101" s="179" t="s">
        <v>116</v>
      </c>
      <c r="C101" s="179"/>
      <c r="D101" s="180">
        <f>SUM(D103:D105)</f>
        <v>0</v>
      </c>
      <c r="E101" s="180">
        <f t="shared" ref="E101:Q101" si="14">SUM(E103:E105)</f>
        <v>42.769230769230774</v>
      </c>
      <c r="F101" s="180">
        <f t="shared" si="14"/>
        <v>338.31588019823317</v>
      </c>
      <c r="G101" s="180">
        <f t="shared" si="14"/>
        <v>267.84615384615381</v>
      </c>
      <c r="H101" s="180">
        <f t="shared" si="14"/>
        <v>221.73333333333332</v>
      </c>
      <c r="I101" s="180">
        <f t="shared" si="14"/>
        <v>193.64000000000001</v>
      </c>
      <c r="J101" s="180">
        <f t="shared" si="14"/>
        <v>354.65599949362581</v>
      </c>
      <c r="K101" s="180">
        <f t="shared" si="14"/>
        <v>170.73333333333335</v>
      </c>
      <c r="L101" s="180">
        <f t="shared" si="14"/>
        <v>293.92917934502822</v>
      </c>
      <c r="M101" s="180">
        <f t="shared" si="14"/>
        <v>122.21947897794578</v>
      </c>
      <c r="N101" s="180">
        <f t="shared" si="14"/>
        <v>300.62599050437262</v>
      </c>
      <c r="O101" s="180">
        <f t="shared" si="14"/>
        <v>198.16666666666663</v>
      </c>
      <c r="P101" s="180">
        <f t="shared" si="14"/>
        <v>135.63842336953186</v>
      </c>
      <c r="Q101" s="180">
        <f t="shared" si="14"/>
        <v>51.333333333333336</v>
      </c>
      <c r="R101" s="181">
        <f>SUM(C101:Q101)</f>
        <v>2691.6070031707886</v>
      </c>
    </row>
    <row r="102" spans="1:18" ht="15.5" x14ac:dyDescent="0.35">
      <c r="A102" s="193">
        <v>1</v>
      </c>
      <c r="B102" s="116" t="s">
        <v>257</v>
      </c>
      <c r="C102" s="116"/>
      <c r="D102" s="183">
        <f>'EC-UNC'!D102</f>
        <v>0</v>
      </c>
      <c r="E102" s="183">
        <f>$A102*SUM('EC-UNC'!E$103:E$105)</f>
        <v>42.769230769230774</v>
      </c>
      <c r="F102" s="183">
        <f>$A102*SUM('EC-UNC'!F$103:F$105)</f>
        <v>338.31588019823317</v>
      </c>
      <c r="G102" s="183">
        <f>$A102*SUM('EC-UNC'!G$103:G$105)</f>
        <v>267.84615384615381</v>
      </c>
      <c r="H102" s="183">
        <f>$A102*SUM('EC-UNC'!H$103:H$105)</f>
        <v>221.73333333333332</v>
      </c>
      <c r="I102" s="183">
        <f>$A102*SUM('EC-UNC'!I$103:I$105)</f>
        <v>193.64000000000001</v>
      </c>
      <c r="J102" s="183">
        <f>$A102*SUM('EC-UNC'!J$103:J$105)</f>
        <v>354.65599949362581</v>
      </c>
      <c r="K102" s="183">
        <f>$A102*SUM('EC-UNC'!K$103:K$105)</f>
        <v>170.73333333333335</v>
      </c>
      <c r="L102" s="183">
        <f>$A102*SUM('EC-UNC'!L$103:L$105)</f>
        <v>293.92917934502822</v>
      </c>
      <c r="M102" s="183">
        <f>$A102*SUM('EC-UNC'!M$103:M$105)</f>
        <v>122.21947897794578</v>
      </c>
      <c r="N102" s="183">
        <f>$A102*SUM('EC-UNC'!N$103:N$105)</f>
        <v>300.62599050437262</v>
      </c>
      <c r="O102" s="183">
        <f>$A102*SUM('EC-UNC'!O$103:O$105)</f>
        <v>198.16666666666663</v>
      </c>
      <c r="P102" s="183">
        <f>$A102*SUM('EC-UNC'!P$103:P$105)</f>
        <v>135.63842336953186</v>
      </c>
      <c r="Q102" s="183">
        <f>$A102*SUM('EC-UNC'!Q$103:Q$105)</f>
        <v>51.333333333333336</v>
      </c>
      <c r="R102" s="115">
        <f>SUM(D102:Q102)</f>
        <v>2691.6070031707886</v>
      </c>
    </row>
    <row r="103" spans="1:18" ht="15.5" x14ac:dyDescent="0.35">
      <c r="A103" s="193">
        <v>1</v>
      </c>
      <c r="B103" s="116" t="s">
        <v>258</v>
      </c>
      <c r="C103" s="116"/>
      <c r="D103" s="183">
        <f>'EC-UNC'!D103</f>
        <v>0</v>
      </c>
      <c r="E103" s="183">
        <f>$A103*SUM('EC-UNC'!E$103:E$105)</f>
        <v>42.769230769230774</v>
      </c>
      <c r="F103" s="183">
        <f>$A103*SUM('EC-UNC'!F$103:F$105)</f>
        <v>338.31588019823317</v>
      </c>
      <c r="G103" s="183">
        <f>$A103*SUM('EC-UNC'!G$103:G$105)</f>
        <v>267.84615384615381</v>
      </c>
      <c r="H103" s="183">
        <f>$A103*SUM('EC-UNC'!H$103:H$105)</f>
        <v>221.73333333333332</v>
      </c>
      <c r="I103" s="183">
        <f>$A103*SUM('EC-UNC'!I$103:I$105)</f>
        <v>193.64000000000001</v>
      </c>
      <c r="J103" s="183">
        <f>$A103*SUM('EC-UNC'!J$103:J$105)</f>
        <v>354.65599949362581</v>
      </c>
      <c r="K103" s="183">
        <f>$A103*SUM('EC-UNC'!K$103:K$105)</f>
        <v>170.73333333333335</v>
      </c>
      <c r="L103" s="183">
        <f>$A103*SUM('EC-UNC'!L$103:L$105)</f>
        <v>293.92917934502822</v>
      </c>
      <c r="M103" s="183">
        <f>$A103*SUM('EC-UNC'!M$103:M$105)</f>
        <v>122.21947897794578</v>
      </c>
      <c r="N103" s="183">
        <f>$A103*SUM('EC-UNC'!N$103:N$105)</f>
        <v>300.62599050437262</v>
      </c>
      <c r="O103" s="183">
        <f>$A103*SUM('EC-UNC'!O$103:O$105)</f>
        <v>198.16666666666663</v>
      </c>
      <c r="P103" s="183">
        <f>$A103*SUM('EC-UNC'!P$103:P$105)</f>
        <v>135.63842336953186</v>
      </c>
      <c r="Q103" s="183">
        <f>$A103*SUM('EC-UNC'!Q$103:Q$105)</f>
        <v>51.333333333333336</v>
      </c>
      <c r="R103" s="115">
        <f>SUM(D103:Q103)</f>
        <v>2691.6070031707886</v>
      </c>
    </row>
    <row r="104" spans="1:18" ht="15.5" x14ac:dyDescent="0.35">
      <c r="A104" s="193">
        <v>0</v>
      </c>
      <c r="B104" s="116" t="s">
        <v>117</v>
      </c>
      <c r="C104" s="116"/>
      <c r="D104" s="183">
        <f>'EC-UNC'!D104</f>
        <v>0</v>
      </c>
      <c r="E104" s="183">
        <f>$A104*SUM('EC-UNC'!E$103:E$105)</f>
        <v>0</v>
      </c>
      <c r="F104" s="183">
        <f>$A104*SUM('EC-UNC'!F$103:F$105)</f>
        <v>0</v>
      </c>
      <c r="G104" s="183">
        <f>$A104*SUM('EC-UNC'!G$103:G$105)</f>
        <v>0</v>
      </c>
      <c r="H104" s="183">
        <f>$A104*SUM('EC-UNC'!H$103:H$105)</f>
        <v>0</v>
      </c>
      <c r="I104" s="183">
        <f>$A104*SUM('EC-UNC'!I$103:I$105)</f>
        <v>0</v>
      </c>
      <c r="J104" s="183">
        <f>$A104*SUM('EC-UNC'!J$103:J$105)</f>
        <v>0</v>
      </c>
      <c r="K104" s="183">
        <f>$A104*SUM('EC-UNC'!K$103:K$105)</f>
        <v>0</v>
      </c>
      <c r="L104" s="183">
        <f>$A104*SUM('EC-UNC'!L$103:L$105)</f>
        <v>0</v>
      </c>
      <c r="M104" s="183">
        <f>$A104*SUM('EC-UNC'!M$103:M$105)</f>
        <v>0</v>
      </c>
      <c r="N104" s="183">
        <f>$A104*SUM('EC-UNC'!N$103:N$105)</f>
        <v>0</v>
      </c>
      <c r="O104" s="183">
        <f>$A104*SUM('EC-UNC'!O$103:O$105)</f>
        <v>0</v>
      </c>
      <c r="P104" s="183">
        <f>$A104*SUM('EC-UNC'!P$103:P$105)</f>
        <v>0</v>
      </c>
      <c r="Q104" s="183">
        <f>$A104*SUM('EC-UNC'!Q$103:Q$105)</f>
        <v>0</v>
      </c>
      <c r="R104" s="115">
        <f>SUM(D104:Q104)</f>
        <v>0</v>
      </c>
    </row>
    <row r="105" spans="1:18" ht="15.5" x14ac:dyDescent="0.35">
      <c r="A105" s="193">
        <v>0</v>
      </c>
      <c r="B105" s="116" t="s">
        <v>118</v>
      </c>
      <c r="C105" s="116"/>
      <c r="D105" s="183">
        <f>'EC-UNC'!D105</f>
        <v>0</v>
      </c>
      <c r="E105" s="183">
        <f>$A105*SUM('EC-UNC'!E$103:E$105)</f>
        <v>0</v>
      </c>
      <c r="F105" s="183">
        <f>$A105*SUM('EC-UNC'!F$103:F$105)</f>
        <v>0</v>
      </c>
      <c r="G105" s="183">
        <f>$A105*SUM('EC-UNC'!G$103:G$105)</f>
        <v>0</v>
      </c>
      <c r="H105" s="183">
        <f>$A105*SUM('EC-UNC'!H$103:H$105)</f>
        <v>0</v>
      </c>
      <c r="I105" s="183">
        <f>$A105*SUM('EC-UNC'!I$103:I$105)</f>
        <v>0</v>
      </c>
      <c r="J105" s="183">
        <f>$A105*SUM('EC-UNC'!J$103:J$105)</f>
        <v>0</v>
      </c>
      <c r="K105" s="183">
        <f>$A105*SUM('EC-UNC'!K$103:K$105)</f>
        <v>0</v>
      </c>
      <c r="L105" s="183">
        <f>$A105*SUM('EC-UNC'!L$103:L$105)</f>
        <v>0</v>
      </c>
      <c r="M105" s="183">
        <f>$A105*SUM('EC-UNC'!M$103:M$105)</f>
        <v>0</v>
      </c>
      <c r="N105" s="183">
        <f>$A105*SUM('EC-UNC'!N$103:N$105)</f>
        <v>0</v>
      </c>
      <c r="O105" s="183">
        <f>$A105*SUM('EC-UNC'!O$103:O$105)</f>
        <v>0</v>
      </c>
      <c r="P105" s="183">
        <f>$A105*SUM('EC-UNC'!P$103:P$105)</f>
        <v>0</v>
      </c>
      <c r="Q105" s="183">
        <f>$A105*SUM('EC-UNC'!Q$103:Q$105)</f>
        <v>0</v>
      </c>
      <c r="R105" s="115">
        <f>SUM(D105:Q105)</f>
        <v>0</v>
      </c>
    </row>
    <row r="106" spans="1:18" ht="15.5" x14ac:dyDescent="0.35">
      <c r="A106" s="116"/>
      <c r="B106" s="116" t="s">
        <v>354</v>
      </c>
      <c r="C106" s="116"/>
      <c r="D106" s="183">
        <f>'EC-UNC'!D106</f>
        <v>0</v>
      </c>
      <c r="E106" s="183">
        <f>'EC-UNC'!E106*E$83/'EC-UNC'!E$83</f>
        <v>2</v>
      </c>
      <c r="F106" s="183">
        <f>'EC-UNC'!F106*F$83/'EC-UNC'!F$83</f>
        <v>10</v>
      </c>
      <c r="G106" s="183">
        <f>'EC-UNC'!G106*G$83/'EC-UNC'!G$83</f>
        <v>9</v>
      </c>
      <c r="H106" s="183">
        <f>'EC-UNC'!H106*H$83/'EC-UNC'!H$83</f>
        <v>7</v>
      </c>
      <c r="I106" s="183">
        <f>'EC-UNC'!I106*I$83/'EC-UNC'!I$83</f>
        <v>5</v>
      </c>
      <c r="J106" s="183">
        <f>'EC-UNC'!J106*J$83/'EC-UNC'!J$83</f>
        <v>8</v>
      </c>
      <c r="K106" s="183">
        <f>'EC-UNC'!K106*K$83/'EC-UNC'!K$83</f>
        <v>5</v>
      </c>
      <c r="L106" s="186">
        <f>'EC-UNC'!L106*L$83/'EC-UNC'!L$83</f>
        <v>11</v>
      </c>
      <c r="M106" s="183">
        <f>'EC-UNC'!M106*M$83/'EC-UNC'!M$83</f>
        <v>3</v>
      </c>
      <c r="N106" s="183">
        <f>'EC-UNC'!N106*N$83/'EC-UNC'!N$83</f>
        <v>10</v>
      </c>
      <c r="O106" s="183">
        <f>'EC-UNC'!O106*O$83/'EC-UNC'!O$83</f>
        <v>6</v>
      </c>
      <c r="P106" s="183">
        <f>'EC-UNC'!P106*P$83/'EC-UNC'!P$83</f>
        <v>5</v>
      </c>
      <c r="Q106" s="183">
        <f>'EC-UNC'!Q106*Q$83/'EC-UNC'!Q$83</f>
        <v>2</v>
      </c>
      <c r="R106" s="115">
        <f>SUM(D106:Q106)</f>
        <v>83</v>
      </c>
    </row>
    <row r="107" spans="1:18" ht="15.5" x14ac:dyDescent="0.35">
      <c r="A107" s="116"/>
      <c r="B107" s="179" t="s">
        <v>119</v>
      </c>
      <c r="C107" s="179"/>
      <c r="D107" s="180"/>
      <c r="E107" s="180"/>
      <c r="F107" s="180"/>
      <c r="G107" s="180"/>
      <c r="H107" s="180"/>
      <c r="I107" s="180"/>
      <c r="J107" s="180"/>
      <c r="K107" s="180"/>
      <c r="L107" s="188"/>
      <c r="M107" s="180"/>
      <c r="N107" s="180"/>
      <c r="O107" s="180"/>
      <c r="P107" s="180"/>
      <c r="Q107" s="180"/>
      <c r="R107" s="181"/>
    </row>
    <row r="108" spans="1:18" ht="15.5" x14ac:dyDescent="0.35">
      <c r="A108" s="116"/>
      <c r="B108" s="116" t="s">
        <v>271</v>
      </c>
      <c r="C108" s="116"/>
      <c r="D108" s="183"/>
      <c r="E108" s="183">
        <f>'EC-UNC'!E108*E$83/'EC-UNC'!E$83</f>
        <v>2</v>
      </c>
      <c r="F108" s="183">
        <f>'EC-UNC'!F108*F$83/'EC-UNC'!F$83</f>
        <v>10</v>
      </c>
      <c r="G108" s="183">
        <f>'EC-UNC'!G108*G$83/'EC-UNC'!G$83</f>
        <v>6</v>
      </c>
      <c r="H108" s="183">
        <f>'EC-UNC'!H108*H$83/'EC-UNC'!H$83</f>
        <v>7</v>
      </c>
      <c r="I108" s="183">
        <f>'EC-UNC'!I108*I$83/'EC-UNC'!I$83</f>
        <v>5</v>
      </c>
      <c r="J108" s="183">
        <f>'EC-UNC'!J108*J$83/'EC-UNC'!J$83</f>
        <v>8</v>
      </c>
      <c r="K108" s="183">
        <f>'EC-UNC'!K108*K$83/'EC-UNC'!K$83</f>
        <v>5</v>
      </c>
      <c r="L108" s="186">
        <f>'EC-UNC'!L108*L$83/'EC-UNC'!L$83</f>
        <v>8</v>
      </c>
      <c r="M108" s="183">
        <f>'EC-UNC'!M108*M$83/'EC-UNC'!M$83</f>
        <v>3</v>
      </c>
      <c r="N108" s="183">
        <f>'EC-UNC'!N108*N$83/'EC-UNC'!N$83</f>
        <v>10</v>
      </c>
      <c r="O108" s="183">
        <f>'EC-UNC'!O108*O$83/'EC-UNC'!O$83</f>
        <v>6</v>
      </c>
      <c r="P108" s="183">
        <f>'EC-UNC'!P108*P$83/'EC-UNC'!P$83</f>
        <v>5</v>
      </c>
      <c r="Q108" s="183">
        <f>'EC-UNC'!Q108*Q$83/'EC-UNC'!Q$83</f>
        <v>2</v>
      </c>
      <c r="R108" s="115">
        <f>SUM(D108:Q108)</f>
        <v>77</v>
      </c>
    </row>
    <row r="109" spans="1:18" ht="15.5" x14ac:dyDescent="0.35">
      <c r="A109" s="116"/>
      <c r="B109" s="179" t="s">
        <v>120</v>
      </c>
      <c r="C109" s="179"/>
      <c r="D109" s="180"/>
      <c r="E109" s="180"/>
      <c r="F109" s="180"/>
      <c r="G109" s="180"/>
      <c r="H109" s="180"/>
      <c r="I109" s="180"/>
      <c r="J109" s="180"/>
      <c r="K109" s="180"/>
      <c r="L109" s="188"/>
      <c r="M109" s="180"/>
      <c r="N109" s="180"/>
      <c r="O109" s="180"/>
      <c r="P109" s="180"/>
      <c r="Q109" s="180"/>
      <c r="R109" s="181"/>
    </row>
    <row r="110" spans="1:18" ht="15.5" x14ac:dyDescent="0.35">
      <c r="A110" s="116"/>
      <c r="B110" s="116" t="s">
        <v>357</v>
      </c>
      <c r="C110" s="116"/>
      <c r="D110" s="183"/>
      <c r="E110" s="183">
        <f>'EC-UNC'!E110*E$83/'EC-UNC'!E$83</f>
        <v>125.50240000000001</v>
      </c>
      <c r="F110" s="183">
        <f>'EC-UNC'!F110*F$83/'EC-UNC'!F$83</f>
        <v>862.25390096961871</v>
      </c>
      <c r="G110" s="183">
        <f>'EC-UNC'!G110*G$83/'EC-UNC'!G$83</f>
        <v>725.58714358974373</v>
      </c>
      <c r="H110" s="183">
        <f>'EC-UNC'!H110*H$83/'EC-UNC'!H$83</f>
        <v>520.27304000000004</v>
      </c>
      <c r="I110" s="183">
        <f>'EC-UNC'!I110*I$83/'EC-UNC'!I$83</f>
        <v>417.65050133333341</v>
      </c>
      <c r="J110" s="183">
        <f>'EC-UNC'!J110*J$83/'EC-UNC'!J$83</f>
        <v>1004.9766712982587</v>
      </c>
      <c r="K110" s="183">
        <f>'EC-UNC'!K110*K$83/'EC-UNC'!K$83</f>
        <v>335.84160000000003</v>
      </c>
      <c r="L110" s="186">
        <f>'EC-UNC'!L110*L$83/'EC-UNC'!L$83</f>
        <v>954.23567784168199</v>
      </c>
      <c r="M110" s="183">
        <f>'EC-UNC'!M110*M$83/'EC-UNC'!M$83</f>
        <v>268.39397583556899</v>
      </c>
      <c r="N110" s="183">
        <f>'EC-UNC'!N110*N$83/'EC-UNC'!N$83</f>
        <v>866.85067514760215</v>
      </c>
      <c r="O110" s="183">
        <f>'EC-UNC'!O110*O$83/'EC-UNC'!O$83</f>
        <v>435.17399999999998</v>
      </c>
      <c r="P110" s="183">
        <f>'EC-UNC'!P110*P$83/'EC-UNC'!P$83</f>
        <v>297.86197771949202</v>
      </c>
      <c r="Q110" s="183">
        <f>'EC-UNC'!Q110*Q$83/'EC-UNC'!Q$83</f>
        <v>112.72800000000001</v>
      </c>
      <c r="R110" s="115">
        <f>SUM(D110:Q110)</f>
        <v>6927.3295637353003</v>
      </c>
    </row>
    <row r="111" spans="1:18" ht="15.5" x14ac:dyDescent="0.35">
      <c r="A111" s="116"/>
      <c r="B111" s="116" t="s">
        <v>358</v>
      </c>
      <c r="C111" s="116"/>
      <c r="D111" s="183"/>
      <c r="E111" s="183">
        <f>'EC-UNC'!E111*E$83/'EC-UNC'!E$83</f>
        <v>256</v>
      </c>
      <c r="F111" s="183">
        <f>'EC-UNC'!F111*F$83/'EC-UNC'!F$83</f>
        <v>926.41359999999997</v>
      </c>
      <c r="G111" s="183">
        <f>'EC-UNC'!G111*G$83/'EC-UNC'!G$83</f>
        <v>505.5</v>
      </c>
      <c r="H111" s="183">
        <f>'EC-UNC'!H111*H$83/'EC-UNC'!H$83</f>
        <v>498.67899999999997</v>
      </c>
      <c r="I111" s="183">
        <f>'EC-UNC'!I111*I$83/'EC-UNC'!I$83</f>
        <v>526</v>
      </c>
      <c r="J111" s="183">
        <f>'EC-UNC'!J111*J$83/'EC-UNC'!J$83</f>
        <v>658.6653</v>
      </c>
      <c r="K111" s="183">
        <f>'EC-UNC'!K111*K$83/'EC-UNC'!K$83</f>
        <v>690.26030000000003</v>
      </c>
      <c r="L111" s="186">
        <f>'EC-UNC'!L111*L$83/'EC-UNC'!L$83</f>
        <v>679.90499999999997</v>
      </c>
      <c r="M111" s="183">
        <f>'EC-UNC'!M111*M$83/'EC-UNC'!M$83</f>
        <v>363.00000000000006</v>
      </c>
      <c r="N111" s="183">
        <f>'EC-UNC'!N111*N$83/'EC-UNC'!N$83</f>
        <v>1402.405</v>
      </c>
      <c r="O111" s="183">
        <f>'EC-UNC'!O111*O$83/'EC-UNC'!O$83</f>
        <v>900</v>
      </c>
      <c r="P111" s="183">
        <f>'EC-UNC'!P111*P$83/'EC-UNC'!P$83</f>
        <v>672.40499999999997</v>
      </c>
      <c r="Q111" s="183">
        <f>'EC-UNC'!Q111*Q$83/'EC-UNC'!Q$83</f>
        <v>280</v>
      </c>
      <c r="R111" s="115">
        <f>SUM(D111:Q111)</f>
        <v>8359.2331999999988</v>
      </c>
    </row>
    <row r="112" spans="1:18" ht="15.5" x14ac:dyDescent="0.35">
      <c r="A112" s="116"/>
      <c r="B112" s="179" t="s">
        <v>137</v>
      </c>
      <c r="C112" s="179"/>
      <c r="D112" s="180"/>
      <c r="E112" s="180"/>
      <c r="F112" s="180"/>
      <c r="G112" s="180"/>
      <c r="H112" s="180"/>
      <c r="I112" s="180"/>
      <c r="J112" s="180"/>
      <c r="K112" s="180"/>
      <c r="L112" s="188"/>
      <c r="M112" s="180"/>
      <c r="N112" s="180"/>
      <c r="O112" s="180"/>
      <c r="P112" s="180"/>
      <c r="Q112" s="180"/>
      <c r="R112" s="181"/>
    </row>
    <row r="113" spans="1:18" ht="15.5" x14ac:dyDescent="0.35">
      <c r="A113" s="116"/>
      <c r="B113" s="116" t="s">
        <v>121</v>
      </c>
      <c r="C113" s="116"/>
      <c r="D113" s="183">
        <f>D86*Assumptions!$K$25/24</f>
        <v>0</v>
      </c>
      <c r="E113" s="183">
        <f>E86*Assumptions!$K$25/24</f>
        <v>64.15384615384616</v>
      </c>
      <c r="F113" s="183">
        <f>F86*Assumptions!$K$25/24</f>
        <v>392.69230769230779</v>
      </c>
      <c r="G113" s="183">
        <f>G86*Assumptions!$K$25/24</f>
        <v>281.26923076923077</v>
      </c>
      <c r="H113" s="183">
        <f>H86*Assumptions!$K$25/24</f>
        <v>91</v>
      </c>
      <c r="I113" s="183">
        <f>I86*Assumptions!$K$25/24</f>
        <v>0</v>
      </c>
      <c r="J113" s="183">
        <f>J86*Assumptions!$K$25/24</f>
        <v>0</v>
      </c>
      <c r="K113" s="183">
        <f>K86*Assumptions!$K$25/24</f>
        <v>0</v>
      </c>
      <c r="L113" s="186">
        <f>L86*Assumptions!$K$25/24</f>
        <v>0</v>
      </c>
      <c r="M113" s="183">
        <f>M86*Assumptions!$K$25/24</f>
        <v>0</v>
      </c>
      <c r="N113" s="183">
        <f>N86*Assumptions!$K$25/24</f>
        <v>0</v>
      </c>
      <c r="O113" s="183">
        <f>O86*Assumptions!$K$25/24</f>
        <v>0</v>
      </c>
      <c r="P113" s="183">
        <f>P86*Assumptions!$K$25/24</f>
        <v>0</v>
      </c>
      <c r="Q113" s="183">
        <f>Q86*Assumptions!$K$25/24</f>
        <v>0</v>
      </c>
      <c r="R113" s="115"/>
    </row>
    <row r="114" spans="1:18" ht="15.5" x14ac:dyDescent="0.35">
      <c r="A114" s="116"/>
      <c r="B114" s="116" t="s">
        <v>122</v>
      </c>
      <c r="C114" s="116"/>
      <c r="D114" s="183">
        <f>D87*Assumptions!$K$25/24</f>
        <v>0</v>
      </c>
      <c r="E114" s="183">
        <f>E87*Assumptions!$K$25/24</f>
        <v>0</v>
      </c>
      <c r="F114" s="183">
        <f>F87*Assumptions!$K$25/24</f>
        <v>114.78151260504201</v>
      </c>
      <c r="G114" s="183">
        <f>G87*Assumptions!$K$25/24</f>
        <v>153.50000000000003</v>
      </c>
      <c r="H114" s="183">
        <f>H87*Assumptions!$K$25/24</f>
        <v>274.59999999999997</v>
      </c>
      <c r="I114" s="183">
        <f>I87*Assumptions!$K$25/24</f>
        <v>290.45999999999998</v>
      </c>
      <c r="J114" s="183">
        <f>J87*Assumptions!$K$25/24</f>
        <v>562.59938385582325</v>
      </c>
      <c r="K114" s="183">
        <f>K87*Assumptions!$K$25/24</f>
        <v>229.4</v>
      </c>
      <c r="L114" s="186">
        <f>L87*Assumptions!$K$25/24</f>
        <v>472.89376901754235</v>
      </c>
      <c r="M114" s="183">
        <f>M87*Assumptions!$K$25/24</f>
        <v>0</v>
      </c>
      <c r="N114" s="183">
        <f>N87*Assumptions!$K$25/24</f>
        <v>0</v>
      </c>
      <c r="O114" s="183">
        <f>O87*Assumptions!$K$25/24</f>
        <v>0</v>
      </c>
      <c r="P114" s="183">
        <f>P87*Assumptions!$K$25/24</f>
        <v>0</v>
      </c>
      <c r="Q114" s="183">
        <f>Q87*Assumptions!$K$25/24</f>
        <v>0</v>
      </c>
      <c r="R114" s="115"/>
    </row>
    <row r="115" spans="1:18" ht="15.5" x14ac:dyDescent="0.35">
      <c r="A115" s="116"/>
      <c r="B115" s="116" t="s">
        <v>123</v>
      </c>
      <c r="C115" s="116"/>
      <c r="D115" s="183">
        <f>D88*Assumptions!$K$25/24</f>
        <v>0</v>
      </c>
      <c r="E115" s="183">
        <f>E88*Assumptions!$K$25/24</f>
        <v>0</v>
      </c>
      <c r="F115" s="183">
        <f>F88*Assumptions!$K$25/24</f>
        <v>0</v>
      </c>
      <c r="G115" s="183">
        <f>G88*Assumptions!$K$25/24</f>
        <v>0</v>
      </c>
      <c r="H115" s="183">
        <f>H88*Assumptions!$K$25/24</f>
        <v>0</v>
      </c>
      <c r="I115" s="183">
        <f>I88*Assumptions!$K$25/24</f>
        <v>0</v>
      </c>
      <c r="J115" s="183">
        <f>J88*Assumptions!$K$25/24</f>
        <v>0</v>
      </c>
      <c r="K115" s="183">
        <f>K88*Assumptions!$K$25/24</f>
        <v>0</v>
      </c>
      <c r="L115" s="186">
        <f>L88*Assumptions!$K$25/24</f>
        <v>0</v>
      </c>
      <c r="M115" s="183">
        <f>M88*Assumptions!$K$25/24</f>
        <v>250.17815658015829</v>
      </c>
      <c r="N115" s="183">
        <f>N88*Assumptions!$K$25/24</f>
        <v>450.93898575655891</v>
      </c>
      <c r="O115" s="183">
        <f>O88*Assumptions!$K$25/24</f>
        <v>297.25</v>
      </c>
      <c r="P115" s="183">
        <f>P88*Assumptions!$K$25/24</f>
        <v>203.45763505429784</v>
      </c>
      <c r="Q115" s="183">
        <f>Q88*Assumptions!$K$25/24</f>
        <v>77</v>
      </c>
      <c r="R115" s="115"/>
    </row>
    <row r="116" spans="1:18" ht="15.5" x14ac:dyDescent="0.35">
      <c r="A116" s="116"/>
      <c r="B116" s="116" t="s">
        <v>140</v>
      </c>
      <c r="C116" s="116"/>
      <c r="D116" s="183">
        <f>(D102+D105)*Assumptions!$K$26/24</f>
        <v>0</v>
      </c>
      <c r="E116" s="183">
        <f>(E102+E105)*Assumptions!$K$26/24</f>
        <v>64.15384615384616</v>
      </c>
      <c r="F116" s="183">
        <f>(F102+F105)*Assumptions!$K$26/24</f>
        <v>507.47382029734973</v>
      </c>
      <c r="G116" s="183">
        <f>(G102+G105)*Assumptions!$K$26/24</f>
        <v>401.76923076923072</v>
      </c>
      <c r="H116" s="183">
        <f>(H102+H105)*Assumptions!$K$26/24</f>
        <v>332.59999999999997</v>
      </c>
      <c r="I116" s="183">
        <f>(I102+I105)*Assumptions!$K$26/24</f>
        <v>290.46000000000004</v>
      </c>
      <c r="J116" s="183">
        <f>(J102+J105)*Assumptions!$K$26/24</f>
        <v>531.98399924043872</v>
      </c>
      <c r="K116" s="183">
        <f>(K102+K105)*Assumptions!$K$26/24</f>
        <v>256.10000000000002</v>
      </c>
      <c r="L116" s="186">
        <f>(L102+L105)*Assumptions!$K$26/24</f>
        <v>440.89376901754235</v>
      </c>
      <c r="M116" s="183">
        <f>(M102+M105)*Assumptions!$K$26/24</f>
        <v>183.32921846691866</v>
      </c>
      <c r="N116" s="183">
        <f>(N102+N105)*Assumptions!$K$26/24</f>
        <v>450.93898575655891</v>
      </c>
      <c r="O116" s="183">
        <f>(O102+O105)*Assumptions!$K$26/24</f>
        <v>297.24999999999994</v>
      </c>
      <c r="P116" s="183">
        <f>(P102+P105)*Assumptions!$K$26/24</f>
        <v>203.45763505429781</v>
      </c>
      <c r="Q116" s="183">
        <f>(Q102+Q105)*Assumptions!$K$26/24</f>
        <v>77</v>
      </c>
      <c r="R116" s="115"/>
    </row>
    <row r="117" spans="1:18" ht="15.5" x14ac:dyDescent="0.35">
      <c r="A117" s="116"/>
      <c r="B117" s="116" t="s">
        <v>293</v>
      </c>
      <c r="C117" s="116"/>
      <c r="D117" s="107"/>
      <c r="E117" s="108">
        <f>SUM(E113:E116)</f>
        <v>128.30769230769232</v>
      </c>
      <c r="F117" s="108">
        <f t="shared" ref="F117:Q117" si="15">SUM(F113:F116)</f>
        <v>1014.9476405946996</v>
      </c>
      <c r="G117" s="108">
        <f t="shared" si="15"/>
        <v>836.53846153846155</v>
      </c>
      <c r="H117" s="108">
        <f t="shared" si="15"/>
        <v>698.19999999999993</v>
      </c>
      <c r="I117" s="108">
        <f t="shared" si="15"/>
        <v>580.92000000000007</v>
      </c>
      <c r="J117" s="108">
        <f t="shared" si="15"/>
        <v>1094.583383096262</v>
      </c>
      <c r="K117" s="108">
        <f>SUM(K113:K116)</f>
        <v>485.5</v>
      </c>
      <c r="L117" s="108">
        <f t="shared" si="15"/>
        <v>913.78753803508471</v>
      </c>
      <c r="M117" s="108">
        <f t="shared" si="15"/>
        <v>433.50737504707695</v>
      </c>
      <c r="N117" s="108">
        <f t="shared" si="15"/>
        <v>901.87797151311781</v>
      </c>
      <c r="O117" s="108">
        <f t="shared" si="15"/>
        <v>594.5</v>
      </c>
      <c r="P117" s="108">
        <f t="shared" si="15"/>
        <v>406.91527010859568</v>
      </c>
      <c r="Q117" s="108">
        <f t="shared" si="15"/>
        <v>154</v>
      </c>
      <c r="R117" s="115"/>
    </row>
    <row r="118" spans="1:18" ht="15.5" x14ac:dyDescent="0.35">
      <c r="A118" s="116"/>
      <c r="B118" s="116" t="s">
        <v>138</v>
      </c>
      <c r="C118" s="116"/>
      <c r="D118" s="183">
        <f>D108*Assumptions!$K$27/24</f>
        <v>0</v>
      </c>
      <c r="E118" s="183">
        <f>E108*Assumptions!$K$27/24</f>
        <v>20</v>
      </c>
      <c r="F118" s="183">
        <f>F108*Assumptions!$K$27/24</f>
        <v>100</v>
      </c>
      <c r="G118" s="183">
        <f>G108*Assumptions!$K$27/24</f>
        <v>60</v>
      </c>
      <c r="H118" s="183">
        <f>H108*Assumptions!$K$27/24</f>
        <v>70</v>
      </c>
      <c r="I118" s="183">
        <f>I108*Assumptions!$K$27/24</f>
        <v>50</v>
      </c>
      <c r="J118" s="183">
        <f>J108*Assumptions!$K$27/24</f>
        <v>80</v>
      </c>
      <c r="K118" s="183">
        <f>K108*Assumptions!$K$27/24</f>
        <v>50</v>
      </c>
      <c r="L118" s="186">
        <f>L108*Assumptions!$K$27/24</f>
        <v>80</v>
      </c>
      <c r="M118" s="183">
        <f>M108*Assumptions!$K$27/24</f>
        <v>30</v>
      </c>
      <c r="N118" s="183">
        <f>N108*Assumptions!$K$27/24</f>
        <v>100</v>
      </c>
      <c r="O118" s="183">
        <f>O108*Assumptions!$K$27/24</f>
        <v>60</v>
      </c>
      <c r="P118" s="183">
        <f>P108*Assumptions!$K$27/24</f>
        <v>50</v>
      </c>
      <c r="Q118" s="183">
        <f>Q108*Assumptions!$K$27/24</f>
        <v>20</v>
      </c>
      <c r="R118" s="115"/>
    </row>
    <row r="119" spans="1:18" ht="15.5" x14ac:dyDescent="0.35">
      <c r="A119" s="116"/>
      <c r="B119" s="116" t="s">
        <v>195</v>
      </c>
      <c r="C119" s="116"/>
      <c r="D119" s="183">
        <f>(ROUNDUP(D83/400,1)+D84)*Assumptions!$K$45+SUM(D110:D111)/Assumptions!$K$44</f>
        <v>0</v>
      </c>
      <c r="E119" s="183">
        <f>(ROUNDUP(E83/400,1)+E84)*Assumptions!$K$45+SUM(E110:E111)/Assumptions!$K$44</f>
        <v>161.37560000000002</v>
      </c>
      <c r="F119" s="183">
        <f>(ROUNDUP(F83/400,1)+F84)*Assumptions!$K$45+SUM(F110:F111)/Assumptions!$K$44</f>
        <v>783.16687524240456</v>
      </c>
      <c r="G119" s="183">
        <f>(ROUNDUP(G83/400,1)+G84)*Assumptions!$K$45+SUM(G110:G111)/Assumptions!$K$44</f>
        <v>597.77178589743596</v>
      </c>
      <c r="H119" s="183">
        <f>(ROUNDUP(H83/400,1)+H84)*Assumptions!$K$45+SUM(H110:H111)/Assumptions!$K$44</f>
        <v>548.73801000000003</v>
      </c>
      <c r="I119" s="183">
        <f>(ROUNDUP(I83/400,1)+I84)*Assumptions!$K$45+SUM(I110:I111)/Assumptions!$K$44</f>
        <v>441.91262533333338</v>
      </c>
      <c r="J119" s="183">
        <f>(ROUNDUP(J83/400,1)+J84)*Assumptions!$K$45+SUM(J110:J111)/Assumptions!$K$44</f>
        <v>837.9104928245647</v>
      </c>
      <c r="K119" s="183">
        <f>(ROUNDUP(K83/400,1)+K84)*Assumptions!$K$45+SUM(K110:K111)/Assumptions!$K$44</f>
        <v>432.52547500000003</v>
      </c>
      <c r="L119" s="186">
        <f>(ROUNDUP(L83/400,1)+L84)*Assumptions!$K$45+SUM(L110:L111)/Assumptions!$K$44</f>
        <v>766.53516946042055</v>
      </c>
      <c r="M119" s="183">
        <f>(ROUNDUP(M83/400,1)+M84)*Assumptions!$K$45+SUM(M110:M111)/Assumptions!$K$44</f>
        <v>349.84849395889228</v>
      </c>
      <c r="N119" s="183">
        <f>(ROUNDUP(N83/400,1)+N84)*Assumptions!$K$45+SUM(N110:N111)/Assumptions!$K$44</f>
        <v>899.31391878690056</v>
      </c>
      <c r="O119" s="183">
        <f>(ROUNDUP(O83/400,1)+O84)*Assumptions!$K$45+SUM(O110:O111)/Assumptions!$K$44</f>
        <v>533.79349999999999</v>
      </c>
      <c r="P119" s="183">
        <f>(ROUNDUP(P83/400,1)+P84)*Assumptions!$K$45+SUM(P110:P111)/Assumptions!$K$44</f>
        <v>406.56674442987298</v>
      </c>
      <c r="Q119" s="183">
        <f>(ROUNDUP(Q83/400,1)+Q84)*Assumptions!$K$45+SUM(Q110:Q111)/Assumptions!$K$44</f>
        <v>166.18200000000002</v>
      </c>
      <c r="R119" s="115"/>
    </row>
    <row r="120" spans="1:18" ht="15.5" x14ac:dyDescent="0.35">
      <c r="A120" s="116"/>
      <c r="B120" s="106" t="s">
        <v>297</v>
      </c>
      <c r="C120" s="116"/>
      <c r="D120" s="107">
        <f>(ROUNDUP(D84/400,1)+D85)*Assumptions!$K$45+SUM(D111:D111)/Assumptions!$K$44</f>
        <v>0</v>
      </c>
      <c r="E120" s="108">
        <f>E102*Assumptions!$K$28/24</f>
        <v>64.15384615384616</v>
      </c>
      <c r="F120" s="108">
        <f>F102*Assumptions!$K$28/24</f>
        <v>507.47382029734973</v>
      </c>
      <c r="G120" s="108">
        <f>G102*Assumptions!$K$28/24</f>
        <v>401.76923076923072</v>
      </c>
      <c r="H120" s="108">
        <f>H102*Assumptions!$K$28/24</f>
        <v>332.59999999999997</v>
      </c>
      <c r="I120" s="108">
        <f>I102*Assumptions!$K$28/24</f>
        <v>290.46000000000004</v>
      </c>
      <c r="J120" s="108">
        <f>J102*Assumptions!$K$28/24</f>
        <v>531.98399924043872</v>
      </c>
      <c r="K120" s="108">
        <f>K102*Assumptions!$K$28/24</f>
        <v>256.10000000000002</v>
      </c>
      <c r="L120" s="108">
        <f>L102*Assumptions!$K$28/24</f>
        <v>440.89376901754235</v>
      </c>
      <c r="M120" s="108">
        <f>M102*Assumptions!$K$28/24</f>
        <v>183.32921846691866</v>
      </c>
      <c r="N120" s="108">
        <f>N102*Assumptions!$K$28/24</f>
        <v>450.93898575655891</v>
      </c>
      <c r="O120" s="108">
        <f>O102*Assumptions!$K$28/24</f>
        <v>297.24999999999994</v>
      </c>
      <c r="P120" s="108">
        <f>P102*Assumptions!$K$28/24</f>
        <v>203.45763505429781</v>
      </c>
      <c r="Q120" s="108">
        <f>Q102*Assumptions!$K$28/24</f>
        <v>77</v>
      </c>
      <c r="R120" s="115"/>
    </row>
    <row r="121" spans="1:18" ht="15.5" x14ac:dyDescent="0.35">
      <c r="A121" s="116"/>
      <c r="B121" s="179" t="s">
        <v>141</v>
      </c>
      <c r="C121" s="179"/>
      <c r="D121" s="180"/>
      <c r="E121" s="180"/>
      <c r="F121" s="180"/>
      <c r="G121" s="180"/>
      <c r="H121" s="180"/>
      <c r="I121" s="180"/>
      <c r="J121" s="180"/>
      <c r="K121" s="180"/>
      <c r="L121" s="188"/>
      <c r="M121" s="180"/>
      <c r="N121" s="180"/>
      <c r="O121" s="180"/>
      <c r="P121" s="180"/>
      <c r="Q121" s="180"/>
      <c r="R121" s="181"/>
    </row>
    <row r="122" spans="1:18" ht="15.5" x14ac:dyDescent="0.35">
      <c r="A122" s="116"/>
      <c r="B122" s="116" t="s">
        <v>121</v>
      </c>
      <c r="C122" s="116"/>
      <c r="D122" s="183">
        <f>ROUNDUP(D113/(Assumptions!$C$36*365),0)</f>
        <v>0</v>
      </c>
      <c r="E122" s="183">
        <f>ROUNDUP(E113/(Assumptions!$C$36*365),0)</f>
        <v>1</v>
      </c>
      <c r="F122" s="183">
        <f>ROUNDUP(F113/(Assumptions!$C$36*365),0)</f>
        <v>2</v>
      </c>
      <c r="G122" s="183">
        <f>ROUNDUP(G113/(Assumptions!$C$36*365),0)</f>
        <v>2</v>
      </c>
      <c r="H122" s="183">
        <f>ROUNDUP(H113/(Assumptions!$C$36*365),0)</f>
        <v>1</v>
      </c>
      <c r="I122" s="183">
        <f>ROUNDUP(I113/(Assumptions!$C$36*365),0)</f>
        <v>0</v>
      </c>
      <c r="J122" s="183">
        <f>ROUNDUP(J113/(Assumptions!$C$36*365),0)</f>
        <v>0</v>
      </c>
      <c r="K122" s="183">
        <f>ROUNDUP(K113/(Assumptions!$C$36*365),0)</f>
        <v>0</v>
      </c>
      <c r="L122" s="186">
        <f>ROUNDUP(L113/(Assumptions!$C$36*365),0)</f>
        <v>0</v>
      </c>
      <c r="M122" s="183">
        <f>ROUNDUP(M113/(Assumptions!$C$36*365),0)</f>
        <v>0</v>
      </c>
      <c r="N122" s="183">
        <f>ROUNDUP(N113/(Assumptions!$C$36*365),0)</f>
        <v>0</v>
      </c>
      <c r="O122" s="183">
        <f>ROUNDUP(O113/(Assumptions!$C$36*365),0)</f>
        <v>0</v>
      </c>
      <c r="P122" s="183">
        <f>ROUNDUP(P113/(Assumptions!$C$36*365),0)</f>
        <v>0</v>
      </c>
      <c r="Q122" s="183">
        <f>ROUNDUP(Q113/(Assumptions!$C$36*365),0)</f>
        <v>0</v>
      </c>
      <c r="R122" s="115"/>
    </row>
    <row r="123" spans="1:18" ht="15.5" x14ac:dyDescent="0.35">
      <c r="A123" s="116"/>
      <c r="B123" s="116" t="s">
        <v>122</v>
      </c>
      <c r="C123" s="116"/>
      <c r="D123" s="183">
        <f>ROUNDUP(D114/(Assumptions!$C$36*365),0)</f>
        <v>0</v>
      </c>
      <c r="E123" s="183">
        <f>ROUNDUP(E114/(Assumptions!$C$36*365),0)</f>
        <v>0</v>
      </c>
      <c r="F123" s="183">
        <f>ROUNDUP(F114/(Assumptions!$C$36*365),0)</f>
        <v>1</v>
      </c>
      <c r="G123" s="183">
        <f>ROUNDUP(G114/(Assumptions!$C$36*365),0)</f>
        <v>1</v>
      </c>
      <c r="H123" s="183">
        <f>ROUNDUP(H114/(Assumptions!$C$36*365),0)</f>
        <v>2</v>
      </c>
      <c r="I123" s="183">
        <f>ROUNDUP(I114/(Assumptions!$C$36*365),0)</f>
        <v>2</v>
      </c>
      <c r="J123" s="183">
        <f>ROUNDUP(J114/(Assumptions!$C$36*365),0)</f>
        <v>3</v>
      </c>
      <c r="K123" s="183">
        <f>ROUNDUP(K114/(Assumptions!$C$36*365),0)</f>
        <v>1</v>
      </c>
      <c r="L123" s="186">
        <f>ROUNDUP(L114/(Assumptions!$C$36*365),0)</f>
        <v>2</v>
      </c>
      <c r="M123" s="183">
        <f>ROUNDUP(M114/(Assumptions!$C$36*365),0)</f>
        <v>0</v>
      </c>
      <c r="N123" s="183">
        <f>ROUNDUP(N114/(Assumptions!$C$36*365),0)</f>
        <v>0</v>
      </c>
      <c r="O123" s="183">
        <f>ROUNDUP(O114/(Assumptions!$C$36*365),0)</f>
        <v>0</v>
      </c>
      <c r="P123" s="183">
        <f>ROUNDUP(P114/(Assumptions!$C$36*365),0)</f>
        <v>0</v>
      </c>
      <c r="Q123" s="183">
        <f>ROUNDUP(Q114/(Assumptions!$C$36*365),0)</f>
        <v>0</v>
      </c>
      <c r="R123" s="115"/>
    </row>
    <row r="124" spans="1:18" ht="15.5" x14ac:dyDescent="0.35">
      <c r="A124" s="116"/>
      <c r="B124" s="116" t="s">
        <v>123</v>
      </c>
      <c r="C124" s="116"/>
      <c r="D124" s="183">
        <f>ROUNDUP(D115/(Assumptions!$C$36*365),0)</f>
        <v>0</v>
      </c>
      <c r="E124" s="183">
        <f>ROUNDUP(E115/(Assumptions!$C$36*365),0)</f>
        <v>0</v>
      </c>
      <c r="F124" s="183">
        <f>ROUNDUP(F115/(Assumptions!$C$36*365),0)</f>
        <v>0</v>
      </c>
      <c r="G124" s="183">
        <f>ROUNDUP(G115/(Assumptions!$C$36*365),0)</f>
        <v>0</v>
      </c>
      <c r="H124" s="183">
        <f>ROUNDUP(H115/(Assumptions!$C$36*365),0)</f>
        <v>0</v>
      </c>
      <c r="I124" s="183">
        <f>ROUNDUP(I115/(Assumptions!$C$36*365),0)</f>
        <v>0</v>
      </c>
      <c r="J124" s="183">
        <f>ROUNDUP(J115/(Assumptions!$C$36*365),0)</f>
        <v>0</v>
      </c>
      <c r="K124" s="183">
        <f>ROUNDUP(K115/(Assumptions!$C$36*365),0)</f>
        <v>0</v>
      </c>
      <c r="L124" s="186">
        <f>ROUNDUP(L115/(Assumptions!$C$36*365),0)</f>
        <v>0</v>
      </c>
      <c r="M124" s="183">
        <f>ROUNDUP(M115/(Assumptions!$C$36*365),0)</f>
        <v>2</v>
      </c>
      <c r="N124" s="183">
        <f>ROUNDUP(N115/(Assumptions!$C$36*365),0)</f>
        <v>2</v>
      </c>
      <c r="O124" s="183">
        <f>ROUNDUP(O115/(Assumptions!$C$36*365),0)</f>
        <v>2</v>
      </c>
      <c r="P124" s="183">
        <f>ROUNDUP(P115/(Assumptions!$C$36*365),0)</f>
        <v>1</v>
      </c>
      <c r="Q124" s="183">
        <f>ROUNDUP(Q115/(Assumptions!$C$36*365),0)</f>
        <v>1</v>
      </c>
      <c r="R124" s="115"/>
    </row>
    <row r="125" spans="1:18" ht="15.5" x14ac:dyDescent="0.35">
      <c r="A125" s="116"/>
      <c r="B125" s="116" t="s">
        <v>140</v>
      </c>
      <c r="C125" s="116"/>
      <c r="D125" s="183">
        <f>ROUNDUP(D116/(Assumptions!$C$36*365),0)</f>
        <v>0</v>
      </c>
      <c r="E125" s="183">
        <f>ROUNDUP(E116/(Assumptions!$C$36*365),0)</f>
        <v>1</v>
      </c>
      <c r="F125" s="183">
        <f>ROUNDUP(F116/(Assumptions!$C$36*365),0)</f>
        <v>3</v>
      </c>
      <c r="G125" s="183">
        <f>ROUNDUP(G116/(Assumptions!$C$36*365),0)</f>
        <v>2</v>
      </c>
      <c r="H125" s="183">
        <f>ROUNDUP(H116/(Assumptions!$C$36*365),0)</f>
        <v>2</v>
      </c>
      <c r="I125" s="183">
        <f>ROUNDUP(I116/(Assumptions!$C$36*365),0)</f>
        <v>2</v>
      </c>
      <c r="J125" s="183">
        <f>ROUNDUP(J116/(Assumptions!$C$36*365),0)</f>
        <v>3</v>
      </c>
      <c r="K125" s="183">
        <f>ROUNDUP(K116/(Assumptions!$C$36*365),0)</f>
        <v>2</v>
      </c>
      <c r="L125" s="186">
        <f>ROUNDUP(L116/(Assumptions!$C$36*365),0)</f>
        <v>2</v>
      </c>
      <c r="M125" s="183">
        <f>ROUNDUP(M116/(Assumptions!$C$36*365),0)</f>
        <v>1</v>
      </c>
      <c r="N125" s="183">
        <f>ROUNDUP(N116/(Assumptions!$C$36*365),0)</f>
        <v>2</v>
      </c>
      <c r="O125" s="183">
        <f>ROUNDUP(O116/(Assumptions!$C$36*365),0)</f>
        <v>2</v>
      </c>
      <c r="P125" s="183">
        <f>ROUNDUP(P116/(Assumptions!$C$36*365),0)</f>
        <v>1</v>
      </c>
      <c r="Q125" s="183">
        <f>ROUNDUP(Q116/(Assumptions!$C$36*365),0)</f>
        <v>1</v>
      </c>
      <c r="R125" s="115"/>
    </row>
    <row r="126" spans="1:18" ht="15.5" x14ac:dyDescent="0.35">
      <c r="A126" s="116"/>
      <c r="B126" s="189" t="s">
        <v>149</v>
      </c>
      <c r="C126" s="125"/>
      <c r="D126" s="124">
        <f>SUM(D122:D125)</f>
        <v>0</v>
      </c>
      <c r="E126" s="124">
        <f t="shared" ref="E126:Q126" si="16">SUM(E122:E125)</f>
        <v>2</v>
      </c>
      <c r="F126" s="124">
        <f t="shared" si="16"/>
        <v>6</v>
      </c>
      <c r="G126" s="124">
        <f t="shared" si="16"/>
        <v>5</v>
      </c>
      <c r="H126" s="124">
        <f t="shared" si="16"/>
        <v>5</v>
      </c>
      <c r="I126" s="124">
        <f>SUM(I122:I125)</f>
        <v>4</v>
      </c>
      <c r="J126" s="124">
        <f t="shared" si="16"/>
        <v>6</v>
      </c>
      <c r="K126" s="124">
        <f t="shared" si="16"/>
        <v>3</v>
      </c>
      <c r="L126" s="190">
        <f t="shared" si="16"/>
        <v>4</v>
      </c>
      <c r="M126" s="124">
        <f t="shared" si="16"/>
        <v>3</v>
      </c>
      <c r="N126" s="124">
        <f t="shared" si="16"/>
        <v>4</v>
      </c>
      <c r="O126" s="124">
        <f t="shared" si="16"/>
        <v>4</v>
      </c>
      <c r="P126" s="124">
        <f t="shared" si="16"/>
        <v>2</v>
      </c>
      <c r="Q126" s="124">
        <f t="shared" si="16"/>
        <v>2</v>
      </c>
      <c r="R126" s="191"/>
    </row>
    <row r="127" spans="1:18" ht="15.5" x14ac:dyDescent="0.35">
      <c r="A127" s="116"/>
      <c r="B127" s="105"/>
      <c r="C127" s="106"/>
      <c r="D127" s="107"/>
      <c r="E127" s="108">
        <f>ROUNDUP(E116/(Assumptions!$C$36*365),0)</f>
        <v>1</v>
      </c>
      <c r="F127" s="108">
        <f>ROUNDUP(F116/(Assumptions!$C$36*365),0)</f>
        <v>3</v>
      </c>
      <c r="G127" s="108">
        <f>ROUNDUP(G116/(Assumptions!$C$36*365),0)</f>
        <v>2</v>
      </c>
      <c r="H127" s="108">
        <f>ROUNDUP(H116/(Assumptions!$C$36*365),0)</f>
        <v>2</v>
      </c>
      <c r="I127" s="108">
        <f>ROUNDUP(I116/(Assumptions!$C$36*365),0)</f>
        <v>2</v>
      </c>
      <c r="J127" s="108">
        <f>ROUNDUP(J116/(Assumptions!$C$36*365),0)</f>
        <v>3</v>
      </c>
      <c r="K127" s="108">
        <f>ROUNDUP(K116/(Assumptions!$C$36*365),0)</f>
        <v>2</v>
      </c>
      <c r="L127" s="108">
        <f>ROUNDUP(L116/(Assumptions!$C$36*365),0)</f>
        <v>2</v>
      </c>
      <c r="M127" s="108">
        <f>ROUNDUP(M116/(Assumptions!$C$36*365),0)</f>
        <v>1</v>
      </c>
      <c r="N127" s="108">
        <f>ROUNDUP(N116/(Assumptions!$C$36*365),0)</f>
        <v>2</v>
      </c>
      <c r="O127" s="108">
        <f>ROUNDUP(O116/(Assumptions!$C$36*365),0)</f>
        <v>2</v>
      </c>
      <c r="P127" s="108">
        <f>ROUNDUP(P116/(Assumptions!$C$36*365),0)</f>
        <v>1</v>
      </c>
      <c r="Q127" s="108">
        <f>ROUNDUP(Q116/(Assumptions!$C$36*365),0)</f>
        <v>1</v>
      </c>
      <c r="R127" s="113"/>
    </row>
    <row r="128" spans="1:18" ht="15.5" x14ac:dyDescent="0.35">
      <c r="A128" s="116"/>
      <c r="B128" s="116" t="s">
        <v>138</v>
      </c>
      <c r="C128" s="116"/>
      <c r="D128" s="183">
        <f>ROUNDUP(D118/(Assumptions!$C$36*365),0)</f>
        <v>0</v>
      </c>
      <c r="E128" s="183">
        <f>ROUNDUP(E118/(Assumptions!$C$36*365),0)</f>
        <v>1</v>
      </c>
      <c r="F128" s="183">
        <f>ROUNDUP(F118/(Assumptions!$C$36*365),0)</f>
        <v>1</v>
      </c>
      <c r="G128" s="183">
        <f>ROUNDUP(G118/(Assumptions!$C$36*365),0)</f>
        <v>1</v>
      </c>
      <c r="H128" s="183">
        <f>ROUNDUP(H118/(Assumptions!$C$36*365),0)</f>
        <v>1</v>
      </c>
      <c r="I128" s="183">
        <f>ROUNDUP(I118/(Assumptions!$C$36*365),0)</f>
        <v>1</v>
      </c>
      <c r="J128" s="183">
        <f>ROUNDUP(J118/(Assumptions!$C$36*365),0)</f>
        <v>1</v>
      </c>
      <c r="K128" s="183">
        <f>ROUNDUP(K118/(Assumptions!$C$36*365),0)</f>
        <v>1</v>
      </c>
      <c r="L128" s="186">
        <f>ROUNDUP(L118/(Assumptions!$C$36*365),0)</f>
        <v>1</v>
      </c>
      <c r="M128" s="183">
        <f>ROUNDUP(M118/(Assumptions!$C$36*365),0)</f>
        <v>1</v>
      </c>
      <c r="N128" s="183">
        <f>ROUNDUP(N118/(Assumptions!$C$36*365),0)</f>
        <v>1</v>
      </c>
      <c r="O128" s="183">
        <f>ROUNDUP(O118/(Assumptions!$C$36*365),0)</f>
        <v>1</v>
      </c>
      <c r="P128" s="183">
        <f>ROUNDUP(P118/(Assumptions!$C$36*365),0)</f>
        <v>1</v>
      </c>
      <c r="Q128" s="183">
        <f>ROUNDUP(Q118/(Assumptions!$C$36*365),0)</f>
        <v>1</v>
      </c>
      <c r="R128" s="115"/>
    </row>
    <row r="129" spans="1:18" ht="15.5" x14ac:dyDescent="0.35">
      <c r="A129" s="116"/>
      <c r="B129" s="116" t="s">
        <v>142</v>
      </c>
      <c r="C129" s="116"/>
      <c r="D129" s="183">
        <f>D126*2</f>
        <v>0</v>
      </c>
      <c r="E129" s="183">
        <f t="shared" ref="E129:Q129" si="17">E126*2</f>
        <v>4</v>
      </c>
      <c r="F129" s="183">
        <f t="shared" si="17"/>
        <v>12</v>
      </c>
      <c r="G129" s="183">
        <f t="shared" si="17"/>
        <v>10</v>
      </c>
      <c r="H129" s="183">
        <f t="shared" si="17"/>
        <v>10</v>
      </c>
      <c r="I129" s="183">
        <f t="shared" si="17"/>
        <v>8</v>
      </c>
      <c r="J129" s="183">
        <f t="shared" si="17"/>
        <v>12</v>
      </c>
      <c r="K129" s="183">
        <f t="shared" si="17"/>
        <v>6</v>
      </c>
      <c r="L129" s="186">
        <f t="shared" si="17"/>
        <v>8</v>
      </c>
      <c r="M129" s="183">
        <f t="shared" si="17"/>
        <v>6</v>
      </c>
      <c r="N129" s="183">
        <f t="shared" si="17"/>
        <v>8</v>
      </c>
      <c r="O129" s="183">
        <f t="shared" si="17"/>
        <v>8</v>
      </c>
      <c r="P129" s="183">
        <f t="shared" si="17"/>
        <v>4</v>
      </c>
      <c r="Q129" s="183">
        <f t="shared" si="17"/>
        <v>4</v>
      </c>
      <c r="R129" s="115"/>
    </row>
    <row r="130" spans="1:18" ht="15.5" x14ac:dyDescent="0.35">
      <c r="A130" s="116"/>
      <c r="B130" s="116" t="s">
        <v>179</v>
      </c>
      <c r="C130" s="116"/>
      <c r="D130" s="183">
        <v>0</v>
      </c>
      <c r="E130" s="183">
        <f>E84*Assumptions!$K$35+D84*Assumptions!$K$36+SUM($C84:C84)*Assumptions!$K$37+Assumptions!$K$38</f>
        <v>6</v>
      </c>
      <c r="F130" s="183">
        <f>F84*Assumptions!$K$35+E84*Assumptions!$K$36+SUM($C84:D84)*Assumptions!$K$37+Assumptions!$K$38</f>
        <v>18</v>
      </c>
      <c r="G130" s="183">
        <f>G84*Assumptions!$K$35+F84*Assumptions!$K$36+SUM($C84:E84)*Assumptions!$K$37+Assumptions!$K$38</f>
        <v>26</v>
      </c>
      <c r="H130" s="183">
        <f>H84*Assumptions!$K$35+G84*Assumptions!$K$36+SUM($C84:F84)*Assumptions!$K$37+Assumptions!$K$38</f>
        <v>32</v>
      </c>
      <c r="I130" s="183">
        <f>I84*Assumptions!$K$35+H84*Assumptions!$K$36+SUM($C84:G84)*Assumptions!$K$37+Assumptions!$K$38</f>
        <v>33</v>
      </c>
      <c r="J130" s="183">
        <f>J84*Assumptions!$K$35+I84*Assumptions!$K$36+SUM($C84:H84)*Assumptions!$K$37+Assumptions!$K$38</f>
        <v>41</v>
      </c>
      <c r="K130" s="183">
        <f>K84*Assumptions!$K$35+J84*Assumptions!$K$36+SUM($C84:I84)*Assumptions!$K$37+Assumptions!$K$38</f>
        <v>44</v>
      </c>
      <c r="L130" s="186">
        <f>L84*Assumptions!$K$35+K84*Assumptions!$K$36+SUM($C84:J84)*Assumptions!$K$37+Assumptions!$K$38</f>
        <v>49</v>
      </c>
      <c r="M130" s="183">
        <f>M84*Assumptions!$K$35+L84*Assumptions!$K$36+SUM($C84:K84)*Assumptions!$K$37+Assumptions!$K$38</f>
        <v>50</v>
      </c>
      <c r="N130" s="183">
        <f>N84*Assumptions!$K$35+M84*Assumptions!$K$36+SUM($C84:L84)*Assumptions!$K$37+Assumptions!$K$38</f>
        <v>50</v>
      </c>
      <c r="O130" s="183">
        <f>O84*Assumptions!$K$35+N84*Assumptions!$K$36+SUM($C84:M84)*Assumptions!$K$37+Assumptions!$K$38</f>
        <v>50</v>
      </c>
      <c r="P130" s="183">
        <f>P84*Assumptions!$K$35+O84*Assumptions!$K$36+SUM($C84:N84)*Assumptions!$K$37+Assumptions!$K$38</f>
        <v>51</v>
      </c>
      <c r="Q130" s="183">
        <f>Q84*Assumptions!$K$35+P84*Assumptions!$K$36+SUM($C84:O84)*Assumptions!$K$37+Assumptions!$K$38</f>
        <v>52</v>
      </c>
      <c r="R130" s="115">
        <f>Q130</f>
        <v>52</v>
      </c>
    </row>
    <row r="131" spans="1:18" ht="15.5" x14ac:dyDescent="0.35">
      <c r="B131" s="106" t="s">
        <v>343</v>
      </c>
      <c r="C131" s="106"/>
      <c r="D131" s="108">
        <v>0</v>
      </c>
      <c r="E131" s="108">
        <f>ROUNDUP((SUM($E86:E88)+D131)/Assumptions!$K$41,0)</f>
        <v>1</v>
      </c>
      <c r="F131" s="108">
        <f>ROUNDUP((SUM($E86:F88)+E131)/Assumptions!$K$41,0)</f>
        <v>2</v>
      </c>
      <c r="G131" s="108">
        <f>ROUNDUP((SUM($E86:G88)+F131)/Assumptions!$K$41,0)</f>
        <v>4</v>
      </c>
      <c r="H131" s="108">
        <f>ROUNDUP((SUM($E86:H88)+G131)/Assumptions!$K$41,0)</f>
        <v>5</v>
      </c>
      <c r="I131" s="108">
        <f>ROUNDUP((SUM($E86:I88)+H131)/Assumptions!$K$41,0)</f>
        <v>6</v>
      </c>
      <c r="J131" s="108">
        <f>ROUNDUP((SUM($E86:J88)+I131)/Assumptions!$K$41,0)</f>
        <v>8</v>
      </c>
      <c r="K131" s="108">
        <f>ROUNDUP((SUM($E86:K88)+J131)/Assumptions!$K$41,0)</f>
        <v>9</v>
      </c>
      <c r="L131" s="108">
        <f>ROUNDUP((SUM($E86:L88)+K131)/Assumptions!$K$41,0)</f>
        <v>10</v>
      </c>
      <c r="M131" s="108">
        <f>ROUNDUP((SUM($E86:M88)+L131)/Assumptions!$K$41,0)</f>
        <v>11</v>
      </c>
      <c r="N131" s="108">
        <f>ROUNDUP((SUM($E86:N88)+M131)/Assumptions!$K$41,0)</f>
        <v>13</v>
      </c>
      <c r="O131" s="108">
        <f>ROUNDUP((SUM($E86:O88)+N131)/Assumptions!$K$41,0)</f>
        <v>14</v>
      </c>
      <c r="P131" s="108">
        <f>ROUNDUP((SUM($E86:P88)+O131)/Assumptions!$K$41,0)</f>
        <v>14</v>
      </c>
      <c r="Q131" s="108">
        <f>ROUNDUP((SUM($E86:Q88)+P131)/Assumptions!$K$41,0)</f>
        <v>15</v>
      </c>
      <c r="R131" s="113">
        <f>Q131</f>
        <v>15</v>
      </c>
    </row>
    <row r="132" spans="1:18" ht="15.5" x14ac:dyDescent="0.35">
      <c r="A132" s="116"/>
      <c r="B132" s="116" t="s">
        <v>195</v>
      </c>
      <c r="C132" s="116"/>
      <c r="D132" s="183">
        <f>ROUNDUP(D119/(Assumptions!$C$36*365),0)</f>
        <v>0</v>
      </c>
      <c r="E132" s="183">
        <f>ROUNDUP(E119/(Assumptions!$C$36*365),0)</f>
        <v>1</v>
      </c>
      <c r="F132" s="183">
        <f>ROUNDUP(F119/(Assumptions!$C$36*365),0)</f>
        <v>4</v>
      </c>
      <c r="G132" s="183">
        <f>ROUNDUP(G119/(Assumptions!$C$36*365),0)</f>
        <v>3</v>
      </c>
      <c r="H132" s="183">
        <f>ROUNDUP(H119/(Assumptions!$C$36*365),0)</f>
        <v>3</v>
      </c>
      <c r="I132" s="183">
        <f>ROUNDUP(I119/(Assumptions!$C$36*365),0)</f>
        <v>2</v>
      </c>
      <c r="J132" s="183">
        <f>ROUNDUP(J119/(Assumptions!$C$36*365),0)</f>
        <v>4</v>
      </c>
      <c r="K132" s="183">
        <f>ROUNDUP(K119/(Assumptions!$C$36*365),0)</f>
        <v>2</v>
      </c>
      <c r="L132" s="183">
        <f>ROUNDUP(L119/(Assumptions!$C$36*365),0)</f>
        <v>4</v>
      </c>
      <c r="M132" s="183">
        <f>ROUNDUP(M119/(Assumptions!$C$36*365),0)</f>
        <v>2</v>
      </c>
      <c r="N132" s="183">
        <f>ROUNDUP(N119/(Assumptions!$C$36*365),0)</f>
        <v>4</v>
      </c>
      <c r="O132" s="183">
        <f>ROUNDUP(O119/(Assumptions!$C$36*365),0)</f>
        <v>3</v>
      </c>
      <c r="P132" s="183">
        <f>ROUNDUP(P119/(Assumptions!$C$36*365),0)</f>
        <v>2</v>
      </c>
      <c r="Q132" s="183">
        <f>ROUNDUP(Q119/(Assumptions!$C$36*365),0)</f>
        <v>1</v>
      </c>
      <c r="R132" s="115">
        <f>R85*Assumptions!Y52+Q85*Assumptions!Y53+SUM($C85:P85)*Assumptions!Y54</f>
        <v>0</v>
      </c>
    </row>
    <row r="133" spans="1:18" ht="15.5" x14ac:dyDescent="0.35">
      <c r="A133" s="116"/>
      <c r="B133" s="106" t="s">
        <v>305</v>
      </c>
      <c r="C133" s="106"/>
      <c r="D133" s="107"/>
      <c r="E133" s="108">
        <f>ROUNDUP(E120/(Assumptions!$C$36*365),0)</f>
        <v>1</v>
      </c>
      <c r="F133" s="108">
        <f>ROUNDUP(F120/(Assumptions!$C$36*365),0)</f>
        <v>3</v>
      </c>
      <c r="G133" s="108">
        <f>ROUNDUP(G120/(Assumptions!$C$36*365),0)</f>
        <v>2</v>
      </c>
      <c r="H133" s="108">
        <f>ROUNDUP(H120/(Assumptions!$C$36*365),0)</f>
        <v>2</v>
      </c>
      <c r="I133" s="108">
        <f>ROUNDUP(I120/(Assumptions!$C$36*365),0)</f>
        <v>2</v>
      </c>
      <c r="J133" s="108">
        <f>ROUNDUP(J120/(Assumptions!$C$36*365),0)</f>
        <v>3</v>
      </c>
      <c r="K133" s="108">
        <f>ROUNDUP(K120/(Assumptions!$C$36*365),0)</f>
        <v>2</v>
      </c>
      <c r="L133" s="108">
        <f>ROUNDUP(L120/(Assumptions!$C$36*365),0)</f>
        <v>2</v>
      </c>
      <c r="M133" s="108">
        <f>ROUNDUP(M120/(Assumptions!$C$36*365),0)</f>
        <v>1</v>
      </c>
      <c r="N133" s="108">
        <f>ROUNDUP(N120/(Assumptions!$C$36*365),0)</f>
        <v>2</v>
      </c>
      <c r="O133" s="108">
        <f>ROUNDUP(O120/(Assumptions!$C$36*365),0)</f>
        <v>2</v>
      </c>
      <c r="P133" s="108">
        <f>ROUNDUP(P120/(Assumptions!$C$36*365),0)</f>
        <v>1</v>
      </c>
      <c r="Q133" s="108">
        <f>ROUNDUP(Q120/(Assumptions!$C$36*365),0)</f>
        <v>1</v>
      </c>
      <c r="R133" s="114"/>
    </row>
    <row r="134" spans="1:18" ht="15.5" x14ac:dyDescent="0.35">
      <c r="A134" s="116"/>
      <c r="B134" s="116"/>
      <c r="C134" s="116"/>
      <c r="D134" s="116"/>
      <c r="E134" s="116"/>
      <c r="F134" s="116"/>
      <c r="G134" s="116"/>
      <c r="H134" s="116"/>
      <c r="I134" s="116"/>
      <c r="J134" s="116"/>
      <c r="K134" s="116"/>
      <c r="L134" s="116"/>
      <c r="M134" s="116"/>
      <c r="N134" s="116"/>
      <c r="O134" s="116"/>
      <c r="P134" s="116"/>
      <c r="Q134" s="116"/>
      <c r="R134" s="116"/>
    </row>
    <row r="135" spans="1:18" ht="15.5" x14ac:dyDescent="0.35">
      <c r="A135" s="116"/>
      <c r="B135" s="116"/>
      <c r="C135" s="116"/>
      <c r="D135" s="116"/>
      <c r="E135" s="116"/>
      <c r="F135" s="116"/>
      <c r="G135" s="116"/>
      <c r="H135" s="116"/>
      <c r="I135" s="116"/>
      <c r="J135" s="116"/>
      <c r="K135" s="116"/>
      <c r="L135" s="116"/>
      <c r="M135" s="116"/>
      <c r="N135" s="116"/>
      <c r="O135" s="116"/>
      <c r="P135" s="116"/>
      <c r="Q135" s="116"/>
      <c r="R135" s="116"/>
    </row>
    <row r="136" spans="1:18" ht="15.5" x14ac:dyDescent="0.35">
      <c r="A136" s="116"/>
      <c r="B136" s="116"/>
      <c r="C136" s="116"/>
      <c r="D136" s="116"/>
      <c r="E136" s="116"/>
      <c r="F136" s="116"/>
      <c r="G136" s="116"/>
      <c r="H136" s="116"/>
      <c r="I136" s="116"/>
      <c r="J136" s="116"/>
      <c r="K136" s="116"/>
      <c r="L136" s="116"/>
      <c r="M136" s="116"/>
      <c r="N136" s="116"/>
      <c r="O136" s="116"/>
      <c r="P136" s="116"/>
      <c r="Q136" s="116"/>
      <c r="R136" s="116"/>
    </row>
    <row r="137" spans="1:18" ht="15.5" x14ac:dyDescent="0.35">
      <c r="A137" s="116"/>
      <c r="B137" s="179"/>
      <c r="C137" s="179"/>
      <c r="D137" s="179"/>
      <c r="E137" s="179"/>
      <c r="F137" s="179"/>
      <c r="G137" s="179"/>
      <c r="H137" s="179"/>
      <c r="I137" s="179"/>
      <c r="J137" s="179"/>
      <c r="K137" s="179"/>
      <c r="L137" s="179"/>
      <c r="M137" s="179"/>
      <c r="N137" s="179"/>
      <c r="O137" s="179"/>
      <c r="P137" s="179"/>
      <c r="Q137" s="179"/>
      <c r="R137" s="179"/>
    </row>
    <row r="138" spans="1:18" ht="15.5" x14ac:dyDescent="0.35">
      <c r="A138" s="116"/>
      <c r="B138" s="116"/>
      <c r="C138" s="116"/>
      <c r="D138" s="115"/>
      <c r="E138" s="115"/>
      <c r="F138" s="115"/>
      <c r="G138" s="115"/>
      <c r="H138" s="115"/>
      <c r="I138" s="115"/>
      <c r="J138" s="115"/>
      <c r="K138" s="115"/>
      <c r="L138" s="115"/>
      <c r="M138" s="115"/>
      <c r="N138" s="115"/>
      <c r="O138" s="115"/>
      <c r="P138" s="115"/>
      <c r="Q138" s="115"/>
      <c r="R138" s="116"/>
    </row>
    <row r="139" spans="1:18" ht="15.5" x14ac:dyDescent="0.35">
      <c r="A139" s="116"/>
      <c r="B139" s="116"/>
      <c r="C139" s="116"/>
      <c r="D139" s="115"/>
      <c r="E139" s="115"/>
      <c r="F139" s="115"/>
      <c r="G139" s="115"/>
      <c r="H139" s="115"/>
      <c r="I139" s="115"/>
      <c r="J139" s="115"/>
      <c r="K139" s="115"/>
      <c r="L139" s="115"/>
      <c r="M139" s="115"/>
      <c r="N139" s="115"/>
      <c r="O139" s="115"/>
      <c r="P139" s="115"/>
      <c r="Q139" s="115"/>
      <c r="R139" s="116"/>
    </row>
    <row r="140" spans="1:18" ht="15.5" x14ac:dyDescent="0.35">
      <c r="A140" s="116"/>
      <c r="B140" s="116"/>
      <c r="C140" s="116"/>
      <c r="D140" s="115"/>
      <c r="E140" s="115"/>
      <c r="F140" s="115"/>
      <c r="G140" s="115"/>
      <c r="H140" s="115"/>
      <c r="I140" s="115"/>
      <c r="J140" s="115"/>
      <c r="K140" s="115"/>
      <c r="L140" s="115"/>
      <c r="M140" s="115"/>
      <c r="N140" s="115"/>
      <c r="O140" s="115"/>
      <c r="P140" s="115"/>
      <c r="Q140" s="115"/>
      <c r="R140" s="116"/>
    </row>
    <row r="141" spans="1:18" ht="15.5" x14ac:dyDescent="0.35">
      <c r="A141" s="116"/>
      <c r="B141" s="116"/>
      <c r="C141" s="116"/>
      <c r="D141" s="116"/>
      <c r="E141" s="116"/>
      <c r="F141" s="115"/>
      <c r="G141" s="115"/>
      <c r="H141" s="115"/>
      <c r="I141" s="115"/>
      <c r="J141" s="115"/>
      <c r="K141" s="115"/>
      <c r="L141" s="115"/>
      <c r="M141" s="115"/>
      <c r="N141" s="115"/>
      <c r="O141" s="115"/>
      <c r="P141" s="115"/>
      <c r="Q141" s="115"/>
      <c r="R141" s="116"/>
    </row>
    <row r="142" spans="1:18" ht="15.5" x14ac:dyDescent="0.35">
      <c r="A142" s="116"/>
      <c r="B142" s="116"/>
      <c r="C142" s="116"/>
      <c r="D142" s="116"/>
      <c r="E142" s="116"/>
      <c r="F142" s="116"/>
      <c r="G142" s="116"/>
      <c r="H142" s="116"/>
      <c r="I142" s="116"/>
      <c r="J142" s="116"/>
      <c r="K142" s="116"/>
      <c r="L142" s="116"/>
      <c r="M142" s="116"/>
      <c r="N142" s="116"/>
      <c r="O142" s="116"/>
      <c r="P142" s="116"/>
      <c r="Q142" s="116"/>
      <c r="R142" s="116"/>
    </row>
    <row r="143" spans="1:18" ht="15.5" x14ac:dyDescent="0.35">
      <c r="A143" s="116"/>
      <c r="B143" s="116"/>
      <c r="C143" s="116"/>
      <c r="D143" s="116"/>
      <c r="E143" s="116"/>
      <c r="F143" s="192"/>
      <c r="G143" s="192"/>
      <c r="H143" s="192"/>
      <c r="I143" s="192"/>
      <c r="J143" s="192"/>
      <c r="K143" s="192"/>
      <c r="L143" s="192"/>
      <c r="M143" s="192"/>
      <c r="N143" s="192"/>
      <c r="O143" s="192"/>
      <c r="P143" s="192"/>
      <c r="Q143" s="192"/>
      <c r="R143" s="116"/>
    </row>
    <row r="144" spans="1:18" ht="15.5" x14ac:dyDescent="0.35">
      <c r="A144" s="116"/>
      <c r="B144" s="116"/>
      <c r="C144" s="116"/>
      <c r="D144" s="116"/>
      <c r="E144" s="116"/>
      <c r="F144" s="192"/>
      <c r="G144" s="192"/>
      <c r="H144" s="192"/>
      <c r="I144" s="192"/>
      <c r="J144" s="192"/>
      <c r="K144" s="192"/>
      <c r="L144" s="192"/>
      <c r="M144" s="192"/>
      <c r="N144" s="192"/>
      <c r="O144" s="192"/>
      <c r="P144" s="192"/>
      <c r="Q144" s="192"/>
      <c r="R144" s="116"/>
    </row>
    <row r="145" spans="1:18" ht="15.5" x14ac:dyDescent="0.35">
      <c r="A145" s="116"/>
      <c r="B145" s="116"/>
      <c r="C145" s="116"/>
      <c r="D145" s="116"/>
      <c r="E145" s="116"/>
      <c r="F145" s="192"/>
      <c r="G145" s="192"/>
      <c r="H145" s="192"/>
      <c r="I145" s="192"/>
      <c r="J145" s="192"/>
      <c r="K145" s="192"/>
      <c r="L145" s="192"/>
      <c r="M145" s="192"/>
      <c r="N145" s="192"/>
      <c r="O145" s="192"/>
      <c r="P145" s="192"/>
      <c r="Q145" s="192"/>
      <c r="R145" s="116"/>
    </row>
    <row r="146" spans="1:18" ht="15.5" x14ac:dyDescent="0.35">
      <c r="A146" s="116"/>
      <c r="B146" s="116"/>
      <c r="C146" s="116"/>
      <c r="D146" s="116"/>
      <c r="E146" s="116"/>
      <c r="F146" s="192"/>
      <c r="G146" s="192"/>
      <c r="H146" s="192"/>
      <c r="I146" s="192"/>
      <c r="J146" s="192"/>
      <c r="K146" s="192"/>
      <c r="L146" s="192"/>
      <c r="M146" s="192"/>
      <c r="N146" s="192"/>
      <c r="O146" s="192"/>
      <c r="P146" s="192"/>
      <c r="Q146" s="192"/>
      <c r="R146" s="116"/>
    </row>
  </sheetData>
  <conditionalFormatting sqref="D107:Q107">
    <cfRule type="colorScale" priority="36">
      <colorScale>
        <cfvo type="min"/>
        <cfvo type="max"/>
        <color rgb="FFFCFCFF"/>
        <color rgb="FF00B050"/>
      </colorScale>
    </cfRule>
  </conditionalFormatting>
  <conditionalFormatting sqref="D86:Q88">
    <cfRule type="colorScale" priority="35">
      <colorScale>
        <cfvo type="min"/>
        <cfvo type="max"/>
        <color theme="0"/>
        <color rgb="FF5D9732"/>
      </colorScale>
    </cfRule>
  </conditionalFormatting>
  <conditionalFormatting sqref="D90:Q92">
    <cfRule type="colorScale" priority="34">
      <colorScale>
        <cfvo type="min"/>
        <cfvo type="max"/>
        <color theme="0"/>
        <color rgb="FF5D9732"/>
      </colorScale>
    </cfRule>
  </conditionalFormatting>
  <conditionalFormatting sqref="D94:Q96">
    <cfRule type="colorScale" priority="33">
      <colorScale>
        <cfvo type="min"/>
        <cfvo type="max"/>
        <color theme="0"/>
        <color rgb="FF5D9732"/>
      </colorScale>
    </cfRule>
  </conditionalFormatting>
  <conditionalFormatting sqref="D98:Q100">
    <cfRule type="colorScale" priority="32">
      <colorScale>
        <cfvo type="min"/>
        <cfvo type="max"/>
        <color theme="0"/>
        <color rgb="FF5D9732"/>
      </colorScale>
    </cfRule>
  </conditionalFormatting>
  <conditionalFormatting sqref="D77:Q80">
    <cfRule type="colorScale" priority="37">
      <colorScale>
        <cfvo type="min"/>
        <cfvo type="max"/>
        <color rgb="FFFCFCFF"/>
        <color rgb="FF00B050"/>
      </colorScale>
    </cfRule>
  </conditionalFormatting>
  <conditionalFormatting sqref="D84:Q84">
    <cfRule type="colorScale" priority="31">
      <colorScale>
        <cfvo type="min"/>
        <cfvo type="max"/>
        <color theme="0"/>
        <color rgb="FF5D9732"/>
      </colorScale>
    </cfRule>
  </conditionalFormatting>
  <conditionalFormatting sqref="D102:Q105">
    <cfRule type="colorScale" priority="30">
      <colorScale>
        <cfvo type="min"/>
        <cfvo type="max"/>
        <color theme="0"/>
        <color rgb="FF5D9732"/>
      </colorScale>
    </cfRule>
  </conditionalFormatting>
  <conditionalFormatting sqref="D106:Q106">
    <cfRule type="colorScale" priority="29">
      <colorScale>
        <cfvo type="min"/>
        <cfvo type="max"/>
        <color theme="0"/>
        <color rgb="FF5D9732"/>
      </colorScale>
    </cfRule>
  </conditionalFormatting>
  <conditionalFormatting sqref="D108:Q108">
    <cfRule type="colorScale" priority="28">
      <colorScale>
        <cfvo type="min"/>
        <cfvo type="max"/>
        <color theme="0"/>
        <color rgb="FF5D9732"/>
      </colorScale>
    </cfRule>
  </conditionalFormatting>
  <conditionalFormatting sqref="D113:Q116 D118:Q118">
    <cfRule type="colorScale" priority="27">
      <colorScale>
        <cfvo type="min"/>
        <cfvo type="max"/>
        <color rgb="FFFCFCFF"/>
        <color rgb="FF5D9732"/>
      </colorScale>
    </cfRule>
  </conditionalFormatting>
  <conditionalFormatting sqref="D122:Q126 D128:Q128">
    <cfRule type="colorScale" priority="26">
      <colorScale>
        <cfvo type="min"/>
        <cfvo type="max"/>
        <color rgb="FFFCFCFF"/>
        <color rgb="FF5D9732"/>
      </colorScale>
    </cfRule>
  </conditionalFormatting>
  <conditionalFormatting sqref="E129:Q130 E132:Q132">
    <cfRule type="colorScale" priority="25">
      <colorScale>
        <cfvo type="min"/>
        <cfvo type="max"/>
        <color rgb="FFFCFCFF"/>
        <color rgb="FF5D9732"/>
      </colorScale>
    </cfRule>
  </conditionalFormatting>
  <conditionalFormatting sqref="D110:Q111">
    <cfRule type="colorScale" priority="24">
      <colorScale>
        <cfvo type="min"/>
        <cfvo type="max"/>
        <color theme="0"/>
        <color rgb="FF5D9732"/>
      </colorScale>
    </cfRule>
  </conditionalFormatting>
  <conditionalFormatting sqref="D119:Q119">
    <cfRule type="colorScale" priority="23">
      <colorScale>
        <cfvo type="min"/>
        <cfvo type="max"/>
        <color rgb="FFFCFCFF"/>
        <color rgb="FF5D9732"/>
      </colorScale>
    </cfRule>
  </conditionalFormatting>
  <conditionalFormatting sqref="C10:Q12">
    <cfRule type="colorScale" priority="22">
      <colorScale>
        <cfvo type="min"/>
        <cfvo type="max"/>
        <color theme="0"/>
        <color rgb="FF5D9732"/>
      </colorScale>
    </cfRule>
  </conditionalFormatting>
  <conditionalFormatting sqref="C18:Q20">
    <cfRule type="colorScale" priority="21">
      <colorScale>
        <cfvo type="min"/>
        <cfvo type="max"/>
        <color theme="0"/>
        <color rgb="FF5D9732"/>
      </colorScale>
    </cfRule>
  </conditionalFormatting>
  <conditionalFormatting sqref="C30:Q32">
    <cfRule type="colorScale" priority="20">
      <colorScale>
        <cfvo type="min"/>
        <cfvo type="max"/>
        <color theme="0"/>
        <color rgb="FF5D9732"/>
      </colorScale>
    </cfRule>
  </conditionalFormatting>
  <conditionalFormatting sqref="C34:Q35">
    <cfRule type="colorScale" priority="19">
      <colorScale>
        <cfvo type="min"/>
        <cfvo type="max"/>
        <color theme="0"/>
        <color rgb="FF5D9732"/>
      </colorScale>
    </cfRule>
  </conditionalFormatting>
  <conditionalFormatting sqref="C14:Q16">
    <cfRule type="colorScale" priority="18">
      <colorScale>
        <cfvo type="min"/>
        <cfvo type="max"/>
        <color theme="0"/>
        <color rgb="FF5D9732"/>
      </colorScale>
    </cfRule>
  </conditionalFormatting>
  <conditionalFormatting sqref="C22:Q24">
    <cfRule type="colorScale" priority="17">
      <colorScale>
        <cfvo type="min"/>
        <cfvo type="max"/>
        <color theme="0"/>
        <color rgb="FF5D9732"/>
      </colorScale>
    </cfRule>
  </conditionalFormatting>
  <conditionalFormatting sqref="C26:Q29">
    <cfRule type="colorScale" priority="16">
      <colorScale>
        <cfvo type="min"/>
        <cfvo type="max"/>
        <color theme="0"/>
        <color rgb="FF5D9732"/>
      </colorScale>
    </cfRule>
  </conditionalFormatting>
  <conditionalFormatting sqref="D67:Q67">
    <cfRule type="colorScale" priority="15">
      <colorScale>
        <cfvo type="min"/>
        <cfvo type="max"/>
        <color rgb="FFFCFCFF"/>
        <color rgb="FF00B050"/>
      </colorScale>
    </cfRule>
  </conditionalFormatting>
  <conditionalFormatting sqref="C50:Q52">
    <cfRule type="colorScale" priority="14">
      <colorScale>
        <cfvo type="min"/>
        <cfvo type="max"/>
        <color theme="0"/>
        <color rgb="FF5D9732"/>
      </colorScale>
    </cfRule>
  </conditionalFormatting>
  <conditionalFormatting sqref="Q58:Q60">
    <cfRule type="colorScale" priority="13">
      <colorScale>
        <cfvo type="min"/>
        <cfvo type="max"/>
        <color theme="0"/>
        <color rgb="FF00B050"/>
      </colorScale>
    </cfRule>
  </conditionalFormatting>
  <conditionalFormatting sqref="C68:Q68">
    <cfRule type="colorScale" priority="12">
      <colorScale>
        <cfvo type="min"/>
        <cfvo type="max"/>
        <color theme="0"/>
        <color rgb="FF5D9732"/>
      </colorScale>
    </cfRule>
  </conditionalFormatting>
  <conditionalFormatting sqref="C70:Q71">
    <cfRule type="colorScale" priority="11">
      <colorScale>
        <cfvo type="min"/>
        <cfvo type="max"/>
        <color theme="0"/>
        <color rgb="FF5D9732"/>
      </colorScale>
    </cfRule>
  </conditionalFormatting>
  <conditionalFormatting sqref="C46:Q48">
    <cfRule type="colorScale" priority="10">
      <colorScale>
        <cfvo type="min"/>
        <cfvo type="max"/>
        <color theme="0"/>
        <color rgb="FF5D9732"/>
      </colorScale>
    </cfRule>
  </conditionalFormatting>
  <conditionalFormatting sqref="C54:Q60">
    <cfRule type="colorScale" priority="9">
      <colorScale>
        <cfvo type="min"/>
        <cfvo type="max"/>
        <color theme="0"/>
        <color rgb="FF5D9732"/>
      </colorScale>
    </cfRule>
  </conditionalFormatting>
  <conditionalFormatting sqref="C62:Q65">
    <cfRule type="colorScale" priority="8">
      <colorScale>
        <cfvo type="min"/>
        <cfvo type="max"/>
        <color theme="0"/>
        <color rgb="FF5D9732"/>
      </colorScale>
    </cfRule>
  </conditionalFormatting>
  <conditionalFormatting sqref="C66:P66">
    <cfRule type="colorScale" priority="7">
      <colorScale>
        <cfvo type="min"/>
        <cfvo type="max"/>
        <color rgb="FFFCFCFF"/>
        <color rgb="FF5D9732"/>
      </colorScale>
    </cfRule>
  </conditionalFormatting>
  <conditionalFormatting sqref="D117:Q117">
    <cfRule type="colorScale" priority="6">
      <colorScale>
        <cfvo type="min"/>
        <cfvo type="max"/>
        <color rgb="FFFCFCFF"/>
        <color rgb="FF5D9732"/>
      </colorScale>
    </cfRule>
  </conditionalFormatting>
  <conditionalFormatting sqref="D127:Q127">
    <cfRule type="colorScale" priority="5">
      <colorScale>
        <cfvo type="min"/>
        <cfvo type="max"/>
        <color rgb="FFFCFCFF"/>
        <color rgb="FF5D9732"/>
      </colorScale>
    </cfRule>
  </conditionalFormatting>
  <conditionalFormatting sqref="D120:Q120">
    <cfRule type="colorScale" priority="4">
      <colorScale>
        <cfvo type="min"/>
        <cfvo type="max"/>
        <color rgb="FFFCFCFF"/>
        <color rgb="FF5D9732"/>
      </colorScale>
    </cfRule>
  </conditionalFormatting>
  <conditionalFormatting sqref="E133:Q133">
    <cfRule type="colorScale" priority="3">
      <colorScale>
        <cfvo type="min"/>
        <cfvo type="max"/>
        <color rgb="FFFCFCFF"/>
        <color rgb="FF5D9732"/>
      </colorScale>
    </cfRule>
  </conditionalFormatting>
  <conditionalFormatting sqref="E133:Q133">
    <cfRule type="colorScale" priority="2">
      <colorScale>
        <cfvo type="min"/>
        <cfvo type="max"/>
        <color theme="0"/>
        <color rgb="FF5D9732"/>
      </colorScale>
    </cfRule>
  </conditionalFormatting>
  <conditionalFormatting sqref="D131:Q131">
    <cfRule type="colorScale" priority="1">
      <colorScale>
        <cfvo type="min"/>
        <cfvo type="max"/>
        <color theme="0"/>
        <color rgb="FF5D9732"/>
      </colorScale>
    </cfRule>
  </conditionalFormatting>
  <pageMargins left="0.7" right="0.7" top="0.75" bottom="0.75" header="0.3" footer="0.3"/>
  <pageSetup orientation="portrait" horizontalDpi="1200" verticalDpi="1200"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7B8DAB-99BD-4140-B73D-AE3460B35C1D}">
  <sheetPr codeName="Sheet16">
    <tabColor rgb="FF8CC63F"/>
  </sheetPr>
  <dimension ref="A1:Z157"/>
  <sheetViews>
    <sheetView zoomScale="70" zoomScaleNormal="70" workbookViewId="0">
      <pane ySplit="6" topLeftCell="A81" activePane="bottomLeft" state="frozen"/>
      <selection pane="bottomLeft" activeCell="B110" sqref="B110"/>
    </sheetView>
  </sheetViews>
  <sheetFormatPr defaultRowHeight="14.5" x14ac:dyDescent="0.35"/>
  <cols>
    <col min="1" max="1" width="5.08984375" customWidth="1"/>
    <col min="2" max="2" width="25.1796875" customWidth="1"/>
    <col min="3" max="3" width="11.36328125" customWidth="1"/>
    <col min="6" max="16" width="9.36328125" bestFit="1" customWidth="1"/>
    <col min="17" max="17" width="10.08984375" customWidth="1"/>
  </cols>
  <sheetData>
    <row r="1" spans="1:20" x14ac:dyDescent="0.35">
      <c r="R1" t="s">
        <v>104</v>
      </c>
    </row>
    <row r="2" spans="1:20" x14ac:dyDescent="0.35">
      <c r="A2" s="30"/>
      <c r="B2" s="7" t="s">
        <v>300</v>
      </c>
      <c r="C2" s="7"/>
      <c r="D2" s="30"/>
      <c r="E2" s="30"/>
      <c r="F2" s="30"/>
      <c r="G2" s="30"/>
      <c r="Q2" s="4" t="s">
        <v>301</v>
      </c>
      <c r="R2" s="23">
        <v>1</v>
      </c>
    </row>
    <row r="3" spans="1:20" x14ac:dyDescent="0.35">
      <c r="Q3" s="4"/>
      <c r="R3" s="23"/>
      <c r="T3" s="138" t="s">
        <v>133</v>
      </c>
    </row>
    <row r="4" spans="1:20" x14ac:dyDescent="0.35">
      <c r="Q4" s="4" t="s">
        <v>302</v>
      </c>
      <c r="R4" s="23">
        <v>1</v>
      </c>
      <c r="T4" s="138" t="s">
        <v>134</v>
      </c>
    </row>
    <row r="5" spans="1:20" x14ac:dyDescent="0.35">
      <c r="T5" s="138" t="s">
        <v>135</v>
      </c>
    </row>
    <row r="6" spans="1:20" ht="21" x14ac:dyDescent="0.5">
      <c r="B6" s="102"/>
      <c r="C6" s="102"/>
      <c r="D6" s="103">
        <v>2022</v>
      </c>
      <c r="E6" s="103">
        <f t="shared" ref="E6:Q6" si="0">D6+1</f>
        <v>2023</v>
      </c>
      <c r="F6" s="103">
        <f t="shared" si="0"/>
        <v>2024</v>
      </c>
      <c r="G6" s="103">
        <f t="shared" si="0"/>
        <v>2025</v>
      </c>
      <c r="H6" s="103">
        <f t="shared" si="0"/>
        <v>2026</v>
      </c>
      <c r="I6" s="103">
        <f t="shared" si="0"/>
        <v>2027</v>
      </c>
      <c r="J6" s="103">
        <f t="shared" si="0"/>
        <v>2028</v>
      </c>
      <c r="K6" s="103">
        <f t="shared" si="0"/>
        <v>2029</v>
      </c>
      <c r="L6" s="104">
        <f t="shared" si="0"/>
        <v>2030</v>
      </c>
      <c r="M6" s="103">
        <f t="shared" si="0"/>
        <v>2031</v>
      </c>
      <c r="N6" s="103">
        <f t="shared" si="0"/>
        <v>2032</v>
      </c>
      <c r="O6" s="103">
        <f t="shared" si="0"/>
        <v>2033</v>
      </c>
      <c r="P6" s="103">
        <f t="shared" si="0"/>
        <v>2034</v>
      </c>
      <c r="Q6" s="103">
        <f t="shared" si="0"/>
        <v>2035</v>
      </c>
      <c r="R6" s="112" t="s">
        <v>96</v>
      </c>
      <c r="T6" s="138" t="s">
        <v>136</v>
      </c>
    </row>
    <row r="7" spans="1:20" ht="15.5" x14ac:dyDescent="0.35">
      <c r="A7" s="116" t="s">
        <v>132</v>
      </c>
      <c r="B7" s="117" t="s">
        <v>107</v>
      </c>
      <c r="C7" s="117"/>
      <c r="D7" s="118"/>
      <c r="E7" s="118"/>
      <c r="F7" s="118"/>
      <c r="G7" s="118"/>
      <c r="H7" s="118"/>
      <c r="I7" s="118"/>
      <c r="J7" s="118"/>
      <c r="K7" s="118"/>
      <c r="L7" s="118"/>
      <c r="M7" s="118"/>
      <c r="N7" s="118"/>
      <c r="O7" s="118"/>
      <c r="P7" s="118"/>
      <c r="Q7" s="118"/>
      <c r="R7" s="119"/>
    </row>
    <row r="8" spans="1:20" ht="15.5" x14ac:dyDescent="0.35">
      <c r="A8" s="116"/>
      <c r="B8" s="120" t="s">
        <v>108</v>
      </c>
      <c r="C8" s="120"/>
      <c r="D8" s="116"/>
      <c r="E8" s="116"/>
      <c r="F8" s="116"/>
      <c r="G8" s="116"/>
      <c r="H8" s="116"/>
      <c r="I8" s="116"/>
      <c r="J8" s="116"/>
      <c r="K8" s="116"/>
      <c r="L8" s="116"/>
      <c r="M8" s="116"/>
      <c r="N8" s="116"/>
      <c r="O8" s="116"/>
      <c r="P8" s="116"/>
      <c r="Q8" s="116"/>
      <c r="R8" s="115"/>
    </row>
    <row r="9" spans="1:20" ht="15.5" x14ac:dyDescent="0.35">
      <c r="A9" s="116"/>
      <c r="B9" s="129" t="s">
        <v>350</v>
      </c>
      <c r="C9" s="129"/>
      <c r="D9" s="129"/>
      <c r="E9" s="129"/>
      <c r="F9" s="129"/>
      <c r="G9" s="129"/>
      <c r="H9" s="129"/>
      <c r="I9" s="129"/>
      <c r="J9" s="129"/>
      <c r="K9" s="129"/>
      <c r="L9" s="129"/>
      <c r="M9" s="129"/>
      <c r="N9" s="129"/>
      <c r="O9" s="129"/>
      <c r="P9" s="129"/>
      <c r="Q9" s="129"/>
      <c r="R9" s="130"/>
    </row>
    <row r="10" spans="1:20" ht="15.5" x14ac:dyDescent="0.35">
      <c r="A10" s="121">
        <f>MAX(Assumptions!C$45:C$47)</f>
        <v>1</v>
      </c>
      <c r="B10" s="111">
        <v>12</v>
      </c>
      <c r="C10" s="111"/>
      <c r="D10" s="108" cm="1">
        <f t="array" aca="1" ref="D10" ca="1">INDIRECT("R[36]C["&amp;$A$10&amp;"]",FALSE)</f>
        <v>261.79487179487182</v>
      </c>
      <c r="E10" s="108" cm="1">
        <f t="array" aca="1" ref="E10" ca="1">INDIRECT("R[36]C["&amp;$A$10&amp;"]",FALSE)</f>
        <v>187.5128205128205</v>
      </c>
      <c r="F10" s="108" cm="1">
        <f t="array" aca="1" ref="F10" ca="1">INDIRECT("R[36]C["&amp;$A$10&amp;"]",FALSE)</f>
        <v>60.666666666666664</v>
      </c>
      <c r="G10" s="108" cm="1">
        <f t="array" aca="1" ref="G10" ca="1">INDIRECT("R[36]C["&amp;$A$10&amp;"]",FALSE)</f>
        <v>0</v>
      </c>
      <c r="H10" s="108" cm="1">
        <f t="array" aca="1" ref="H10" ca="1">INDIRECT("R[36]C["&amp;$A$10&amp;"]",FALSE)</f>
        <v>0</v>
      </c>
      <c r="I10" s="108" cm="1">
        <f t="array" aca="1" ref="I10" ca="1">INDIRECT("R[36]C["&amp;$A$10&amp;"]",FALSE)</f>
        <v>0</v>
      </c>
      <c r="J10" s="108" cm="1">
        <f t="array" aca="1" ref="J10" ca="1">INDIRECT("R[36]C["&amp;$A$10&amp;"]",FALSE)</f>
        <v>0</v>
      </c>
      <c r="K10" s="108" cm="1">
        <f t="array" aca="1" ref="K10" ca="1">INDIRECT("R[36]C["&amp;$A$10&amp;"]",FALSE)</f>
        <v>0</v>
      </c>
      <c r="L10" s="108" cm="1">
        <f t="array" aca="1" ref="L10" ca="1">INDIRECT("R[36]C["&amp;$A$10&amp;"]",FALSE)</f>
        <v>0</v>
      </c>
      <c r="M10" s="108" cm="1">
        <f t="array" aca="1" ref="M10" ca="1">INDIRECT("R[36]C["&amp;$A$10&amp;"]",FALSE)</f>
        <v>0</v>
      </c>
      <c r="N10" s="108" cm="1">
        <f t="array" aca="1" ref="N10" ca="1">INDIRECT("R[36]C["&amp;$A$10&amp;"]",FALSE)</f>
        <v>0</v>
      </c>
      <c r="O10" s="108" cm="1">
        <f t="array" aca="1" ref="O10" ca="1">INDIRECT("R[36]C["&amp;$A$10&amp;"]",FALSE)</f>
        <v>0</v>
      </c>
      <c r="P10" s="110"/>
      <c r="Q10" s="110"/>
      <c r="R10" s="113">
        <f ca="1">SUM(D10:P10)</f>
        <v>509.97435897435901</v>
      </c>
    </row>
    <row r="11" spans="1:20" ht="15.5" x14ac:dyDescent="0.35">
      <c r="A11" s="121">
        <f>MAX(Assumptions!C$45:C$47)</f>
        <v>1</v>
      </c>
      <c r="B11" s="111">
        <v>15</v>
      </c>
      <c r="C11" s="111"/>
      <c r="D11" s="108" cm="1">
        <f t="array" aca="1" ref="D11" ca="1">INDIRECT("R[36]C["&amp;$A$11&amp;"]",FALSE)</f>
        <v>76.52100840336135</v>
      </c>
      <c r="E11" s="108" cm="1">
        <f t="array" aca="1" ref="E11" ca="1">INDIRECT("R[36]C["&amp;$A$11&amp;"]",FALSE)</f>
        <v>102.33333333333334</v>
      </c>
      <c r="F11" s="108" cm="1">
        <f t="array" aca="1" ref="F11" ca="1">INDIRECT("R[36]C["&amp;$A$11&amp;"]",FALSE)</f>
        <v>183.06666666666666</v>
      </c>
      <c r="G11" s="108" cm="1">
        <f t="array" aca="1" ref="G11" ca="1">INDIRECT("R[36]C["&amp;$A$11&amp;"]",FALSE)</f>
        <v>193.64</v>
      </c>
      <c r="H11" s="108" cm="1">
        <f t="array" aca="1" ref="H11" ca="1">INDIRECT("R[36]C["&amp;$A$11&amp;"]",FALSE)</f>
        <v>408.41126999157984</v>
      </c>
      <c r="I11" s="108" cm="1">
        <f t="array" aca="1" ref="I11" ca="1">INDIRECT("R[36]C["&amp;$A$11&amp;"]",FALSE)</f>
        <v>441.74460332491321</v>
      </c>
      <c r="J11" s="108" cm="1">
        <f t="array" aca="1" ref="J11" ca="1">INDIRECT("R[36]C["&amp;$A$11&amp;"]",FALSE)</f>
        <v>441.74460332491321</v>
      </c>
      <c r="K11" s="108" cm="1">
        <f t="array" aca="1" ref="K11" ca="1">INDIRECT("R[36]C["&amp;$A$11&amp;"]",FALSE)</f>
        <v>0</v>
      </c>
      <c r="L11" s="108" cm="1">
        <f t="array" aca="1" ref="L11" ca="1">INDIRECT("R[36]C["&amp;$A$11&amp;"]",FALSE)</f>
        <v>0</v>
      </c>
      <c r="M11" s="108" cm="1">
        <f t="array" aca="1" ref="M11" ca="1">INDIRECT("R[36]C["&amp;$A$11&amp;"]",FALSE)</f>
        <v>0</v>
      </c>
      <c r="N11" s="108" cm="1">
        <f t="array" aca="1" ref="N11" ca="1">INDIRECT("R[36]C["&amp;$A$11&amp;"]",FALSE)</f>
        <v>0</v>
      </c>
      <c r="O11" s="108" cm="1">
        <f t="array" aca="1" ref="O11" ca="1">INDIRECT("R[36]C["&amp;$A$11&amp;"]",FALSE)</f>
        <v>0</v>
      </c>
      <c r="P11" s="110"/>
      <c r="Q11" s="110"/>
      <c r="R11" s="113">
        <f ca="1">SUM(D11:P11)</f>
        <v>1847.4614850447676</v>
      </c>
    </row>
    <row r="12" spans="1:20" ht="15.5" x14ac:dyDescent="0.35">
      <c r="A12" s="121">
        <f>MAX(Assumptions!C$45:C$47)</f>
        <v>1</v>
      </c>
      <c r="B12" s="111">
        <v>18</v>
      </c>
      <c r="C12" s="111"/>
      <c r="D12" s="108" cm="1">
        <f t="array" aca="1" ref="D12" ca="1">INDIRECT("R[36]C["&amp;$A$12&amp;"]",FALSE)</f>
        <v>0</v>
      </c>
      <c r="E12" s="108" cm="1">
        <f t="array" aca="1" ref="E12" ca="1">INDIRECT("R[36]C["&amp;$A$12&amp;"]",FALSE)</f>
        <v>0</v>
      </c>
      <c r="F12" s="108" cm="1">
        <f t="array" aca="1" ref="F12" ca="1">INDIRECT("R[36]C["&amp;$A$12&amp;"]",FALSE)</f>
        <v>0</v>
      </c>
      <c r="G12" s="108" cm="1">
        <f t="array" aca="1" ref="G12" ca="1">INDIRECT("R[36]C["&amp;$A$12&amp;"]",FALSE)</f>
        <v>0</v>
      </c>
      <c r="H12" s="108" cm="1">
        <f t="array" aca="1" ref="H12" ca="1">INDIRECT("R[36]C["&amp;$A$12&amp;"]",FALSE)</f>
        <v>0</v>
      </c>
      <c r="I12" s="108" cm="1">
        <f t="array" aca="1" ref="I12" ca="1">INDIRECT("R[36]C["&amp;$A$12&amp;"]",FALSE)</f>
        <v>0</v>
      </c>
      <c r="J12" s="108" cm="1">
        <f t="array" aca="1" ref="J12" ca="1">INDIRECT("R[36]C["&amp;$A$12&amp;"]",FALSE)</f>
        <v>0</v>
      </c>
      <c r="K12" s="108" cm="1">
        <f t="array" aca="1" ref="K12" ca="1">INDIRECT("R[36]C["&amp;$A$12&amp;"]",FALSE)</f>
        <v>368.12050277076099</v>
      </c>
      <c r="L12" s="108" cm="1">
        <f t="array" aca="1" ref="L12" ca="1">INDIRECT("R[36]C["&amp;$A$12&amp;"]",FALSE)</f>
        <v>368.12050277076099</v>
      </c>
      <c r="M12" s="108" cm="1">
        <f t="array" aca="1" ref="M12" ca="1">INDIRECT("R[36]C["&amp;$A$12&amp;"]",FALSE)</f>
        <v>368.12050277076099</v>
      </c>
      <c r="N12" s="108" cm="1">
        <f t="array" aca="1" ref="N12" ca="1">INDIRECT("R[36]C["&amp;$A$12&amp;"]",FALSE)</f>
        <v>368.12050277076099</v>
      </c>
      <c r="O12" s="108" cm="1">
        <f t="array" aca="1" ref="O12" ca="1">INDIRECT("R[36]C["&amp;$A$12&amp;"]",FALSE)</f>
        <v>368.12050277076099</v>
      </c>
      <c r="P12" s="110"/>
      <c r="Q12" s="110"/>
      <c r="R12" s="113">
        <f ca="1">SUM(D12:P12)</f>
        <v>1840.602513853805</v>
      </c>
      <c r="S12" t="s">
        <v>91</v>
      </c>
    </row>
    <row r="13" spans="1:20" ht="15.5" x14ac:dyDescent="0.35">
      <c r="A13" s="116"/>
      <c r="B13" s="129" t="s">
        <v>351</v>
      </c>
      <c r="C13" s="129"/>
      <c r="D13" s="129"/>
      <c r="E13" s="129"/>
      <c r="F13" s="129"/>
      <c r="G13" s="129"/>
      <c r="H13" s="129"/>
      <c r="I13" s="129"/>
      <c r="J13" s="129"/>
      <c r="K13" s="129"/>
      <c r="L13" s="129"/>
      <c r="M13" s="129"/>
      <c r="N13" s="129"/>
      <c r="O13" s="129"/>
      <c r="P13" s="129"/>
      <c r="Q13" s="129"/>
      <c r="R13" s="130"/>
    </row>
    <row r="14" spans="1:20" ht="15.5" x14ac:dyDescent="0.35">
      <c r="A14" s="121">
        <f>Assumptions!C$45</f>
        <v>1</v>
      </c>
      <c r="B14" s="111">
        <v>12</v>
      </c>
      <c r="C14" s="111"/>
      <c r="D14" s="108" cm="1">
        <f t="array" aca="1" ref="D14" ca="1">INDIRECT("R[36]C["&amp;$A$14&amp;"]",FALSE)</f>
        <v>785.38461538461547</v>
      </c>
      <c r="E14" s="108" cm="1">
        <f t="array" aca="1" ref="E14" ca="1">INDIRECT("R[36]C["&amp;$A$14&amp;"]",FALSE)</f>
        <v>562.53846153846143</v>
      </c>
      <c r="F14" s="108" cm="1">
        <f t="array" aca="1" ref="F14" ca="1">INDIRECT("R[36]C["&amp;$A$14&amp;"]",FALSE)</f>
        <v>182</v>
      </c>
      <c r="G14" s="108" cm="1">
        <f t="array" aca="1" ref="G14" ca="1">INDIRECT("R[36]C["&amp;$A$14&amp;"]",FALSE)</f>
        <v>0</v>
      </c>
      <c r="H14" s="108" cm="1">
        <f t="array" aca="1" ref="H14" ca="1">INDIRECT("R[36]C["&amp;$A$14&amp;"]",FALSE)</f>
        <v>0</v>
      </c>
      <c r="I14" s="108" cm="1">
        <f t="array" aca="1" ref="I14" ca="1">INDIRECT("R[36]C["&amp;$A$14&amp;"]",FALSE)</f>
        <v>0</v>
      </c>
      <c r="J14" s="108" cm="1">
        <f t="array" aca="1" ref="J14" ca="1">INDIRECT("R[36]C["&amp;$A$14&amp;"]",FALSE)</f>
        <v>0</v>
      </c>
      <c r="K14" s="108" cm="1">
        <f t="array" aca="1" ref="K14" ca="1">INDIRECT("R[36]C["&amp;$A$14&amp;"]",FALSE)</f>
        <v>0</v>
      </c>
      <c r="L14" s="108" cm="1">
        <f t="array" aca="1" ref="L14" ca="1">INDIRECT("R[36]C["&amp;$A$14&amp;"]",FALSE)</f>
        <v>0</v>
      </c>
      <c r="M14" s="108" cm="1">
        <f t="array" aca="1" ref="M14" ca="1">INDIRECT("R[36]C["&amp;$A$14&amp;"]",FALSE)</f>
        <v>0</v>
      </c>
      <c r="N14" s="108" cm="1">
        <f t="array" aca="1" ref="N14" ca="1">INDIRECT("R[36]C["&amp;$A$14&amp;"]",FALSE)</f>
        <v>0</v>
      </c>
      <c r="O14" s="108" cm="1">
        <f t="array" aca="1" ref="O14" ca="1">INDIRECT("R[36]C["&amp;$A$14&amp;"]",FALSE)</f>
        <v>0</v>
      </c>
      <c r="P14" s="106"/>
      <c r="Q14" s="106"/>
      <c r="R14" s="113">
        <f ca="1">SUM(D14:P14)</f>
        <v>1529.9230769230769</v>
      </c>
    </row>
    <row r="15" spans="1:20" ht="15.5" x14ac:dyDescent="0.35">
      <c r="A15" s="121">
        <f>Assumptions!C$45</f>
        <v>1</v>
      </c>
      <c r="B15" s="111">
        <v>15</v>
      </c>
      <c r="C15" s="111"/>
      <c r="D15" s="108" cm="1">
        <f t="array" aca="1" ref="D15" ca="1">INDIRECT("R[36]C["&amp;$A$15&amp;"]",FALSE)</f>
        <v>229.56302521008405</v>
      </c>
      <c r="E15" s="108" cm="1">
        <f t="array" aca="1" ref="E15" ca="1">INDIRECT("R[36]C["&amp;$A$15&amp;"]",FALSE)</f>
        <v>307</v>
      </c>
      <c r="F15" s="108" cm="1">
        <f t="array" aca="1" ref="F15" ca="1">INDIRECT("R[36]C["&amp;$A$15&amp;"]",FALSE)</f>
        <v>549.20000000000005</v>
      </c>
      <c r="G15" s="108" cm="1">
        <f t="array" aca="1" ref="G15" ca="1">INDIRECT("R[36]C["&amp;$A$15&amp;"]",FALSE)</f>
        <v>580.91999999999996</v>
      </c>
      <c r="H15" s="108" cm="1">
        <f t="array" aca="1" ref="H15" ca="1">INDIRECT("R[36]C["&amp;$A$15&amp;"]",FALSE)</f>
        <v>1225.2338099747394</v>
      </c>
      <c r="I15" s="108" cm="1">
        <f t="array" aca="1" ref="I15" ca="1">INDIRECT("R[36]C["&amp;$A$15&amp;"]",FALSE)</f>
        <v>1325.2338099747396</v>
      </c>
      <c r="J15" s="108" cm="1">
        <f t="array" aca="1" ref="J15" ca="1">INDIRECT("R[36]C["&amp;$A$15&amp;"]",FALSE)</f>
        <v>1325.2338099747396</v>
      </c>
      <c r="K15" s="108" cm="1">
        <f t="array" aca="1" ref="K15" ca="1">INDIRECT("R[36]C["&amp;$A$15&amp;"]",FALSE)</f>
        <v>0</v>
      </c>
      <c r="L15" s="108" cm="1">
        <f t="array" aca="1" ref="L15" ca="1">INDIRECT("R[36]C["&amp;$A$15&amp;"]",FALSE)</f>
        <v>0</v>
      </c>
      <c r="M15" s="108" cm="1">
        <f t="array" aca="1" ref="M15" ca="1">INDIRECT("R[36]C["&amp;$A$15&amp;"]",FALSE)</f>
        <v>0</v>
      </c>
      <c r="N15" s="108" cm="1">
        <f t="array" aca="1" ref="N15" ca="1">INDIRECT("R[36]C["&amp;$A$15&amp;"]",FALSE)</f>
        <v>0</v>
      </c>
      <c r="O15" s="108" cm="1">
        <f t="array" aca="1" ref="O15" ca="1">INDIRECT("R[36]C["&amp;$A$15&amp;"]",FALSE)</f>
        <v>0</v>
      </c>
      <c r="P15" s="106"/>
      <c r="Q15" s="106"/>
      <c r="R15" s="113">
        <f ca="1">SUM(D15:P15)</f>
        <v>5542.3844551343027</v>
      </c>
    </row>
    <row r="16" spans="1:20" ht="15.5" x14ac:dyDescent="0.35">
      <c r="A16" s="121">
        <f>Assumptions!C$45</f>
        <v>1</v>
      </c>
      <c r="B16" s="111">
        <v>18</v>
      </c>
      <c r="C16" s="111"/>
      <c r="D16" s="108" cm="1">
        <f t="array" aca="1" ref="D16" ca="1">INDIRECT("R[36]C["&amp;$A$16&amp;"]",FALSE)</f>
        <v>0</v>
      </c>
      <c r="E16" s="108" cm="1">
        <f t="array" aca="1" ref="E16" ca="1">INDIRECT("R[36]C["&amp;$A$16&amp;"]",FALSE)</f>
        <v>0</v>
      </c>
      <c r="F16" s="108" cm="1">
        <f t="array" aca="1" ref="F16" ca="1">INDIRECT("R[36]C["&amp;$A$16&amp;"]",FALSE)</f>
        <v>0</v>
      </c>
      <c r="G16" s="108" cm="1">
        <f t="array" aca="1" ref="G16" ca="1">INDIRECT("R[36]C["&amp;$A$16&amp;"]",FALSE)</f>
        <v>0</v>
      </c>
      <c r="H16" s="108" cm="1">
        <f t="array" aca="1" ref="H16" ca="1">INDIRECT("R[36]C["&amp;$A$16&amp;"]",FALSE)</f>
        <v>0</v>
      </c>
      <c r="I16" s="108" cm="1">
        <f t="array" aca="1" ref="I16" ca="1">INDIRECT("R[36]C["&amp;$A$16&amp;"]",FALSE)</f>
        <v>0</v>
      </c>
      <c r="J16" s="108" cm="1">
        <f t="array" aca="1" ref="J16" ca="1">INDIRECT("R[36]C["&amp;$A$16&amp;"]",FALSE)</f>
        <v>0</v>
      </c>
      <c r="K16" s="108" cm="1">
        <f t="array" aca="1" ref="K16" ca="1">INDIRECT("R[36]C["&amp;$A$16&amp;"]",FALSE)</f>
        <v>1104.3615083122829</v>
      </c>
      <c r="L16" s="108" cm="1">
        <f t="array" aca="1" ref="L16" ca="1">INDIRECT("R[36]C["&amp;$A$16&amp;"]",FALSE)</f>
        <v>1104.3615083122829</v>
      </c>
      <c r="M16" s="108" cm="1">
        <f t="array" aca="1" ref="M16" ca="1">INDIRECT("R[36]C["&amp;$A$16&amp;"]",FALSE)</f>
        <v>1104.3615083122829</v>
      </c>
      <c r="N16" s="108" cm="1">
        <f t="array" aca="1" ref="N16" ca="1">INDIRECT("R[36]C["&amp;$A$16&amp;"]",FALSE)</f>
        <v>1104.3615083122829</v>
      </c>
      <c r="O16" s="108" cm="1">
        <f t="array" aca="1" ref="O16" ca="1">INDIRECT("R[36]C["&amp;$A$16&amp;"]",FALSE)</f>
        <v>1104.3615083122829</v>
      </c>
      <c r="P16" s="106"/>
      <c r="Q16" s="106"/>
      <c r="R16" s="113">
        <f ca="1">SUM(D16:P16)</f>
        <v>5521.8075415614148</v>
      </c>
    </row>
    <row r="17" spans="1:18" ht="15.5" x14ac:dyDescent="0.35">
      <c r="A17" s="116"/>
      <c r="B17" s="129" t="s">
        <v>114</v>
      </c>
      <c r="C17" s="129"/>
      <c r="D17" s="129"/>
      <c r="E17" s="129"/>
      <c r="F17" s="129"/>
      <c r="G17" s="129"/>
      <c r="H17" s="129"/>
      <c r="I17" s="129"/>
      <c r="J17" s="129"/>
      <c r="K17" s="129"/>
      <c r="L17" s="129"/>
      <c r="M17" s="129"/>
      <c r="N17" s="129"/>
      <c r="O17" s="129"/>
      <c r="P17" s="129"/>
      <c r="Q17" s="129"/>
      <c r="R17" s="130"/>
    </row>
    <row r="18" spans="1:18" ht="15.5" x14ac:dyDescent="0.35">
      <c r="A18" s="121">
        <f>Assumptions!C46</f>
        <v>1</v>
      </c>
      <c r="B18" s="111">
        <v>12</v>
      </c>
      <c r="C18" s="111"/>
      <c r="D18" s="108" cm="1">
        <f t="array" aca="1" ref="D18" ca="1">INDIRECT("R[36]C["&amp;$A$18&amp;"]",FALSE)</f>
        <v>261.79487179487182</v>
      </c>
      <c r="E18" s="108" cm="1">
        <f t="array" aca="1" ref="E18" ca="1">INDIRECT("R[36]C["&amp;$A$18&amp;"]",FALSE)</f>
        <v>187.5128205128205</v>
      </c>
      <c r="F18" s="108" cm="1">
        <f t="array" aca="1" ref="F18" ca="1">INDIRECT("R[36]C["&amp;$A$18&amp;"]",FALSE)</f>
        <v>60.666666666666664</v>
      </c>
      <c r="G18" s="108" cm="1">
        <f t="array" aca="1" ref="G18" ca="1">INDIRECT("R[36]C["&amp;$A$18&amp;"]",FALSE)</f>
        <v>0</v>
      </c>
      <c r="H18" s="108" cm="1">
        <f t="array" aca="1" ref="H18" ca="1">INDIRECT("R[36]C["&amp;$A$18&amp;"]",FALSE)</f>
        <v>0</v>
      </c>
      <c r="I18" s="108" cm="1">
        <f t="array" aca="1" ref="I18" ca="1">INDIRECT("R[36]C["&amp;$A$18&amp;"]",FALSE)</f>
        <v>0</v>
      </c>
      <c r="J18" s="108" cm="1">
        <f t="array" aca="1" ref="J18" ca="1">INDIRECT("R[36]C["&amp;$A$18&amp;"]",FALSE)</f>
        <v>0</v>
      </c>
      <c r="K18" s="108" cm="1">
        <f t="array" aca="1" ref="K18" ca="1">INDIRECT("R[36]C["&amp;$A$18&amp;"]",FALSE)</f>
        <v>0</v>
      </c>
      <c r="L18" s="108" cm="1">
        <f t="array" aca="1" ref="L18" ca="1">INDIRECT("R[36]C["&amp;$A$18&amp;"]",FALSE)</f>
        <v>0</v>
      </c>
      <c r="M18" s="108" cm="1">
        <f t="array" aca="1" ref="M18" ca="1">INDIRECT("R[36]C["&amp;$A$18&amp;"]",FALSE)</f>
        <v>0</v>
      </c>
      <c r="N18" s="108" cm="1">
        <f t="array" aca="1" ref="N18" ca="1">INDIRECT("R[36]C["&amp;$A$18&amp;"]",FALSE)</f>
        <v>0</v>
      </c>
      <c r="O18" s="108" cm="1">
        <f t="array" aca="1" ref="O18" ca="1">INDIRECT("R[36]C["&amp;$A$18&amp;"]",FALSE)</f>
        <v>0</v>
      </c>
      <c r="P18" s="106"/>
      <c r="Q18" s="106"/>
      <c r="R18" s="113">
        <f ca="1">SUM(D18:P18)</f>
        <v>509.97435897435901</v>
      </c>
    </row>
    <row r="19" spans="1:18" ht="15.5" x14ac:dyDescent="0.35">
      <c r="A19" s="121">
        <f>A18</f>
        <v>1</v>
      </c>
      <c r="B19" s="111">
        <v>15</v>
      </c>
      <c r="C19" s="111"/>
      <c r="D19" s="108" cm="1">
        <f t="array" aca="1" ref="D19" ca="1">INDIRECT("R[36]C["&amp;$A$19&amp;"]",FALSE)</f>
        <v>76.52100840336135</v>
      </c>
      <c r="E19" s="108" cm="1">
        <f t="array" aca="1" ref="E19" ca="1">INDIRECT("R[36]C["&amp;$A$19&amp;"]",FALSE)</f>
        <v>102.33333333333334</v>
      </c>
      <c r="F19" s="108" cm="1">
        <f t="array" aca="1" ref="F19" ca="1">INDIRECT("R[36]C["&amp;$A$19&amp;"]",FALSE)</f>
        <v>183.06666666666666</v>
      </c>
      <c r="G19" s="108" cm="1">
        <f t="array" aca="1" ref="G19" ca="1">INDIRECT("R[36]C["&amp;$A$19&amp;"]",FALSE)</f>
        <v>193.64</v>
      </c>
      <c r="H19" s="108" cm="1">
        <f t="array" aca="1" ref="H19" ca="1">INDIRECT("R[36]C["&amp;$A$19&amp;"]",FALSE)</f>
        <v>408.41126999157984</v>
      </c>
      <c r="I19" s="108" cm="1">
        <f t="array" aca="1" ref="I19" ca="1">INDIRECT("R[36]C["&amp;$A$19&amp;"]",FALSE)</f>
        <v>441.74460332491321</v>
      </c>
      <c r="J19" s="108" cm="1">
        <f t="array" aca="1" ref="J19" ca="1">INDIRECT("R[36]C["&amp;$A$19&amp;"]",FALSE)</f>
        <v>441.74460332491321</v>
      </c>
      <c r="K19" s="108" cm="1">
        <f t="array" aca="1" ref="K19" ca="1">INDIRECT("R[36]C["&amp;$A$19&amp;"]",FALSE)</f>
        <v>0</v>
      </c>
      <c r="L19" s="108" cm="1">
        <f t="array" aca="1" ref="L19" ca="1">INDIRECT("R[36]C["&amp;$A$19&amp;"]",FALSE)</f>
        <v>0</v>
      </c>
      <c r="M19" s="108" cm="1">
        <f t="array" aca="1" ref="M19" ca="1">INDIRECT("R[36]C["&amp;$A$19&amp;"]",FALSE)</f>
        <v>0</v>
      </c>
      <c r="N19" s="108" cm="1">
        <f t="array" aca="1" ref="N19" ca="1">INDIRECT("R[36]C["&amp;$A$19&amp;"]",FALSE)</f>
        <v>0</v>
      </c>
      <c r="O19" s="108" cm="1">
        <f t="array" aca="1" ref="O19" ca="1">INDIRECT("R[36]C["&amp;$A$19&amp;"]",FALSE)</f>
        <v>0</v>
      </c>
      <c r="P19" s="106"/>
      <c r="Q19" s="106"/>
      <c r="R19" s="113">
        <f ca="1">SUM(D19:P19)</f>
        <v>1847.4614850447676</v>
      </c>
    </row>
    <row r="20" spans="1:18" ht="15.5" x14ac:dyDescent="0.35">
      <c r="A20" s="121">
        <f>A18</f>
        <v>1</v>
      </c>
      <c r="B20" s="111">
        <v>18</v>
      </c>
      <c r="C20" s="111"/>
      <c r="D20" s="108" cm="1">
        <f t="array" aca="1" ref="D20" ca="1">INDIRECT("R[36]C["&amp;$A$20&amp;"]",FALSE)</f>
        <v>0</v>
      </c>
      <c r="E20" s="108" cm="1">
        <f t="array" aca="1" ref="E20" ca="1">INDIRECT("R[36]C["&amp;$A$20&amp;"]",FALSE)</f>
        <v>0</v>
      </c>
      <c r="F20" s="108" cm="1">
        <f t="array" aca="1" ref="F20" ca="1">INDIRECT("R[36]C["&amp;$A$20&amp;"]",FALSE)</f>
        <v>0</v>
      </c>
      <c r="G20" s="108" cm="1">
        <f t="array" aca="1" ref="G20" ca="1">INDIRECT("R[36]C["&amp;$A$20&amp;"]",FALSE)</f>
        <v>0</v>
      </c>
      <c r="H20" s="108" cm="1">
        <f t="array" aca="1" ref="H20" ca="1">INDIRECT("R[36]C["&amp;$A$20&amp;"]",FALSE)</f>
        <v>0</v>
      </c>
      <c r="I20" s="108" cm="1">
        <f t="array" aca="1" ref="I20" ca="1">INDIRECT("R[36]C["&amp;$A$20&amp;"]",FALSE)</f>
        <v>0</v>
      </c>
      <c r="J20" s="108" cm="1">
        <f t="array" aca="1" ref="J20" ca="1">INDIRECT("R[36]C["&amp;$A$20&amp;"]",FALSE)</f>
        <v>0</v>
      </c>
      <c r="K20" s="108" cm="1">
        <f t="array" aca="1" ref="K20" ca="1">INDIRECT("R[36]C["&amp;$A$20&amp;"]",FALSE)</f>
        <v>368.12050277076099</v>
      </c>
      <c r="L20" s="108" cm="1">
        <f t="array" aca="1" ref="L20" ca="1">INDIRECT("R[36]C["&amp;$A$20&amp;"]",FALSE)</f>
        <v>368.12050277076099</v>
      </c>
      <c r="M20" s="108" cm="1">
        <f t="array" aca="1" ref="M20" ca="1">INDIRECT("R[36]C["&amp;$A$20&amp;"]",FALSE)</f>
        <v>368.12050277076099</v>
      </c>
      <c r="N20" s="108" cm="1">
        <f t="array" aca="1" ref="N20" ca="1">INDIRECT("R[36]C["&amp;$A$20&amp;"]",FALSE)</f>
        <v>368.12050277076099</v>
      </c>
      <c r="O20" s="108" cm="1">
        <f t="array" aca="1" ref="O20" ca="1">INDIRECT("R[36]C["&amp;$A$20&amp;"]",FALSE)</f>
        <v>368.12050277076099</v>
      </c>
      <c r="P20" s="106"/>
      <c r="Q20" s="106"/>
      <c r="R20" s="113">
        <f ca="1">SUM(D20:P20)</f>
        <v>1840.602513853805</v>
      </c>
    </row>
    <row r="21" spans="1:18" ht="15.5" x14ac:dyDescent="0.35">
      <c r="A21" s="116"/>
      <c r="B21" s="129" t="s">
        <v>352</v>
      </c>
      <c r="C21" s="129"/>
      <c r="D21" s="129"/>
      <c r="E21" s="129"/>
      <c r="F21" s="129"/>
      <c r="G21" s="129"/>
      <c r="H21" s="129"/>
      <c r="I21" s="129"/>
      <c r="J21" s="129"/>
      <c r="K21" s="129"/>
      <c r="L21" s="129"/>
      <c r="M21" s="129"/>
      <c r="N21" s="129"/>
      <c r="O21" s="129"/>
      <c r="P21" s="129"/>
      <c r="Q21" s="129"/>
      <c r="R21" s="130"/>
    </row>
    <row r="22" spans="1:18" ht="15.5" x14ac:dyDescent="0.35">
      <c r="A22" s="121">
        <f>Assumptions!C47</f>
        <v>1</v>
      </c>
      <c r="B22" s="111">
        <v>12</v>
      </c>
      <c r="C22" s="111"/>
      <c r="D22" s="108" cm="1">
        <f t="array" aca="1" ref="D22" ca="1">INDIRECT("R[36]C["&amp;$A$18&amp;"]",FALSE)</f>
        <v>261.79487179487182</v>
      </c>
      <c r="E22" s="108" cm="1">
        <f t="array" aca="1" ref="E22" ca="1">INDIRECT("R[36]C["&amp;$A$18&amp;"]",FALSE)</f>
        <v>187.5128205128205</v>
      </c>
      <c r="F22" s="108" cm="1">
        <f t="array" aca="1" ref="F22" ca="1">INDIRECT("R[36]C["&amp;$A$18&amp;"]",FALSE)</f>
        <v>60.666666666666664</v>
      </c>
      <c r="G22" s="108" cm="1">
        <f t="array" aca="1" ref="G22" ca="1">INDIRECT("R[36]C["&amp;$A$18&amp;"]",FALSE)</f>
        <v>0</v>
      </c>
      <c r="H22" s="108" cm="1">
        <f t="array" aca="1" ref="H22" ca="1">INDIRECT("R[36]C["&amp;$A$18&amp;"]",FALSE)</f>
        <v>0</v>
      </c>
      <c r="I22" s="108" cm="1">
        <f t="array" aca="1" ref="I22" ca="1">INDIRECT("R[36]C["&amp;$A$18&amp;"]",FALSE)</f>
        <v>0</v>
      </c>
      <c r="J22" s="108" cm="1">
        <f t="array" aca="1" ref="J22" ca="1">INDIRECT("R[36]C["&amp;$A$18&amp;"]",FALSE)</f>
        <v>0</v>
      </c>
      <c r="K22" s="108" cm="1">
        <f t="array" aca="1" ref="K22" ca="1">INDIRECT("R[36]C["&amp;$A$18&amp;"]",FALSE)</f>
        <v>0</v>
      </c>
      <c r="L22" s="108" cm="1">
        <f t="array" aca="1" ref="L22" ca="1">INDIRECT("R[36]C["&amp;$A$18&amp;"]",FALSE)</f>
        <v>0</v>
      </c>
      <c r="M22" s="108" cm="1">
        <f t="array" aca="1" ref="M22" ca="1">INDIRECT("R[36]C["&amp;$A$18&amp;"]",FALSE)</f>
        <v>0</v>
      </c>
      <c r="N22" s="108" cm="1">
        <f t="array" aca="1" ref="N22" ca="1">INDIRECT("R[36]C["&amp;$A$18&amp;"]",FALSE)</f>
        <v>0</v>
      </c>
      <c r="O22" s="108" cm="1">
        <f t="array" aca="1" ref="O22" ca="1">INDIRECT("R[36]C["&amp;$A$18&amp;"]",FALSE)</f>
        <v>0</v>
      </c>
      <c r="P22" s="111"/>
      <c r="Q22" s="111"/>
      <c r="R22" s="113">
        <f ca="1">SUM(D22:P22)</f>
        <v>509.97435897435901</v>
      </c>
    </row>
    <row r="23" spans="1:18" ht="15.5" x14ac:dyDescent="0.35">
      <c r="A23" s="121">
        <f>A22</f>
        <v>1</v>
      </c>
      <c r="B23" s="111">
        <v>15</v>
      </c>
      <c r="C23" s="111"/>
      <c r="D23" s="108" cm="1">
        <f t="array" aca="1" ref="D23" ca="1">INDIRECT("R[36]C["&amp;$A$19&amp;"]",FALSE)</f>
        <v>76.52100840336135</v>
      </c>
      <c r="E23" s="108" cm="1">
        <f t="array" aca="1" ref="E23" ca="1">INDIRECT("R[36]C["&amp;$A$19&amp;"]",FALSE)</f>
        <v>102.33333333333334</v>
      </c>
      <c r="F23" s="108" cm="1">
        <f t="array" aca="1" ref="F23" ca="1">INDIRECT("R[36]C["&amp;$A$19&amp;"]",FALSE)</f>
        <v>183.06666666666666</v>
      </c>
      <c r="G23" s="108" cm="1">
        <f t="array" aca="1" ref="G23" ca="1">INDIRECT("R[36]C["&amp;$A$19&amp;"]",FALSE)</f>
        <v>193.64</v>
      </c>
      <c r="H23" s="108" cm="1">
        <f t="array" aca="1" ref="H23" ca="1">INDIRECT("R[36]C["&amp;$A$19&amp;"]",FALSE)</f>
        <v>408.41126999157984</v>
      </c>
      <c r="I23" s="108" cm="1">
        <f t="array" aca="1" ref="I23" ca="1">INDIRECT("R[36]C["&amp;$A$19&amp;"]",FALSE)</f>
        <v>441.74460332491321</v>
      </c>
      <c r="J23" s="108" cm="1">
        <f t="array" aca="1" ref="J23" ca="1">INDIRECT("R[36]C["&amp;$A$19&amp;"]",FALSE)</f>
        <v>441.74460332491321</v>
      </c>
      <c r="K23" s="108" cm="1">
        <f t="array" aca="1" ref="K23" ca="1">INDIRECT("R[36]C["&amp;$A$19&amp;"]",FALSE)</f>
        <v>0</v>
      </c>
      <c r="L23" s="108" cm="1">
        <f t="array" aca="1" ref="L23" ca="1">INDIRECT("R[36]C["&amp;$A$19&amp;"]",FALSE)</f>
        <v>0</v>
      </c>
      <c r="M23" s="108" cm="1">
        <f t="array" aca="1" ref="M23" ca="1">INDIRECT("R[36]C["&amp;$A$19&amp;"]",FALSE)</f>
        <v>0</v>
      </c>
      <c r="N23" s="108" cm="1">
        <f t="array" aca="1" ref="N23" ca="1">INDIRECT("R[36]C["&amp;$A$19&amp;"]",FALSE)</f>
        <v>0</v>
      </c>
      <c r="O23" s="108" cm="1">
        <f t="array" aca="1" ref="O23" ca="1">INDIRECT("R[36]C["&amp;$A$19&amp;"]",FALSE)</f>
        <v>0</v>
      </c>
      <c r="P23" s="111"/>
      <c r="Q23" s="111"/>
      <c r="R23" s="113">
        <f ca="1">SUM(D23:P23)</f>
        <v>1847.4614850447676</v>
      </c>
    </row>
    <row r="24" spans="1:18" ht="15.5" x14ac:dyDescent="0.35">
      <c r="A24" s="121">
        <f>A22</f>
        <v>1</v>
      </c>
      <c r="B24" s="111">
        <v>18</v>
      </c>
      <c r="C24" s="111"/>
      <c r="D24" s="108" cm="1">
        <f t="array" aca="1" ref="D24" ca="1">INDIRECT("R[36]C["&amp;$A$20&amp;"]",FALSE)</f>
        <v>0</v>
      </c>
      <c r="E24" s="108" cm="1">
        <f t="array" aca="1" ref="E24" ca="1">INDIRECT("R[36]C["&amp;$A$20&amp;"]",FALSE)</f>
        <v>0</v>
      </c>
      <c r="F24" s="108" cm="1">
        <f t="array" aca="1" ref="F24" ca="1">INDIRECT("R[36]C["&amp;$A$20&amp;"]",FALSE)</f>
        <v>0</v>
      </c>
      <c r="G24" s="108" cm="1">
        <f t="array" aca="1" ref="G24" ca="1">INDIRECT("R[36]C["&amp;$A$20&amp;"]",FALSE)</f>
        <v>0</v>
      </c>
      <c r="H24" s="108" cm="1">
        <f t="array" aca="1" ref="H24" ca="1">INDIRECT("R[36]C["&amp;$A$20&amp;"]",FALSE)</f>
        <v>0</v>
      </c>
      <c r="I24" s="108" cm="1">
        <f t="array" aca="1" ref="I24" ca="1">INDIRECT("R[36]C["&amp;$A$20&amp;"]",FALSE)</f>
        <v>0</v>
      </c>
      <c r="J24" s="108" cm="1">
        <f t="array" aca="1" ref="J24" ca="1">INDIRECT("R[36]C["&amp;$A$20&amp;"]",FALSE)</f>
        <v>0</v>
      </c>
      <c r="K24" s="108" cm="1">
        <f t="array" aca="1" ref="K24" ca="1">INDIRECT("R[36]C["&amp;$A$20&amp;"]",FALSE)</f>
        <v>368.12050277076099</v>
      </c>
      <c r="L24" s="108" cm="1">
        <f t="array" aca="1" ref="L24" ca="1">INDIRECT("R[36]C["&amp;$A$20&amp;"]",FALSE)</f>
        <v>368.12050277076099</v>
      </c>
      <c r="M24" s="108" cm="1">
        <f t="array" aca="1" ref="M24" ca="1">INDIRECT("R[36]C["&amp;$A$20&amp;"]",FALSE)</f>
        <v>368.12050277076099</v>
      </c>
      <c r="N24" s="108" cm="1">
        <f t="array" aca="1" ref="N24" ca="1">INDIRECT("R[36]C["&amp;$A$20&amp;"]",FALSE)</f>
        <v>368.12050277076099</v>
      </c>
      <c r="O24" s="108" cm="1">
        <f t="array" aca="1" ref="O24" ca="1">INDIRECT("R[36]C["&amp;$A$20&amp;"]",FALSE)</f>
        <v>368.12050277076099</v>
      </c>
      <c r="P24" s="111"/>
      <c r="Q24" s="111"/>
      <c r="R24" s="113">
        <f ca="1">SUM(D24:P24)</f>
        <v>1840.602513853805</v>
      </c>
    </row>
    <row r="25" spans="1:18" ht="15.5" x14ac:dyDescent="0.35">
      <c r="A25" s="116"/>
      <c r="B25" s="129" t="s">
        <v>116</v>
      </c>
      <c r="C25" s="129"/>
      <c r="D25" s="131"/>
      <c r="E25" s="131"/>
      <c r="F25" s="131"/>
      <c r="G25" s="131"/>
      <c r="H25" s="131"/>
      <c r="I25" s="131"/>
      <c r="J25" s="131"/>
      <c r="K25" s="131"/>
      <c r="L25" s="131"/>
      <c r="M25" s="131"/>
      <c r="N25" s="131"/>
      <c r="O25" s="131"/>
      <c r="P25" s="131"/>
      <c r="Q25" s="131"/>
      <c r="R25" s="130"/>
    </row>
    <row r="26" spans="1:18" ht="15.5" x14ac:dyDescent="0.35">
      <c r="A26" s="121">
        <f>Assumptions!C51</f>
        <v>1</v>
      </c>
      <c r="B26" s="106" t="s">
        <v>257</v>
      </c>
      <c r="C26" s="106"/>
      <c r="D26" s="108" cm="1">
        <f t="array" aca="1" ref="D26" ca="1">INDIRECT("R[36]C["&amp;$A$18&amp;"]",FALSE)</f>
        <v>229.49353587588882</v>
      </c>
      <c r="E26" s="108" cm="1">
        <f t="array" aca="1" ref="E26" ca="1">INDIRECT("R[36]C["&amp;$A$18&amp;"]",FALSE)</f>
        <v>179.50641025641025</v>
      </c>
      <c r="F26" s="108" cm="1">
        <f t="array" aca="1" ref="F26" ca="1">INDIRECT("R[36]C["&amp;$A$18&amp;"]",FALSE)</f>
        <v>160.73333333333332</v>
      </c>
      <c r="G26" s="108" cm="1">
        <f t="array" aca="1" ref="G26" ca="1">INDIRECT("R[36]C["&amp;$A$18&amp;"]",FALSE)</f>
        <v>97.213333333333338</v>
      </c>
      <c r="H26" s="108" cm="1">
        <f t="array" aca="1" ref="H26" ca="1">INDIRECT("R[36]C["&amp;$A$18&amp;"]",FALSE)</f>
        <v>226.77599949362576</v>
      </c>
      <c r="I26" s="108" cm="1">
        <f t="array" aca="1" ref="I26" ca="1">INDIRECT("R[36]C["&amp;$A$18&amp;"]",FALSE)</f>
        <v>226.77599949362576</v>
      </c>
      <c r="J26" s="108" cm="1">
        <f t="array" aca="1" ref="J26" ca="1">INDIRECT("R[36]C["&amp;$A$18&amp;"]",FALSE)</f>
        <v>226.77599949362576</v>
      </c>
      <c r="K26" s="108" cm="1">
        <f t="array" aca="1" ref="K26" ca="1">INDIRECT("R[36]C["&amp;$A$18&amp;"]",FALSE)</f>
        <v>226.77599949362576</v>
      </c>
      <c r="L26" s="108" cm="1">
        <f t="array" aca="1" ref="L26" ca="1">INDIRECT("R[36]C["&amp;$A$18&amp;"]",FALSE)</f>
        <v>226.77599949362576</v>
      </c>
      <c r="M26" s="108" cm="1">
        <f t="array" aca="1" ref="M26" ca="1">INDIRECT("R[36]C["&amp;$A$18&amp;"]",FALSE)</f>
        <v>226.77599949362576</v>
      </c>
      <c r="N26" s="108" cm="1">
        <f t="array" aca="1" ref="N26" ca="1">INDIRECT("R[36]C["&amp;$A$18&amp;"]",FALSE)</f>
        <v>226.77599949362576</v>
      </c>
      <c r="O26" s="108" cm="1">
        <f t="array" aca="1" ref="O26" ca="1">INDIRECT("R[36]C["&amp;$A$18&amp;"]",FALSE)</f>
        <v>226.77599949362576</v>
      </c>
      <c r="P26" s="108"/>
      <c r="Q26" s="108"/>
      <c r="R26" s="113">
        <f ca="1">SUM(D26:Q26)</f>
        <v>2481.1546087479719</v>
      </c>
    </row>
    <row r="27" spans="1:18" ht="15.5" x14ac:dyDescent="0.35">
      <c r="A27" s="121">
        <f>A26</f>
        <v>1</v>
      </c>
      <c r="B27" s="106" t="s">
        <v>258</v>
      </c>
      <c r="C27" s="106"/>
      <c r="D27" s="108" cm="1">
        <f t="array" aca="1" ref="D27" ca="1">INDIRECT("R[36]C["&amp;$A$19&amp;"]",FALSE)</f>
        <v>229.49353587588882</v>
      </c>
      <c r="E27" s="108" cm="1">
        <f t="array" aca="1" ref="E27" ca="1">INDIRECT("R[36]C["&amp;$A$19&amp;"]",FALSE)</f>
        <v>179.50641025641025</v>
      </c>
      <c r="F27" s="108" cm="1">
        <f t="array" aca="1" ref="F27" ca="1">INDIRECT("R[36]C["&amp;$A$19&amp;"]",FALSE)</f>
        <v>160.73333333333332</v>
      </c>
      <c r="G27" s="108" cm="1">
        <f t="array" aca="1" ref="G27" ca="1">INDIRECT("R[36]C["&amp;$A$19&amp;"]",FALSE)</f>
        <v>97.213333333333338</v>
      </c>
      <c r="H27" s="108" cm="1">
        <f t="array" aca="1" ref="H27" ca="1">INDIRECT("R[36]C["&amp;$A$19&amp;"]",FALSE)</f>
        <v>226.77599949362576</v>
      </c>
      <c r="I27" s="108" cm="1">
        <f t="array" aca="1" ref="I27" ca="1">INDIRECT("R[36]C["&amp;$A$19&amp;"]",FALSE)</f>
        <v>226.77599949362576</v>
      </c>
      <c r="J27" s="108" cm="1">
        <f t="array" aca="1" ref="J27" ca="1">INDIRECT("R[36]C["&amp;$A$19&amp;"]",FALSE)</f>
        <v>226.77599949362576</v>
      </c>
      <c r="K27" s="108" cm="1">
        <f t="array" aca="1" ref="K27" ca="1">INDIRECT("R[36]C["&amp;$A$19&amp;"]",FALSE)</f>
        <v>226.77599949362576</v>
      </c>
      <c r="L27" s="108" cm="1">
        <f t="array" aca="1" ref="L27" ca="1">INDIRECT("R[36]C["&amp;$A$19&amp;"]",FALSE)</f>
        <v>226.77599949362576</v>
      </c>
      <c r="M27" s="108" cm="1">
        <f t="array" aca="1" ref="M27" ca="1">INDIRECT("R[36]C["&amp;$A$19&amp;"]",FALSE)</f>
        <v>226.77599949362576</v>
      </c>
      <c r="N27" s="108" cm="1">
        <f t="array" aca="1" ref="N27" ca="1">INDIRECT("R[36]C["&amp;$A$19&amp;"]",FALSE)</f>
        <v>226.77599949362576</v>
      </c>
      <c r="O27" s="108" cm="1">
        <f t="array" aca="1" ref="O27" ca="1">INDIRECT("R[36]C["&amp;$A$19&amp;"]",FALSE)</f>
        <v>226.77599949362576</v>
      </c>
      <c r="P27" s="108"/>
      <c r="Q27" s="108"/>
      <c r="R27" s="113">
        <f ca="1">SUM(D27:Q27)</f>
        <v>2481.1546087479719</v>
      </c>
    </row>
    <row r="28" spans="1:18" ht="15.5" x14ac:dyDescent="0.35">
      <c r="A28" s="121">
        <f>Assumptions!C53</f>
        <v>1</v>
      </c>
      <c r="B28" s="106" t="s">
        <v>353</v>
      </c>
      <c r="C28" s="106"/>
      <c r="D28" s="108" cm="1">
        <f t="array" aca="1" ref="D28" ca="1">INDIRECT("R[36]C["&amp;$A$28&amp;"]",FALSE)</f>
        <v>29.142857142857142</v>
      </c>
      <c r="E28" s="108" cm="1">
        <f t="array" aca="1" ref="E28" ca="1">INDIRECT("R[36]C["&amp;$A$28&amp;"]",FALSE)</f>
        <v>12</v>
      </c>
      <c r="F28" s="108" cm="1">
        <f t="array" aca="1" ref="F28" ca="1">INDIRECT("R[36]C["&amp;$A$28&amp;"]",FALSE)</f>
        <v>11</v>
      </c>
      <c r="G28" s="108" cm="1">
        <f t="array" aca="1" ref="G28" ca="1">INDIRECT("R[36]C["&amp;$A$28&amp;"]",FALSE)</f>
        <v>5.36</v>
      </c>
      <c r="H28" s="108" cm="1">
        <f t="array" aca="1" ref="H28" ca="1">INDIRECT("R[36]C["&amp;$A$28&amp;"]",FALSE)</f>
        <v>46.23</v>
      </c>
      <c r="I28" s="108" cm="1">
        <f t="array" aca="1" ref="I28" ca="1">INDIRECT("R[36]C["&amp;$A$28&amp;"]",FALSE)</f>
        <v>46.23</v>
      </c>
      <c r="J28" s="108" cm="1">
        <f t="array" aca="1" ref="J28" ca="1">INDIRECT("R[36]C["&amp;$A$28&amp;"]",FALSE)</f>
        <v>46.23</v>
      </c>
      <c r="K28" s="108" cm="1">
        <f t="array" aca="1" ref="K28" ca="1">INDIRECT("R[36]C["&amp;$A$28&amp;"]",FALSE)</f>
        <v>46.23</v>
      </c>
      <c r="L28" s="108" cm="1">
        <f t="array" aca="1" ref="L28" ca="1">INDIRECT("R[36]C["&amp;$A$28&amp;"]",FALSE)</f>
        <v>46.23</v>
      </c>
      <c r="M28" s="108" cm="1">
        <f t="array" aca="1" ref="M28" ca="1">INDIRECT("R[36]C["&amp;$A$28&amp;"]",FALSE)</f>
        <v>46.23</v>
      </c>
      <c r="N28" s="108" cm="1">
        <f t="array" aca="1" ref="N28" ca="1">INDIRECT("R[36]C["&amp;$A$28&amp;"]",FALSE)</f>
        <v>46.23</v>
      </c>
      <c r="O28" s="108" cm="1">
        <f t="array" aca="1" ref="O28" ca="1">INDIRECT("R[36]C["&amp;$A$28&amp;"]",FALSE)</f>
        <v>46.23</v>
      </c>
      <c r="P28" s="108"/>
      <c r="Q28" s="108"/>
      <c r="R28" s="113">
        <f ca="1">SUM(D28:Q28)</f>
        <v>427.34285714285716</v>
      </c>
    </row>
    <row r="29" spans="1:18" ht="15.5" x14ac:dyDescent="0.35">
      <c r="A29" s="121">
        <f>Assumptions!C52</f>
        <v>1</v>
      </c>
      <c r="B29" s="106" t="s">
        <v>117</v>
      </c>
      <c r="C29" s="106"/>
      <c r="D29" s="108" cm="1">
        <f t="array" aca="1" ref="D29" ca="1">INDIRECT("R[36]C["&amp;$A$29&amp;"]",FALSE)</f>
        <v>79.679487179487182</v>
      </c>
      <c r="E29" s="108" cm="1">
        <f t="array" aca="1" ref="E29" ca="1">INDIRECT("R[36]C["&amp;$A$29&amp;"]",FALSE)</f>
        <v>76.339743589743591</v>
      </c>
      <c r="F29" s="108" cm="1">
        <f t="array" aca="1" ref="F29" ca="1">INDIRECT("R[36]C["&amp;$A$29&amp;"]",FALSE)</f>
        <v>50</v>
      </c>
      <c r="G29" s="108" cm="1">
        <f t="array" aca="1" ref="G29" ca="1">INDIRECT("R[36]C["&amp;$A$29&amp;"]",FALSE)</f>
        <v>91.066666666666677</v>
      </c>
      <c r="H29" s="108" cm="1">
        <f t="array" aca="1" ref="H29" ca="1">INDIRECT("R[36]C["&amp;$A$29&amp;"]",FALSE)</f>
        <v>81.650000000000006</v>
      </c>
      <c r="I29" s="108" cm="1">
        <f t="array" aca="1" ref="I29" ca="1">INDIRECT("R[36]C["&amp;$A$29&amp;"]",FALSE)</f>
        <v>81.650000000000006</v>
      </c>
      <c r="J29" s="108" cm="1">
        <f t="array" aca="1" ref="J29" ca="1">INDIRECT("R[36]C["&amp;$A$29&amp;"]",FALSE)</f>
        <v>81.650000000000006</v>
      </c>
      <c r="K29" s="108" cm="1">
        <f t="array" aca="1" ref="K29" ca="1">INDIRECT("R[36]C["&amp;$A$29&amp;"]",FALSE)</f>
        <v>81.650000000000006</v>
      </c>
      <c r="L29" s="108" cm="1">
        <f t="array" aca="1" ref="L29" ca="1">INDIRECT("R[36]C["&amp;$A$29&amp;"]",FALSE)</f>
        <v>81.650000000000006</v>
      </c>
      <c r="M29" s="108" cm="1">
        <f t="array" aca="1" ref="M29" ca="1">INDIRECT("R[36]C["&amp;$A$29&amp;"]",FALSE)</f>
        <v>81.650000000000006</v>
      </c>
      <c r="N29" s="108" cm="1">
        <f t="array" aca="1" ref="N29" ca="1">INDIRECT("R[36]C["&amp;$A$29&amp;"]",FALSE)</f>
        <v>81.650000000000006</v>
      </c>
      <c r="O29" s="108" cm="1">
        <f t="array" aca="1" ref="O29" ca="1">INDIRECT("R[36]C["&amp;$A$29&amp;"]",FALSE)</f>
        <v>81.650000000000006</v>
      </c>
      <c r="P29" s="108"/>
      <c r="Q29" s="108"/>
      <c r="R29" s="113">
        <f ca="1">SUM(D29:Q29)</f>
        <v>950.28589743589725</v>
      </c>
    </row>
    <row r="30" spans="1:18" ht="15.5" x14ac:dyDescent="0.35">
      <c r="A30" s="121">
        <f>Assumptions!C54</f>
        <v>1</v>
      </c>
      <c r="B30" s="106" t="s">
        <v>354</v>
      </c>
      <c r="C30" s="106"/>
      <c r="D30" s="108" cm="1">
        <f t="array" aca="1" ref="D30" ca="1">INDIRECT("R[36]C["&amp;$A$30&amp;"]",FALSE)</f>
        <v>10</v>
      </c>
      <c r="E30" s="108" cm="1">
        <f t="array" aca="1" ref="E30" ca="1">INDIRECT("R[36]C["&amp;$A$30&amp;"]",FALSE)</f>
        <v>9</v>
      </c>
      <c r="F30" s="108" cm="1">
        <f t="array" aca="1" ref="F30" ca="1">INDIRECT("R[36]C["&amp;$A$30&amp;"]",FALSE)</f>
        <v>7</v>
      </c>
      <c r="G30" s="108" cm="1">
        <f t="array" aca="1" ref="G30" ca="1">INDIRECT("R[36]C["&amp;$A$30&amp;"]",FALSE)</f>
        <v>5</v>
      </c>
      <c r="H30" s="108" cm="1">
        <f t="array" aca="1" ref="H30" ca="1">INDIRECT("R[36]C["&amp;$A$30&amp;"]",FALSE)</f>
        <v>8</v>
      </c>
      <c r="I30" s="108" cm="1">
        <f t="array" aca="1" ref="I30" ca="1">INDIRECT("R[36]C["&amp;$A$30&amp;"]",FALSE)</f>
        <v>8</v>
      </c>
      <c r="J30" s="108" cm="1">
        <f t="array" aca="1" ref="J30" ca="1">INDIRECT("R[36]C["&amp;$A$30&amp;"]",FALSE)</f>
        <v>8</v>
      </c>
      <c r="K30" s="108" cm="1">
        <f t="array" aca="1" ref="K30" ca="1">INDIRECT("R[36]C["&amp;$A$30&amp;"]",FALSE)</f>
        <v>8</v>
      </c>
      <c r="L30" s="108" cm="1">
        <f t="array" aca="1" ref="L30" ca="1">INDIRECT("R[36]C["&amp;$A$30&amp;"]",FALSE)</f>
        <v>8</v>
      </c>
      <c r="M30" s="108" cm="1">
        <f t="array" aca="1" ref="M30" ca="1">INDIRECT("R[36]C["&amp;$A$30&amp;"]",FALSE)</f>
        <v>8</v>
      </c>
      <c r="N30" s="108" cm="1">
        <f t="array" aca="1" ref="N30" ca="1">INDIRECT("R[36]C["&amp;$A$30&amp;"]",FALSE)</f>
        <v>8</v>
      </c>
      <c r="O30" s="108" cm="1">
        <f t="array" aca="1" ref="O30" ca="1">INDIRECT("R[36]C["&amp;$A$30&amp;"]",FALSE)</f>
        <v>8</v>
      </c>
      <c r="P30" s="108"/>
      <c r="Q30" s="108"/>
      <c r="R30" s="113">
        <f ca="1">SUM(D30:Q30)</f>
        <v>95</v>
      </c>
    </row>
    <row r="31" spans="1:18" ht="15.5" x14ac:dyDescent="0.35">
      <c r="A31" s="116"/>
      <c r="B31" s="129" t="s">
        <v>119</v>
      </c>
      <c r="C31" s="129"/>
      <c r="D31" s="132"/>
      <c r="E31" s="132"/>
      <c r="F31" s="132"/>
      <c r="G31" s="132"/>
      <c r="H31" s="132"/>
      <c r="I31" s="132"/>
      <c r="J31" s="132"/>
      <c r="K31" s="132"/>
      <c r="L31" s="132"/>
      <c r="M31" s="132"/>
      <c r="N31" s="132"/>
      <c r="O31" s="132"/>
      <c r="P31" s="132"/>
      <c r="Q31" s="132"/>
      <c r="R31" s="130"/>
    </row>
    <row r="32" spans="1:18" ht="15.5" x14ac:dyDescent="0.35">
      <c r="A32" s="121">
        <f>Assumptions!C48</f>
        <v>2</v>
      </c>
      <c r="B32" s="106" t="s">
        <v>355</v>
      </c>
      <c r="C32" s="106"/>
      <c r="D32" s="108" cm="1">
        <f t="array" aca="1" ref="D32" ca="1">INDIRECT("R[36]C["&amp;$A$32&amp;"]",FALSE)</f>
        <v>0</v>
      </c>
      <c r="E32" s="108" cm="1">
        <f t="array" aca="1" ref="E32" ca="1">INDIRECT("R[36]C["&amp;$A$32&amp;"]",FALSE)</f>
        <v>0</v>
      </c>
      <c r="F32" s="108" cm="1">
        <f t="array" aca="1" ref="F32" ca="1">INDIRECT("R[36]C["&amp;$A$32&amp;"]",FALSE)</f>
        <v>0</v>
      </c>
      <c r="G32" s="108" cm="1">
        <f t="array" aca="1" ref="G32" ca="1">INDIRECT("R[36]C["&amp;$A$32&amp;"]",FALSE)</f>
        <v>1</v>
      </c>
      <c r="H32" s="108" cm="1">
        <f t="array" aca="1" ref="H32" ca="1">INDIRECT("R[36]C["&amp;$A$32&amp;"]",FALSE)</f>
        <v>2</v>
      </c>
      <c r="I32" s="108" cm="1">
        <f t="array" aca="1" ref="I32" ca="1">INDIRECT("R[36]C["&amp;$A$32&amp;"]",FALSE)</f>
        <v>2</v>
      </c>
      <c r="J32" s="108" cm="1">
        <f t="array" aca="1" ref="J32" ca="1">INDIRECT("R[36]C["&amp;$A$32&amp;"]",FALSE)</f>
        <v>2</v>
      </c>
      <c r="K32" s="108" cm="1">
        <f t="array" aca="1" ref="K32" ca="1">INDIRECT("R[36]C["&amp;$A$32&amp;"]",FALSE)</f>
        <v>2</v>
      </c>
      <c r="L32" s="108" cm="1">
        <f t="array" aca="1" ref="L32" ca="1">INDIRECT("R[36]C["&amp;$A$32&amp;"]",FALSE)</f>
        <v>2</v>
      </c>
      <c r="M32" s="108" cm="1">
        <f t="array" aca="1" ref="M32" ca="1">INDIRECT("R[36]C["&amp;$A$32&amp;"]",FALSE)</f>
        <v>2</v>
      </c>
      <c r="N32" s="108" cm="1">
        <f t="array" aca="1" ref="N32" ca="1">INDIRECT("R[36]C["&amp;$A$32&amp;"]",FALSE)</f>
        <v>2</v>
      </c>
      <c r="O32" s="108" cm="1">
        <f t="array" aca="1" ref="O32" ca="1">INDIRECT("R[36]C["&amp;$A$32&amp;"]",FALSE)</f>
        <v>0</v>
      </c>
      <c r="P32" s="108"/>
      <c r="Q32" s="108"/>
      <c r="R32" s="113">
        <f ca="1">SUM(D32:Q32)</f>
        <v>15</v>
      </c>
    </row>
    <row r="33" spans="1:19" ht="15.5" x14ac:dyDescent="0.35">
      <c r="A33" s="116"/>
      <c r="B33" s="129" t="s">
        <v>356</v>
      </c>
      <c r="C33" s="129"/>
      <c r="D33" s="131"/>
      <c r="E33" s="131"/>
      <c r="F33" s="131"/>
      <c r="G33" s="131"/>
      <c r="H33" s="131"/>
      <c r="I33" s="131"/>
      <c r="J33" s="131"/>
      <c r="K33" s="131"/>
      <c r="L33" s="131"/>
      <c r="M33" s="131"/>
      <c r="N33" s="131"/>
      <c r="O33" s="131"/>
      <c r="P33" s="131"/>
      <c r="Q33" s="131"/>
      <c r="R33" s="130"/>
    </row>
    <row r="34" spans="1:19" ht="15.5" x14ac:dyDescent="0.35">
      <c r="A34" s="121">
        <f>Assumptions!C49</f>
        <v>1</v>
      </c>
      <c r="B34" s="106" t="s">
        <v>357</v>
      </c>
      <c r="C34" s="106"/>
      <c r="D34" s="108" cm="1">
        <f t="array" aca="1" ref="D34" ca="1">INDIRECT("R[36]C["&amp;$A$34&amp;"]",FALSE)</f>
        <v>10</v>
      </c>
      <c r="E34" s="108" cm="1">
        <f t="array" aca="1" ref="E34" ca="1">INDIRECT("R[36]C["&amp;$A$34&amp;"]",FALSE)</f>
        <v>6</v>
      </c>
      <c r="F34" s="108" cm="1">
        <f t="array" aca="1" ref="F34" ca="1">INDIRECT("R[36]C["&amp;$A$34&amp;"]",FALSE)</f>
        <v>7</v>
      </c>
      <c r="G34" s="108" cm="1">
        <f t="array" aca="1" ref="G34" ca="1">INDIRECT("R[36]C["&amp;$A$34&amp;"]",FALSE)</f>
        <v>5</v>
      </c>
      <c r="H34" s="108" cm="1">
        <f t="array" aca="1" ref="H34" ca="1">INDIRECT("R[36]C["&amp;$A$34&amp;"]",FALSE)</f>
        <v>8</v>
      </c>
      <c r="I34" s="108" cm="1">
        <f t="array" aca="1" ref="I34" ca="1">INDIRECT("R[36]C["&amp;$A$34&amp;"]",FALSE)</f>
        <v>8</v>
      </c>
      <c r="J34" s="108" cm="1">
        <f t="array" aca="1" ref="J34" ca="1">INDIRECT("R[36]C["&amp;$A$34&amp;"]",FALSE)</f>
        <v>8</v>
      </c>
      <c r="K34" s="108" cm="1">
        <f t="array" aca="1" ref="K34" ca="1">INDIRECT("R[36]C["&amp;$A$34&amp;"]",FALSE)</f>
        <v>8</v>
      </c>
      <c r="L34" s="108" cm="1">
        <f t="array" aca="1" ref="L34" ca="1">INDIRECT("R[36]C["&amp;$A$34&amp;"]",FALSE)</f>
        <v>8</v>
      </c>
      <c r="M34" s="108" cm="1">
        <f t="array" aca="1" ref="M34" ca="1">INDIRECT("R[36]C["&amp;$A$34&amp;"]",FALSE)</f>
        <v>8</v>
      </c>
      <c r="N34" s="108" cm="1">
        <f t="array" aca="1" ref="N34" ca="1">INDIRECT("R[36]C["&amp;$A$34&amp;"]",FALSE)</f>
        <v>8</v>
      </c>
      <c r="O34" s="108" cm="1">
        <f t="array" aca="1" ref="O34" ca="1">INDIRECT("R[36]C["&amp;$A$34&amp;"]",FALSE)</f>
        <v>8</v>
      </c>
      <c r="P34" s="108"/>
      <c r="Q34" s="108"/>
      <c r="R34" s="113">
        <f ca="1">SUM(D34:Q34)</f>
        <v>92</v>
      </c>
    </row>
    <row r="35" spans="1:19" ht="15.5" x14ac:dyDescent="0.35">
      <c r="A35" s="121">
        <f>Assumptions!C50</f>
        <v>1</v>
      </c>
      <c r="B35" s="106" t="s">
        <v>358</v>
      </c>
      <c r="C35" s="106"/>
      <c r="D35" s="108" cm="1">
        <f t="array" aca="1" ref="D35" ca="1">INDIRECT("R[36]C["&amp;$A$35&amp;"]",FALSE)</f>
        <v>0</v>
      </c>
      <c r="E35" s="108" cm="1">
        <f t="array" aca="1" ref="E35" ca="1">INDIRECT("R[36]C["&amp;$A$35&amp;"]",FALSE)</f>
        <v>0</v>
      </c>
      <c r="F35" s="108" cm="1">
        <f t="array" aca="1" ref="F35" ca="1">INDIRECT("R[36]C["&amp;$A$35&amp;"]",FALSE)</f>
        <v>0</v>
      </c>
      <c r="G35" s="108" cm="1">
        <f t="array" aca="1" ref="G35" ca="1">INDIRECT("R[36]C["&amp;$A$35&amp;"]",FALSE)</f>
        <v>0</v>
      </c>
      <c r="H35" s="108" cm="1">
        <f t="array" aca="1" ref="H35" ca="1">INDIRECT("R[36]C["&amp;$A$35&amp;"]",FALSE)</f>
        <v>1</v>
      </c>
      <c r="I35" s="108" cm="1">
        <f t="array" aca="1" ref="I35" ca="1">INDIRECT("R[36]C["&amp;$A$35&amp;"]",FALSE)</f>
        <v>2</v>
      </c>
      <c r="J35" s="108" cm="1">
        <f t="array" aca="1" ref="J35" ca="1">INDIRECT("R[36]C["&amp;$A$35&amp;"]",FALSE)</f>
        <v>2</v>
      </c>
      <c r="K35" s="108" cm="1">
        <f t="array" aca="1" ref="K35" ca="1">INDIRECT("R[36]C["&amp;$A$35&amp;"]",FALSE)</f>
        <v>2</v>
      </c>
      <c r="L35" s="108" cm="1">
        <f t="array" aca="1" ref="L35" ca="1">INDIRECT("R[36]C["&amp;$A$35&amp;"]",FALSE)</f>
        <v>2</v>
      </c>
      <c r="M35" s="108" cm="1">
        <f t="array" aca="1" ref="M35" ca="1">INDIRECT("R[36]C["&amp;$A$35&amp;"]",FALSE)</f>
        <v>2</v>
      </c>
      <c r="N35" s="108" cm="1">
        <f t="array" aca="1" ref="N35" ca="1">INDIRECT("R[36]C["&amp;$A$35&amp;"]",FALSE)</f>
        <v>2</v>
      </c>
      <c r="O35" s="108" cm="1">
        <f t="array" aca="1" ref="O35" ca="1">INDIRECT("R[36]C["&amp;$A$35&amp;"]",FALSE)</f>
        <v>2</v>
      </c>
      <c r="P35" s="108"/>
      <c r="Q35" s="108"/>
      <c r="R35" s="113">
        <f ca="1">SUM(D35:Q35)</f>
        <v>15</v>
      </c>
    </row>
    <row r="36" spans="1:19" ht="15.5" x14ac:dyDescent="0.35">
      <c r="A36" s="116"/>
      <c r="B36" s="129"/>
      <c r="C36" s="129"/>
      <c r="D36" s="129"/>
      <c r="E36" s="129"/>
      <c r="F36" s="129"/>
      <c r="G36" s="129"/>
      <c r="H36" s="129"/>
      <c r="I36" s="129"/>
      <c r="J36" s="129"/>
      <c r="K36" s="129"/>
      <c r="L36" s="129"/>
      <c r="M36" s="129"/>
      <c r="N36" s="129"/>
      <c r="O36" s="129"/>
      <c r="P36" s="129"/>
      <c r="Q36" s="129"/>
      <c r="R36" s="130"/>
    </row>
    <row r="37" spans="1:19" ht="15.5" x14ac:dyDescent="0.35">
      <c r="A37" s="116"/>
      <c r="B37" s="116"/>
      <c r="C37" s="116"/>
      <c r="D37" s="115"/>
      <c r="E37" s="115"/>
      <c r="F37" s="115"/>
      <c r="G37" s="115"/>
      <c r="H37" s="115"/>
      <c r="I37" s="115"/>
      <c r="J37" s="115"/>
      <c r="K37" s="115"/>
      <c r="L37" s="115"/>
      <c r="M37" s="115"/>
      <c r="N37" s="115"/>
      <c r="O37" s="115"/>
      <c r="P37" s="115"/>
      <c r="Q37" s="115"/>
      <c r="R37" s="115"/>
    </row>
    <row r="38" spans="1:19" ht="15.5" x14ac:dyDescent="0.35">
      <c r="A38" s="116"/>
      <c r="B38" s="116"/>
      <c r="C38" s="116"/>
      <c r="D38" s="115"/>
      <c r="E38" s="115"/>
      <c r="F38" s="115"/>
      <c r="G38" s="115"/>
      <c r="H38" s="115"/>
      <c r="I38" s="115"/>
      <c r="J38" s="115"/>
      <c r="K38" s="115"/>
      <c r="L38" s="115"/>
      <c r="M38" s="115"/>
      <c r="N38" s="115"/>
      <c r="O38" s="115"/>
      <c r="P38" s="115"/>
      <c r="Q38" s="115"/>
      <c r="R38" s="115"/>
    </row>
    <row r="39" spans="1:19" ht="15.5" x14ac:dyDescent="0.35">
      <c r="A39" s="116"/>
      <c r="B39" s="116" t="s">
        <v>235</v>
      </c>
      <c r="C39" s="116"/>
      <c r="D39" s="115">
        <f ca="1">SUM(D10:D12)</f>
        <v>338.31588019823317</v>
      </c>
      <c r="E39" s="115">
        <f t="shared" ref="E39:Q39" ca="1" si="1">SUM(E10:E12)</f>
        <v>289.84615384615381</v>
      </c>
      <c r="F39" s="115">
        <f t="shared" ca="1" si="1"/>
        <v>243.73333333333332</v>
      </c>
      <c r="G39" s="115">
        <f t="shared" ca="1" si="1"/>
        <v>193.64</v>
      </c>
      <c r="H39" s="115">
        <f t="shared" ca="1" si="1"/>
        <v>408.41126999157984</v>
      </c>
      <c r="I39" s="115">
        <f t="shared" ca="1" si="1"/>
        <v>441.74460332491321</v>
      </c>
      <c r="J39" s="115">
        <f t="shared" ca="1" si="1"/>
        <v>441.74460332491321</v>
      </c>
      <c r="K39" s="115">
        <f t="shared" ca="1" si="1"/>
        <v>368.12050277076099</v>
      </c>
      <c r="L39" s="115">
        <f t="shared" ca="1" si="1"/>
        <v>368.12050277076099</v>
      </c>
      <c r="M39" s="115">
        <f t="shared" ca="1" si="1"/>
        <v>368.12050277076099</v>
      </c>
      <c r="N39" s="115">
        <f t="shared" ca="1" si="1"/>
        <v>368.12050277076099</v>
      </c>
      <c r="O39" s="115">
        <f t="shared" ca="1" si="1"/>
        <v>368.12050277076099</v>
      </c>
      <c r="P39" s="115">
        <f t="shared" si="1"/>
        <v>0</v>
      </c>
      <c r="Q39" s="115">
        <f t="shared" si="1"/>
        <v>0</v>
      </c>
      <c r="R39" s="115">
        <f ca="1">SUM(R10:R12)</f>
        <v>4198.0383578729316</v>
      </c>
    </row>
    <row r="40" spans="1:19" ht="15.5" x14ac:dyDescent="0.35">
      <c r="A40" s="116"/>
      <c r="B40" s="116"/>
      <c r="C40" s="116"/>
      <c r="D40" s="115"/>
      <c r="E40" s="115"/>
      <c r="F40" s="115"/>
      <c r="G40" s="115"/>
      <c r="H40" s="115"/>
      <c r="I40" s="115"/>
      <c r="J40" s="115"/>
      <c r="K40" s="115"/>
      <c r="L40" s="115"/>
      <c r="M40" s="115"/>
      <c r="N40" s="115"/>
      <c r="O40" s="115"/>
      <c r="P40" s="115"/>
      <c r="Q40" s="115"/>
      <c r="R40" s="115"/>
    </row>
    <row r="41" spans="1:19" ht="15.5" x14ac:dyDescent="0.35">
      <c r="A41" s="116"/>
      <c r="B41" s="116"/>
      <c r="C41" s="116"/>
      <c r="D41" s="115"/>
      <c r="E41" s="115"/>
      <c r="F41" s="115"/>
      <c r="G41" s="115"/>
      <c r="H41" s="115"/>
      <c r="I41" s="115"/>
      <c r="J41" s="115"/>
      <c r="K41" s="115"/>
      <c r="L41" s="115"/>
      <c r="M41" s="115"/>
      <c r="N41" s="115"/>
      <c r="O41" s="115"/>
      <c r="P41" s="115"/>
      <c r="Q41" s="115"/>
      <c r="R41" s="115"/>
    </row>
    <row r="42" spans="1:19" ht="15.5" x14ac:dyDescent="0.35">
      <c r="A42" s="116"/>
      <c r="B42" s="116"/>
      <c r="C42" s="116"/>
      <c r="D42" s="116"/>
      <c r="E42" s="116"/>
      <c r="F42" s="116"/>
      <c r="G42" s="116"/>
      <c r="H42" s="116"/>
      <c r="I42" s="116"/>
      <c r="J42" s="116"/>
      <c r="K42" s="116"/>
      <c r="L42" s="116"/>
      <c r="M42" s="116"/>
      <c r="N42" s="116"/>
      <c r="O42" s="116"/>
      <c r="P42" s="116"/>
      <c r="Q42" s="116"/>
      <c r="R42" s="115"/>
    </row>
    <row r="43" spans="1:19" ht="15.5" x14ac:dyDescent="0.35">
      <c r="A43" s="116"/>
      <c r="B43" s="116"/>
      <c r="C43" s="116"/>
      <c r="D43" s="116"/>
      <c r="E43" s="116"/>
      <c r="F43" s="116"/>
      <c r="G43" s="116"/>
      <c r="H43" s="116"/>
      <c r="I43" s="116"/>
      <c r="J43" s="116"/>
      <c r="K43" s="116"/>
      <c r="L43" s="116"/>
      <c r="M43" s="116"/>
      <c r="N43" s="116"/>
      <c r="O43" s="116"/>
      <c r="P43" s="116"/>
      <c r="Q43" s="116"/>
      <c r="R43" s="115"/>
    </row>
    <row r="44" spans="1:19" ht="15.5" x14ac:dyDescent="0.35">
      <c r="A44" s="116"/>
      <c r="B44" s="120" t="s">
        <v>193</v>
      </c>
      <c r="C44" s="120"/>
      <c r="D44" s="116"/>
      <c r="E44" s="116"/>
      <c r="F44" s="116"/>
      <c r="G44" s="116"/>
      <c r="H44" s="116"/>
      <c r="I44" s="116"/>
      <c r="J44" s="116"/>
      <c r="K44" s="116"/>
      <c r="L44" s="116"/>
      <c r="M44" s="116"/>
      <c r="N44" s="116"/>
      <c r="O44" s="116"/>
      <c r="P44" s="116"/>
      <c r="Q44" s="116"/>
      <c r="R44" s="115"/>
    </row>
    <row r="45" spans="1:19" ht="15.5" x14ac:dyDescent="0.35">
      <c r="A45" s="116"/>
      <c r="B45" s="129" t="s">
        <v>112</v>
      </c>
      <c r="C45" s="129"/>
      <c r="D45" s="129"/>
      <c r="E45" s="129"/>
      <c r="F45" s="129"/>
      <c r="G45" s="129"/>
      <c r="H45" s="129"/>
      <c r="I45" s="129"/>
      <c r="J45" s="129"/>
      <c r="K45" s="129"/>
      <c r="L45" s="129"/>
      <c r="M45" s="129"/>
      <c r="N45" s="129"/>
      <c r="O45" s="129"/>
      <c r="P45" s="129"/>
      <c r="Q45" s="129"/>
      <c r="R45" s="130"/>
    </row>
    <row r="46" spans="1:19" ht="15.5" x14ac:dyDescent="0.35">
      <c r="A46" s="122">
        <f>Assumptions!C55</f>
        <v>1</v>
      </c>
      <c r="B46" s="123">
        <v>12</v>
      </c>
      <c r="C46" s="123"/>
      <c r="D46" s="124" cm="1">
        <f t="array" aca="1" ref="D46" ca="1">INDIRECT("R[40]C["&amp;$A$46&amp;"]",FALSE)</f>
        <v>42.769230769230774</v>
      </c>
      <c r="E46" s="124" cm="1">
        <f t="array" aca="1" ref="E46" ca="1">INDIRECT("R[40]C["&amp;$A$46&amp;"]",FALSE)</f>
        <v>261.79487179487182</v>
      </c>
      <c r="F46" s="124" cm="1">
        <f t="array" aca="1" ref="F46" ca="1">INDIRECT("R[40]C["&amp;$A$46&amp;"]",FALSE)</f>
        <v>187.5128205128205</v>
      </c>
      <c r="G46" s="124" cm="1">
        <f t="array" aca="1" ref="G46" ca="1">INDIRECT("R[40]C["&amp;$A$46&amp;"]",FALSE)</f>
        <v>60.666666666666664</v>
      </c>
      <c r="H46" s="124" cm="1">
        <f t="array" aca="1" ref="H46" ca="1">INDIRECT("R[40]C["&amp;$A$46&amp;"]",FALSE)</f>
        <v>0</v>
      </c>
      <c r="I46" s="124" cm="1">
        <f t="array" aca="1" ref="I46" ca="1">INDIRECT("R[40]C["&amp;$A$46&amp;"]",FALSE)</f>
        <v>0</v>
      </c>
      <c r="J46" s="124" cm="1">
        <f t="array" aca="1" ref="J46" ca="1">INDIRECT("R[40]C["&amp;$A$46&amp;"]",FALSE)</f>
        <v>0</v>
      </c>
      <c r="K46" s="124" cm="1">
        <f t="array" aca="1" ref="K46" ca="1">INDIRECT("R[40]C["&amp;$A$46&amp;"]",FALSE)</f>
        <v>0</v>
      </c>
      <c r="L46" s="124" cm="1">
        <f t="array" aca="1" ref="L46" ca="1">INDIRECT("R[40]C["&amp;$A$46&amp;"]",FALSE)</f>
        <v>0</v>
      </c>
      <c r="M46" s="124" cm="1">
        <f t="array" aca="1" ref="M46" ca="1">INDIRECT("R[40]C["&amp;$A$46&amp;"]",FALSE)</f>
        <v>0</v>
      </c>
      <c r="N46" s="124" cm="1">
        <f t="array" aca="1" ref="N46" ca="1">INDIRECT("R[40]C["&amp;$A$46&amp;"]",FALSE)</f>
        <v>0</v>
      </c>
      <c r="O46" s="124" cm="1">
        <f t="array" aca="1" ref="O46" ca="1">INDIRECT("R[40]C["&amp;$A$46&amp;"]",FALSE)</f>
        <v>0</v>
      </c>
      <c r="P46" s="124" cm="1">
        <f t="array" aca="1" ref="P46" ca="1">INDIRECT("R[40]C["&amp;$A$46&amp;"]",FALSE)</f>
        <v>0</v>
      </c>
      <c r="Q46" s="125"/>
      <c r="R46" s="128">
        <f ca="1">SUM(D46:P46)</f>
        <v>552.74358974358972</v>
      </c>
    </row>
    <row r="47" spans="1:19" ht="15.5" x14ac:dyDescent="0.35">
      <c r="A47" s="121">
        <f>A46</f>
        <v>1</v>
      </c>
      <c r="B47" s="123">
        <v>15</v>
      </c>
      <c r="C47" s="123"/>
      <c r="D47" s="124" cm="1">
        <f t="array" aca="1" ref="D47" ca="1">INDIRECT("R[40]C["&amp;$A$46&amp;"]",FALSE)</f>
        <v>0</v>
      </c>
      <c r="E47" s="124" cm="1">
        <f t="array" aca="1" ref="E47" ca="1">INDIRECT("R[40]C["&amp;$A$46&amp;"]",FALSE)</f>
        <v>76.52100840336135</v>
      </c>
      <c r="F47" s="124" cm="1">
        <f t="array" aca="1" ref="F47" ca="1">INDIRECT("R[40]C["&amp;$A$46&amp;"]",FALSE)</f>
        <v>102.33333333333334</v>
      </c>
      <c r="G47" s="124" cm="1">
        <f t="array" aca="1" ref="G47" ca="1">INDIRECT("R[40]C["&amp;$A$46&amp;"]",FALSE)</f>
        <v>183.06666666666666</v>
      </c>
      <c r="H47" s="124" cm="1">
        <f t="array" aca="1" ref="H47" ca="1">INDIRECT("R[40]C["&amp;$A$46&amp;"]",FALSE)</f>
        <v>193.64</v>
      </c>
      <c r="I47" s="124" cm="1">
        <f t="array" aca="1" ref="I47" ca="1">INDIRECT("R[40]C["&amp;$A$46&amp;"]",FALSE)</f>
        <v>408.41126999157984</v>
      </c>
      <c r="J47" s="124" cm="1">
        <f t="array" aca="1" ref="J47" ca="1">INDIRECT("R[40]C["&amp;$A$46&amp;"]",FALSE)</f>
        <v>441.74460332491321</v>
      </c>
      <c r="K47" s="124" cm="1">
        <f t="array" aca="1" ref="K47" ca="1">INDIRECT("R[40]C["&amp;$A$46&amp;"]",FALSE)</f>
        <v>441.74460332491321</v>
      </c>
      <c r="L47" s="124" cm="1">
        <f t="array" aca="1" ref="L47" ca="1">INDIRECT("R[40]C["&amp;$A$46&amp;"]",FALSE)</f>
        <v>0</v>
      </c>
      <c r="M47" s="124" cm="1">
        <f t="array" aca="1" ref="M47" ca="1">INDIRECT("R[40]C["&amp;$A$46&amp;"]",FALSE)</f>
        <v>0</v>
      </c>
      <c r="N47" s="124" cm="1">
        <f t="array" aca="1" ref="N47" ca="1">INDIRECT("R[40]C["&amp;$A$46&amp;"]",FALSE)</f>
        <v>0</v>
      </c>
      <c r="O47" s="124" cm="1">
        <f t="array" aca="1" ref="O47" ca="1">INDIRECT("R[40]C["&amp;$A$46&amp;"]",FALSE)</f>
        <v>0</v>
      </c>
      <c r="P47" s="124" cm="1">
        <f t="array" aca="1" ref="P47" ca="1">INDIRECT("R[40]C["&amp;$A$46&amp;"]",FALSE)</f>
        <v>0</v>
      </c>
      <c r="Q47" s="125"/>
      <c r="R47" s="128">
        <f ca="1">SUM(D47:P47)</f>
        <v>1847.4614850447676</v>
      </c>
    </row>
    <row r="48" spans="1:19" ht="15.5" x14ac:dyDescent="0.35">
      <c r="A48" s="121">
        <f>A47</f>
        <v>1</v>
      </c>
      <c r="B48" s="123">
        <v>18</v>
      </c>
      <c r="C48" s="123"/>
      <c r="D48" s="124" cm="1">
        <f t="array" aca="1" ref="D48" ca="1">INDIRECT("R[40]C["&amp;$A$46&amp;"]",FALSE)</f>
        <v>0</v>
      </c>
      <c r="E48" s="124" cm="1">
        <f t="array" aca="1" ref="E48" ca="1">INDIRECT("R[40]C["&amp;$A$46&amp;"]",FALSE)</f>
        <v>0</v>
      </c>
      <c r="F48" s="124" cm="1">
        <f t="array" aca="1" ref="F48" ca="1">INDIRECT("R[40]C["&amp;$A$46&amp;"]",FALSE)</f>
        <v>0</v>
      </c>
      <c r="G48" s="124" cm="1">
        <f t="array" aca="1" ref="G48" ca="1">INDIRECT("R[40]C["&amp;$A$46&amp;"]",FALSE)</f>
        <v>0</v>
      </c>
      <c r="H48" s="124" cm="1">
        <f t="array" aca="1" ref="H48" ca="1">INDIRECT("R[40]C["&amp;$A$46&amp;"]",FALSE)</f>
        <v>0</v>
      </c>
      <c r="I48" s="124" cm="1">
        <f t="array" aca="1" ref="I48" ca="1">INDIRECT("R[40]C["&amp;$A$46&amp;"]",FALSE)</f>
        <v>0</v>
      </c>
      <c r="J48" s="124" cm="1">
        <f t="array" aca="1" ref="J48" ca="1">INDIRECT("R[40]C["&amp;$A$46&amp;"]",FALSE)</f>
        <v>0</v>
      </c>
      <c r="K48" s="124" cm="1">
        <f t="array" aca="1" ref="K48" ca="1">INDIRECT("R[40]C["&amp;$A$46&amp;"]",FALSE)</f>
        <v>0</v>
      </c>
      <c r="L48" s="124" cm="1">
        <f t="array" aca="1" ref="L48" ca="1">INDIRECT("R[40]C["&amp;$A$46&amp;"]",FALSE)</f>
        <v>368.12050277076099</v>
      </c>
      <c r="M48" s="124" cm="1">
        <f t="array" aca="1" ref="M48" ca="1">INDIRECT("R[40]C["&amp;$A$46&amp;"]",FALSE)</f>
        <v>368.12050277076099</v>
      </c>
      <c r="N48" s="124" cm="1">
        <f t="array" aca="1" ref="N48" ca="1">INDIRECT("R[40]C["&amp;$A$46&amp;"]",FALSE)</f>
        <v>368.12050277076099</v>
      </c>
      <c r="O48" s="124" cm="1">
        <f t="array" aca="1" ref="O48" ca="1">INDIRECT("R[40]C["&amp;$A$46&amp;"]",FALSE)</f>
        <v>368.12050277076099</v>
      </c>
      <c r="P48" s="124" cm="1">
        <f t="array" aca="1" ref="P48" ca="1">INDIRECT("R[40]C["&amp;$A$46&amp;"]",FALSE)</f>
        <v>368.12050277076099</v>
      </c>
      <c r="Q48" s="125"/>
      <c r="R48" s="128">
        <f ca="1">SUM(D48:P48)</f>
        <v>1840.602513853805</v>
      </c>
      <c r="S48" t="s">
        <v>91</v>
      </c>
    </row>
    <row r="49" spans="1:18" ht="15.5" x14ac:dyDescent="0.35">
      <c r="A49" s="116"/>
      <c r="B49" s="129" t="s">
        <v>351</v>
      </c>
      <c r="C49" s="129"/>
      <c r="D49" s="129"/>
      <c r="E49" s="129"/>
      <c r="F49" s="129"/>
      <c r="G49" s="129"/>
      <c r="H49" s="129"/>
      <c r="I49" s="129"/>
      <c r="J49" s="129"/>
      <c r="K49" s="129"/>
      <c r="L49" s="129"/>
      <c r="M49" s="129"/>
      <c r="N49" s="129"/>
      <c r="O49" s="129"/>
      <c r="P49" s="129"/>
      <c r="Q49" s="129"/>
      <c r="R49" s="130"/>
    </row>
    <row r="50" spans="1:18" ht="15.5" x14ac:dyDescent="0.35">
      <c r="A50" s="121">
        <f>A48</f>
        <v>1</v>
      </c>
      <c r="B50" s="123">
        <v>12</v>
      </c>
      <c r="C50" s="123"/>
      <c r="D50" s="124" cm="1">
        <f t="array" aca="1" ref="D50" ca="1">INDIRECT("R[40]C["&amp;$A$50&amp;"]",FALSE)</f>
        <v>128.30769230769232</v>
      </c>
      <c r="E50" s="124" cm="1">
        <f t="array" aca="1" ref="E50" ca="1">INDIRECT("R[40]C["&amp;$A$50&amp;"]",FALSE)</f>
        <v>785.38461538461547</v>
      </c>
      <c r="F50" s="124" cm="1">
        <f t="array" aca="1" ref="F50" ca="1">INDIRECT("R[40]C["&amp;$A$50&amp;"]",FALSE)</f>
        <v>562.53846153846143</v>
      </c>
      <c r="G50" s="124" cm="1">
        <f t="array" aca="1" ref="G50" ca="1">INDIRECT("R[40]C["&amp;$A$50&amp;"]",FALSE)</f>
        <v>182</v>
      </c>
      <c r="H50" s="124" cm="1">
        <f t="array" aca="1" ref="H50" ca="1">INDIRECT("R[40]C["&amp;$A$50&amp;"]",FALSE)</f>
        <v>0</v>
      </c>
      <c r="I50" s="124" cm="1">
        <f t="array" aca="1" ref="I50" ca="1">INDIRECT("R[40]C["&amp;$A$50&amp;"]",FALSE)</f>
        <v>0</v>
      </c>
      <c r="J50" s="124" cm="1">
        <f t="array" aca="1" ref="J50" ca="1">INDIRECT("R[40]C["&amp;$A$50&amp;"]",FALSE)</f>
        <v>0</v>
      </c>
      <c r="K50" s="124" cm="1">
        <f t="array" aca="1" ref="K50" ca="1">INDIRECT("R[40]C["&amp;$A$50&amp;"]",FALSE)</f>
        <v>0</v>
      </c>
      <c r="L50" s="124" cm="1">
        <f t="array" aca="1" ref="L50" ca="1">INDIRECT("R[40]C["&amp;$A$50&amp;"]",FALSE)</f>
        <v>0</v>
      </c>
      <c r="M50" s="124" cm="1">
        <f t="array" aca="1" ref="M50" ca="1">INDIRECT("R[40]C["&amp;$A$50&amp;"]",FALSE)</f>
        <v>0</v>
      </c>
      <c r="N50" s="124" cm="1">
        <f t="array" aca="1" ref="N50" ca="1">INDIRECT("R[40]C["&amp;$A$50&amp;"]",FALSE)</f>
        <v>0</v>
      </c>
      <c r="O50" s="124" cm="1">
        <f t="array" aca="1" ref="O50" ca="1">INDIRECT("R[40]C["&amp;$A$50&amp;"]",FALSE)</f>
        <v>0</v>
      </c>
      <c r="P50" s="124" cm="1">
        <f t="array" aca="1" ref="P50" ca="1">INDIRECT("R[40]C["&amp;$A$50&amp;"]",FALSE)</f>
        <v>0</v>
      </c>
      <c r="Q50" s="126"/>
      <c r="R50" s="128">
        <f ca="1">SUM(D50:P50)</f>
        <v>1658.2307692307693</v>
      </c>
    </row>
    <row r="51" spans="1:18" ht="15.5" x14ac:dyDescent="0.35">
      <c r="A51" s="121">
        <f>A50</f>
        <v>1</v>
      </c>
      <c r="B51" s="123">
        <v>15</v>
      </c>
      <c r="C51" s="123"/>
      <c r="D51" s="124" cm="1">
        <f t="array" aca="1" ref="D51" ca="1">INDIRECT("R[40]C["&amp;$A$50&amp;"]",FALSE)</f>
        <v>0</v>
      </c>
      <c r="E51" s="124" cm="1">
        <f t="array" aca="1" ref="E51" ca="1">INDIRECT("R[40]C["&amp;$A$50&amp;"]",FALSE)</f>
        <v>229.56302521008405</v>
      </c>
      <c r="F51" s="124" cm="1">
        <f t="array" aca="1" ref="F51" ca="1">INDIRECT("R[40]C["&amp;$A$50&amp;"]",FALSE)</f>
        <v>307</v>
      </c>
      <c r="G51" s="124" cm="1">
        <f t="array" aca="1" ref="G51" ca="1">INDIRECT("R[40]C["&amp;$A$50&amp;"]",FALSE)</f>
        <v>549.20000000000005</v>
      </c>
      <c r="H51" s="124" cm="1">
        <f t="array" aca="1" ref="H51" ca="1">INDIRECT("R[40]C["&amp;$A$50&amp;"]",FALSE)</f>
        <v>580.91999999999996</v>
      </c>
      <c r="I51" s="124" cm="1">
        <f t="array" aca="1" ref="I51" ca="1">INDIRECT("R[40]C["&amp;$A$50&amp;"]",FALSE)</f>
        <v>1225.2338099747394</v>
      </c>
      <c r="J51" s="124" cm="1">
        <f t="array" aca="1" ref="J51" ca="1">INDIRECT("R[40]C["&amp;$A$50&amp;"]",FALSE)</f>
        <v>1325.2338099747396</v>
      </c>
      <c r="K51" s="124" cm="1">
        <f t="array" aca="1" ref="K51" ca="1">INDIRECT("R[40]C["&amp;$A$50&amp;"]",FALSE)</f>
        <v>1325.2338099747396</v>
      </c>
      <c r="L51" s="124" cm="1">
        <f t="array" aca="1" ref="L51" ca="1">INDIRECT("R[40]C["&amp;$A$50&amp;"]",FALSE)</f>
        <v>0</v>
      </c>
      <c r="M51" s="124" cm="1">
        <f t="array" aca="1" ref="M51" ca="1">INDIRECT("R[40]C["&amp;$A$50&amp;"]",FALSE)</f>
        <v>0</v>
      </c>
      <c r="N51" s="124" cm="1">
        <f t="array" aca="1" ref="N51" ca="1">INDIRECT("R[40]C["&amp;$A$50&amp;"]",FALSE)</f>
        <v>0</v>
      </c>
      <c r="O51" s="124" cm="1">
        <f t="array" aca="1" ref="O51" ca="1">INDIRECT("R[40]C["&amp;$A$50&amp;"]",FALSE)</f>
        <v>0</v>
      </c>
      <c r="P51" s="124" cm="1">
        <f t="array" aca="1" ref="P51" ca="1">INDIRECT("R[40]C["&amp;$A$50&amp;"]",FALSE)</f>
        <v>0</v>
      </c>
      <c r="Q51" s="126"/>
      <c r="R51" s="128">
        <f ca="1">SUM(D51:P51)</f>
        <v>5542.3844551343027</v>
      </c>
    </row>
    <row r="52" spans="1:18" ht="15.5" x14ac:dyDescent="0.35">
      <c r="A52" s="121">
        <f>A51</f>
        <v>1</v>
      </c>
      <c r="B52" s="123">
        <v>18</v>
      </c>
      <c r="C52" s="123"/>
      <c r="D52" s="124" cm="1">
        <f t="array" aca="1" ref="D52" ca="1">INDIRECT("R[40]C["&amp;$A$50&amp;"]",FALSE)</f>
        <v>0</v>
      </c>
      <c r="E52" s="124" cm="1">
        <f t="array" aca="1" ref="E52" ca="1">INDIRECT("R[40]C["&amp;$A$50&amp;"]",FALSE)</f>
        <v>0</v>
      </c>
      <c r="F52" s="124" cm="1">
        <f t="array" aca="1" ref="F52" ca="1">INDIRECT("R[40]C["&amp;$A$50&amp;"]",FALSE)</f>
        <v>0</v>
      </c>
      <c r="G52" s="124" cm="1">
        <f t="array" aca="1" ref="G52" ca="1">INDIRECT("R[40]C["&amp;$A$50&amp;"]",FALSE)</f>
        <v>0</v>
      </c>
      <c r="H52" s="124" cm="1">
        <f t="array" aca="1" ref="H52" ca="1">INDIRECT("R[40]C["&amp;$A$50&amp;"]",FALSE)</f>
        <v>0</v>
      </c>
      <c r="I52" s="124" cm="1">
        <f t="array" aca="1" ref="I52" ca="1">INDIRECT("R[40]C["&amp;$A$50&amp;"]",FALSE)</f>
        <v>0</v>
      </c>
      <c r="J52" s="124" cm="1">
        <f t="array" aca="1" ref="J52" ca="1">INDIRECT("R[40]C["&amp;$A$50&amp;"]",FALSE)</f>
        <v>0</v>
      </c>
      <c r="K52" s="124" cm="1">
        <f t="array" aca="1" ref="K52" ca="1">INDIRECT("R[40]C["&amp;$A$50&amp;"]",FALSE)</f>
        <v>0</v>
      </c>
      <c r="L52" s="124" cm="1">
        <f t="array" aca="1" ref="L52" ca="1">INDIRECT("R[40]C["&amp;$A$50&amp;"]",FALSE)</f>
        <v>1104.3615083122829</v>
      </c>
      <c r="M52" s="124" cm="1">
        <f t="array" aca="1" ref="M52" ca="1">INDIRECT("R[40]C["&amp;$A$50&amp;"]",FALSE)</f>
        <v>1104.3615083122829</v>
      </c>
      <c r="N52" s="124" cm="1">
        <f t="array" aca="1" ref="N52" ca="1">INDIRECT("R[40]C["&amp;$A$50&amp;"]",FALSE)</f>
        <v>1104.3615083122829</v>
      </c>
      <c r="O52" s="124" cm="1">
        <f t="array" aca="1" ref="O52" ca="1">INDIRECT("R[40]C["&amp;$A$50&amp;"]",FALSE)</f>
        <v>1104.3615083122829</v>
      </c>
      <c r="P52" s="124" cm="1">
        <f t="array" aca="1" ref="P52" ca="1">INDIRECT("R[40]C["&amp;$A$50&amp;"]",FALSE)</f>
        <v>1104.3615083122829</v>
      </c>
      <c r="Q52" s="126"/>
      <c r="R52" s="128">
        <f ca="1">SUM(D52:P52)</f>
        <v>5521.8075415614148</v>
      </c>
    </row>
    <row r="53" spans="1:18" ht="15.5" x14ac:dyDescent="0.35">
      <c r="A53" s="116"/>
      <c r="B53" s="129" t="s">
        <v>114</v>
      </c>
      <c r="C53" s="129"/>
      <c r="D53" s="129"/>
      <c r="E53" s="129"/>
      <c r="F53" s="129"/>
      <c r="G53" s="129"/>
      <c r="H53" s="129"/>
      <c r="I53" s="129"/>
      <c r="J53" s="129"/>
      <c r="K53" s="129"/>
      <c r="L53" s="129"/>
      <c r="M53" s="129"/>
      <c r="N53" s="129"/>
      <c r="O53" s="129"/>
      <c r="P53" s="129"/>
      <c r="Q53" s="129"/>
      <c r="R53" s="130"/>
    </row>
    <row r="54" spans="1:18" ht="15.5" x14ac:dyDescent="0.35">
      <c r="A54" s="121">
        <f>A52</f>
        <v>1</v>
      </c>
      <c r="B54" s="123">
        <v>12</v>
      </c>
      <c r="C54" s="123"/>
      <c r="D54" s="124" cm="1">
        <f t="array" aca="1" ref="D54" ca="1">INDIRECT("R[40]C["&amp;$A$46&amp;"]",FALSE)</f>
        <v>42.769230769230774</v>
      </c>
      <c r="E54" s="124" cm="1">
        <f t="array" aca="1" ref="E54" ca="1">INDIRECT("R[40]C["&amp;$A$46&amp;"]",FALSE)</f>
        <v>261.79487179487182</v>
      </c>
      <c r="F54" s="124" cm="1">
        <f t="array" aca="1" ref="F54" ca="1">INDIRECT("R[40]C["&amp;$A$46&amp;"]",FALSE)</f>
        <v>187.5128205128205</v>
      </c>
      <c r="G54" s="124" cm="1">
        <f t="array" aca="1" ref="G54" ca="1">INDIRECT("R[40]C["&amp;$A$46&amp;"]",FALSE)</f>
        <v>60.666666666666664</v>
      </c>
      <c r="H54" s="124" cm="1">
        <f t="array" aca="1" ref="H54" ca="1">INDIRECT("R[40]C["&amp;$A$46&amp;"]",FALSE)</f>
        <v>0</v>
      </c>
      <c r="I54" s="124" cm="1">
        <f t="array" aca="1" ref="I54" ca="1">INDIRECT("R[40]C["&amp;$A$46&amp;"]",FALSE)</f>
        <v>0</v>
      </c>
      <c r="J54" s="124" cm="1">
        <f t="array" aca="1" ref="J54" ca="1">INDIRECT("R[40]C["&amp;$A$46&amp;"]",FALSE)</f>
        <v>0</v>
      </c>
      <c r="K54" s="124" cm="1">
        <f t="array" aca="1" ref="K54" ca="1">INDIRECT("R[40]C["&amp;$A$46&amp;"]",FALSE)</f>
        <v>0</v>
      </c>
      <c r="L54" s="124" cm="1">
        <f t="array" aca="1" ref="L54" ca="1">INDIRECT("R[40]C["&amp;$A$46&amp;"]",FALSE)</f>
        <v>0</v>
      </c>
      <c r="M54" s="124" cm="1">
        <f t="array" aca="1" ref="M54" ca="1">INDIRECT("R[40]C["&amp;$A$46&amp;"]",FALSE)</f>
        <v>0</v>
      </c>
      <c r="N54" s="124" cm="1">
        <f t="array" aca="1" ref="N54" ca="1">INDIRECT("R[40]C["&amp;$A$46&amp;"]",FALSE)</f>
        <v>0</v>
      </c>
      <c r="O54" s="124" cm="1">
        <f t="array" aca="1" ref="O54" ca="1">INDIRECT("R[40]C["&amp;$A$46&amp;"]",FALSE)</f>
        <v>0</v>
      </c>
      <c r="P54" s="124" cm="1">
        <f t="array" aca="1" ref="P54" ca="1">INDIRECT("R[40]C["&amp;$A$46&amp;"]",FALSE)</f>
        <v>0</v>
      </c>
      <c r="Q54" s="123"/>
      <c r="R54" s="128">
        <f ca="1">SUM(D54:P54)</f>
        <v>552.74358974358972</v>
      </c>
    </row>
    <row r="55" spans="1:18" ht="15.5" x14ac:dyDescent="0.35">
      <c r="A55" s="121">
        <f>A54</f>
        <v>1</v>
      </c>
      <c r="B55" s="123">
        <v>15</v>
      </c>
      <c r="C55" s="123"/>
      <c r="D55" s="124" cm="1">
        <f t="array" aca="1" ref="D55" ca="1">INDIRECT("R[40]C["&amp;$A$46&amp;"]",FALSE)</f>
        <v>0</v>
      </c>
      <c r="E55" s="124" cm="1">
        <f t="array" aca="1" ref="E55" ca="1">INDIRECT("R[40]C["&amp;$A$46&amp;"]",FALSE)</f>
        <v>76.52100840336135</v>
      </c>
      <c r="F55" s="124" cm="1">
        <f t="array" aca="1" ref="F55" ca="1">INDIRECT("R[40]C["&amp;$A$46&amp;"]",FALSE)</f>
        <v>102.33333333333334</v>
      </c>
      <c r="G55" s="124" cm="1">
        <f t="array" aca="1" ref="G55" ca="1">INDIRECT("R[40]C["&amp;$A$46&amp;"]",FALSE)</f>
        <v>183.06666666666666</v>
      </c>
      <c r="H55" s="124" cm="1">
        <f t="array" aca="1" ref="H55" ca="1">INDIRECT("R[40]C["&amp;$A$46&amp;"]",FALSE)</f>
        <v>193.64</v>
      </c>
      <c r="I55" s="124" cm="1">
        <f t="array" aca="1" ref="I55" ca="1">INDIRECT("R[40]C["&amp;$A$46&amp;"]",FALSE)</f>
        <v>408.41126999157984</v>
      </c>
      <c r="J55" s="124" cm="1">
        <f t="array" aca="1" ref="J55" ca="1">INDIRECT("R[40]C["&amp;$A$46&amp;"]",FALSE)</f>
        <v>441.74460332491321</v>
      </c>
      <c r="K55" s="124" cm="1">
        <f t="array" aca="1" ref="K55" ca="1">INDIRECT("R[40]C["&amp;$A$46&amp;"]",FALSE)</f>
        <v>441.74460332491321</v>
      </c>
      <c r="L55" s="124" cm="1">
        <f t="array" aca="1" ref="L55" ca="1">INDIRECT("R[40]C["&amp;$A$46&amp;"]",FALSE)</f>
        <v>0</v>
      </c>
      <c r="M55" s="124" cm="1">
        <f t="array" aca="1" ref="M55" ca="1">INDIRECT("R[40]C["&amp;$A$46&amp;"]",FALSE)</f>
        <v>0</v>
      </c>
      <c r="N55" s="124" cm="1">
        <f t="array" aca="1" ref="N55" ca="1">INDIRECT("R[40]C["&amp;$A$46&amp;"]",FALSE)</f>
        <v>0</v>
      </c>
      <c r="O55" s="124" cm="1">
        <f t="array" aca="1" ref="O55" ca="1">INDIRECT("R[40]C["&amp;$A$46&amp;"]",FALSE)</f>
        <v>0</v>
      </c>
      <c r="P55" s="124" cm="1">
        <f t="array" aca="1" ref="P55" ca="1">INDIRECT("R[40]C["&amp;$A$46&amp;"]",FALSE)</f>
        <v>0</v>
      </c>
      <c r="Q55" s="123"/>
      <c r="R55" s="128">
        <f ca="1">SUM(D55:P55)</f>
        <v>1847.4614850447676</v>
      </c>
    </row>
    <row r="56" spans="1:18" ht="15.5" x14ac:dyDescent="0.35">
      <c r="A56" s="121">
        <f>A55</f>
        <v>1</v>
      </c>
      <c r="B56" s="123">
        <v>18</v>
      </c>
      <c r="C56" s="123"/>
      <c r="D56" s="124" cm="1">
        <f t="array" aca="1" ref="D56" ca="1">INDIRECT("R[40]C["&amp;$A$46&amp;"]",FALSE)</f>
        <v>0</v>
      </c>
      <c r="E56" s="124" cm="1">
        <f t="array" aca="1" ref="E56" ca="1">INDIRECT("R[40]C["&amp;$A$46&amp;"]",FALSE)</f>
        <v>0</v>
      </c>
      <c r="F56" s="124" cm="1">
        <f t="array" aca="1" ref="F56" ca="1">INDIRECT("R[40]C["&amp;$A$46&amp;"]",FALSE)</f>
        <v>0</v>
      </c>
      <c r="G56" s="124" cm="1">
        <f t="array" aca="1" ref="G56" ca="1">INDIRECT("R[40]C["&amp;$A$46&amp;"]",FALSE)</f>
        <v>0</v>
      </c>
      <c r="H56" s="124" cm="1">
        <f t="array" aca="1" ref="H56" ca="1">INDIRECT("R[40]C["&amp;$A$46&amp;"]",FALSE)</f>
        <v>0</v>
      </c>
      <c r="I56" s="124" cm="1">
        <f t="array" aca="1" ref="I56" ca="1">INDIRECT("R[40]C["&amp;$A$46&amp;"]",FALSE)</f>
        <v>0</v>
      </c>
      <c r="J56" s="124" cm="1">
        <f t="array" aca="1" ref="J56" ca="1">INDIRECT("R[40]C["&amp;$A$46&amp;"]",FALSE)</f>
        <v>0</v>
      </c>
      <c r="K56" s="124" cm="1">
        <f t="array" aca="1" ref="K56" ca="1">INDIRECT("R[40]C["&amp;$A$46&amp;"]",FALSE)</f>
        <v>0</v>
      </c>
      <c r="L56" s="124" cm="1">
        <f t="array" aca="1" ref="L56" ca="1">INDIRECT("R[40]C["&amp;$A$46&amp;"]",FALSE)</f>
        <v>368.12050277076099</v>
      </c>
      <c r="M56" s="124" cm="1">
        <f t="array" aca="1" ref="M56" ca="1">INDIRECT("R[40]C["&amp;$A$46&amp;"]",FALSE)</f>
        <v>368.12050277076099</v>
      </c>
      <c r="N56" s="124" cm="1">
        <f t="array" aca="1" ref="N56" ca="1">INDIRECT("R[40]C["&amp;$A$46&amp;"]",FALSE)</f>
        <v>368.12050277076099</v>
      </c>
      <c r="O56" s="124" cm="1">
        <f t="array" aca="1" ref="O56" ca="1">INDIRECT("R[40]C["&amp;$A$46&amp;"]",FALSE)</f>
        <v>368.12050277076099</v>
      </c>
      <c r="P56" s="124" cm="1">
        <f t="array" aca="1" ref="P56" ca="1">INDIRECT("R[40]C["&amp;$A$46&amp;"]",FALSE)</f>
        <v>368.12050277076099</v>
      </c>
      <c r="Q56" s="123"/>
      <c r="R56" s="128">
        <f ca="1">SUM(D56:P56)</f>
        <v>1840.602513853805</v>
      </c>
    </row>
    <row r="57" spans="1:18" ht="15.5" x14ac:dyDescent="0.35">
      <c r="A57" s="116"/>
      <c r="B57" s="129" t="s">
        <v>352</v>
      </c>
      <c r="C57" s="129"/>
      <c r="D57" s="129"/>
      <c r="E57" s="129"/>
      <c r="F57" s="129"/>
      <c r="G57" s="129"/>
      <c r="H57" s="129"/>
      <c r="I57" s="129"/>
      <c r="J57" s="129"/>
      <c r="K57" s="129"/>
      <c r="L57" s="129"/>
      <c r="M57" s="129"/>
      <c r="N57" s="129"/>
      <c r="O57" s="129"/>
      <c r="P57" s="129"/>
      <c r="Q57" s="129"/>
      <c r="R57" s="130"/>
    </row>
    <row r="58" spans="1:18" ht="15.5" x14ac:dyDescent="0.35">
      <c r="A58" s="121">
        <f>A56</f>
        <v>1</v>
      </c>
      <c r="B58" s="123">
        <v>12</v>
      </c>
      <c r="C58" s="123"/>
      <c r="D58" s="124" cm="1">
        <f t="array" aca="1" ref="D58" ca="1">INDIRECT("R[40]C["&amp;$A$58&amp;"]",FALSE)</f>
        <v>42.769230769230774</v>
      </c>
      <c r="E58" s="124" cm="1">
        <f t="array" aca="1" ref="E58" ca="1">INDIRECT("R[40]C["&amp;$A$58&amp;"]",FALSE)</f>
        <v>261.79487179487182</v>
      </c>
      <c r="F58" s="124" cm="1">
        <f t="array" aca="1" ref="F58" ca="1">INDIRECT("R[40]C["&amp;$A$58&amp;"]",FALSE)</f>
        <v>187.5128205128205</v>
      </c>
      <c r="G58" s="124" cm="1">
        <f t="array" aca="1" ref="G58" ca="1">INDIRECT("R[40]C["&amp;$A$58&amp;"]",FALSE)</f>
        <v>60.666666666666664</v>
      </c>
      <c r="H58" s="124" cm="1">
        <f t="array" aca="1" ref="H58" ca="1">INDIRECT("R[40]C["&amp;$A$58&amp;"]",FALSE)</f>
        <v>0</v>
      </c>
      <c r="I58" s="124" cm="1">
        <f t="array" aca="1" ref="I58" ca="1">INDIRECT("R[40]C["&amp;$A$58&amp;"]",FALSE)</f>
        <v>0</v>
      </c>
      <c r="J58" s="124" cm="1">
        <f t="array" aca="1" ref="J58" ca="1">INDIRECT("R[40]C["&amp;$A$58&amp;"]",FALSE)</f>
        <v>0</v>
      </c>
      <c r="K58" s="124" cm="1">
        <f t="array" aca="1" ref="K58" ca="1">INDIRECT("R[40]C["&amp;$A$58&amp;"]",FALSE)</f>
        <v>0</v>
      </c>
      <c r="L58" s="124" cm="1">
        <f t="array" aca="1" ref="L58" ca="1">INDIRECT("R[40]C["&amp;$A$58&amp;"]",FALSE)</f>
        <v>0</v>
      </c>
      <c r="M58" s="124" cm="1">
        <f t="array" aca="1" ref="M58" ca="1">INDIRECT("R[40]C["&amp;$A$58&amp;"]",FALSE)</f>
        <v>0</v>
      </c>
      <c r="N58" s="124" cm="1">
        <f t="array" aca="1" ref="N58" ca="1">INDIRECT("R[40]C["&amp;$A$58&amp;"]",FALSE)</f>
        <v>0</v>
      </c>
      <c r="O58" s="124" cm="1">
        <f t="array" aca="1" ref="O58" ca="1">INDIRECT("R[40]C["&amp;$A$58&amp;"]",FALSE)</f>
        <v>0</v>
      </c>
      <c r="P58" s="124" cm="1">
        <f t="array" aca="1" ref="P58" ca="1">INDIRECT("R[40]C["&amp;$A$58&amp;"]",FALSE)</f>
        <v>0</v>
      </c>
      <c r="Q58" s="125"/>
      <c r="R58" s="128">
        <f ca="1">SUM(D58:P58)</f>
        <v>552.74358974358972</v>
      </c>
    </row>
    <row r="59" spans="1:18" ht="15.5" x14ac:dyDescent="0.35">
      <c r="A59" s="121">
        <f>A56</f>
        <v>1</v>
      </c>
      <c r="B59" s="123">
        <v>15</v>
      </c>
      <c r="C59" s="123"/>
      <c r="D59" s="124" cm="1">
        <f t="array" aca="1" ref="D59" ca="1">INDIRECT("R[40]C["&amp;$A$58&amp;"]",FALSE)</f>
        <v>0</v>
      </c>
      <c r="E59" s="124" cm="1">
        <f t="array" aca="1" ref="E59" ca="1">INDIRECT("R[40]C["&amp;$A$58&amp;"]",FALSE)</f>
        <v>76.52100840336135</v>
      </c>
      <c r="F59" s="124" cm="1">
        <f t="array" aca="1" ref="F59" ca="1">INDIRECT("R[40]C["&amp;$A$58&amp;"]",FALSE)</f>
        <v>102.33333333333334</v>
      </c>
      <c r="G59" s="124" cm="1">
        <f t="array" aca="1" ref="G59" ca="1">INDIRECT("R[40]C["&amp;$A$58&amp;"]",FALSE)</f>
        <v>183.06666666666666</v>
      </c>
      <c r="H59" s="124" cm="1">
        <f t="array" aca="1" ref="H59" ca="1">INDIRECT("R[40]C["&amp;$A$58&amp;"]",FALSE)</f>
        <v>193.64</v>
      </c>
      <c r="I59" s="124" cm="1">
        <f t="array" aca="1" ref="I59" ca="1">INDIRECT("R[40]C["&amp;$A$58&amp;"]",FALSE)</f>
        <v>408.41126999157984</v>
      </c>
      <c r="J59" s="124" cm="1">
        <f t="array" aca="1" ref="J59" ca="1">INDIRECT("R[40]C["&amp;$A$58&amp;"]",FALSE)</f>
        <v>441.74460332491321</v>
      </c>
      <c r="K59" s="124" cm="1">
        <f t="array" aca="1" ref="K59" ca="1">INDIRECT("R[40]C["&amp;$A$58&amp;"]",FALSE)</f>
        <v>441.74460332491321</v>
      </c>
      <c r="L59" s="124" cm="1">
        <f t="array" aca="1" ref="L59" ca="1">INDIRECT("R[40]C["&amp;$A$58&amp;"]",FALSE)</f>
        <v>0</v>
      </c>
      <c r="M59" s="124" cm="1">
        <f t="array" aca="1" ref="M59" ca="1">INDIRECT("R[40]C["&amp;$A$58&amp;"]",FALSE)</f>
        <v>0</v>
      </c>
      <c r="N59" s="124" cm="1">
        <f t="array" aca="1" ref="N59" ca="1">INDIRECT("R[40]C["&amp;$A$58&amp;"]",FALSE)</f>
        <v>0</v>
      </c>
      <c r="O59" s="124" cm="1">
        <f t="array" aca="1" ref="O59" ca="1">INDIRECT("R[40]C["&amp;$A$58&amp;"]",FALSE)</f>
        <v>0</v>
      </c>
      <c r="P59" s="124" cm="1">
        <f t="array" aca="1" ref="P59" ca="1">INDIRECT("R[40]C["&amp;$A$58&amp;"]",FALSE)</f>
        <v>0</v>
      </c>
      <c r="Q59" s="125"/>
      <c r="R59" s="128">
        <f ca="1">SUM(D59:P59)</f>
        <v>1847.4614850447676</v>
      </c>
    </row>
    <row r="60" spans="1:18" ht="15.5" x14ac:dyDescent="0.35">
      <c r="A60" s="121">
        <f>A56</f>
        <v>1</v>
      </c>
      <c r="B60" s="123">
        <v>18</v>
      </c>
      <c r="C60" s="123"/>
      <c r="D60" s="124" cm="1">
        <f t="array" aca="1" ref="D60" ca="1">INDIRECT("R[40]C["&amp;$A$58&amp;"]",FALSE)</f>
        <v>0</v>
      </c>
      <c r="E60" s="124" cm="1">
        <f t="array" aca="1" ref="E60" ca="1">INDIRECT("R[40]C["&amp;$A$58&amp;"]",FALSE)</f>
        <v>0</v>
      </c>
      <c r="F60" s="124" cm="1">
        <f t="array" aca="1" ref="F60" ca="1">INDIRECT("R[40]C["&amp;$A$58&amp;"]",FALSE)</f>
        <v>0</v>
      </c>
      <c r="G60" s="124" cm="1">
        <f t="array" aca="1" ref="G60" ca="1">INDIRECT("R[40]C["&amp;$A$58&amp;"]",FALSE)</f>
        <v>0</v>
      </c>
      <c r="H60" s="124" cm="1">
        <f t="array" aca="1" ref="H60" ca="1">INDIRECT("R[40]C["&amp;$A$58&amp;"]",FALSE)</f>
        <v>0</v>
      </c>
      <c r="I60" s="124" cm="1">
        <f t="array" aca="1" ref="I60" ca="1">INDIRECT("R[40]C["&amp;$A$58&amp;"]",FALSE)</f>
        <v>0</v>
      </c>
      <c r="J60" s="124" cm="1">
        <f t="array" aca="1" ref="J60" ca="1">INDIRECT("R[40]C["&amp;$A$58&amp;"]",FALSE)</f>
        <v>0</v>
      </c>
      <c r="K60" s="124" cm="1">
        <f t="array" aca="1" ref="K60" ca="1">INDIRECT("R[40]C["&amp;$A$58&amp;"]",FALSE)</f>
        <v>0</v>
      </c>
      <c r="L60" s="124" cm="1">
        <f t="array" aca="1" ref="L60" ca="1">INDIRECT("R[40]C["&amp;$A$58&amp;"]",FALSE)</f>
        <v>368.12050277076099</v>
      </c>
      <c r="M60" s="124" cm="1">
        <f t="array" aca="1" ref="M60" ca="1">INDIRECT("R[40]C["&amp;$A$58&amp;"]",FALSE)</f>
        <v>368.12050277076099</v>
      </c>
      <c r="N60" s="124" cm="1">
        <f t="array" aca="1" ref="N60" ca="1">INDIRECT("R[40]C["&amp;$A$58&amp;"]",FALSE)</f>
        <v>368.12050277076099</v>
      </c>
      <c r="O60" s="124" cm="1">
        <f t="array" aca="1" ref="O60" ca="1">INDIRECT("R[40]C["&amp;$A$58&amp;"]",FALSE)</f>
        <v>368.12050277076099</v>
      </c>
      <c r="P60" s="124" cm="1">
        <f t="array" aca="1" ref="P60" ca="1">INDIRECT("R[40]C["&amp;$A$58&amp;"]",FALSE)</f>
        <v>368.12050277076099</v>
      </c>
      <c r="Q60" s="125"/>
      <c r="R60" s="128">
        <f ca="1">SUM(D60:P60)</f>
        <v>1840.602513853805</v>
      </c>
    </row>
    <row r="61" spans="1:18" ht="15.5" x14ac:dyDescent="0.35">
      <c r="A61" s="116"/>
      <c r="B61" s="129" t="s">
        <v>116</v>
      </c>
      <c r="C61" s="129"/>
      <c r="D61" s="129"/>
      <c r="E61" s="129"/>
      <c r="F61" s="129"/>
      <c r="G61" s="129"/>
      <c r="H61" s="129"/>
      <c r="I61" s="129"/>
      <c r="J61" s="129"/>
      <c r="K61" s="129"/>
      <c r="L61" s="129"/>
      <c r="M61" s="129"/>
      <c r="N61" s="129"/>
      <c r="O61" s="129"/>
      <c r="P61" s="129"/>
      <c r="Q61" s="129"/>
      <c r="R61" s="130"/>
    </row>
    <row r="62" spans="1:18" ht="15.5" x14ac:dyDescent="0.35">
      <c r="A62" s="121">
        <f>A60</f>
        <v>1</v>
      </c>
      <c r="B62" s="125" t="s">
        <v>257</v>
      </c>
      <c r="C62" s="125"/>
      <c r="D62" s="124" cm="1">
        <f t="array" aca="1" ref="D62" ca="1">INDIRECT("R[40]C["&amp;$A$62&amp;"]",FALSE)</f>
        <v>32.769230769230774</v>
      </c>
      <c r="E62" s="124" cm="1">
        <f t="array" aca="1" ref="E62" ca="1">INDIRECT("R[40]C["&amp;$A$62&amp;"]",FALSE)</f>
        <v>229.49353587588882</v>
      </c>
      <c r="F62" s="124" cm="1">
        <f t="array" aca="1" ref="F62" ca="1">INDIRECT("R[40]C["&amp;$A$62&amp;"]",FALSE)</f>
        <v>179.50641025641025</v>
      </c>
      <c r="G62" s="124" cm="1">
        <f t="array" aca="1" ref="G62" ca="1">INDIRECT("R[40]C["&amp;$A$62&amp;"]",FALSE)</f>
        <v>160.73333333333332</v>
      </c>
      <c r="H62" s="124" cm="1">
        <f t="array" aca="1" ref="H62" ca="1">INDIRECT("R[40]C["&amp;$A$62&amp;"]",FALSE)</f>
        <v>97.213333333333338</v>
      </c>
      <c r="I62" s="124" cm="1">
        <f t="array" aca="1" ref="I62" ca="1">INDIRECT("R[40]C["&amp;$A$62&amp;"]",FALSE)</f>
        <v>226.77599949362576</v>
      </c>
      <c r="J62" s="124" cm="1">
        <f t="array" aca="1" ref="J62" ca="1">INDIRECT("R[40]C["&amp;$A$62&amp;"]",FALSE)</f>
        <v>226.77599949362576</v>
      </c>
      <c r="K62" s="124" cm="1">
        <f t="array" aca="1" ref="K62" ca="1">INDIRECT("R[40]C["&amp;$A$62&amp;"]",FALSE)</f>
        <v>226.77599949362576</v>
      </c>
      <c r="L62" s="124" cm="1">
        <f t="array" aca="1" ref="L62" ca="1">INDIRECT("R[40]C["&amp;$A$62&amp;"]",FALSE)</f>
        <v>226.77599949362576</v>
      </c>
      <c r="M62" s="124" cm="1">
        <f t="array" aca="1" ref="M62" ca="1">INDIRECT("R[40]C["&amp;$A$62&amp;"]",FALSE)</f>
        <v>226.77599949362576</v>
      </c>
      <c r="N62" s="124" cm="1">
        <f t="array" aca="1" ref="N62" ca="1">INDIRECT("R[40]C["&amp;$A$62&amp;"]",FALSE)</f>
        <v>226.77599949362576</v>
      </c>
      <c r="O62" s="124" cm="1">
        <f t="array" aca="1" ref="O62" ca="1">INDIRECT("R[40]C["&amp;$A$62&amp;"]",FALSE)</f>
        <v>226.77599949362576</v>
      </c>
      <c r="P62" s="124" cm="1">
        <f t="array" aca="1" ref="P62" ca="1">INDIRECT("R[40]C["&amp;$A$62&amp;"]",FALSE)</f>
        <v>226.77599949362576</v>
      </c>
      <c r="Q62" s="124"/>
      <c r="R62" s="128">
        <f t="shared" ref="R62" ca="1" si="2">SUM(D62:Q62)</f>
        <v>2513.9238395172029</v>
      </c>
    </row>
    <row r="63" spans="1:18" ht="15.5" x14ac:dyDescent="0.35">
      <c r="A63" s="121">
        <f>A60</f>
        <v>1</v>
      </c>
      <c r="B63" s="125" t="s">
        <v>258</v>
      </c>
      <c r="C63" s="125"/>
      <c r="D63" s="124" cm="1">
        <f t="array" aca="1" ref="D63" ca="1">INDIRECT("R[40]C["&amp;$A$62&amp;"]",FALSE)</f>
        <v>32.769230769230774</v>
      </c>
      <c r="E63" s="124" cm="1">
        <f t="array" aca="1" ref="E63" ca="1">INDIRECT("R[40]C["&amp;$A$62&amp;"]",FALSE)</f>
        <v>229.49353587588882</v>
      </c>
      <c r="F63" s="124" cm="1">
        <f t="array" aca="1" ref="F63" ca="1">INDIRECT("R[40]C["&amp;$A$62&amp;"]",FALSE)</f>
        <v>179.50641025641025</v>
      </c>
      <c r="G63" s="124" cm="1">
        <f t="array" aca="1" ref="G63" ca="1">INDIRECT("R[40]C["&amp;$A$62&amp;"]",FALSE)</f>
        <v>160.73333333333332</v>
      </c>
      <c r="H63" s="124" cm="1">
        <f t="array" aca="1" ref="H63" ca="1">INDIRECT("R[40]C["&amp;$A$62&amp;"]",FALSE)</f>
        <v>97.213333333333338</v>
      </c>
      <c r="I63" s="124" cm="1">
        <f t="array" aca="1" ref="I63" ca="1">INDIRECT("R[40]C["&amp;$A$62&amp;"]",FALSE)</f>
        <v>226.77599949362576</v>
      </c>
      <c r="J63" s="124" cm="1">
        <f t="array" aca="1" ref="J63" ca="1">INDIRECT("R[40]C["&amp;$A$62&amp;"]",FALSE)</f>
        <v>226.77599949362576</v>
      </c>
      <c r="K63" s="124" cm="1">
        <f t="array" aca="1" ref="K63" ca="1">INDIRECT("R[40]C["&amp;$A$62&amp;"]",FALSE)</f>
        <v>226.77599949362576</v>
      </c>
      <c r="L63" s="124" cm="1">
        <f t="array" aca="1" ref="L63" ca="1">INDIRECT("R[40]C["&amp;$A$62&amp;"]",FALSE)</f>
        <v>226.77599949362576</v>
      </c>
      <c r="M63" s="124" cm="1">
        <f t="array" aca="1" ref="M63" ca="1">INDIRECT("R[40]C["&amp;$A$62&amp;"]",FALSE)</f>
        <v>226.77599949362576</v>
      </c>
      <c r="N63" s="124" cm="1">
        <f t="array" aca="1" ref="N63" ca="1">INDIRECT("R[40]C["&amp;$A$62&amp;"]",FALSE)</f>
        <v>226.77599949362576</v>
      </c>
      <c r="O63" s="124" cm="1">
        <f t="array" aca="1" ref="O63" ca="1">INDIRECT("R[40]C["&amp;$A$62&amp;"]",FALSE)</f>
        <v>226.77599949362576</v>
      </c>
      <c r="P63" s="124" cm="1">
        <f t="array" aca="1" ref="P63" ca="1">INDIRECT("R[40]C["&amp;$A$62&amp;"]",FALSE)</f>
        <v>226.77599949362576</v>
      </c>
      <c r="Q63" s="124"/>
      <c r="R63" s="128"/>
    </row>
    <row r="64" spans="1:18" ht="15.5" x14ac:dyDescent="0.35">
      <c r="A64" s="121">
        <f>A60</f>
        <v>1</v>
      </c>
      <c r="B64" s="125" t="s">
        <v>353</v>
      </c>
      <c r="C64" s="125"/>
      <c r="D64" s="124" cm="1">
        <f t="array" aca="1" ref="D64" ca="1">INDIRECT("R[40]C["&amp;$A$62&amp;"]",FALSE)</f>
        <v>0</v>
      </c>
      <c r="E64" s="124" cm="1">
        <f t="array" aca="1" ref="E64" ca="1">INDIRECT("R[40]C["&amp;$A$62&amp;"]",FALSE)</f>
        <v>29.142857142857142</v>
      </c>
      <c r="F64" s="124" cm="1">
        <f t="array" aca="1" ref="F64" ca="1">INDIRECT("R[40]C["&amp;$A$62&amp;"]",FALSE)</f>
        <v>12</v>
      </c>
      <c r="G64" s="124" cm="1">
        <f t="array" aca="1" ref="G64" ca="1">INDIRECT("R[40]C["&amp;$A$62&amp;"]",FALSE)</f>
        <v>11</v>
      </c>
      <c r="H64" s="124" cm="1">
        <f t="array" aca="1" ref="H64" ca="1">INDIRECT("R[40]C["&amp;$A$62&amp;"]",FALSE)</f>
        <v>5.36</v>
      </c>
      <c r="I64" s="124" cm="1">
        <f t="array" aca="1" ref="I64" ca="1">INDIRECT("R[40]C["&amp;$A$62&amp;"]",FALSE)</f>
        <v>46.23</v>
      </c>
      <c r="J64" s="124" cm="1">
        <f t="array" aca="1" ref="J64" ca="1">INDIRECT("R[40]C["&amp;$A$62&amp;"]",FALSE)</f>
        <v>46.23</v>
      </c>
      <c r="K64" s="124" cm="1">
        <f t="array" aca="1" ref="K64" ca="1">INDIRECT("R[40]C["&amp;$A$62&amp;"]",FALSE)</f>
        <v>46.23</v>
      </c>
      <c r="L64" s="124" cm="1">
        <f t="array" aca="1" ref="L64" ca="1">INDIRECT("R[40]C["&amp;$A$62&amp;"]",FALSE)</f>
        <v>46.23</v>
      </c>
      <c r="M64" s="124" cm="1">
        <f t="array" aca="1" ref="M64" ca="1">INDIRECT("R[40]C["&amp;$A$62&amp;"]",FALSE)</f>
        <v>46.23</v>
      </c>
      <c r="N64" s="124" cm="1">
        <f t="array" aca="1" ref="N64" ca="1">INDIRECT("R[40]C["&amp;$A$62&amp;"]",FALSE)</f>
        <v>46.23</v>
      </c>
      <c r="O64" s="124" cm="1">
        <f t="array" aca="1" ref="O64" ca="1">INDIRECT("R[40]C["&amp;$A$62&amp;"]",FALSE)</f>
        <v>46.23</v>
      </c>
      <c r="P64" s="124" cm="1">
        <f t="array" aca="1" ref="P64" ca="1">INDIRECT("R[40]C["&amp;$A$62&amp;"]",FALSE)</f>
        <v>46.23</v>
      </c>
      <c r="Q64" s="124"/>
      <c r="R64" s="128">
        <f t="shared" ref="R64:R66" ca="1" si="3">SUM(D64:Q64)</f>
        <v>427.34285714285716</v>
      </c>
    </row>
    <row r="65" spans="1:18" ht="15.5" x14ac:dyDescent="0.35">
      <c r="A65" s="121">
        <f>A60</f>
        <v>1</v>
      </c>
      <c r="B65" s="125" t="s">
        <v>117</v>
      </c>
      <c r="C65" s="125"/>
      <c r="D65" s="124" cm="1">
        <f t="array" aca="1" ref="D65" ca="1">INDIRECT("R[40]C["&amp;$A$62&amp;"]",FALSE)</f>
        <v>10</v>
      </c>
      <c r="E65" s="124" cm="1">
        <f t="array" aca="1" ref="E65" ca="1">INDIRECT("R[40]C["&amp;$A$62&amp;"]",FALSE)</f>
        <v>79.679487179487182</v>
      </c>
      <c r="F65" s="124" cm="1">
        <f t="array" aca="1" ref="F65" ca="1">INDIRECT("R[40]C["&amp;$A$62&amp;"]",FALSE)</f>
        <v>76.339743589743591</v>
      </c>
      <c r="G65" s="124" cm="1">
        <f t="array" aca="1" ref="G65" ca="1">INDIRECT("R[40]C["&amp;$A$62&amp;"]",FALSE)</f>
        <v>50</v>
      </c>
      <c r="H65" s="124" cm="1">
        <f t="array" aca="1" ref="H65" ca="1">INDIRECT("R[40]C["&amp;$A$62&amp;"]",FALSE)</f>
        <v>91.066666666666677</v>
      </c>
      <c r="I65" s="124" cm="1">
        <f t="array" aca="1" ref="I65" ca="1">INDIRECT("R[40]C["&amp;$A$62&amp;"]",FALSE)</f>
        <v>81.650000000000006</v>
      </c>
      <c r="J65" s="124" cm="1">
        <f t="array" aca="1" ref="J65" ca="1">INDIRECT("R[40]C["&amp;$A$62&amp;"]",FALSE)</f>
        <v>81.650000000000006</v>
      </c>
      <c r="K65" s="124" cm="1">
        <f t="array" aca="1" ref="K65" ca="1">INDIRECT("R[40]C["&amp;$A$62&amp;"]",FALSE)</f>
        <v>81.650000000000006</v>
      </c>
      <c r="L65" s="124" cm="1">
        <f t="array" aca="1" ref="L65" ca="1">INDIRECT("R[40]C["&amp;$A$62&amp;"]",FALSE)</f>
        <v>81.650000000000006</v>
      </c>
      <c r="M65" s="124" cm="1">
        <f t="array" aca="1" ref="M65" ca="1">INDIRECT("R[40]C["&amp;$A$62&amp;"]",FALSE)</f>
        <v>81.650000000000006</v>
      </c>
      <c r="N65" s="124" cm="1">
        <f t="array" aca="1" ref="N65" ca="1">INDIRECT("R[40]C["&amp;$A$62&amp;"]",FALSE)</f>
        <v>81.650000000000006</v>
      </c>
      <c r="O65" s="124" cm="1">
        <f t="array" aca="1" ref="O65" ca="1">INDIRECT("R[40]C["&amp;$A$62&amp;"]",FALSE)</f>
        <v>81.650000000000006</v>
      </c>
      <c r="P65" s="124" cm="1">
        <f t="array" aca="1" ref="P65" ca="1">INDIRECT("R[40]C["&amp;$A$62&amp;"]",FALSE)</f>
        <v>81.650000000000006</v>
      </c>
      <c r="Q65" s="124"/>
      <c r="R65" s="128">
        <f t="shared" ca="1" si="3"/>
        <v>960.28589743589725</v>
      </c>
    </row>
    <row r="66" spans="1:18" ht="15.5" x14ac:dyDescent="0.35">
      <c r="A66" s="121">
        <f>A60</f>
        <v>1</v>
      </c>
      <c r="B66" s="125" t="s">
        <v>354</v>
      </c>
      <c r="C66" s="125"/>
      <c r="D66" s="124" cm="1">
        <f t="array" aca="1" ref="D66" ca="1">INDIRECT("R[40]C["&amp;$A$62&amp;"]",FALSE)</f>
        <v>2</v>
      </c>
      <c r="E66" s="124" cm="1">
        <f t="array" aca="1" ref="E66" ca="1">INDIRECT("R[40]C["&amp;$A$62&amp;"]",FALSE)</f>
        <v>10</v>
      </c>
      <c r="F66" s="124" cm="1">
        <f t="array" aca="1" ref="F66" ca="1">INDIRECT("R[40]C["&amp;$A$62&amp;"]",FALSE)</f>
        <v>9</v>
      </c>
      <c r="G66" s="124" cm="1">
        <f t="array" aca="1" ref="G66" ca="1">INDIRECT("R[40]C["&amp;$A$62&amp;"]",FALSE)</f>
        <v>7</v>
      </c>
      <c r="H66" s="124" cm="1">
        <f t="array" aca="1" ref="H66" ca="1">INDIRECT("R[40]C["&amp;$A$62&amp;"]",FALSE)</f>
        <v>5</v>
      </c>
      <c r="I66" s="124" cm="1">
        <f t="array" aca="1" ref="I66" ca="1">INDIRECT("R[40]C["&amp;$A$62&amp;"]",FALSE)</f>
        <v>8</v>
      </c>
      <c r="J66" s="124" cm="1">
        <f t="array" aca="1" ref="J66" ca="1">INDIRECT("R[40]C["&amp;$A$62&amp;"]",FALSE)</f>
        <v>8</v>
      </c>
      <c r="K66" s="124" cm="1">
        <f t="array" aca="1" ref="K66" ca="1">INDIRECT("R[40]C["&amp;$A$62&amp;"]",FALSE)</f>
        <v>8</v>
      </c>
      <c r="L66" s="124" cm="1">
        <f t="array" aca="1" ref="L66" ca="1">INDIRECT("R[40]C["&amp;$A$62&amp;"]",FALSE)</f>
        <v>8</v>
      </c>
      <c r="M66" s="124" cm="1">
        <f t="array" aca="1" ref="M66" ca="1">INDIRECT("R[40]C["&amp;$A$62&amp;"]",FALSE)</f>
        <v>8</v>
      </c>
      <c r="N66" s="124" cm="1">
        <f t="array" aca="1" ref="N66" ca="1">INDIRECT("R[40]C["&amp;$A$62&amp;"]",FALSE)</f>
        <v>8</v>
      </c>
      <c r="O66" s="124" cm="1">
        <f t="array" aca="1" ref="O66" ca="1">INDIRECT("R[40]C["&amp;$A$62&amp;"]",FALSE)</f>
        <v>8</v>
      </c>
      <c r="P66" s="124" cm="1">
        <f t="array" aca="1" ref="P66" ca="1">INDIRECT("R[40]C["&amp;$A$62&amp;"]",FALSE)</f>
        <v>8</v>
      </c>
      <c r="Q66" s="124"/>
      <c r="R66" s="128">
        <f t="shared" ca="1" si="3"/>
        <v>97</v>
      </c>
    </row>
    <row r="67" spans="1:18" ht="15.5" x14ac:dyDescent="0.35">
      <c r="A67" s="116"/>
      <c r="B67" s="129" t="s">
        <v>119</v>
      </c>
      <c r="C67" s="129"/>
      <c r="D67" s="132"/>
      <c r="E67" s="132"/>
      <c r="F67" s="132"/>
      <c r="G67" s="132"/>
      <c r="H67" s="132"/>
      <c r="I67" s="132"/>
      <c r="J67" s="132"/>
      <c r="K67" s="132"/>
      <c r="L67" s="132"/>
      <c r="M67" s="132"/>
      <c r="N67" s="132"/>
      <c r="O67" s="132"/>
      <c r="P67" s="132"/>
      <c r="Q67" s="132"/>
      <c r="R67" s="130"/>
    </row>
    <row r="68" spans="1:18" ht="15.5" x14ac:dyDescent="0.35">
      <c r="A68" s="121">
        <f>A59</f>
        <v>1</v>
      </c>
      <c r="B68" s="125" t="s">
        <v>355</v>
      </c>
      <c r="C68" s="125"/>
      <c r="D68" s="124" cm="1">
        <f t="array" aca="1" ref="D68" ca="1">INDIRECT("R[40]C["&amp;$A$68&amp;"]",FALSE)</f>
        <v>0</v>
      </c>
      <c r="E68" s="124" cm="1">
        <f t="array" aca="1" ref="E68" ca="1">INDIRECT("R[40]C["&amp;$A$68&amp;"]",FALSE)</f>
        <v>0</v>
      </c>
      <c r="F68" s="124" cm="1">
        <f t="array" aca="1" ref="F68" ca="1">INDIRECT("R[40]C["&amp;$A$68&amp;"]",FALSE)</f>
        <v>0</v>
      </c>
      <c r="G68" s="124" cm="1">
        <f t="array" aca="1" ref="G68" ca="1">INDIRECT("R[40]C["&amp;$A$68&amp;"]",FALSE)</f>
        <v>0</v>
      </c>
      <c r="H68" s="124" cm="1">
        <f t="array" aca="1" ref="H68" ca="1">INDIRECT("R[40]C["&amp;$A$68&amp;"]",FALSE)</f>
        <v>0</v>
      </c>
      <c r="I68" s="124" cm="1">
        <f t="array" aca="1" ref="I68" ca="1">INDIRECT("R[40]C["&amp;$A$68&amp;"]",FALSE)</f>
        <v>1</v>
      </c>
      <c r="J68" s="124" cm="1">
        <f t="array" aca="1" ref="J68" ca="1">INDIRECT("R[40]C["&amp;$A$68&amp;"]",FALSE)</f>
        <v>2</v>
      </c>
      <c r="K68" s="124" cm="1">
        <f t="array" aca="1" ref="K68" ca="1">INDIRECT("R[40]C["&amp;$A$68&amp;"]",FALSE)</f>
        <v>2</v>
      </c>
      <c r="L68" s="124" cm="1">
        <f t="array" aca="1" ref="L68" ca="1">INDIRECT("R[40]C["&amp;$A$68&amp;"]",FALSE)</f>
        <v>2</v>
      </c>
      <c r="M68" s="124" cm="1">
        <f t="array" aca="1" ref="M68" ca="1">INDIRECT("R[40]C["&amp;$A$68&amp;"]",FALSE)</f>
        <v>2</v>
      </c>
      <c r="N68" s="124" cm="1">
        <f t="array" aca="1" ref="N68" ca="1">INDIRECT("R[40]C["&amp;$A$68&amp;"]",FALSE)</f>
        <v>2</v>
      </c>
      <c r="O68" s="124" cm="1">
        <f t="array" aca="1" ref="O68" ca="1">INDIRECT("R[40]C["&amp;$A$68&amp;"]",FALSE)</f>
        <v>2</v>
      </c>
      <c r="P68" s="124" cm="1">
        <f t="array" aca="1" ref="P68" ca="1">INDIRECT("R[40]C["&amp;$A$68&amp;"]",FALSE)</f>
        <v>2</v>
      </c>
      <c r="Q68" s="124"/>
      <c r="R68" s="128">
        <f t="shared" ref="R68" ca="1" si="4">SUM(D68:Q68)</f>
        <v>15</v>
      </c>
    </row>
    <row r="69" spans="1:18" ht="15.5" x14ac:dyDescent="0.35">
      <c r="A69" s="116"/>
      <c r="B69" s="129" t="s">
        <v>356</v>
      </c>
      <c r="C69" s="129"/>
      <c r="D69" s="131"/>
      <c r="E69" s="131"/>
      <c r="F69" s="131"/>
      <c r="G69" s="131"/>
      <c r="H69" s="131"/>
      <c r="I69" s="131"/>
      <c r="J69" s="131"/>
      <c r="K69" s="131"/>
      <c r="L69" s="131"/>
      <c r="M69" s="131"/>
      <c r="N69" s="131"/>
      <c r="O69" s="131"/>
      <c r="P69" s="131"/>
      <c r="Q69" s="131"/>
      <c r="R69" s="130"/>
    </row>
    <row r="70" spans="1:18" ht="15.5" x14ac:dyDescent="0.35">
      <c r="A70" s="121">
        <f>A59</f>
        <v>1</v>
      </c>
      <c r="B70" s="125" t="s">
        <v>357</v>
      </c>
      <c r="C70" s="125"/>
      <c r="D70" s="124" cm="1">
        <f t="array" aca="1" ref="D70" ca="1">INDIRECT("R[40]C["&amp;$A$70&amp;"]",FALSE)</f>
        <v>2</v>
      </c>
      <c r="E70" s="124" cm="1">
        <f t="array" aca="1" ref="E70" ca="1">INDIRECT("R[40]C["&amp;$A$70&amp;"]",FALSE)</f>
        <v>10</v>
      </c>
      <c r="F70" s="124" cm="1">
        <f t="array" aca="1" ref="F70" ca="1">INDIRECT("R[40]C["&amp;$A$70&amp;"]",FALSE)</f>
        <v>6</v>
      </c>
      <c r="G70" s="124" cm="1">
        <f t="array" aca="1" ref="G70" ca="1">INDIRECT("R[40]C["&amp;$A$70&amp;"]",FALSE)</f>
        <v>7</v>
      </c>
      <c r="H70" s="124" cm="1">
        <f t="array" aca="1" ref="H70" ca="1">INDIRECT("R[40]C["&amp;$A$70&amp;"]",FALSE)</f>
        <v>5</v>
      </c>
      <c r="I70" s="124" cm="1">
        <f t="array" aca="1" ref="I70" ca="1">INDIRECT("R[40]C["&amp;$A$70&amp;"]",FALSE)</f>
        <v>8</v>
      </c>
      <c r="J70" s="124" cm="1">
        <f t="array" aca="1" ref="J70" ca="1">INDIRECT("R[40]C["&amp;$A$70&amp;"]",FALSE)</f>
        <v>8</v>
      </c>
      <c r="K70" s="124" cm="1">
        <f t="array" aca="1" ref="K70" ca="1">INDIRECT("R[40]C["&amp;$A$70&amp;"]",FALSE)</f>
        <v>8</v>
      </c>
      <c r="L70" s="124" cm="1">
        <f t="array" aca="1" ref="L70" ca="1">INDIRECT("R[40]C["&amp;$A$70&amp;"]",FALSE)</f>
        <v>8</v>
      </c>
      <c r="M70" s="124" cm="1">
        <f t="array" aca="1" ref="M70" ca="1">INDIRECT("R[40]C["&amp;$A$70&amp;"]",FALSE)</f>
        <v>8</v>
      </c>
      <c r="N70" s="124" cm="1">
        <f t="array" aca="1" ref="N70" ca="1">INDIRECT("R[40]C["&amp;$A$70&amp;"]",FALSE)</f>
        <v>8</v>
      </c>
      <c r="O70" s="124" cm="1">
        <f t="array" aca="1" ref="O70" ca="1">INDIRECT("R[40]C["&amp;$A$70&amp;"]",FALSE)</f>
        <v>8</v>
      </c>
      <c r="P70" s="124" cm="1">
        <f t="array" aca="1" ref="P70" ca="1">INDIRECT("R[40]C["&amp;$A$70&amp;"]",FALSE)</f>
        <v>8</v>
      </c>
      <c r="Q70" s="124"/>
      <c r="R70" s="128">
        <f t="shared" ref="R70:R71" ca="1" si="5">SUM(D70:Q70)</f>
        <v>94</v>
      </c>
    </row>
    <row r="71" spans="1:18" ht="15.5" x14ac:dyDescent="0.35">
      <c r="A71" s="121">
        <f>A59</f>
        <v>1</v>
      </c>
      <c r="B71" s="125" t="s">
        <v>358</v>
      </c>
      <c r="C71" s="125"/>
      <c r="D71" s="124" cm="1">
        <f t="array" aca="1" ref="D71" ca="1">INDIRECT("R[40]C["&amp;$A$70&amp;"]",FALSE)</f>
        <v>0</v>
      </c>
      <c r="E71" s="124" cm="1">
        <f t="array" aca="1" ref="E71" ca="1">INDIRECT("R[40]C["&amp;$A$70&amp;"]",FALSE)</f>
        <v>0</v>
      </c>
      <c r="F71" s="124" cm="1">
        <f t="array" aca="1" ref="F71" ca="1">INDIRECT("R[40]C["&amp;$A$70&amp;"]",FALSE)</f>
        <v>0</v>
      </c>
      <c r="G71" s="124" cm="1">
        <f t="array" aca="1" ref="G71" ca="1">INDIRECT("R[40]C["&amp;$A$70&amp;"]",FALSE)</f>
        <v>0</v>
      </c>
      <c r="H71" s="124" cm="1">
        <f t="array" aca="1" ref="H71" ca="1">INDIRECT("R[40]C["&amp;$A$70&amp;"]",FALSE)</f>
        <v>0</v>
      </c>
      <c r="I71" s="124" cm="1">
        <f t="array" aca="1" ref="I71" ca="1">INDIRECT("R[40]C["&amp;$A$70&amp;"]",FALSE)</f>
        <v>1</v>
      </c>
      <c r="J71" s="124" cm="1">
        <f t="array" aca="1" ref="J71" ca="1">INDIRECT("R[40]C["&amp;$A$70&amp;"]",FALSE)</f>
        <v>2</v>
      </c>
      <c r="K71" s="124" cm="1">
        <f t="array" aca="1" ref="K71" ca="1">INDIRECT("R[40]C["&amp;$A$70&amp;"]",FALSE)</f>
        <v>2</v>
      </c>
      <c r="L71" s="124" cm="1">
        <f t="array" aca="1" ref="L71" ca="1">INDIRECT("R[40]C["&amp;$A$70&amp;"]",FALSE)</f>
        <v>2</v>
      </c>
      <c r="M71" s="124" cm="1">
        <f t="array" aca="1" ref="M71" ca="1">INDIRECT("R[40]C["&amp;$A$70&amp;"]",FALSE)</f>
        <v>2</v>
      </c>
      <c r="N71" s="124" cm="1">
        <f t="array" aca="1" ref="N71" ca="1">INDIRECT("R[40]C["&amp;$A$70&amp;"]",FALSE)</f>
        <v>2</v>
      </c>
      <c r="O71" s="124" cm="1">
        <f t="array" aca="1" ref="O71" ca="1">INDIRECT("R[40]C["&amp;$A$70&amp;"]",FALSE)</f>
        <v>2</v>
      </c>
      <c r="P71" s="124" cm="1">
        <f t="array" aca="1" ref="P71" ca="1">INDIRECT("R[40]C["&amp;$A$70&amp;"]",FALSE)</f>
        <v>2</v>
      </c>
      <c r="Q71" s="124"/>
      <c r="R71" s="128">
        <f t="shared" ca="1" si="5"/>
        <v>15</v>
      </c>
    </row>
    <row r="72" spans="1:18" ht="15.5" x14ac:dyDescent="0.35">
      <c r="A72" s="116"/>
      <c r="B72" s="129"/>
      <c r="C72" s="129"/>
      <c r="D72" s="129"/>
      <c r="E72" s="129"/>
      <c r="F72" s="129"/>
      <c r="G72" s="129"/>
      <c r="H72" s="129"/>
      <c r="I72" s="129"/>
      <c r="J72" s="129"/>
      <c r="K72" s="129"/>
      <c r="L72" s="129"/>
      <c r="M72" s="129"/>
      <c r="N72" s="129"/>
      <c r="O72" s="129"/>
      <c r="P72" s="129"/>
      <c r="Q72" s="129"/>
      <c r="R72" s="130"/>
    </row>
    <row r="73" spans="1:18" ht="15.5" x14ac:dyDescent="0.35">
      <c r="A73" s="116"/>
      <c r="B73" s="116"/>
      <c r="C73" s="116"/>
      <c r="D73" s="116"/>
      <c r="E73" s="116"/>
      <c r="F73" s="116"/>
      <c r="G73" s="116"/>
      <c r="H73" s="116"/>
      <c r="I73" s="116"/>
      <c r="J73" s="116"/>
      <c r="K73" s="116"/>
      <c r="L73" s="116"/>
      <c r="M73" s="116"/>
      <c r="N73" s="116"/>
      <c r="O73" s="116"/>
      <c r="P73" s="116"/>
      <c r="Q73" s="116"/>
      <c r="R73" s="115"/>
    </row>
    <row r="74" spans="1:18" ht="15.5" x14ac:dyDescent="0.35">
      <c r="A74" s="116"/>
      <c r="B74" s="116"/>
      <c r="C74" s="116"/>
      <c r="D74" s="116"/>
      <c r="E74" s="116"/>
      <c r="F74" s="116"/>
      <c r="G74" s="116"/>
      <c r="H74" s="116"/>
      <c r="I74" s="116"/>
      <c r="J74" s="116"/>
      <c r="K74" s="116"/>
      <c r="L74" s="116"/>
      <c r="M74" s="116"/>
      <c r="N74" s="116"/>
      <c r="O74" s="116"/>
      <c r="P74" s="116"/>
      <c r="Q74" s="116"/>
      <c r="R74" s="115"/>
    </row>
    <row r="75" spans="1:18" ht="15.5" x14ac:dyDescent="0.35">
      <c r="A75" s="116"/>
      <c r="B75" s="116" t="s">
        <v>235</v>
      </c>
      <c r="C75" s="116"/>
      <c r="D75" s="115">
        <f ca="1">SUM(D46:D48)</f>
        <v>42.769230769230774</v>
      </c>
      <c r="E75" s="115">
        <f t="shared" ref="E75:Q75" ca="1" si="6">SUM(E46:E48)</f>
        <v>338.31588019823317</v>
      </c>
      <c r="F75" s="115">
        <f t="shared" ca="1" si="6"/>
        <v>289.84615384615381</v>
      </c>
      <c r="G75" s="115">
        <f t="shared" ca="1" si="6"/>
        <v>243.73333333333332</v>
      </c>
      <c r="H75" s="115">
        <f t="shared" ca="1" si="6"/>
        <v>193.64</v>
      </c>
      <c r="I75" s="115">
        <f t="shared" ca="1" si="6"/>
        <v>408.41126999157984</v>
      </c>
      <c r="J75" s="115">
        <f t="shared" ca="1" si="6"/>
        <v>441.74460332491321</v>
      </c>
      <c r="K75" s="115">
        <f t="shared" ca="1" si="6"/>
        <v>441.74460332491321</v>
      </c>
      <c r="L75" s="115">
        <f t="shared" ca="1" si="6"/>
        <v>368.12050277076099</v>
      </c>
      <c r="M75" s="115">
        <f t="shared" ca="1" si="6"/>
        <v>368.12050277076099</v>
      </c>
      <c r="N75" s="115">
        <f t="shared" ca="1" si="6"/>
        <v>368.12050277076099</v>
      </c>
      <c r="O75" s="115">
        <f t="shared" ca="1" si="6"/>
        <v>368.12050277076099</v>
      </c>
      <c r="P75" s="115">
        <f t="shared" ca="1" si="6"/>
        <v>368.12050277076099</v>
      </c>
      <c r="Q75" s="115">
        <f t="shared" si="6"/>
        <v>0</v>
      </c>
      <c r="R75" s="115">
        <f ca="1">SUM(R46:R48)</f>
        <v>4240.807588642162</v>
      </c>
    </row>
    <row r="77" spans="1:18" x14ac:dyDescent="0.35">
      <c r="R77" s="22"/>
    </row>
    <row r="78" spans="1:18" x14ac:dyDescent="0.35">
      <c r="R78" s="22"/>
    </row>
    <row r="79" spans="1:18" x14ac:dyDescent="0.35">
      <c r="R79" s="22"/>
    </row>
    <row r="80" spans="1:18" x14ac:dyDescent="0.35">
      <c r="B80" s="28" t="s">
        <v>276</v>
      </c>
      <c r="C80" s="28"/>
      <c r="D80" s="28"/>
      <c r="E80" s="28"/>
      <c r="F80" s="28"/>
      <c r="G80" s="28"/>
      <c r="H80" s="28"/>
      <c r="I80" s="28"/>
      <c r="J80" s="28"/>
      <c r="R80" s="22"/>
    </row>
    <row r="81" spans="1:26" x14ac:dyDescent="0.35">
      <c r="B81" s="7" t="s">
        <v>170</v>
      </c>
      <c r="C81" s="7"/>
      <c r="R81" s="22"/>
    </row>
    <row r="82" spans="1:26" ht="15.5" x14ac:dyDescent="0.35">
      <c r="B82" s="105" t="s">
        <v>110</v>
      </c>
      <c r="C82" s="105"/>
      <c r="D82" s="107">
        <f>D83</f>
        <v>0</v>
      </c>
      <c r="E82" s="108">
        <f>SUM($E83:E83)</f>
        <v>513.23076923076928</v>
      </c>
      <c r="F82" s="108">
        <f>SUM($E83:F83)</f>
        <v>4802.5843568196515</v>
      </c>
      <c r="G82" s="108">
        <f>SUM($E83:G83)</f>
        <v>8587.7382029734981</v>
      </c>
      <c r="H82" s="108">
        <f>SUM($E83:H83)</f>
        <v>12061.738202973498</v>
      </c>
      <c r="I82" s="108">
        <f>SUM($E83:I83)</f>
        <v>14966.338202973498</v>
      </c>
      <c r="J82" s="108">
        <f>SUM($E83:J83)</f>
        <v>21092.507252847197</v>
      </c>
      <c r="K82" s="108">
        <f>SUM($E83:K83)</f>
        <v>27718.676302720894</v>
      </c>
      <c r="L82" s="109">
        <f>SUM($E83:L83)</f>
        <v>34344.845352594595</v>
      </c>
      <c r="M82" s="108">
        <f>SUM($E83:M83)</f>
        <v>40971.014402468296</v>
      </c>
      <c r="N82" s="108">
        <f>SUM($E83:N83)</f>
        <v>47597.183452341997</v>
      </c>
      <c r="O82" s="108">
        <f>SUM($E83:O83)</f>
        <v>54223.352502215697</v>
      </c>
      <c r="P82" s="108">
        <f>SUM($E83:P83)</f>
        <v>60849.521552089398</v>
      </c>
      <c r="Q82" s="108">
        <f>SUM($E83:Q83)</f>
        <v>67475.690601963099</v>
      </c>
      <c r="R82" s="113">
        <f>Q82</f>
        <v>67475.690601963099</v>
      </c>
    </row>
    <row r="83" spans="1:26" ht="15.5" x14ac:dyDescent="0.35">
      <c r="B83" s="105" t="s">
        <v>111</v>
      </c>
      <c r="C83" s="105"/>
      <c r="D83" s="107">
        <f>SUMPRODUCT(D86:D88,$B$86:$B$88)</f>
        <v>0</v>
      </c>
      <c r="E83" s="108">
        <f>SUMPRODUCT(E86:E88,$B$86:$B$88)</f>
        <v>513.23076923076928</v>
      </c>
      <c r="F83" s="108">
        <f t="shared" ref="F83:H83" si="7">SUMPRODUCT(F86:F88,$B$86:$B$88)</f>
        <v>4289.353587588882</v>
      </c>
      <c r="G83" s="108">
        <f t="shared" si="7"/>
        <v>3785.1538461538457</v>
      </c>
      <c r="H83" s="108">
        <f t="shared" si="7"/>
        <v>3474</v>
      </c>
      <c r="I83" s="108">
        <f>SUMPRODUCT(I86:I88,$B$86:$B$88)</f>
        <v>2904.6</v>
      </c>
      <c r="J83" s="108">
        <f>SUMPRODUCT(J86:J88,$B$86:$B$88)</f>
        <v>6126.169049873698</v>
      </c>
      <c r="K83" s="108">
        <f>J83+500</f>
        <v>6626.169049873698</v>
      </c>
      <c r="L83" s="109">
        <f>K83</f>
        <v>6626.169049873698</v>
      </c>
      <c r="M83" s="109">
        <f t="shared" ref="M83:Q83" si="8">L83</f>
        <v>6626.169049873698</v>
      </c>
      <c r="N83" s="109">
        <f t="shared" si="8"/>
        <v>6626.169049873698</v>
      </c>
      <c r="O83" s="109">
        <f t="shared" si="8"/>
        <v>6626.169049873698</v>
      </c>
      <c r="P83" s="109">
        <f t="shared" si="8"/>
        <v>6626.169049873698</v>
      </c>
      <c r="Q83" s="109">
        <f t="shared" si="8"/>
        <v>6626.169049873698</v>
      </c>
      <c r="R83" s="113">
        <f>SUM(D83:Q83)</f>
        <v>67475.690601963099</v>
      </c>
    </row>
    <row r="84" spans="1:26" ht="15.5" x14ac:dyDescent="0.35">
      <c r="B84" s="105" t="s">
        <v>236</v>
      </c>
      <c r="C84" s="105"/>
      <c r="D84" s="108">
        <f>'EC-known'!D84*$R$2+'WC-known'!D84*$R$4</f>
        <v>0</v>
      </c>
      <c r="E84" s="108">
        <f>'EC-known'!E84*$R$2+'WC-known'!E84*$R$4</f>
        <v>2</v>
      </c>
      <c r="F84" s="108">
        <f>'EC-known'!F84*$R$2+'WC-known'!F84*$R$4</f>
        <v>6</v>
      </c>
      <c r="G84" s="108">
        <f>'EC-known'!G84*$R$2+'WC-known'!G84*$R$4</f>
        <v>5</v>
      </c>
      <c r="H84" s="108">
        <f>'EC-known'!H84*$R$2+'WC-known'!H84*$R$4</f>
        <v>6</v>
      </c>
      <c r="I84" s="108">
        <f>'EC-known'!I84*$R$2+'WC-known'!I84*$R$4</f>
        <v>3</v>
      </c>
      <c r="J84" s="108">
        <f>'EC-known'!J84*$R$2+'WC-known'!J84*$R$4</f>
        <v>8</v>
      </c>
      <c r="K84" s="108">
        <f>J84</f>
        <v>8</v>
      </c>
      <c r="L84" s="108">
        <f t="shared" ref="L84:Q84" si="9">K84</f>
        <v>8</v>
      </c>
      <c r="M84" s="108">
        <f t="shared" si="9"/>
        <v>8</v>
      </c>
      <c r="N84" s="108">
        <f t="shared" si="9"/>
        <v>8</v>
      </c>
      <c r="O84" s="108">
        <f t="shared" si="9"/>
        <v>8</v>
      </c>
      <c r="P84" s="108">
        <f t="shared" si="9"/>
        <v>8</v>
      </c>
      <c r="Q84" s="108">
        <f t="shared" si="9"/>
        <v>8</v>
      </c>
      <c r="R84" s="113">
        <f>SUM(D84:Q84)</f>
        <v>86</v>
      </c>
    </row>
    <row r="85" spans="1:26" ht="15.5" x14ac:dyDescent="0.35">
      <c r="B85" s="135" t="s">
        <v>275</v>
      </c>
      <c r="C85" s="135"/>
      <c r="D85" s="157"/>
      <c r="E85" s="158">
        <f>SUM(E86:E88)</f>
        <v>42.769230769230774</v>
      </c>
      <c r="F85" s="158">
        <f t="shared" ref="F85:Q85" si="10">SUM(F86:F88)</f>
        <v>338.31588019823317</v>
      </c>
      <c r="G85" s="158">
        <f t="shared" si="10"/>
        <v>289.84615384615381</v>
      </c>
      <c r="H85" s="158">
        <f t="shared" si="10"/>
        <v>243.73333333333332</v>
      </c>
      <c r="I85" s="158">
        <f t="shared" si="10"/>
        <v>193.64</v>
      </c>
      <c r="J85" s="158">
        <f t="shared" si="10"/>
        <v>408.41126999157984</v>
      </c>
      <c r="K85" s="158">
        <f t="shared" si="10"/>
        <v>441.74460332491321</v>
      </c>
      <c r="L85" s="158">
        <f t="shared" si="10"/>
        <v>441.74460332491321</v>
      </c>
      <c r="M85" s="158">
        <f t="shared" si="10"/>
        <v>368.12050277076099</v>
      </c>
      <c r="N85" s="158">
        <f t="shared" si="10"/>
        <v>368.12050277076099</v>
      </c>
      <c r="O85" s="158">
        <f t="shared" si="10"/>
        <v>368.12050277076099</v>
      </c>
      <c r="P85" s="158">
        <f t="shared" si="10"/>
        <v>368.12050277076099</v>
      </c>
      <c r="Q85" s="158">
        <f t="shared" si="10"/>
        <v>368.12050277076099</v>
      </c>
      <c r="R85" s="130">
        <f>SUM(E85:Q85)</f>
        <v>4240.807588642162</v>
      </c>
    </row>
    <row r="86" spans="1:26" ht="15.5" x14ac:dyDescent="0.35">
      <c r="A86" s="29"/>
      <c r="B86" s="111">
        <f>Assumptions!F16</f>
        <v>12</v>
      </c>
      <c r="C86" s="111"/>
      <c r="D86" s="108">
        <f>'EC-known'!D86*$R$2+'WC-known'!D86*$R$4</f>
        <v>0</v>
      </c>
      <c r="E86" s="108">
        <f>'EC-known'!E86*$R$2+'WC-known'!E86*$R$4</f>
        <v>42.769230769230774</v>
      </c>
      <c r="F86" s="108">
        <f>'EC-known'!F86*$R$2+'WC-known'!F86*$R$4</f>
        <v>261.79487179487182</v>
      </c>
      <c r="G86" s="108">
        <f>'EC-known'!G86*$R$2+'WC-known'!G86*$R$4</f>
        <v>187.5128205128205</v>
      </c>
      <c r="H86" s="108">
        <f>'EC-known'!H86*$R$2+'WC-known'!H86*$R$4</f>
        <v>60.666666666666664</v>
      </c>
      <c r="I86" s="108">
        <f>'EC-known'!I86*$R$2+'WC-known'!I86*$R$4</f>
        <v>0</v>
      </c>
      <c r="J86" s="108">
        <f>'EC-known'!J86*$R$2+'WC-known'!J86*$R$4</f>
        <v>0</v>
      </c>
      <c r="K86" s="108">
        <f>'EC-known'!K86*$R$2+'WC-known'!K86*$R$4</f>
        <v>0</v>
      </c>
      <c r="L86" s="108">
        <f>'EC-known'!L86*$R$2+'WC-known'!L86*$R$4</f>
        <v>0</v>
      </c>
      <c r="M86" s="108">
        <f>'EC-known'!M86*$R$2+'WC-known'!M86*$R$4</f>
        <v>0</v>
      </c>
      <c r="N86" s="108">
        <f>'EC-known'!N86*$R$2+'WC-known'!N86*$R$4</f>
        <v>0</v>
      </c>
      <c r="O86" s="108">
        <f>'EC-known'!O86*$R$2+'WC-known'!O86*$R$4</f>
        <v>0</v>
      </c>
      <c r="P86" s="108">
        <f>'EC-known'!P86*$R$2+'WC-known'!P86*$R$4</f>
        <v>0</v>
      </c>
      <c r="Q86" s="108">
        <f>'EC-known'!Q86*$R$2+'WC-known'!Q86*$R$4</f>
        <v>0</v>
      </c>
      <c r="R86" s="113">
        <f>SUM(D86:Q86)</f>
        <v>552.74358974358972</v>
      </c>
      <c r="S86" s="44"/>
      <c r="T86" s="30"/>
      <c r="U86" s="30"/>
      <c r="V86" s="30"/>
      <c r="W86" s="30"/>
      <c r="X86" s="30"/>
      <c r="Y86" s="30"/>
      <c r="Z86" s="30"/>
    </row>
    <row r="87" spans="1:26" ht="15.5" x14ac:dyDescent="0.35">
      <c r="B87" s="111">
        <f>Assumptions!F17</f>
        <v>15</v>
      </c>
      <c r="C87" s="111"/>
      <c r="D87" s="108">
        <f>'EC-known'!D87*$R$2+'WC-known'!D87*$R$4</f>
        <v>0</v>
      </c>
      <c r="E87" s="108">
        <f>'EC-known'!E87*$R$2+'WC-known'!E87*$R$4</f>
        <v>0</v>
      </c>
      <c r="F87" s="108">
        <f>'EC-known'!F87*$R$2+'WC-known'!F87*$R$4</f>
        <v>76.52100840336135</v>
      </c>
      <c r="G87" s="108">
        <f>'EC-known'!G87*$R$2+'WC-known'!G87*$R$4</f>
        <v>102.33333333333334</v>
      </c>
      <c r="H87" s="108">
        <f>'EC-known'!H87*$R$2+'WC-known'!H87*$R$4</f>
        <v>183.06666666666666</v>
      </c>
      <c r="I87" s="108">
        <f>'EC-known'!I87*$R$2+'WC-known'!I87*$R$4</f>
        <v>193.64</v>
      </c>
      <c r="J87" s="108">
        <f>'EC-known'!J87*$R$2+'WC-known'!J87*$R$4</f>
        <v>408.41126999157984</v>
      </c>
      <c r="K87" s="108">
        <f>K$83/$B91</f>
        <v>441.74460332491321</v>
      </c>
      <c r="L87" s="108">
        <f>L$83/$B91</f>
        <v>441.74460332491321</v>
      </c>
      <c r="M87" s="108">
        <f>'EC-known'!M87*$R$2+'WC-known'!M87*$R$4</f>
        <v>0</v>
      </c>
      <c r="N87" s="108">
        <f>'EC-known'!N87*$R$2+'WC-known'!N87*$R$4</f>
        <v>0</v>
      </c>
      <c r="O87" s="108">
        <f>'EC-known'!O87*$R$2+'WC-known'!O87*$R$4</f>
        <v>0</v>
      </c>
      <c r="P87" s="108">
        <f>'EC-known'!P87*$R$2+'WC-known'!P87*$R$4</f>
        <v>0</v>
      </c>
      <c r="Q87" s="108">
        <f>'EC-known'!Q87*$R$2+'WC-known'!Q87*$R$4</f>
        <v>0</v>
      </c>
      <c r="R87" s="113">
        <f t="shared" ref="R87:R88" si="11">SUM(D87:Q87)</f>
        <v>1847.4614850447676</v>
      </c>
      <c r="S87" s="22"/>
    </row>
    <row r="88" spans="1:26" ht="15.5" x14ac:dyDescent="0.35">
      <c r="B88" s="111">
        <f>Assumptions!F18</f>
        <v>18</v>
      </c>
      <c r="C88" s="111"/>
      <c r="D88" s="108">
        <f>'EC-known'!D88*$R$2+'WC-known'!D88*$R$4</f>
        <v>0</v>
      </c>
      <c r="E88" s="108">
        <f>'EC-known'!E88*$R$2+'WC-known'!E88*$R$4</f>
        <v>0</v>
      </c>
      <c r="F88" s="108">
        <f>'EC-known'!F88*$R$2+'WC-known'!F88*$R$4</f>
        <v>0</v>
      </c>
      <c r="G88" s="108">
        <f>'EC-known'!G88*$R$2+'WC-known'!G88*$R$4</f>
        <v>0</v>
      </c>
      <c r="H88" s="108">
        <f>'EC-known'!H88*$R$2+'WC-known'!H88*$R$4</f>
        <v>0</v>
      </c>
      <c r="I88" s="108">
        <f>'EC-known'!I88*$R$2+'WC-known'!I88*$R$4</f>
        <v>0</v>
      </c>
      <c r="J88" s="108">
        <f>'EC-known'!J88*$R$2+'WC-known'!J88*$R$4</f>
        <v>0</v>
      </c>
      <c r="K88" s="108">
        <f>'EC-known'!K88*$R$2+'WC-known'!K88*$R$4</f>
        <v>0</v>
      </c>
      <c r="L88" s="108">
        <f>'EC-known'!L88*$R$2+'WC-known'!L88*$R$4</f>
        <v>0</v>
      </c>
      <c r="M88" s="108">
        <f>M$83/$B92</f>
        <v>368.12050277076099</v>
      </c>
      <c r="N88" s="108">
        <f t="shared" ref="N88:Q88" si="12">N$83/$B92</f>
        <v>368.12050277076099</v>
      </c>
      <c r="O88" s="108">
        <f t="shared" si="12"/>
        <v>368.12050277076099</v>
      </c>
      <c r="P88" s="108">
        <f t="shared" si="12"/>
        <v>368.12050277076099</v>
      </c>
      <c r="Q88" s="108">
        <f t="shared" si="12"/>
        <v>368.12050277076099</v>
      </c>
      <c r="R88" s="113">
        <f t="shared" si="11"/>
        <v>1840.602513853805</v>
      </c>
      <c r="S88" s="22"/>
    </row>
    <row r="89" spans="1:26" ht="15.5" x14ac:dyDescent="0.35">
      <c r="B89" s="135" t="s">
        <v>239</v>
      </c>
      <c r="C89" s="135"/>
      <c r="D89" s="136"/>
      <c r="E89" s="132"/>
      <c r="F89" s="132"/>
      <c r="G89" s="132"/>
      <c r="H89" s="132"/>
      <c r="I89" s="132"/>
      <c r="J89" s="132"/>
      <c r="K89" s="132"/>
      <c r="L89" s="137"/>
      <c r="M89" s="132"/>
      <c r="N89" s="132"/>
      <c r="O89" s="132"/>
      <c r="P89" s="132"/>
      <c r="Q89" s="132"/>
      <c r="R89" s="130"/>
      <c r="S89" s="22"/>
    </row>
    <row r="90" spans="1:26" ht="15.5" x14ac:dyDescent="0.35">
      <c r="B90" s="111">
        <f>B86</f>
        <v>12</v>
      </c>
      <c r="C90" s="111"/>
      <c r="D90" s="107">
        <f>3*D86</f>
        <v>0</v>
      </c>
      <c r="E90" s="108">
        <f t="shared" ref="E90:Q90" si="13">3*E86</f>
        <v>128.30769230769232</v>
      </c>
      <c r="F90" s="108">
        <f t="shared" si="13"/>
        <v>785.38461538461547</v>
      </c>
      <c r="G90" s="108">
        <f t="shared" si="13"/>
        <v>562.53846153846143</v>
      </c>
      <c r="H90" s="108">
        <f t="shared" si="13"/>
        <v>182</v>
      </c>
      <c r="I90" s="108">
        <f t="shared" si="13"/>
        <v>0</v>
      </c>
      <c r="J90" s="108">
        <f t="shared" si="13"/>
        <v>0</v>
      </c>
      <c r="K90" s="108">
        <f t="shared" si="13"/>
        <v>0</v>
      </c>
      <c r="L90" s="109">
        <f t="shared" si="13"/>
        <v>0</v>
      </c>
      <c r="M90" s="108">
        <f t="shared" si="13"/>
        <v>0</v>
      </c>
      <c r="N90" s="108">
        <f t="shared" si="13"/>
        <v>0</v>
      </c>
      <c r="O90" s="108">
        <f t="shared" si="13"/>
        <v>0</v>
      </c>
      <c r="P90" s="108">
        <f t="shared" si="13"/>
        <v>0</v>
      </c>
      <c r="Q90" s="108">
        <f t="shared" si="13"/>
        <v>0</v>
      </c>
      <c r="R90" s="113">
        <f>SUM(D90:Q90)</f>
        <v>1658.2307692307693</v>
      </c>
    </row>
    <row r="91" spans="1:26" ht="15.5" x14ac:dyDescent="0.35">
      <c r="B91" s="111">
        <f t="shared" ref="B91:B92" si="14">B87</f>
        <v>15</v>
      </c>
      <c r="C91" s="111"/>
      <c r="D91" s="107">
        <f t="shared" ref="D91:Q92" si="15">3*D87</f>
        <v>0</v>
      </c>
      <c r="E91" s="108">
        <f t="shared" si="15"/>
        <v>0</v>
      </c>
      <c r="F91" s="108">
        <f t="shared" si="15"/>
        <v>229.56302521008405</v>
      </c>
      <c r="G91" s="108">
        <f t="shared" si="15"/>
        <v>307</v>
      </c>
      <c r="H91" s="108">
        <f t="shared" si="15"/>
        <v>549.20000000000005</v>
      </c>
      <c r="I91" s="108">
        <f t="shared" si="15"/>
        <v>580.91999999999996</v>
      </c>
      <c r="J91" s="108">
        <f t="shared" si="15"/>
        <v>1225.2338099747394</v>
      </c>
      <c r="K91" s="108">
        <f t="shared" si="15"/>
        <v>1325.2338099747396</v>
      </c>
      <c r="L91" s="109">
        <f t="shared" si="15"/>
        <v>1325.2338099747396</v>
      </c>
      <c r="M91" s="108">
        <f t="shared" si="15"/>
        <v>0</v>
      </c>
      <c r="N91" s="108">
        <f t="shared" si="15"/>
        <v>0</v>
      </c>
      <c r="O91" s="108">
        <f t="shared" si="15"/>
        <v>0</v>
      </c>
      <c r="P91" s="108">
        <f t="shared" si="15"/>
        <v>0</v>
      </c>
      <c r="Q91" s="108">
        <f t="shared" si="15"/>
        <v>0</v>
      </c>
      <c r="R91" s="113">
        <f t="shared" ref="R91:R92" si="16">SUM(D91:Q91)</f>
        <v>5542.3844551343027</v>
      </c>
    </row>
    <row r="92" spans="1:26" ht="15.5" x14ac:dyDescent="0.35">
      <c r="B92" s="111">
        <f t="shared" si="14"/>
        <v>18</v>
      </c>
      <c r="C92" s="111"/>
      <c r="D92" s="107">
        <f t="shared" si="15"/>
        <v>0</v>
      </c>
      <c r="E92" s="108">
        <f t="shared" si="15"/>
        <v>0</v>
      </c>
      <c r="F92" s="108">
        <f t="shared" si="15"/>
        <v>0</v>
      </c>
      <c r="G92" s="108">
        <f t="shared" si="15"/>
        <v>0</v>
      </c>
      <c r="H92" s="108">
        <f t="shared" si="15"/>
        <v>0</v>
      </c>
      <c r="I92" s="108">
        <f t="shared" si="15"/>
        <v>0</v>
      </c>
      <c r="J92" s="108">
        <f t="shared" si="15"/>
        <v>0</v>
      </c>
      <c r="K92" s="108">
        <f t="shared" si="15"/>
        <v>0</v>
      </c>
      <c r="L92" s="109">
        <f t="shared" si="15"/>
        <v>0</v>
      </c>
      <c r="M92" s="108">
        <f t="shared" si="15"/>
        <v>1104.3615083122829</v>
      </c>
      <c r="N92" s="108">
        <f t="shared" si="15"/>
        <v>1104.3615083122829</v>
      </c>
      <c r="O92" s="108">
        <f t="shared" si="15"/>
        <v>1104.3615083122829</v>
      </c>
      <c r="P92" s="108">
        <f t="shared" si="15"/>
        <v>1104.3615083122829</v>
      </c>
      <c r="Q92" s="108">
        <f t="shared" si="15"/>
        <v>1104.3615083122829</v>
      </c>
      <c r="R92" s="113">
        <f t="shared" si="16"/>
        <v>5521.8075415614148</v>
      </c>
    </row>
    <row r="93" spans="1:26" ht="15.5" x14ac:dyDescent="0.35">
      <c r="B93" s="135" t="s">
        <v>240</v>
      </c>
      <c r="C93" s="135"/>
      <c r="D93" s="136"/>
      <c r="E93" s="132"/>
      <c r="F93" s="132"/>
      <c r="G93" s="132"/>
      <c r="H93" s="132"/>
      <c r="I93" s="132"/>
      <c r="J93" s="132"/>
      <c r="K93" s="132"/>
      <c r="L93" s="137"/>
      <c r="M93" s="132"/>
      <c r="N93" s="132"/>
      <c r="O93" s="132"/>
      <c r="P93" s="132"/>
      <c r="Q93" s="132"/>
      <c r="R93" s="130"/>
    </row>
    <row r="94" spans="1:26" ht="15.5" x14ac:dyDescent="0.35">
      <c r="B94" s="111">
        <f>B86</f>
        <v>12</v>
      </c>
      <c r="C94" s="111"/>
      <c r="D94" s="107">
        <f>D86</f>
        <v>0</v>
      </c>
      <c r="E94" s="108">
        <f t="shared" ref="E94:Q94" si="17">E86</f>
        <v>42.769230769230774</v>
      </c>
      <c r="F94" s="108">
        <f t="shared" si="17"/>
        <v>261.79487179487182</v>
      </c>
      <c r="G94" s="108">
        <f t="shared" si="17"/>
        <v>187.5128205128205</v>
      </c>
      <c r="H94" s="108">
        <f t="shared" si="17"/>
        <v>60.666666666666664</v>
      </c>
      <c r="I94" s="108">
        <f t="shared" si="17"/>
        <v>0</v>
      </c>
      <c r="J94" s="108">
        <f t="shared" si="17"/>
        <v>0</v>
      </c>
      <c r="K94" s="108">
        <f t="shared" si="17"/>
        <v>0</v>
      </c>
      <c r="L94" s="109">
        <f t="shared" si="17"/>
        <v>0</v>
      </c>
      <c r="M94" s="108">
        <f t="shared" si="17"/>
        <v>0</v>
      </c>
      <c r="N94" s="108">
        <f t="shared" si="17"/>
        <v>0</v>
      </c>
      <c r="O94" s="108">
        <f t="shared" si="17"/>
        <v>0</v>
      </c>
      <c r="P94" s="108">
        <f t="shared" si="17"/>
        <v>0</v>
      </c>
      <c r="Q94" s="108">
        <f t="shared" si="17"/>
        <v>0</v>
      </c>
      <c r="R94" s="113">
        <f>SUM(D94:Q94)</f>
        <v>552.74358974358972</v>
      </c>
    </row>
    <row r="95" spans="1:26" ht="15.5" x14ac:dyDescent="0.35">
      <c r="B95" s="111">
        <f t="shared" ref="B95:B96" si="18">B87</f>
        <v>15</v>
      </c>
      <c r="C95" s="111"/>
      <c r="D95" s="107">
        <f t="shared" ref="D95:Q96" si="19">D87</f>
        <v>0</v>
      </c>
      <c r="E95" s="108">
        <f t="shared" si="19"/>
        <v>0</v>
      </c>
      <c r="F95" s="108">
        <f t="shared" si="19"/>
        <v>76.52100840336135</v>
      </c>
      <c r="G95" s="108">
        <f t="shared" si="19"/>
        <v>102.33333333333334</v>
      </c>
      <c r="H95" s="108">
        <f t="shared" si="19"/>
        <v>183.06666666666666</v>
      </c>
      <c r="I95" s="108">
        <f t="shared" si="19"/>
        <v>193.64</v>
      </c>
      <c r="J95" s="108">
        <f t="shared" si="19"/>
        <v>408.41126999157984</v>
      </c>
      <c r="K95" s="108">
        <f t="shared" si="19"/>
        <v>441.74460332491321</v>
      </c>
      <c r="L95" s="109">
        <f t="shared" si="19"/>
        <v>441.74460332491321</v>
      </c>
      <c r="M95" s="108">
        <f t="shared" si="19"/>
        <v>0</v>
      </c>
      <c r="N95" s="108">
        <f t="shared" si="19"/>
        <v>0</v>
      </c>
      <c r="O95" s="108">
        <f t="shared" si="19"/>
        <v>0</v>
      </c>
      <c r="P95" s="108">
        <f t="shared" si="19"/>
        <v>0</v>
      </c>
      <c r="Q95" s="108">
        <f t="shared" si="19"/>
        <v>0</v>
      </c>
      <c r="R95" s="113">
        <f t="shared" ref="R95:R96" si="20">SUM(D95:Q95)</f>
        <v>1847.4614850447676</v>
      </c>
    </row>
    <row r="96" spans="1:26" ht="15.5" x14ac:dyDescent="0.35">
      <c r="B96" s="111">
        <f t="shared" si="18"/>
        <v>18</v>
      </c>
      <c r="C96" s="111"/>
      <c r="D96" s="107">
        <f t="shared" si="19"/>
        <v>0</v>
      </c>
      <c r="E96" s="108">
        <f t="shared" si="19"/>
        <v>0</v>
      </c>
      <c r="F96" s="108">
        <f t="shared" si="19"/>
        <v>0</v>
      </c>
      <c r="G96" s="108">
        <f t="shared" si="19"/>
        <v>0</v>
      </c>
      <c r="H96" s="108">
        <f t="shared" si="19"/>
        <v>0</v>
      </c>
      <c r="I96" s="108">
        <f t="shared" si="19"/>
        <v>0</v>
      </c>
      <c r="J96" s="108">
        <f t="shared" si="19"/>
        <v>0</v>
      </c>
      <c r="K96" s="108">
        <f t="shared" si="19"/>
        <v>0</v>
      </c>
      <c r="L96" s="109">
        <f t="shared" si="19"/>
        <v>0</v>
      </c>
      <c r="M96" s="108">
        <f t="shared" si="19"/>
        <v>368.12050277076099</v>
      </c>
      <c r="N96" s="108">
        <f t="shared" si="19"/>
        <v>368.12050277076099</v>
      </c>
      <c r="O96" s="108">
        <f t="shared" si="19"/>
        <v>368.12050277076099</v>
      </c>
      <c r="P96" s="108">
        <f t="shared" si="19"/>
        <v>368.12050277076099</v>
      </c>
      <c r="Q96" s="108">
        <f t="shared" si="19"/>
        <v>368.12050277076099</v>
      </c>
      <c r="R96" s="113">
        <f t="shared" si="20"/>
        <v>1840.602513853805</v>
      </c>
    </row>
    <row r="97" spans="2:19" ht="15.5" x14ac:dyDescent="0.35">
      <c r="B97" s="135" t="s">
        <v>241</v>
      </c>
      <c r="C97" s="135"/>
      <c r="D97" s="136"/>
      <c r="E97" s="132"/>
      <c r="F97" s="132"/>
      <c r="G97" s="132"/>
      <c r="H97" s="132"/>
      <c r="I97" s="132"/>
      <c r="J97" s="132"/>
      <c r="K97" s="132"/>
      <c r="L97" s="137"/>
      <c r="M97" s="132"/>
      <c r="N97" s="132"/>
      <c r="O97" s="132"/>
      <c r="P97" s="132"/>
      <c r="Q97" s="132"/>
      <c r="R97" s="130"/>
    </row>
    <row r="98" spans="2:19" ht="15.5" x14ac:dyDescent="0.35">
      <c r="B98" s="111">
        <f>B86</f>
        <v>12</v>
      </c>
      <c r="C98" s="111"/>
      <c r="D98" s="107">
        <f>D86</f>
        <v>0</v>
      </c>
      <c r="E98" s="108">
        <f t="shared" ref="E98:Q98" si="21">E86</f>
        <v>42.769230769230774</v>
      </c>
      <c r="F98" s="108">
        <f t="shared" si="21"/>
        <v>261.79487179487182</v>
      </c>
      <c r="G98" s="108">
        <f t="shared" si="21"/>
        <v>187.5128205128205</v>
      </c>
      <c r="H98" s="108">
        <f t="shared" si="21"/>
        <v>60.666666666666664</v>
      </c>
      <c r="I98" s="108">
        <f t="shared" si="21"/>
        <v>0</v>
      </c>
      <c r="J98" s="108">
        <f t="shared" si="21"/>
        <v>0</v>
      </c>
      <c r="K98" s="108">
        <f t="shared" si="21"/>
        <v>0</v>
      </c>
      <c r="L98" s="109">
        <f t="shared" si="21"/>
        <v>0</v>
      </c>
      <c r="M98" s="108">
        <f t="shared" si="21"/>
        <v>0</v>
      </c>
      <c r="N98" s="108">
        <f t="shared" si="21"/>
        <v>0</v>
      </c>
      <c r="O98" s="108">
        <f t="shared" si="21"/>
        <v>0</v>
      </c>
      <c r="P98" s="108">
        <f t="shared" si="21"/>
        <v>0</v>
      </c>
      <c r="Q98" s="108">
        <f t="shared" si="21"/>
        <v>0</v>
      </c>
      <c r="R98" s="113">
        <f t="shared" ref="R98:R100" si="22">SUM(D98:Q98)</f>
        <v>552.74358974358972</v>
      </c>
    </row>
    <row r="99" spans="2:19" ht="15.5" x14ac:dyDescent="0.35">
      <c r="B99" s="111">
        <f t="shared" ref="B99:B100" si="23">B87</f>
        <v>15</v>
      </c>
      <c r="C99" s="111"/>
      <c r="D99" s="107">
        <f t="shared" ref="D99:Q100" si="24">D87</f>
        <v>0</v>
      </c>
      <c r="E99" s="108">
        <f t="shared" si="24"/>
        <v>0</v>
      </c>
      <c r="F99" s="108">
        <f t="shared" si="24"/>
        <v>76.52100840336135</v>
      </c>
      <c r="G99" s="108">
        <f t="shared" si="24"/>
        <v>102.33333333333334</v>
      </c>
      <c r="H99" s="108">
        <f t="shared" si="24"/>
        <v>183.06666666666666</v>
      </c>
      <c r="I99" s="108">
        <f t="shared" si="24"/>
        <v>193.64</v>
      </c>
      <c r="J99" s="108">
        <f t="shared" si="24"/>
        <v>408.41126999157984</v>
      </c>
      <c r="K99" s="108">
        <f t="shared" si="24"/>
        <v>441.74460332491321</v>
      </c>
      <c r="L99" s="109">
        <f t="shared" si="24"/>
        <v>441.74460332491321</v>
      </c>
      <c r="M99" s="108">
        <f t="shared" si="24"/>
        <v>0</v>
      </c>
      <c r="N99" s="108">
        <f t="shared" si="24"/>
        <v>0</v>
      </c>
      <c r="O99" s="108">
        <f t="shared" si="24"/>
        <v>0</v>
      </c>
      <c r="P99" s="108">
        <f t="shared" si="24"/>
        <v>0</v>
      </c>
      <c r="Q99" s="108">
        <f t="shared" si="24"/>
        <v>0</v>
      </c>
      <c r="R99" s="113">
        <f t="shared" si="22"/>
        <v>1847.4614850447676</v>
      </c>
    </row>
    <row r="100" spans="2:19" ht="15.5" x14ac:dyDescent="0.35">
      <c r="B100" s="111">
        <f t="shared" si="23"/>
        <v>18</v>
      </c>
      <c r="C100" s="111"/>
      <c r="D100" s="107">
        <f t="shared" si="24"/>
        <v>0</v>
      </c>
      <c r="E100" s="108">
        <f t="shared" si="24"/>
        <v>0</v>
      </c>
      <c r="F100" s="108">
        <f t="shared" si="24"/>
        <v>0</v>
      </c>
      <c r="G100" s="108">
        <f t="shared" si="24"/>
        <v>0</v>
      </c>
      <c r="H100" s="108">
        <f t="shared" si="24"/>
        <v>0</v>
      </c>
      <c r="I100" s="108">
        <f t="shared" si="24"/>
        <v>0</v>
      </c>
      <c r="J100" s="108">
        <f t="shared" si="24"/>
        <v>0</v>
      </c>
      <c r="K100" s="108">
        <f t="shared" si="24"/>
        <v>0</v>
      </c>
      <c r="L100" s="109">
        <f t="shared" si="24"/>
        <v>0</v>
      </c>
      <c r="M100" s="108">
        <f t="shared" si="24"/>
        <v>368.12050277076099</v>
      </c>
      <c r="N100" s="108">
        <f t="shared" si="24"/>
        <v>368.12050277076099</v>
      </c>
      <c r="O100" s="108">
        <f t="shared" si="24"/>
        <v>368.12050277076099</v>
      </c>
      <c r="P100" s="108">
        <f t="shared" si="24"/>
        <v>368.12050277076099</v>
      </c>
      <c r="Q100" s="108">
        <f t="shared" si="24"/>
        <v>368.12050277076099</v>
      </c>
      <c r="R100" s="113">
        <f t="shared" si="22"/>
        <v>1840.602513853805</v>
      </c>
    </row>
    <row r="101" spans="2:19" ht="15.5" x14ac:dyDescent="0.35">
      <c r="B101" s="135" t="s">
        <v>116</v>
      </c>
      <c r="C101" s="199"/>
      <c r="D101" s="151">
        <f>SUM(D103:D105)</f>
        <v>0</v>
      </c>
      <c r="E101" s="151">
        <f t="shared" ref="E101:Q101" si="25">SUM(E103:E105)</f>
        <v>42.769230769230774</v>
      </c>
      <c r="F101" s="151">
        <f t="shared" si="25"/>
        <v>338.31588019823317</v>
      </c>
      <c r="G101" s="151">
        <f t="shared" si="25"/>
        <v>267.84615384615381</v>
      </c>
      <c r="H101" s="151">
        <f t="shared" si="25"/>
        <v>221.73333333333332</v>
      </c>
      <c r="I101" s="151">
        <f t="shared" si="25"/>
        <v>193.64000000000001</v>
      </c>
      <c r="J101" s="151">
        <f t="shared" si="25"/>
        <v>354.65599949362581</v>
      </c>
      <c r="K101" s="151">
        <f t="shared" si="25"/>
        <v>354.65599949362581</v>
      </c>
      <c r="L101" s="151">
        <f t="shared" si="25"/>
        <v>354.65599949362581</v>
      </c>
      <c r="M101" s="151">
        <f t="shared" si="25"/>
        <v>354.65599949362581</v>
      </c>
      <c r="N101" s="151">
        <f t="shared" si="25"/>
        <v>354.65599949362581</v>
      </c>
      <c r="O101" s="151">
        <f t="shared" si="25"/>
        <v>354.65599949362581</v>
      </c>
      <c r="P101" s="151">
        <f t="shared" si="25"/>
        <v>354.65599949362581</v>
      </c>
      <c r="Q101" s="151">
        <f t="shared" si="25"/>
        <v>354.65599949362581</v>
      </c>
      <c r="R101" s="130">
        <f>SUM(D101:Q101)</f>
        <v>3901.5525940959587</v>
      </c>
    </row>
    <row r="102" spans="2:19" ht="15.5" x14ac:dyDescent="0.35">
      <c r="B102" s="106" t="s">
        <v>257</v>
      </c>
      <c r="C102" s="106"/>
      <c r="D102" s="108">
        <f>'EC-known'!D102*$R$2</f>
        <v>0</v>
      </c>
      <c r="E102" s="108">
        <f>'EC-known'!E102*$R$2</f>
        <v>32.769230769230774</v>
      </c>
      <c r="F102" s="108">
        <f>'EC-known'!F102*$R$2</f>
        <v>229.49353587588882</v>
      </c>
      <c r="G102" s="108">
        <f>'EC-known'!G102*$R$2</f>
        <v>179.50641025641025</v>
      </c>
      <c r="H102" s="108">
        <f>'EC-known'!H102*$R$2</f>
        <v>160.73333333333332</v>
      </c>
      <c r="I102" s="108">
        <f>'EC-known'!I102*$R$2</f>
        <v>97.213333333333338</v>
      </c>
      <c r="J102" s="108">
        <f>'EC-known'!J102*$R$2</f>
        <v>226.77599949362576</v>
      </c>
      <c r="K102" s="108">
        <f>J102</f>
        <v>226.77599949362576</v>
      </c>
      <c r="L102" s="108">
        <f t="shared" ref="L102:Q102" si="26">K102</f>
        <v>226.77599949362576</v>
      </c>
      <c r="M102" s="108">
        <f t="shared" si="26"/>
        <v>226.77599949362576</v>
      </c>
      <c r="N102" s="108">
        <f t="shared" si="26"/>
        <v>226.77599949362576</v>
      </c>
      <c r="O102" s="108">
        <f t="shared" si="26"/>
        <v>226.77599949362576</v>
      </c>
      <c r="P102" s="108">
        <f t="shared" si="26"/>
        <v>226.77599949362576</v>
      </c>
      <c r="Q102" s="108">
        <f t="shared" si="26"/>
        <v>226.77599949362576</v>
      </c>
      <c r="R102" s="113">
        <f t="shared" ref="R102:R116" si="27">SUM(D102:Q102)</f>
        <v>2513.9238395172029</v>
      </c>
    </row>
    <row r="103" spans="2:19" ht="15.5" x14ac:dyDescent="0.35">
      <c r="B103" s="106" t="s">
        <v>258</v>
      </c>
      <c r="C103" s="106"/>
      <c r="D103" s="108">
        <f>'EC-known'!D103*$R$2</f>
        <v>0</v>
      </c>
      <c r="E103" s="108">
        <f>'EC-known'!E103*$R$2</f>
        <v>32.769230769230774</v>
      </c>
      <c r="F103" s="108">
        <f>'EC-known'!F103*$R$2</f>
        <v>229.49353587588882</v>
      </c>
      <c r="G103" s="108">
        <f>'EC-known'!G103*$R$2</f>
        <v>179.50641025641025</v>
      </c>
      <c r="H103" s="108">
        <f>'EC-known'!H103*$R$2</f>
        <v>160.73333333333332</v>
      </c>
      <c r="I103" s="108">
        <f>'EC-known'!I103*$R$2</f>
        <v>97.213333333333338</v>
      </c>
      <c r="J103" s="108">
        <f>'EC-known'!J103*$R$2</f>
        <v>226.77599949362576</v>
      </c>
      <c r="K103" s="108">
        <f>J103</f>
        <v>226.77599949362576</v>
      </c>
      <c r="L103" s="108">
        <f t="shared" ref="L103:Q103" si="28">K103</f>
        <v>226.77599949362576</v>
      </c>
      <c r="M103" s="108">
        <f t="shared" si="28"/>
        <v>226.77599949362576</v>
      </c>
      <c r="N103" s="108">
        <f t="shared" si="28"/>
        <v>226.77599949362576</v>
      </c>
      <c r="O103" s="108">
        <f t="shared" si="28"/>
        <v>226.77599949362576</v>
      </c>
      <c r="P103" s="108">
        <f t="shared" si="28"/>
        <v>226.77599949362576</v>
      </c>
      <c r="Q103" s="108">
        <f t="shared" si="28"/>
        <v>226.77599949362576</v>
      </c>
      <c r="R103" s="113">
        <f t="shared" si="27"/>
        <v>2513.9238395172029</v>
      </c>
      <c r="S103" s="140">
        <f>R103/SUM(R$103:R$105)</f>
        <v>0.6443393441168549</v>
      </c>
    </row>
    <row r="104" spans="2:19" ht="15.5" x14ac:dyDescent="0.35">
      <c r="B104" s="106" t="s">
        <v>117</v>
      </c>
      <c r="C104" s="106"/>
      <c r="D104" s="108">
        <f>'EC-known'!D104*$R$2</f>
        <v>0</v>
      </c>
      <c r="E104" s="108">
        <f>'EC-known'!E104*$R$2</f>
        <v>0</v>
      </c>
      <c r="F104" s="108">
        <f>'EC-known'!F104*$R$2</f>
        <v>29.142857142857142</v>
      </c>
      <c r="G104" s="108">
        <f>'EC-known'!G104*$R$2</f>
        <v>12</v>
      </c>
      <c r="H104" s="108">
        <f>'EC-known'!H104*$R$2</f>
        <v>11</v>
      </c>
      <c r="I104" s="108">
        <f>'EC-known'!I104*$R$2</f>
        <v>5.36</v>
      </c>
      <c r="J104" s="108">
        <f>'EC-known'!J104*$R$2</f>
        <v>46.23</v>
      </c>
      <c r="K104" s="108">
        <f>J104</f>
        <v>46.23</v>
      </c>
      <c r="L104" s="108">
        <f t="shared" ref="L104:Q104" si="29">K104</f>
        <v>46.23</v>
      </c>
      <c r="M104" s="108">
        <f t="shared" si="29"/>
        <v>46.23</v>
      </c>
      <c r="N104" s="108">
        <f t="shared" si="29"/>
        <v>46.23</v>
      </c>
      <c r="O104" s="108">
        <f t="shared" si="29"/>
        <v>46.23</v>
      </c>
      <c r="P104" s="108">
        <f t="shared" si="29"/>
        <v>46.23</v>
      </c>
      <c r="Q104" s="108">
        <f t="shared" si="29"/>
        <v>46.23</v>
      </c>
      <c r="R104" s="113">
        <f t="shared" si="27"/>
        <v>427.34285714285716</v>
      </c>
      <c r="S104" s="140">
        <f t="shared" ref="S104:S105" si="30">R104/SUM(R$103:R$105)</f>
        <v>0.10953148697509185</v>
      </c>
    </row>
    <row r="105" spans="2:19" ht="15.5" x14ac:dyDescent="0.35">
      <c r="B105" s="106" t="s">
        <v>118</v>
      </c>
      <c r="C105" s="106"/>
      <c r="D105" s="108">
        <f>'EC-known'!D105*$R$2</f>
        <v>0</v>
      </c>
      <c r="E105" s="108">
        <f>'EC-known'!E105*$R$2</f>
        <v>10</v>
      </c>
      <c r="F105" s="108">
        <f>'EC-known'!F105*$R$2</f>
        <v>79.679487179487182</v>
      </c>
      <c r="G105" s="108">
        <f>'EC-known'!G105*$R$2</f>
        <v>76.339743589743591</v>
      </c>
      <c r="H105" s="108">
        <f>'EC-known'!H105*$R$2</f>
        <v>50</v>
      </c>
      <c r="I105" s="108">
        <f>'EC-known'!I105*$R$2</f>
        <v>91.066666666666677</v>
      </c>
      <c r="J105" s="108">
        <f>'EC-known'!J105*$R$2</f>
        <v>81.650000000000006</v>
      </c>
      <c r="K105" s="108">
        <f>J105</f>
        <v>81.650000000000006</v>
      </c>
      <c r="L105" s="108">
        <f t="shared" ref="L105:Q105" si="31">K105</f>
        <v>81.650000000000006</v>
      </c>
      <c r="M105" s="108">
        <f t="shared" si="31"/>
        <v>81.650000000000006</v>
      </c>
      <c r="N105" s="108">
        <f t="shared" si="31"/>
        <v>81.650000000000006</v>
      </c>
      <c r="O105" s="108">
        <f t="shared" si="31"/>
        <v>81.650000000000006</v>
      </c>
      <c r="P105" s="108">
        <f t="shared" si="31"/>
        <v>81.650000000000006</v>
      </c>
      <c r="Q105" s="108">
        <f t="shared" si="31"/>
        <v>81.650000000000006</v>
      </c>
      <c r="R105" s="113">
        <f t="shared" si="27"/>
        <v>960.28589743589725</v>
      </c>
      <c r="S105" s="140">
        <f t="shared" si="30"/>
        <v>0.24612916890805325</v>
      </c>
    </row>
    <row r="106" spans="2:19" ht="15.5" x14ac:dyDescent="0.35">
      <c r="B106" s="106" t="s">
        <v>259</v>
      </c>
      <c r="C106" s="106"/>
      <c r="D106" s="108">
        <f>'EC-known'!D106*$R$2</f>
        <v>0</v>
      </c>
      <c r="E106" s="108">
        <f>'EC-known'!E106*$R$2</f>
        <v>2</v>
      </c>
      <c r="F106" s="108">
        <f>'EC-known'!F106*$R$2</f>
        <v>10</v>
      </c>
      <c r="G106" s="108">
        <f>'EC-known'!G106*$R$2</f>
        <v>9</v>
      </c>
      <c r="H106" s="108">
        <f>'EC-known'!H106*$R$2</f>
        <v>7</v>
      </c>
      <c r="I106" s="108">
        <f>'EC-known'!I106*$R$2</f>
        <v>5</v>
      </c>
      <c r="J106" s="108">
        <f>'EC-known'!J106*$R$2</f>
        <v>8</v>
      </c>
      <c r="K106" s="108">
        <f>J106</f>
        <v>8</v>
      </c>
      <c r="L106" s="108">
        <f t="shared" ref="L106:Q106" si="32">K106</f>
        <v>8</v>
      </c>
      <c r="M106" s="108">
        <f t="shared" si="32"/>
        <v>8</v>
      </c>
      <c r="N106" s="108">
        <f t="shared" si="32"/>
        <v>8</v>
      </c>
      <c r="O106" s="108">
        <f t="shared" si="32"/>
        <v>8</v>
      </c>
      <c r="P106" s="108">
        <f t="shared" si="32"/>
        <v>8</v>
      </c>
      <c r="Q106" s="108">
        <f t="shared" si="32"/>
        <v>8</v>
      </c>
      <c r="R106" s="113">
        <f t="shared" si="27"/>
        <v>97</v>
      </c>
    </row>
    <row r="107" spans="2:19" ht="15.5" x14ac:dyDescent="0.35">
      <c r="B107" s="106" t="s">
        <v>267</v>
      </c>
      <c r="C107" s="106"/>
      <c r="D107" s="108">
        <f>'WC-known'!D105*$R$4</f>
        <v>0</v>
      </c>
      <c r="E107" s="108">
        <f>'WC-known'!E105*$R$4</f>
        <v>0</v>
      </c>
      <c r="F107" s="108">
        <f>'WC-known'!F105*$R$4</f>
        <v>0</v>
      </c>
      <c r="G107" s="108">
        <f>'WC-known'!G105*$R$4</f>
        <v>0</v>
      </c>
      <c r="H107" s="108">
        <f>'WC-known'!H105*$R$4</f>
        <v>0</v>
      </c>
      <c r="I107" s="108">
        <f>'WC-known'!I105*$R$4</f>
        <v>0</v>
      </c>
      <c r="J107" s="108">
        <f>'WC-known'!J105*$R$4</f>
        <v>33.345014087697692</v>
      </c>
      <c r="K107" s="108">
        <f>'WC-known'!K105*$R$4</f>
        <v>66.679419262979792</v>
      </c>
      <c r="L107" s="108">
        <f>K107</f>
        <v>66.679419262979792</v>
      </c>
      <c r="M107" s="108">
        <f t="shared" ref="M107:Q107" si="33">L107</f>
        <v>66.679419262979792</v>
      </c>
      <c r="N107" s="108">
        <f t="shared" si="33"/>
        <v>66.679419262979792</v>
      </c>
      <c r="O107" s="108">
        <f t="shared" si="33"/>
        <v>66.679419262979792</v>
      </c>
      <c r="P107" s="108">
        <f t="shared" si="33"/>
        <v>66.679419262979792</v>
      </c>
      <c r="Q107" s="108">
        <f t="shared" si="33"/>
        <v>66.679419262979792</v>
      </c>
      <c r="R107" s="113">
        <f t="shared" si="27"/>
        <v>500.10094892855614</v>
      </c>
    </row>
    <row r="108" spans="2:19" ht="15.5" x14ac:dyDescent="0.35">
      <c r="B108" s="106" t="s">
        <v>268</v>
      </c>
      <c r="C108" s="106"/>
      <c r="D108" s="108">
        <f>'WC-known'!D106*$R$4</f>
        <v>0</v>
      </c>
      <c r="E108" s="108">
        <f>'WC-known'!E106*$R$4</f>
        <v>0</v>
      </c>
      <c r="F108" s="108">
        <f>'WC-known'!F106*$R$4</f>
        <v>0</v>
      </c>
      <c r="G108" s="108">
        <f>'WC-known'!G106*$R$4</f>
        <v>0</v>
      </c>
      <c r="H108" s="108">
        <f>'WC-known'!H106*$R$4</f>
        <v>0</v>
      </c>
      <c r="I108" s="108">
        <f>'WC-known'!I106*$R$4</f>
        <v>0</v>
      </c>
      <c r="J108" s="108">
        <f>'WC-known'!J106*$R$4</f>
        <v>1</v>
      </c>
      <c r="K108" s="108">
        <f>'WC-known'!K106*$R$4</f>
        <v>2</v>
      </c>
      <c r="L108" s="108">
        <f>K108</f>
        <v>2</v>
      </c>
      <c r="M108" s="108">
        <f t="shared" ref="M108:Q108" si="34">L108</f>
        <v>2</v>
      </c>
      <c r="N108" s="108">
        <f t="shared" si="34"/>
        <v>2</v>
      </c>
      <c r="O108" s="108">
        <f t="shared" si="34"/>
        <v>2</v>
      </c>
      <c r="P108" s="108">
        <f t="shared" si="34"/>
        <v>2</v>
      </c>
      <c r="Q108" s="108">
        <f t="shared" si="34"/>
        <v>2</v>
      </c>
      <c r="R108" s="113">
        <f t="shared" si="27"/>
        <v>15</v>
      </c>
    </row>
    <row r="109" spans="2:19" ht="15.5" x14ac:dyDescent="0.35">
      <c r="B109" s="135" t="s">
        <v>119</v>
      </c>
      <c r="C109" s="135"/>
      <c r="D109" s="132"/>
      <c r="E109" s="132"/>
      <c r="F109" s="132"/>
      <c r="G109" s="132"/>
      <c r="H109" s="132"/>
      <c r="I109" s="132"/>
      <c r="J109" s="132"/>
      <c r="K109" s="132"/>
      <c r="L109" s="132"/>
      <c r="M109" s="132"/>
      <c r="N109" s="132"/>
      <c r="O109" s="132"/>
      <c r="P109" s="132"/>
      <c r="Q109" s="132"/>
      <c r="R109" s="130"/>
    </row>
    <row r="110" spans="2:19" ht="15.5" x14ac:dyDescent="0.35">
      <c r="B110" s="106" t="s">
        <v>303</v>
      </c>
      <c r="C110" s="106"/>
      <c r="D110" s="108">
        <f>'EC-known'!D108*$R$2</f>
        <v>0</v>
      </c>
      <c r="E110" s="108">
        <f>'EC-known'!E108*$R$2</f>
        <v>2</v>
      </c>
      <c r="F110" s="108">
        <f>'EC-known'!F108*$R$2</f>
        <v>10</v>
      </c>
      <c r="G110" s="108">
        <f>'EC-known'!G108*$R$2</f>
        <v>6</v>
      </c>
      <c r="H110" s="108">
        <f>'EC-known'!H108*$R$2</f>
        <v>7</v>
      </c>
      <c r="I110" s="108">
        <f>'EC-known'!I108*$R$2</f>
        <v>5</v>
      </c>
      <c r="J110" s="108">
        <f>'EC-known'!J108*$R$2</f>
        <v>8</v>
      </c>
      <c r="K110" s="108">
        <f>J110</f>
        <v>8</v>
      </c>
      <c r="L110" s="108">
        <f t="shared" ref="L110:Q110" si="35">K110</f>
        <v>8</v>
      </c>
      <c r="M110" s="108">
        <f t="shared" si="35"/>
        <v>8</v>
      </c>
      <c r="N110" s="108">
        <f t="shared" si="35"/>
        <v>8</v>
      </c>
      <c r="O110" s="108">
        <f t="shared" si="35"/>
        <v>8</v>
      </c>
      <c r="P110" s="108">
        <f t="shared" si="35"/>
        <v>8</v>
      </c>
      <c r="Q110" s="108">
        <f t="shared" si="35"/>
        <v>8</v>
      </c>
      <c r="R110" s="113">
        <f t="shared" si="27"/>
        <v>94</v>
      </c>
    </row>
    <row r="111" spans="2:19" ht="15.5" x14ac:dyDescent="0.35">
      <c r="B111" s="106" t="s">
        <v>304</v>
      </c>
      <c r="C111" s="106"/>
      <c r="D111" s="108">
        <f>'WC-known'!D108*$R$4</f>
        <v>0</v>
      </c>
      <c r="E111" s="108">
        <f>'WC-known'!E108*$R$4</f>
        <v>0</v>
      </c>
      <c r="F111" s="108">
        <f>'WC-known'!F108*$R$4</f>
        <v>0</v>
      </c>
      <c r="G111" s="108">
        <f>'WC-known'!G108*$R$4</f>
        <v>0</v>
      </c>
      <c r="H111" s="108">
        <f>'WC-known'!H108*$R$4</f>
        <v>0</v>
      </c>
      <c r="I111" s="108">
        <f>'WC-known'!I108*$R$4</f>
        <v>0</v>
      </c>
      <c r="J111" s="108">
        <f>'WC-known'!J108*$R$4</f>
        <v>1</v>
      </c>
      <c r="K111" s="108">
        <f>'WC-known'!K108*$R$4</f>
        <v>2</v>
      </c>
      <c r="L111" s="108">
        <f>K111</f>
        <v>2</v>
      </c>
      <c r="M111" s="108">
        <f t="shared" ref="M111:Q111" si="36">L111</f>
        <v>2</v>
      </c>
      <c r="N111" s="108">
        <f t="shared" si="36"/>
        <v>2</v>
      </c>
      <c r="O111" s="108">
        <f t="shared" si="36"/>
        <v>2</v>
      </c>
      <c r="P111" s="108">
        <f t="shared" si="36"/>
        <v>2</v>
      </c>
      <c r="Q111" s="108">
        <f t="shared" si="36"/>
        <v>2</v>
      </c>
      <c r="R111" s="113">
        <f t="shared" si="27"/>
        <v>15</v>
      </c>
    </row>
    <row r="112" spans="2:19" ht="15.5" x14ac:dyDescent="0.35">
      <c r="B112" s="135" t="s">
        <v>120</v>
      </c>
      <c r="C112" s="135"/>
      <c r="D112" s="132"/>
      <c r="E112" s="132"/>
      <c r="F112" s="132"/>
      <c r="G112" s="132"/>
      <c r="H112" s="132"/>
      <c r="I112" s="132"/>
      <c r="J112" s="132"/>
      <c r="K112" s="132"/>
      <c r="L112" s="132"/>
      <c r="M112" s="132"/>
      <c r="N112" s="132"/>
      <c r="O112" s="132"/>
      <c r="P112" s="132"/>
      <c r="Q112" s="132"/>
      <c r="R112" s="130"/>
    </row>
    <row r="113" spans="2:21" ht="15.5" x14ac:dyDescent="0.35">
      <c r="B113" s="106" t="s">
        <v>272</v>
      </c>
      <c r="C113" s="106"/>
      <c r="D113" s="108">
        <f>'EC-known'!D110*$R$2</f>
        <v>0</v>
      </c>
      <c r="E113" s="108">
        <f>'EC-known'!E110*$R$2</f>
        <v>125.50240000000001</v>
      </c>
      <c r="F113" s="108">
        <f>'EC-known'!F110*$R$2</f>
        <v>862.25390096961871</v>
      </c>
      <c r="G113" s="108">
        <f>'EC-known'!G110*$R$2</f>
        <v>725.58714358974362</v>
      </c>
      <c r="H113" s="108">
        <f>'EC-known'!H110*$R$2</f>
        <v>520.27304000000004</v>
      </c>
      <c r="I113" s="108">
        <f>'EC-known'!I110*$R$2</f>
        <v>417.65050133333341</v>
      </c>
      <c r="J113" s="108">
        <f>'EC-known'!J110*$R$2</f>
        <v>1004.9766712982587</v>
      </c>
      <c r="K113" s="108">
        <f>J113</f>
        <v>1004.9766712982587</v>
      </c>
      <c r="L113" s="108">
        <f t="shared" ref="L113:Q113" si="37">K113</f>
        <v>1004.9766712982587</v>
      </c>
      <c r="M113" s="108">
        <f t="shared" si="37"/>
        <v>1004.9766712982587</v>
      </c>
      <c r="N113" s="108">
        <f t="shared" si="37"/>
        <v>1004.9766712982587</v>
      </c>
      <c r="O113" s="108">
        <f t="shared" si="37"/>
        <v>1004.9766712982587</v>
      </c>
      <c r="P113" s="108">
        <f t="shared" si="37"/>
        <v>1004.9766712982587</v>
      </c>
      <c r="Q113" s="108">
        <f t="shared" si="37"/>
        <v>1004.9766712982587</v>
      </c>
      <c r="R113" s="113">
        <f t="shared" si="27"/>
        <v>10691.080356278762</v>
      </c>
    </row>
    <row r="114" spans="2:21" ht="15.5" x14ac:dyDescent="0.35">
      <c r="B114" s="106" t="s">
        <v>273</v>
      </c>
      <c r="C114" s="106"/>
      <c r="D114" s="108">
        <f>'EC-known'!D111*$R$2</f>
        <v>0</v>
      </c>
      <c r="E114" s="108">
        <f>'EC-known'!E111*$R$2</f>
        <v>256</v>
      </c>
      <c r="F114" s="108">
        <f>'EC-known'!F111*$R$2</f>
        <v>926.41359999999997</v>
      </c>
      <c r="G114" s="108">
        <f>'EC-known'!G111*$R$2</f>
        <v>505.5</v>
      </c>
      <c r="H114" s="108">
        <f>'EC-known'!H111*$R$2</f>
        <v>498.67899999999997</v>
      </c>
      <c r="I114" s="108">
        <f>'EC-known'!I111*$R$2</f>
        <v>526</v>
      </c>
      <c r="J114" s="108">
        <f>'EC-known'!J111*$R$2</f>
        <v>658.6653</v>
      </c>
      <c r="K114" s="108">
        <f>J114</f>
        <v>658.6653</v>
      </c>
      <c r="L114" s="108">
        <f t="shared" ref="L114:Q114" si="38">K114</f>
        <v>658.6653</v>
      </c>
      <c r="M114" s="108">
        <f t="shared" si="38"/>
        <v>658.6653</v>
      </c>
      <c r="N114" s="108">
        <f t="shared" si="38"/>
        <v>658.6653</v>
      </c>
      <c r="O114" s="108">
        <f t="shared" si="38"/>
        <v>658.6653</v>
      </c>
      <c r="P114" s="108">
        <f t="shared" si="38"/>
        <v>658.6653</v>
      </c>
      <c r="Q114" s="108">
        <f t="shared" si="38"/>
        <v>658.6653</v>
      </c>
      <c r="R114" s="113">
        <f t="shared" si="27"/>
        <v>7981.9149999999981</v>
      </c>
    </row>
    <row r="115" spans="2:21" ht="15.5" x14ac:dyDescent="0.35">
      <c r="B115" s="106" t="s">
        <v>274</v>
      </c>
      <c r="C115" s="106"/>
      <c r="D115" s="108">
        <f>'WC-known'!D110*$R$4</f>
        <v>0</v>
      </c>
      <c r="E115" s="108">
        <f>'WC-known'!E110*$R$4</f>
        <v>0</v>
      </c>
      <c r="F115" s="108">
        <f>'WC-known'!F110*$R$4</f>
        <v>0</v>
      </c>
      <c r="G115" s="108">
        <f>'WC-known'!G110*$R$4</f>
        <v>0</v>
      </c>
      <c r="H115" s="108">
        <f>'WC-known'!H110*$R$4</f>
        <v>0</v>
      </c>
      <c r="I115" s="108">
        <f>'WC-known'!I110*$R$4</f>
        <v>0</v>
      </c>
      <c r="J115" s="108">
        <f>'WC-known'!J110*$R$4</f>
        <v>122.04275156097356</v>
      </c>
      <c r="K115" s="108">
        <f>'WC-known'!K110*$R$4</f>
        <v>244.04667450250608</v>
      </c>
      <c r="L115" s="108">
        <f>K115</f>
        <v>244.04667450250608</v>
      </c>
      <c r="M115" s="108">
        <f t="shared" ref="M115:Q115" si="39">L115</f>
        <v>244.04667450250608</v>
      </c>
      <c r="N115" s="108">
        <f t="shared" si="39"/>
        <v>244.04667450250608</v>
      </c>
      <c r="O115" s="108">
        <f t="shared" si="39"/>
        <v>244.04667450250608</v>
      </c>
      <c r="P115" s="108">
        <f t="shared" si="39"/>
        <v>244.04667450250608</v>
      </c>
      <c r="Q115" s="108">
        <f t="shared" si="39"/>
        <v>244.04667450250608</v>
      </c>
      <c r="R115" s="113">
        <f t="shared" si="27"/>
        <v>1830.369473078516</v>
      </c>
    </row>
    <row r="116" spans="2:21" ht="15.5" x14ac:dyDescent="0.35">
      <c r="B116" s="106" t="s">
        <v>288</v>
      </c>
      <c r="C116" s="106"/>
      <c r="D116" s="108">
        <f>'WC-known'!D111*$R$4</f>
        <v>0</v>
      </c>
      <c r="E116" s="108">
        <f>'WC-known'!E111*$R$4</f>
        <v>0</v>
      </c>
      <c r="F116" s="108">
        <f>'WC-known'!F111*$R$4</f>
        <v>0</v>
      </c>
      <c r="G116" s="108">
        <f>'WC-known'!G111*$R$4</f>
        <v>0</v>
      </c>
      <c r="H116" s="108">
        <f>'WC-known'!H111*$R$4</f>
        <v>0</v>
      </c>
      <c r="I116" s="108">
        <f>'WC-known'!I111*$R$4</f>
        <v>0</v>
      </c>
      <c r="J116" s="108">
        <f>'WC-known'!J111*$R$4</f>
        <v>120</v>
      </c>
      <c r="K116" s="108">
        <f>'WC-known'!K111*$R$4</f>
        <v>210</v>
      </c>
      <c r="L116" s="108">
        <f>K116</f>
        <v>210</v>
      </c>
      <c r="M116" s="108">
        <f t="shared" ref="M116:Q116" si="40">L116</f>
        <v>210</v>
      </c>
      <c r="N116" s="108">
        <f t="shared" si="40"/>
        <v>210</v>
      </c>
      <c r="O116" s="108">
        <f t="shared" si="40"/>
        <v>210</v>
      </c>
      <c r="P116" s="108">
        <f t="shared" si="40"/>
        <v>210</v>
      </c>
      <c r="Q116" s="108">
        <f t="shared" si="40"/>
        <v>210</v>
      </c>
      <c r="R116" s="113">
        <f t="shared" si="27"/>
        <v>1590</v>
      </c>
    </row>
    <row r="117" spans="2:21" ht="15.5" x14ac:dyDescent="0.35">
      <c r="B117" s="135" t="s">
        <v>244</v>
      </c>
      <c r="C117" s="135"/>
      <c r="D117" s="136"/>
      <c r="E117" s="132"/>
      <c r="F117" s="132"/>
      <c r="G117" s="132"/>
      <c r="H117" s="132"/>
      <c r="I117" s="132"/>
      <c r="J117" s="132"/>
      <c r="K117" s="132"/>
      <c r="L117" s="137"/>
      <c r="M117" s="132"/>
      <c r="N117" s="132"/>
      <c r="O117" s="132"/>
      <c r="P117" s="132"/>
      <c r="Q117" s="132"/>
      <c r="R117" s="130"/>
    </row>
    <row r="118" spans="2:21" ht="15.5" x14ac:dyDescent="0.35">
      <c r="B118" s="106" t="s">
        <v>121</v>
      </c>
      <c r="C118" s="106"/>
      <c r="D118" s="108">
        <f>D86*Assumptions!$K$25/24</f>
        <v>0</v>
      </c>
      <c r="E118" s="108">
        <f>E86*Assumptions!$K$25/24</f>
        <v>64.15384615384616</v>
      </c>
      <c r="F118" s="108">
        <f>F86*Assumptions!$K$25/24</f>
        <v>392.69230769230779</v>
      </c>
      <c r="G118" s="108">
        <f>G86*Assumptions!$K$25/24</f>
        <v>281.26923076923077</v>
      </c>
      <c r="H118" s="108">
        <f>H86*Assumptions!$K$25/24</f>
        <v>91</v>
      </c>
      <c r="I118" s="108">
        <f>I86*Assumptions!$K$25/24</f>
        <v>0</v>
      </c>
      <c r="J118" s="108">
        <f>J86*Assumptions!$K$25/24</f>
        <v>0</v>
      </c>
      <c r="K118" s="108">
        <f>K86*Assumptions!$K$25/24</f>
        <v>0</v>
      </c>
      <c r="L118" s="109">
        <f>L86*Assumptions!$K$25/24</f>
        <v>0</v>
      </c>
      <c r="M118" s="108">
        <f>M86*Assumptions!$K$25/24</f>
        <v>0</v>
      </c>
      <c r="N118" s="108">
        <f>N86*Assumptions!$K$25/24</f>
        <v>0</v>
      </c>
      <c r="O118" s="108">
        <f>O86*Assumptions!$K$25/24</f>
        <v>0</v>
      </c>
      <c r="P118" s="108">
        <f>P86*Assumptions!$K$25/24</f>
        <v>0</v>
      </c>
      <c r="Q118" s="108">
        <f>Q86*Assumptions!$K$25/24</f>
        <v>0</v>
      </c>
      <c r="R118" s="113"/>
      <c r="T118" t="s">
        <v>139</v>
      </c>
    </row>
    <row r="119" spans="2:21" ht="15.5" x14ac:dyDescent="0.35">
      <c r="B119" s="106" t="s">
        <v>122</v>
      </c>
      <c r="C119" s="106"/>
      <c r="D119" s="108">
        <f>D87*Assumptions!$K$25/24</f>
        <v>0</v>
      </c>
      <c r="E119" s="108">
        <f>E87*Assumptions!$K$25/24</f>
        <v>0</v>
      </c>
      <c r="F119" s="108">
        <f>F87*Assumptions!$K$25/24</f>
        <v>114.78151260504201</v>
      </c>
      <c r="G119" s="108">
        <f>G87*Assumptions!$K$25/24</f>
        <v>153.50000000000003</v>
      </c>
      <c r="H119" s="108">
        <f>H87*Assumptions!$K$25/24</f>
        <v>274.59999999999997</v>
      </c>
      <c r="I119" s="108">
        <f>I87*Assumptions!$K$25/24</f>
        <v>290.45999999999998</v>
      </c>
      <c r="J119" s="108">
        <f>J87*Assumptions!$K$25/24</f>
        <v>612.61690498736982</v>
      </c>
      <c r="K119" s="108">
        <f>K87*Assumptions!$K$25/24</f>
        <v>662.61690498736982</v>
      </c>
      <c r="L119" s="109">
        <f>L87*Assumptions!$K$25/24</f>
        <v>662.61690498736982</v>
      </c>
      <c r="M119" s="108">
        <f>M87*Assumptions!$K$25/24</f>
        <v>0</v>
      </c>
      <c r="N119" s="108">
        <f>N87*Assumptions!$K$25/24</f>
        <v>0</v>
      </c>
      <c r="O119" s="108">
        <f>O87*Assumptions!$K$25/24</f>
        <v>0</v>
      </c>
      <c r="P119" s="108">
        <f>P87*Assumptions!$K$25/24</f>
        <v>0</v>
      </c>
      <c r="Q119" s="108">
        <f>Q87*Assumptions!$K$25/24</f>
        <v>0</v>
      </c>
      <c r="R119" s="113"/>
      <c r="T119" t="s">
        <v>148</v>
      </c>
    </row>
    <row r="120" spans="2:21" ht="15.5" x14ac:dyDescent="0.35">
      <c r="B120" s="106" t="s">
        <v>123</v>
      </c>
      <c r="C120" s="106"/>
      <c r="D120" s="108">
        <f>D88*Assumptions!$K$25/24</f>
        <v>0</v>
      </c>
      <c r="E120" s="108">
        <f>E88*Assumptions!$K$25/24</f>
        <v>0</v>
      </c>
      <c r="F120" s="108">
        <f>F88*Assumptions!$K$25/24</f>
        <v>0</v>
      </c>
      <c r="G120" s="108">
        <f>G88*Assumptions!$K$25/24</f>
        <v>0</v>
      </c>
      <c r="H120" s="108">
        <f>H88*Assumptions!$K$25/24</f>
        <v>0</v>
      </c>
      <c r="I120" s="108">
        <f>I88*Assumptions!$K$25/24</f>
        <v>0</v>
      </c>
      <c r="J120" s="108">
        <f>J88*Assumptions!$K$25/24</f>
        <v>0</v>
      </c>
      <c r="K120" s="108">
        <f>K88*Assumptions!$K$25/24</f>
        <v>0</v>
      </c>
      <c r="L120" s="109">
        <f>L88*Assumptions!$K$25/24</f>
        <v>0</v>
      </c>
      <c r="M120" s="108">
        <f>M88*Assumptions!$K$25/24</f>
        <v>552.18075415614146</v>
      </c>
      <c r="N120" s="108">
        <f>N88*Assumptions!$K$25/24</f>
        <v>552.18075415614146</v>
      </c>
      <c r="O120" s="108">
        <f>O88*Assumptions!$K$25/24</f>
        <v>552.18075415614146</v>
      </c>
      <c r="P120" s="108">
        <f>P88*Assumptions!$K$25/24</f>
        <v>552.18075415614146</v>
      </c>
      <c r="Q120" s="108">
        <f>Q88*Assumptions!$K$25/24</f>
        <v>552.18075415614146</v>
      </c>
      <c r="R120" s="113"/>
      <c r="U120" t="s">
        <v>150</v>
      </c>
    </row>
    <row r="121" spans="2:21" ht="15.5" x14ac:dyDescent="0.35">
      <c r="B121" s="106" t="s">
        <v>140</v>
      </c>
      <c r="C121" s="106"/>
      <c r="D121" s="108">
        <f>(D102+D105)*Assumptions!$K$26/24</f>
        <v>0</v>
      </c>
      <c r="E121" s="108">
        <f>(E102+E105)*Assumptions!$K$26/24</f>
        <v>64.15384615384616</v>
      </c>
      <c r="F121" s="108">
        <f>(F102+F105)*Assumptions!$K$26/24</f>
        <v>463.75953458306395</v>
      </c>
      <c r="G121" s="108">
        <f>(G102+G105)*Assumptions!$K$26/24</f>
        <v>383.76923076923077</v>
      </c>
      <c r="H121" s="108">
        <f>(H102+H105)*Assumptions!$K$26/24</f>
        <v>316.09999999999997</v>
      </c>
      <c r="I121" s="108">
        <f>(I102+I105)*Assumptions!$K$26/24</f>
        <v>282.42</v>
      </c>
      <c r="J121" s="108">
        <f>(J102+J105)*Assumptions!$K$26/24</f>
        <v>462.63899924043864</v>
      </c>
      <c r="K121" s="108">
        <f>(K102+K105)*Assumptions!$K$26/24</f>
        <v>462.63899924043864</v>
      </c>
      <c r="L121" s="109">
        <f>(L102+L105)*Assumptions!$K$26/24</f>
        <v>462.63899924043864</v>
      </c>
      <c r="M121" s="108">
        <f>(M102+M105)*Assumptions!$K$26/24</f>
        <v>462.63899924043864</v>
      </c>
      <c r="N121" s="108">
        <f>(N102+N105)*Assumptions!$K$26/24</f>
        <v>462.63899924043864</v>
      </c>
      <c r="O121" s="108">
        <f>(O102+O105)*Assumptions!$K$26/24</f>
        <v>462.63899924043864</v>
      </c>
      <c r="P121" s="108">
        <f>(P102+P105)*Assumptions!$K$26/24</f>
        <v>462.63899924043864</v>
      </c>
      <c r="Q121" s="108">
        <f>(Q102+Q105)*Assumptions!$K$26/24</f>
        <v>462.63899924043864</v>
      </c>
      <c r="R121" s="113"/>
    </row>
    <row r="122" spans="2:21" ht="15.5" x14ac:dyDescent="0.35">
      <c r="B122" s="106" t="s">
        <v>252</v>
      </c>
      <c r="C122" s="106"/>
      <c r="D122" s="108"/>
      <c r="E122" s="108">
        <f>SUM(E118:E121)</f>
        <v>128.30769230769232</v>
      </c>
      <c r="F122" s="108">
        <f t="shared" ref="F122:Q122" si="41">SUM(F118:F121)</f>
        <v>971.2333548804138</v>
      </c>
      <c r="G122" s="108">
        <f t="shared" si="41"/>
        <v>818.53846153846166</v>
      </c>
      <c r="H122" s="108">
        <f t="shared" si="41"/>
        <v>681.69999999999993</v>
      </c>
      <c r="I122" s="108">
        <f t="shared" si="41"/>
        <v>572.88</v>
      </c>
      <c r="J122" s="108">
        <f t="shared" si="41"/>
        <v>1075.2559042278085</v>
      </c>
      <c r="K122" s="108">
        <f>SUM(K118:K121)</f>
        <v>1125.2559042278085</v>
      </c>
      <c r="L122" s="108">
        <f t="shared" si="41"/>
        <v>1125.2559042278085</v>
      </c>
      <c r="M122" s="108">
        <f t="shared" si="41"/>
        <v>1014.8197533965802</v>
      </c>
      <c r="N122" s="108">
        <f t="shared" si="41"/>
        <v>1014.8197533965802</v>
      </c>
      <c r="O122" s="108">
        <f t="shared" si="41"/>
        <v>1014.8197533965802</v>
      </c>
      <c r="P122" s="108">
        <f t="shared" si="41"/>
        <v>1014.8197533965802</v>
      </c>
      <c r="Q122" s="108">
        <f t="shared" si="41"/>
        <v>1014.8197533965802</v>
      </c>
      <c r="R122" s="113"/>
    </row>
    <row r="123" spans="2:21" ht="15.5" x14ac:dyDescent="0.35">
      <c r="B123" s="106" t="s">
        <v>138</v>
      </c>
      <c r="C123" s="106"/>
      <c r="D123" s="108">
        <f>D110*Assumptions!$K$27/24</f>
        <v>0</v>
      </c>
      <c r="E123" s="108">
        <f>E110*Assumptions!$K$27/24</f>
        <v>20</v>
      </c>
      <c r="F123" s="108">
        <f>F110*Assumptions!$K$27/24</f>
        <v>100</v>
      </c>
      <c r="G123" s="108">
        <f>G110*Assumptions!$K$27/24</f>
        <v>60</v>
      </c>
      <c r="H123" s="108">
        <f>H110*Assumptions!$K$27/24</f>
        <v>70</v>
      </c>
      <c r="I123" s="108">
        <f>I110*Assumptions!$K$27/24</f>
        <v>50</v>
      </c>
      <c r="J123" s="108">
        <f>J110*Assumptions!$K$27/24</f>
        <v>80</v>
      </c>
      <c r="K123" s="108">
        <f>K110*Assumptions!$K$27/24</f>
        <v>80</v>
      </c>
      <c r="L123" s="109">
        <f>L110*Assumptions!$K$27/24</f>
        <v>80</v>
      </c>
      <c r="M123" s="108">
        <f>M110*Assumptions!$K$27/24</f>
        <v>80</v>
      </c>
      <c r="N123" s="108">
        <f>N110*Assumptions!$K$27/24</f>
        <v>80</v>
      </c>
      <c r="O123" s="108">
        <f>O110*Assumptions!$K$27/24</f>
        <v>80</v>
      </c>
      <c r="P123" s="108">
        <f>P110*Assumptions!$K$27/24</f>
        <v>80</v>
      </c>
      <c r="Q123" s="108">
        <f>Q110*Assumptions!$K$27/24</f>
        <v>80</v>
      </c>
      <c r="R123" s="113"/>
    </row>
    <row r="124" spans="2:21" ht="15.5" x14ac:dyDescent="0.35">
      <c r="B124" s="106" t="s">
        <v>195</v>
      </c>
      <c r="C124" s="106"/>
      <c r="D124" s="108">
        <f>(ROUNDUP(D83/400,1)+D84)*Assumptions!$K$45+SUM(D113:D114)/Assumptions!$K$44</f>
        <v>0</v>
      </c>
      <c r="E124" s="108">
        <f>(ROUNDUP(E83/400,1)+E84)*Assumptions!$K$45+SUM(E113:E114)/Assumptions!$K$44</f>
        <v>161.37560000000002</v>
      </c>
      <c r="F124" s="108">
        <f>(ROUNDUP(F83/400,1)+F84)*Assumptions!$K$45+SUM(F113:F114)/Assumptions!$K$44</f>
        <v>783.16687524240456</v>
      </c>
      <c r="G124" s="108">
        <f>(ROUNDUP(G83/400,1)+G84)*Assumptions!$K$45+SUM(G113:G114)/Assumptions!$K$44</f>
        <v>597.77178589743585</v>
      </c>
      <c r="H124" s="108">
        <f>(ROUNDUP(H83/400,1)+H84)*Assumptions!$K$45+SUM(H113:H114)/Assumptions!$K$44</f>
        <v>548.73801000000003</v>
      </c>
      <c r="I124" s="108">
        <f>(ROUNDUP(I83/400,1)+I84)*Assumptions!$K$45+SUM(I113:I114)/Assumptions!$K$44</f>
        <v>441.91262533333338</v>
      </c>
      <c r="J124" s="108">
        <f>(ROUNDUP(J83/400,1)+J84)*Assumptions!$K$45+SUM(J113:J114)/Assumptions!$K$44</f>
        <v>883.9104928245647</v>
      </c>
      <c r="K124" s="108">
        <f>(ROUNDUP(K83/400,1)+K84)*Assumptions!$K$45+SUM(K113:K114)/Assumptions!$K$44</f>
        <v>907.9104928245647</v>
      </c>
      <c r="L124" s="109">
        <f>(ROUNDUP(L83/400,1)+L84)*Assumptions!$K$45+SUM(L113:L114)/Assumptions!$K$44</f>
        <v>907.9104928245647</v>
      </c>
      <c r="M124" s="108">
        <f>(ROUNDUP(M83/400,1)+M84)*Assumptions!$K$45+SUM(M113:M114)/Assumptions!$K$44</f>
        <v>907.9104928245647</v>
      </c>
      <c r="N124" s="108">
        <f>(ROUNDUP(N83/400,1)+N84)*Assumptions!$K$45+SUM(N113:N114)/Assumptions!$K$44</f>
        <v>907.9104928245647</v>
      </c>
      <c r="O124" s="108">
        <f>(ROUNDUP(O83/400,1)+O84)*Assumptions!$K$45+SUM(O113:O114)/Assumptions!$K$44</f>
        <v>907.9104928245647</v>
      </c>
      <c r="P124" s="108">
        <f>(ROUNDUP(P83/400,1)+P84)*Assumptions!$K$45+SUM(P113:P114)/Assumptions!$K$44</f>
        <v>907.9104928245647</v>
      </c>
      <c r="Q124" s="108">
        <f>(ROUNDUP(Q83/400,1)+Q84)*Assumptions!$K$45+SUM(Q113:Q114)/Assumptions!$K$44</f>
        <v>907.9104928245647</v>
      </c>
      <c r="R124" s="113"/>
    </row>
    <row r="125" spans="2:21" ht="15.5" x14ac:dyDescent="0.35">
      <c r="B125" s="106" t="s">
        <v>297</v>
      </c>
      <c r="C125" s="106"/>
      <c r="D125" s="108">
        <f>D102*Assumptions!$K$28/24</f>
        <v>0</v>
      </c>
      <c r="E125" s="108">
        <f>E102*Assumptions!$K$28/24</f>
        <v>49.15384615384616</v>
      </c>
      <c r="F125" s="108">
        <f>F102*Assumptions!$K$28/24</f>
        <v>344.24030381383324</v>
      </c>
      <c r="G125" s="108">
        <f>G102*Assumptions!$K$28/24</f>
        <v>269.25961538461536</v>
      </c>
      <c r="H125" s="108">
        <f>H102*Assumptions!$K$28/24</f>
        <v>241.1</v>
      </c>
      <c r="I125" s="108">
        <f>I102*Assumptions!$K$28/24</f>
        <v>145.82000000000002</v>
      </c>
      <c r="J125" s="108">
        <f>J102*Assumptions!$K$28/24</f>
        <v>340.16399924043861</v>
      </c>
      <c r="K125" s="108">
        <f>K102*Assumptions!$K$28/24</f>
        <v>340.16399924043861</v>
      </c>
      <c r="L125" s="108">
        <f>L102*Assumptions!$K$28/24</f>
        <v>340.16399924043861</v>
      </c>
      <c r="M125" s="108">
        <f>M102*Assumptions!$K$28/24</f>
        <v>340.16399924043861</v>
      </c>
      <c r="N125" s="108">
        <f>N102*Assumptions!$K$28/24</f>
        <v>340.16399924043861</v>
      </c>
      <c r="O125" s="108">
        <f>O102*Assumptions!$K$28/24</f>
        <v>340.16399924043861</v>
      </c>
      <c r="P125" s="108">
        <f>P102*Assumptions!$K$28/24</f>
        <v>340.16399924043861</v>
      </c>
      <c r="Q125" s="108">
        <f>Q102*Assumptions!$K$28/24</f>
        <v>340.16399924043861</v>
      </c>
      <c r="R125" s="113"/>
    </row>
    <row r="126" spans="2:21" ht="15.5" x14ac:dyDescent="0.35">
      <c r="B126" s="135" t="s">
        <v>243</v>
      </c>
      <c r="C126" s="135"/>
      <c r="D126" s="132"/>
      <c r="E126" s="132"/>
      <c r="F126" s="132"/>
      <c r="G126" s="132"/>
      <c r="H126" s="132"/>
      <c r="I126" s="132"/>
      <c r="J126" s="132"/>
      <c r="K126" s="132"/>
      <c r="L126" s="137"/>
      <c r="M126" s="132"/>
      <c r="N126" s="132"/>
      <c r="O126" s="132"/>
      <c r="P126" s="132"/>
      <c r="Q126" s="132"/>
      <c r="R126" s="130"/>
    </row>
    <row r="127" spans="2:21" ht="15.5" x14ac:dyDescent="0.35">
      <c r="B127" s="106" t="s">
        <v>121</v>
      </c>
      <c r="C127" s="106"/>
      <c r="D127" s="108">
        <f>ROUNDUP(D118/(Assumptions!$C$36*365),0)</f>
        <v>0</v>
      </c>
      <c r="E127" s="108">
        <f>ROUNDUP(E118/(Assumptions!$C$36*365),0)</f>
        <v>1</v>
      </c>
      <c r="F127" s="108">
        <f>ROUNDUP(F118/(Assumptions!$C$36*365),0)</f>
        <v>2</v>
      </c>
      <c r="G127" s="108">
        <f>ROUNDUP(G118/(Assumptions!$C$36*365),0)</f>
        <v>2</v>
      </c>
      <c r="H127" s="108">
        <f>ROUNDUP(H118/(Assumptions!$C$36*365),0)</f>
        <v>1</v>
      </c>
      <c r="I127" s="108">
        <f>ROUNDUP(I118/(Assumptions!$C$36*365),0)</f>
        <v>0</v>
      </c>
      <c r="J127" s="108">
        <f>ROUNDUP(J118/(Assumptions!$C$36*365),0)</f>
        <v>0</v>
      </c>
      <c r="K127" s="108">
        <f>ROUNDUP(K118/(Assumptions!$C$36*365),0)</f>
        <v>0</v>
      </c>
      <c r="L127" s="109">
        <f>ROUNDUP(L118/(Assumptions!$C$36*365),0)</f>
        <v>0</v>
      </c>
      <c r="M127" s="108">
        <f>ROUNDUP(M118/(Assumptions!$C$36*365),0)</f>
        <v>0</v>
      </c>
      <c r="N127" s="108">
        <f>ROUNDUP(N118/(Assumptions!$C$36*365),0)</f>
        <v>0</v>
      </c>
      <c r="O127" s="108">
        <f>ROUNDUP(O118/(Assumptions!$C$36*365),0)</f>
        <v>0</v>
      </c>
      <c r="P127" s="108">
        <f>ROUNDUP(P118/(Assumptions!$C$36*365),0)</f>
        <v>0</v>
      </c>
      <c r="Q127" s="108">
        <f>ROUNDUP(Q118/(Assumptions!$C$36*365),0)</f>
        <v>0</v>
      </c>
      <c r="R127" s="113"/>
    </row>
    <row r="128" spans="2:21" ht="15.5" x14ac:dyDescent="0.35">
      <c r="B128" s="106" t="s">
        <v>122</v>
      </c>
      <c r="C128" s="106"/>
      <c r="D128" s="108">
        <f>ROUNDUP(D119/(Assumptions!$C$36*365),0)</f>
        <v>0</v>
      </c>
      <c r="E128" s="108">
        <f>ROUNDUP(E119/(Assumptions!$C$36*365),0)</f>
        <v>0</v>
      </c>
      <c r="F128" s="108">
        <f>ROUNDUP(F119/(Assumptions!$C$36*365),0)</f>
        <v>1</v>
      </c>
      <c r="G128" s="108">
        <f>ROUNDUP(G119/(Assumptions!$C$36*365),0)</f>
        <v>1</v>
      </c>
      <c r="H128" s="108">
        <f>ROUNDUP(H119/(Assumptions!$C$36*365),0)</f>
        <v>2</v>
      </c>
      <c r="I128" s="108">
        <f>ROUNDUP(I119/(Assumptions!$C$36*365),0)</f>
        <v>2</v>
      </c>
      <c r="J128" s="108">
        <f>ROUNDUP(J119/(Assumptions!$C$36*365),0)</f>
        <v>3</v>
      </c>
      <c r="K128" s="108">
        <f>ROUNDUP(K119/(Assumptions!$C$36*365),0)</f>
        <v>3</v>
      </c>
      <c r="L128" s="109">
        <f>ROUNDUP(L119/(Assumptions!$C$36*365),0)</f>
        <v>3</v>
      </c>
      <c r="M128" s="108">
        <f>ROUNDUP(M119/(Assumptions!$C$36*365),0)</f>
        <v>0</v>
      </c>
      <c r="N128" s="108">
        <f>ROUNDUP(N119/(Assumptions!$C$36*365),0)</f>
        <v>0</v>
      </c>
      <c r="O128" s="108">
        <f>ROUNDUP(O119/(Assumptions!$C$36*365),0)</f>
        <v>0</v>
      </c>
      <c r="P128" s="108">
        <f>ROUNDUP(P119/(Assumptions!$C$36*365),0)</f>
        <v>0</v>
      </c>
      <c r="Q128" s="108">
        <f>ROUNDUP(Q119/(Assumptions!$C$36*365),0)</f>
        <v>0</v>
      </c>
      <c r="R128" s="113"/>
    </row>
    <row r="129" spans="2:18" ht="15.5" x14ac:dyDescent="0.35">
      <c r="B129" s="106" t="s">
        <v>123</v>
      </c>
      <c r="C129" s="106"/>
      <c r="D129" s="108">
        <f>ROUNDUP(D120/(Assumptions!$C$36*365),0)</f>
        <v>0</v>
      </c>
      <c r="E129" s="108">
        <f>ROUNDUP(E120/(Assumptions!$C$36*365),0)</f>
        <v>0</v>
      </c>
      <c r="F129" s="108">
        <f>ROUNDUP(F120/(Assumptions!$C$36*365),0)</f>
        <v>0</v>
      </c>
      <c r="G129" s="108">
        <f>ROUNDUP(G120/(Assumptions!$C$36*365),0)</f>
        <v>0</v>
      </c>
      <c r="H129" s="108">
        <f>ROUNDUP(H120/(Assumptions!$C$36*365),0)</f>
        <v>0</v>
      </c>
      <c r="I129" s="108">
        <f>ROUNDUP(I120/(Assumptions!$C$36*365),0)</f>
        <v>0</v>
      </c>
      <c r="J129" s="108">
        <f>ROUNDUP(J120/(Assumptions!$C$36*365),0)</f>
        <v>0</v>
      </c>
      <c r="K129" s="108">
        <f>ROUNDUP(K120/(Assumptions!$C$36*365),0)</f>
        <v>0</v>
      </c>
      <c r="L129" s="109">
        <f>ROUNDUP(L120/(Assumptions!$C$36*365),0)</f>
        <v>0</v>
      </c>
      <c r="M129" s="108">
        <f>ROUNDUP(M120/(Assumptions!$C$36*365),0)</f>
        <v>3</v>
      </c>
      <c r="N129" s="108">
        <f>ROUNDUP(N120/(Assumptions!$C$36*365),0)</f>
        <v>3</v>
      </c>
      <c r="O129" s="108">
        <f>ROUNDUP(O120/(Assumptions!$C$36*365),0)</f>
        <v>3</v>
      </c>
      <c r="P129" s="108">
        <f>ROUNDUP(P120/(Assumptions!$C$36*365),0)</f>
        <v>3</v>
      </c>
      <c r="Q129" s="108">
        <f>ROUNDUP(Q120/(Assumptions!$C$36*365),0)</f>
        <v>3</v>
      </c>
      <c r="R129" s="113"/>
    </row>
    <row r="130" spans="2:18" ht="15.5" x14ac:dyDescent="0.35">
      <c r="B130" s="106" t="s">
        <v>140</v>
      </c>
      <c r="C130" s="106"/>
      <c r="D130" s="108">
        <f>ROUNDUP(D121/(Assumptions!$C$36*365),0)</f>
        <v>0</v>
      </c>
      <c r="E130" s="108">
        <f>ROUNDUP(E121/(Assumptions!$C$36*365),0)</f>
        <v>1</v>
      </c>
      <c r="F130" s="108">
        <f>ROUNDUP(F121/(Assumptions!$C$36*365),0)</f>
        <v>2</v>
      </c>
      <c r="G130" s="108">
        <f>ROUNDUP(G121/(Assumptions!$C$36*365),0)</f>
        <v>2</v>
      </c>
      <c r="H130" s="108">
        <f>ROUNDUP(H121/(Assumptions!$C$36*365),0)</f>
        <v>2</v>
      </c>
      <c r="I130" s="108">
        <f>ROUNDUP(I121/(Assumptions!$C$36*365),0)</f>
        <v>2</v>
      </c>
      <c r="J130" s="108">
        <f>ROUNDUP(J121/(Assumptions!$C$36*365),0)</f>
        <v>2</v>
      </c>
      <c r="K130" s="108">
        <f>ROUNDUP(K121/(Assumptions!$C$36*365),0)</f>
        <v>2</v>
      </c>
      <c r="L130" s="109">
        <f>ROUNDUP(L121/(Assumptions!$C$36*365),0)</f>
        <v>2</v>
      </c>
      <c r="M130" s="108">
        <f>ROUNDUP(M121/(Assumptions!$C$36*365),0)</f>
        <v>2</v>
      </c>
      <c r="N130" s="108">
        <f>ROUNDUP(N121/(Assumptions!$C$36*365),0)</f>
        <v>2</v>
      </c>
      <c r="O130" s="108">
        <f>ROUNDUP(O121/(Assumptions!$C$36*365),0)</f>
        <v>2</v>
      </c>
      <c r="P130" s="108">
        <f>ROUNDUP(P121/(Assumptions!$C$36*365),0)</f>
        <v>2</v>
      </c>
      <c r="Q130" s="108">
        <f>ROUNDUP(Q121/(Assumptions!$C$36*365),0)</f>
        <v>2</v>
      </c>
      <c r="R130" s="113"/>
    </row>
    <row r="131" spans="2:18" ht="15.5" x14ac:dyDescent="0.35">
      <c r="B131" s="105" t="s">
        <v>149</v>
      </c>
      <c r="C131" s="105"/>
      <c r="D131" s="108">
        <f>SUM(D127:D130)</f>
        <v>0</v>
      </c>
      <c r="E131" s="108">
        <f t="shared" ref="E131:Q131" si="42">SUM(E127:E130)</f>
        <v>2</v>
      </c>
      <c r="F131" s="108">
        <f t="shared" si="42"/>
        <v>5</v>
      </c>
      <c r="G131" s="108">
        <f t="shared" si="42"/>
        <v>5</v>
      </c>
      <c r="H131" s="108">
        <f t="shared" si="42"/>
        <v>5</v>
      </c>
      <c r="I131" s="108">
        <f>SUM(I127:I130)</f>
        <v>4</v>
      </c>
      <c r="J131" s="108">
        <f t="shared" si="42"/>
        <v>5</v>
      </c>
      <c r="K131" s="108">
        <f t="shared" si="42"/>
        <v>5</v>
      </c>
      <c r="L131" s="109">
        <f t="shared" si="42"/>
        <v>5</v>
      </c>
      <c r="M131" s="108">
        <f t="shared" si="42"/>
        <v>5</v>
      </c>
      <c r="N131" s="108">
        <f t="shared" si="42"/>
        <v>5</v>
      </c>
      <c r="O131" s="108">
        <f t="shared" si="42"/>
        <v>5</v>
      </c>
      <c r="P131" s="108">
        <f t="shared" si="42"/>
        <v>5</v>
      </c>
      <c r="Q131" s="108">
        <f t="shared" si="42"/>
        <v>5</v>
      </c>
      <c r="R131" s="113"/>
    </row>
    <row r="132" spans="2:18" ht="15.5" x14ac:dyDescent="0.35">
      <c r="B132" s="105"/>
      <c r="C132" s="105"/>
      <c r="D132" s="108"/>
      <c r="E132" s="108">
        <f>ROUNDUP(E122/(Assumptions!$C$36*365),0)</f>
        <v>1</v>
      </c>
      <c r="F132" s="108">
        <f>ROUNDUP(F122/(Assumptions!$C$36*365),0)</f>
        <v>4</v>
      </c>
      <c r="G132" s="108">
        <f>ROUNDUP(G122/(Assumptions!$C$36*365),0)</f>
        <v>4</v>
      </c>
      <c r="H132" s="108">
        <f>ROUNDUP(H122/(Assumptions!$C$36*365),0)</f>
        <v>3</v>
      </c>
      <c r="I132" s="108">
        <f>ROUNDUP(I122/(Assumptions!$C$36*365),0)</f>
        <v>3</v>
      </c>
      <c r="J132" s="108">
        <f>ROUNDUP(J122/(Assumptions!$C$36*365),0)</f>
        <v>5</v>
      </c>
      <c r="K132" s="108">
        <f>ROUNDUP(K122/(Assumptions!$C$36*365),0)</f>
        <v>5</v>
      </c>
      <c r="L132" s="108">
        <f>ROUNDUP(L122/(Assumptions!$C$36*365),0)</f>
        <v>5</v>
      </c>
      <c r="M132" s="108">
        <f>ROUNDUP(M122/(Assumptions!$C$36*365),0)</f>
        <v>5</v>
      </c>
      <c r="N132" s="108">
        <f>ROUNDUP(N122/(Assumptions!$C$36*365),0)</f>
        <v>5</v>
      </c>
      <c r="O132" s="108">
        <f>ROUNDUP(O122/(Assumptions!$C$36*365),0)</f>
        <v>5</v>
      </c>
      <c r="P132" s="108">
        <f>ROUNDUP(P122/(Assumptions!$C$36*365),0)</f>
        <v>5</v>
      </c>
      <c r="Q132" s="108">
        <f>ROUNDUP(Q122/(Assumptions!$C$36*365),0)</f>
        <v>5</v>
      </c>
      <c r="R132" s="113"/>
    </row>
    <row r="133" spans="2:18" ht="15.5" x14ac:dyDescent="0.35">
      <c r="B133" s="106" t="s">
        <v>138</v>
      </c>
      <c r="C133" s="106"/>
      <c r="D133" s="108">
        <f>ROUNDUP(D123/(Assumptions!$C$36*365),0)</f>
        <v>0</v>
      </c>
      <c r="E133" s="108">
        <f>ROUNDUP(E123/(Assumptions!$C$36*365),0)</f>
        <v>1</v>
      </c>
      <c r="F133" s="108">
        <f>ROUNDUP(F123/(Assumptions!$C$36*365),0)</f>
        <v>1</v>
      </c>
      <c r="G133" s="108">
        <f>ROUNDUP(G123/(Assumptions!$C$36*365),0)</f>
        <v>1</v>
      </c>
      <c r="H133" s="108">
        <f>ROUNDUP(H123/(Assumptions!$C$36*365),0)</f>
        <v>1</v>
      </c>
      <c r="I133" s="108">
        <f>ROUNDUP(I123/(Assumptions!$C$36*365),0)</f>
        <v>1</v>
      </c>
      <c r="J133" s="108">
        <f>ROUNDUP(J123/(Assumptions!$C$36*365),0)</f>
        <v>1</v>
      </c>
      <c r="K133" s="108">
        <f>ROUNDUP(K123/(Assumptions!$C$36*365),0)</f>
        <v>1</v>
      </c>
      <c r="L133" s="109">
        <f>ROUNDUP(L123/(Assumptions!$C$36*365),0)</f>
        <v>1</v>
      </c>
      <c r="M133" s="108">
        <f>ROUNDUP(M123/(Assumptions!$C$36*365),0)</f>
        <v>1</v>
      </c>
      <c r="N133" s="108">
        <f>ROUNDUP(N123/(Assumptions!$C$36*365),0)</f>
        <v>1</v>
      </c>
      <c r="O133" s="108">
        <f>ROUNDUP(O123/(Assumptions!$C$36*365),0)</f>
        <v>1</v>
      </c>
      <c r="P133" s="108">
        <f>ROUNDUP(P123/(Assumptions!$C$36*365),0)</f>
        <v>1</v>
      </c>
      <c r="Q133" s="108">
        <f>ROUNDUP(Q123/(Assumptions!$C$36*365),0)</f>
        <v>1</v>
      </c>
      <c r="R133" s="113"/>
    </row>
    <row r="134" spans="2:18" ht="15.5" x14ac:dyDescent="0.35">
      <c r="B134" s="106" t="s">
        <v>242</v>
      </c>
      <c r="C134" s="106"/>
      <c r="D134" s="108">
        <f>D131*2</f>
        <v>0</v>
      </c>
      <c r="E134" s="108">
        <f t="shared" ref="E134:Q134" si="43">E131*2</f>
        <v>4</v>
      </c>
      <c r="F134" s="108">
        <f t="shared" si="43"/>
        <v>10</v>
      </c>
      <c r="G134" s="108">
        <f t="shared" si="43"/>
        <v>10</v>
      </c>
      <c r="H134" s="108">
        <f t="shared" si="43"/>
        <v>10</v>
      </c>
      <c r="I134" s="108">
        <f t="shared" si="43"/>
        <v>8</v>
      </c>
      <c r="J134" s="108">
        <f t="shared" si="43"/>
        <v>10</v>
      </c>
      <c r="K134" s="108">
        <f t="shared" si="43"/>
        <v>10</v>
      </c>
      <c r="L134" s="109">
        <f t="shared" si="43"/>
        <v>10</v>
      </c>
      <c r="M134" s="108">
        <f t="shared" si="43"/>
        <v>10</v>
      </c>
      <c r="N134" s="108">
        <f t="shared" si="43"/>
        <v>10</v>
      </c>
      <c r="O134" s="108">
        <f t="shared" si="43"/>
        <v>10</v>
      </c>
      <c r="P134" s="108">
        <f t="shared" si="43"/>
        <v>10</v>
      </c>
      <c r="Q134" s="108">
        <f t="shared" si="43"/>
        <v>10</v>
      </c>
      <c r="R134" s="113"/>
    </row>
    <row r="135" spans="2:18" ht="15.5" x14ac:dyDescent="0.35">
      <c r="B135" s="106" t="s">
        <v>179</v>
      </c>
      <c r="C135" s="106"/>
      <c r="D135" s="108">
        <v>0</v>
      </c>
      <c r="E135" s="108" t="e">
        <f>IF(E82=0,0,E84*Assumptions!$K$35+D84*Assumptions!$K$36+SUM(#REF!)*Assumptions!$K$37+Assumptions!$K$38)</f>
        <v>#REF!</v>
      </c>
      <c r="F135" s="108">
        <f>IF(F82=0,0,F84*Assumptions!$K$35+E84*Assumptions!$K$36+SUM($D84:D84)*Assumptions!$K$37+Assumptions!$K$38)</f>
        <v>18</v>
      </c>
      <c r="G135" s="108">
        <f>IF(G82=0,0,G84*Assumptions!$K$35+F84*Assumptions!$K$36+SUM($D84:E84)*Assumptions!$K$37+Assumptions!$K$38)</f>
        <v>26</v>
      </c>
      <c r="H135" s="108">
        <f>IF(H82=0,0,H84*Assumptions!$K$35+G84*Assumptions!$K$36+SUM($D84:F84)*Assumptions!$K$37+Assumptions!$K$38)</f>
        <v>32</v>
      </c>
      <c r="I135" s="108">
        <f>IF(I82=0,0,I84*Assumptions!$K$35+H84*Assumptions!$K$36+SUM($D84:G84)*Assumptions!$K$37+Assumptions!$K$38)</f>
        <v>33</v>
      </c>
      <c r="J135" s="108">
        <f>IF(J82=0,0,J84*Assumptions!$K$35+I84*Assumptions!$K$36+SUM($D84:H84)*Assumptions!$K$37+Assumptions!$K$38)</f>
        <v>43</v>
      </c>
      <c r="K135" s="108">
        <f>IF(K82=0,0,K84*Assumptions!$K$35+J84*Assumptions!$K$36+SUM($D84:I84)*Assumptions!$K$37+Assumptions!$K$38)</f>
        <v>56</v>
      </c>
      <c r="L135" s="108">
        <f>IF(L82=0,0,L84*Assumptions!$K$35+K84*Assumptions!$K$36+SUM($D84:J84)*Assumptions!$K$37+Assumptions!$K$38)</f>
        <v>64</v>
      </c>
      <c r="M135" s="108">
        <f>IF(M82=0,0,M84*Assumptions!$K$35+L84*Assumptions!$K$36+SUM($D84:K84)*Assumptions!$K$37+Assumptions!$K$38)</f>
        <v>72</v>
      </c>
      <c r="N135" s="108">
        <f>IF(N82=0,0,N84*Assumptions!$K$35+M84*Assumptions!$K$36+SUM($D84:L84)*Assumptions!$K$37+Assumptions!$K$38)</f>
        <v>80</v>
      </c>
      <c r="O135" s="108">
        <f>IF(O82=0,0,O84*Assumptions!$K$35+N84*Assumptions!$K$36+SUM($D84:M84)*Assumptions!$K$37+Assumptions!$K$38)</f>
        <v>88</v>
      </c>
      <c r="P135" s="108">
        <f>IF(P82=0,0,P84*Assumptions!$K$35+O84*Assumptions!$K$36+SUM($D84:N84)*Assumptions!$K$37+Assumptions!$K$38)</f>
        <v>96</v>
      </c>
      <c r="Q135" s="108">
        <f>IF(Q82=0,0,Q84*Assumptions!$K$35+P84*Assumptions!$K$36+SUM($D84:O84)*Assumptions!$K$37+Assumptions!$K$38)</f>
        <v>104</v>
      </c>
      <c r="R135" s="113">
        <f>Q135</f>
        <v>104</v>
      </c>
    </row>
    <row r="136" spans="2:18" ht="15.5" x14ac:dyDescent="0.35">
      <c r="B136" s="106" t="s">
        <v>343</v>
      </c>
      <c r="C136" s="106"/>
      <c r="D136" s="108">
        <v>0</v>
      </c>
      <c r="E136" s="108">
        <f>ROUNDUP((SUM($E86:E88)+D136)/Assumptions!$K$41,0)</f>
        <v>1</v>
      </c>
      <c r="F136" s="108">
        <f>ROUNDUP((SUM($E86:F88)+E136)/Assumptions!$K$41,0)</f>
        <v>2</v>
      </c>
      <c r="G136" s="108">
        <f>ROUNDUP((SUM($E86:G88)+F136)/Assumptions!$K$41,0)</f>
        <v>4</v>
      </c>
      <c r="H136" s="108">
        <f>ROUNDUP((SUM($E86:H88)+G136)/Assumptions!$K$41,0)</f>
        <v>5</v>
      </c>
      <c r="I136" s="108">
        <f>ROUNDUP((SUM($E86:I88)+H136)/Assumptions!$K$41,0)</f>
        <v>6</v>
      </c>
      <c r="J136" s="108">
        <f>ROUNDUP((SUM($E86:J88)+I136)/Assumptions!$K$41,0)</f>
        <v>8</v>
      </c>
      <c r="K136" s="108">
        <f>ROUNDUP((SUM($E86:K88)+J136)/Assumptions!$K$41,0)</f>
        <v>10</v>
      </c>
      <c r="L136" s="108">
        <f>ROUNDUP((SUM($E86:L88)+K136)/Assumptions!$K$41,0)</f>
        <v>13</v>
      </c>
      <c r="M136" s="108">
        <f>ROUNDUP((SUM($E86:M88)+L136)/Assumptions!$K$41,0)</f>
        <v>14</v>
      </c>
      <c r="N136" s="108">
        <f>ROUNDUP((SUM($E86:N88)+M136)/Assumptions!$K$41,0)</f>
        <v>16</v>
      </c>
      <c r="O136" s="108">
        <f>ROUNDUP((SUM($E86:O88)+N136)/Assumptions!$K$41,0)</f>
        <v>18</v>
      </c>
      <c r="P136" s="108">
        <f>ROUNDUP((SUM($E86:P88)+O136)/Assumptions!$K$41,0)</f>
        <v>20</v>
      </c>
      <c r="Q136" s="108">
        <f>ROUNDUP((SUM($E86:Q88)+P136)/Assumptions!$K$41,0)</f>
        <v>22</v>
      </c>
      <c r="R136" s="113">
        <f>Q136</f>
        <v>22</v>
      </c>
    </row>
    <row r="137" spans="2:18" ht="15.5" x14ac:dyDescent="0.35">
      <c r="B137" s="106" t="s">
        <v>195</v>
      </c>
      <c r="C137" s="106"/>
      <c r="D137" s="108">
        <f>ROUNDUP(D124/(Assumptions!$C$36*365),0)</f>
        <v>0</v>
      </c>
      <c r="E137" s="108">
        <f>ROUNDUP(E124/(Assumptions!$C$36*365),0)</f>
        <v>1</v>
      </c>
      <c r="F137" s="108">
        <f>ROUNDUP(F124/(Assumptions!$C$36*365),0)</f>
        <v>4</v>
      </c>
      <c r="G137" s="108">
        <f>ROUNDUP(G124/(Assumptions!$C$36*365),0)</f>
        <v>3</v>
      </c>
      <c r="H137" s="108">
        <f>ROUNDUP(H124/(Assumptions!$C$36*365),0)</f>
        <v>3</v>
      </c>
      <c r="I137" s="108">
        <f>ROUNDUP(I124/(Assumptions!$C$36*365),0)</f>
        <v>2</v>
      </c>
      <c r="J137" s="108">
        <f>ROUNDUP(J124/(Assumptions!$C$36*365),0)</f>
        <v>4</v>
      </c>
      <c r="K137" s="108">
        <f>ROUNDUP(K124/(Assumptions!$C$36*365),0)</f>
        <v>4</v>
      </c>
      <c r="L137" s="109">
        <f>ROUNDUP(L124/(Assumptions!$C$36*365),0)</f>
        <v>4</v>
      </c>
      <c r="M137" s="108">
        <f>ROUNDUP(M124/(Assumptions!$C$36*365),0)</f>
        <v>4</v>
      </c>
      <c r="N137" s="108">
        <f>ROUNDUP(N124/(Assumptions!$C$36*365),0)</f>
        <v>4</v>
      </c>
      <c r="O137" s="108">
        <f>ROUNDUP(O124/(Assumptions!$C$36*365),0)</f>
        <v>4</v>
      </c>
      <c r="P137" s="108">
        <f>ROUNDUP(P124/(Assumptions!$C$36*365),0)</f>
        <v>4</v>
      </c>
      <c r="Q137" s="108">
        <f>ROUNDUP(Q124/(Assumptions!$C$36*365),0)</f>
        <v>4</v>
      </c>
      <c r="R137" s="114"/>
    </row>
    <row r="138" spans="2:18" ht="15.5" x14ac:dyDescent="0.35">
      <c r="B138" s="106" t="s">
        <v>296</v>
      </c>
      <c r="C138" s="106"/>
      <c r="D138" s="108">
        <f>ROUNDUP(D125/(Assumptions!$C$36*365),0)</f>
        <v>0</v>
      </c>
      <c r="E138" s="108">
        <f>ROUNDUP(E125/(Assumptions!$C$36*365),0)</f>
        <v>1</v>
      </c>
      <c r="F138" s="108">
        <f>ROUNDUP(F125/(Assumptions!$C$36*365),0)</f>
        <v>2</v>
      </c>
      <c r="G138" s="108">
        <f>ROUNDUP(G125/(Assumptions!$C$36*365),0)</f>
        <v>2</v>
      </c>
      <c r="H138" s="108">
        <f>ROUNDUP(H125/(Assumptions!$C$36*365),0)</f>
        <v>1</v>
      </c>
      <c r="I138" s="108">
        <f>ROUNDUP(I125/(Assumptions!$C$36*365),0)</f>
        <v>1</v>
      </c>
      <c r="J138" s="108">
        <f>ROUNDUP(J125/(Assumptions!$C$36*365),0)</f>
        <v>2</v>
      </c>
      <c r="K138" s="108">
        <f>ROUNDUP(K125/(Assumptions!$C$36*365),0)</f>
        <v>2</v>
      </c>
      <c r="L138" s="108">
        <f>ROUNDUP(L125/(Assumptions!$C$36*365),0)</f>
        <v>2</v>
      </c>
      <c r="M138" s="108">
        <f>ROUNDUP(M125/(Assumptions!$C$36*365),0)</f>
        <v>2</v>
      </c>
      <c r="N138" s="108">
        <f>ROUNDUP(N125/(Assumptions!$C$36*365),0)</f>
        <v>2</v>
      </c>
      <c r="O138" s="108">
        <f>ROUNDUP(O125/(Assumptions!$C$36*365),0)</f>
        <v>2</v>
      </c>
      <c r="P138" s="108">
        <f>ROUNDUP(P125/(Assumptions!$C$36*365),0)</f>
        <v>2</v>
      </c>
      <c r="Q138" s="108">
        <f>ROUNDUP(Q125/(Assumptions!$C$36*365),0)</f>
        <v>2</v>
      </c>
      <c r="R138" s="114"/>
    </row>
    <row r="139" spans="2:18" ht="15.5" x14ac:dyDescent="0.35">
      <c r="B139" s="106"/>
      <c r="C139" s="106"/>
      <c r="D139" s="107"/>
      <c r="E139" s="108"/>
      <c r="F139" s="108"/>
      <c r="G139" s="108"/>
      <c r="H139" s="108"/>
      <c r="I139" s="108"/>
      <c r="J139" s="108"/>
      <c r="K139" s="108"/>
      <c r="L139" s="109"/>
      <c r="M139" s="108"/>
      <c r="N139" s="108"/>
      <c r="O139" s="108"/>
      <c r="P139" s="108"/>
      <c r="Q139" s="108"/>
      <c r="R139" s="114"/>
    </row>
    <row r="140" spans="2:18" ht="15.5" x14ac:dyDescent="0.35">
      <c r="B140" s="135" t="s">
        <v>253</v>
      </c>
      <c r="C140" s="135"/>
      <c r="D140" s="143"/>
      <c r="E140" s="143"/>
      <c r="F140" s="143"/>
      <c r="G140" s="143"/>
      <c r="H140" s="143"/>
      <c r="I140" s="143"/>
      <c r="J140" s="143"/>
      <c r="K140" s="143"/>
      <c r="L140" s="143"/>
      <c r="M140" s="143"/>
      <c r="N140" s="143"/>
      <c r="O140" s="143"/>
      <c r="P140" s="143"/>
      <c r="Q140" s="143"/>
      <c r="R140" s="143"/>
    </row>
    <row r="141" spans="2:18" ht="15.5" x14ac:dyDescent="0.35">
      <c r="B141" s="135"/>
      <c r="C141" s="135"/>
      <c r="D141" s="143">
        <f t="shared" ref="D141:Q141" si="44">D6</f>
        <v>2022</v>
      </c>
      <c r="E141" s="143">
        <f t="shared" si="44"/>
        <v>2023</v>
      </c>
      <c r="F141" s="143">
        <f t="shared" si="44"/>
        <v>2024</v>
      </c>
      <c r="G141" s="143">
        <f t="shared" si="44"/>
        <v>2025</v>
      </c>
      <c r="H141" s="143">
        <f t="shared" si="44"/>
        <v>2026</v>
      </c>
      <c r="I141" s="143">
        <f t="shared" si="44"/>
        <v>2027</v>
      </c>
      <c r="J141" s="143">
        <f t="shared" si="44"/>
        <v>2028</v>
      </c>
      <c r="K141" s="143">
        <f t="shared" si="44"/>
        <v>2029</v>
      </c>
      <c r="L141" s="143">
        <f t="shared" si="44"/>
        <v>2030</v>
      </c>
      <c r="M141" s="143">
        <f t="shared" si="44"/>
        <v>2031</v>
      </c>
      <c r="N141" s="143">
        <f t="shared" si="44"/>
        <v>2032</v>
      </c>
      <c r="O141" s="143">
        <f t="shared" si="44"/>
        <v>2033</v>
      </c>
      <c r="P141" s="143">
        <f t="shared" si="44"/>
        <v>2034</v>
      </c>
      <c r="Q141" s="143">
        <f t="shared" si="44"/>
        <v>2035</v>
      </c>
      <c r="R141" s="143"/>
    </row>
    <row r="142" spans="2:18" x14ac:dyDescent="0.35">
      <c r="B142" s="144" t="s">
        <v>254</v>
      </c>
      <c r="C142" s="144"/>
      <c r="D142" s="144">
        <f>ROUNDUP(D131*1.5,0)</f>
        <v>0</v>
      </c>
      <c r="E142" s="144">
        <f>ROUNDUP(E131*1.5,0)</f>
        <v>3</v>
      </c>
      <c r="F142" s="144">
        <f t="shared" ref="F142:Q142" si="45">ROUNDUP(F131*1.5,0)</f>
        <v>8</v>
      </c>
      <c r="G142" s="144">
        <f t="shared" si="45"/>
        <v>8</v>
      </c>
      <c r="H142" s="144">
        <f t="shared" si="45"/>
        <v>8</v>
      </c>
      <c r="I142" s="144">
        <f t="shared" si="45"/>
        <v>6</v>
      </c>
      <c r="J142" s="144">
        <f t="shared" si="45"/>
        <v>8</v>
      </c>
      <c r="K142" s="144">
        <f t="shared" si="45"/>
        <v>8</v>
      </c>
      <c r="L142" s="144">
        <f t="shared" si="45"/>
        <v>8</v>
      </c>
      <c r="M142" s="144">
        <f t="shared" si="45"/>
        <v>8</v>
      </c>
      <c r="N142" s="144">
        <f t="shared" si="45"/>
        <v>8</v>
      </c>
      <c r="O142" s="144">
        <f t="shared" si="45"/>
        <v>8</v>
      </c>
      <c r="P142" s="144">
        <f t="shared" si="45"/>
        <v>8</v>
      </c>
      <c r="Q142" s="144">
        <f t="shared" si="45"/>
        <v>8</v>
      </c>
      <c r="R142" s="144"/>
    </row>
    <row r="143" spans="2:18" x14ac:dyDescent="0.35">
      <c r="B143" s="144" t="s">
        <v>269</v>
      </c>
      <c r="C143" s="144"/>
      <c r="D143" s="144">
        <f t="shared" ref="D143" si="46">D142*29</f>
        <v>0</v>
      </c>
      <c r="E143" s="145">
        <f t="shared" ref="E143:Q143" si="47">E132*29</f>
        <v>29</v>
      </c>
      <c r="F143" s="145">
        <f t="shared" si="47"/>
        <v>116</v>
      </c>
      <c r="G143" s="145">
        <f>G132*29</f>
        <v>116</v>
      </c>
      <c r="H143" s="145">
        <f t="shared" si="47"/>
        <v>87</v>
      </c>
      <c r="I143" s="145">
        <f t="shared" si="47"/>
        <v>87</v>
      </c>
      <c r="J143" s="145">
        <f>J132*29</f>
        <v>145</v>
      </c>
      <c r="K143" s="145">
        <f t="shared" si="47"/>
        <v>145</v>
      </c>
      <c r="L143" s="145">
        <f t="shared" si="47"/>
        <v>145</v>
      </c>
      <c r="M143" s="145">
        <f t="shared" si="47"/>
        <v>145</v>
      </c>
      <c r="N143" s="145">
        <f t="shared" si="47"/>
        <v>145</v>
      </c>
      <c r="O143" s="145">
        <f t="shared" si="47"/>
        <v>145</v>
      </c>
      <c r="P143" s="145">
        <f t="shared" si="47"/>
        <v>145</v>
      </c>
      <c r="Q143" s="145">
        <f t="shared" si="47"/>
        <v>145</v>
      </c>
      <c r="R143" s="144"/>
    </row>
    <row r="144" spans="2:18" x14ac:dyDescent="0.35">
      <c r="B144" s="59" t="s">
        <v>270</v>
      </c>
      <c r="C144" s="165"/>
      <c r="D144" s="166">
        <f>'WC-known'!D130*$R$4</f>
        <v>0</v>
      </c>
      <c r="E144" s="166">
        <f>'WC-known'!E130*$R$4</f>
        <v>0</v>
      </c>
      <c r="F144" s="166">
        <f>'WC-known'!F130*$R$4</f>
        <v>0</v>
      </c>
      <c r="G144" s="166">
        <f>'WC-known'!G130*$R$4</f>
        <v>0</v>
      </c>
      <c r="H144" s="166">
        <f>'WC-known'!H130*$R$4</f>
        <v>0</v>
      </c>
      <c r="I144" s="166">
        <f>'WC-known'!I130*$R$4</f>
        <v>0</v>
      </c>
      <c r="J144" s="166">
        <f>'WC-known'!J130*$R$4</f>
        <v>66.690028175395383</v>
      </c>
      <c r="K144" s="166">
        <f>'WC-known'!K130*$R$4</f>
        <v>133.35883852595958</v>
      </c>
      <c r="L144" s="166">
        <f>'WC-known'!L130*$R$4</f>
        <v>133.35883852595958</v>
      </c>
      <c r="M144" s="166">
        <f>'WC-known'!M130*$R$4</f>
        <v>122.17534670602728</v>
      </c>
      <c r="N144" s="166">
        <f>'WC-known'!N130*$R$4</f>
        <v>55.526058701100119</v>
      </c>
      <c r="O144" s="166">
        <f>'WC-known'!O130*$R$4</f>
        <v>44.431550779424889</v>
      </c>
      <c r="P144" s="166">
        <f>'WC-known'!P130*$R$4</f>
        <v>0</v>
      </c>
      <c r="Q144" s="166">
        <f>'WC-known'!Q130*$R$4</f>
        <v>0</v>
      </c>
      <c r="R144" s="59"/>
    </row>
    <row r="146" spans="2:18" ht="15.5" x14ac:dyDescent="0.35">
      <c r="B146" t="s">
        <v>235</v>
      </c>
      <c r="D146" s="115">
        <f t="shared" ref="D146:R146" si="48">SUM(D86:D88)</f>
        <v>0</v>
      </c>
      <c r="E146" s="115">
        <f t="shared" si="48"/>
        <v>42.769230769230774</v>
      </c>
      <c r="F146" s="115">
        <f t="shared" si="48"/>
        <v>338.31588019823317</v>
      </c>
      <c r="G146" s="115">
        <f t="shared" si="48"/>
        <v>289.84615384615381</v>
      </c>
      <c r="H146" s="115">
        <f t="shared" si="48"/>
        <v>243.73333333333332</v>
      </c>
      <c r="I146" s="115">
        <f t="shared" si="48"/>
        <v>193.64</v>
      </c>
      <c r="J146" s="115">
        <f t="shared" si="48"/>
        <v>408.41126999157984</v>
      </c>
      <c r="K146" s="115">
        <f t="shared" si="48"/>
        <v>441.74460332491321</v>
      </c>
      <c r="L146" s="115">
        <f t="shared" si="48"/>
        <v>441.74460332491321</v>
      </c>
      <c r="M146" s="115">
        <f t="shared" si="48"/>
        <v>368.12050277076099</v>
      </c>
      <c r="N146" s="115">
        <f t="shared" si="48"/>
        <v>368.12050277076099</v>
      </c>
      <c r="O146" s="115">
        <f t="shared" si="48"/>
        <v>368.12050277076099</v>
      </c>
      <c r="P146" s="115">
        <f t="shared" si="48"/>
        <v>368.12050277076099</v>
      </c>
      <c r="Q146" s="115">
        <f t="shared" si="48"/>
        <v>368.12050277076099</v>
      </c>
      <c r="R146" s="115">
        <f t="shared" si="48"/>
        <v>4240.807588642162</v>
      </c>
    </row>
    <row r="150" spans="2:18" x14ac:dyDescent="0.35">
      <c r="F150" s="22"/>
      <c r="G150" s="22"/>
      <c r="H150" s="22"/>
      <c r="I150" s="22"/>
      <c r="J150" s="22"/>
      <c r="K150" s="22"/>
      <c r="L150" s="22"/>
      <c r="M150" s="22"/>
      <c r="N150" s="22"/>
      <c r="O150" s="22"/>
      <c r="P150" s="22"/>
      <c r="Q150" s="22"/>
    </row>
    <row r="151" spans="2:18" x14ac:dyDescent="0.35">
      <c r="F151" s="22"/>
      <c r="G151" s="22"/>
      <c r="H151" s="22"/>
      <c r="I151" s="22"/>
      <c r="J151" s="22"/>
      <c r="K151" s="22"/>
      <c r="L151" s="22"/>
      <c r="M151" s="22"/>
      <c r="N151" s="22"/>
      <c r="O151" s="22"/>
      <c r="P151" s="22"/>
      <c r="Q151" s="22"/>
    </row>
    <row r="152" spans="2:18" x14ac:dyDescent="0.35">
      <c r="F152" s="22"/>
      <c r="G152" s="22"/>
      <c r="H152" s="22"/>
      <c r="I152" s="22"/>
      <c r="J152" s="22"/>
      <c r="K152" s="22"/>
      <c r="L152" s="22"/>
      <c r="M152" s="22"/>
      <c r="N152" s="22"/>
      <c r="O152" s="22"/>
      <c r="P152" s="22"/>
      <c r="Q152" s="22"/>
    </row>
    <row r="154" spans="2:18" x14ac:dyDescent="0.35">
      <c r="F154" s="58"/>
      <c r="G154" s="58"/>
      <c r="H154" s="58"/>
      <c r="I154" s="58"/>
      <c r="J154" s="58"/>
      <c r="K154" s="58"/>
      <c r="L154" s="58"/>
      <c r="M154" s="58"/>
      <c r="N154" s="58"/>
      <c r="O154" s="58"/>
      <c r="P154" s="58"/>
      <c r="Q154" s="58"/>
    </row>
    <row r="155" spans="2:18" x14ac:dyDescent="0.35">
      <c r="F155" s="58"/>
      <c r="G155" s="58"/>
      <c r="H155" s="58"/>
      <c r="I155" s="58"/>
      <c r="J155" s="58"/>
      <c r="K155" s="58"/>
      <c r="L155" s="58"/>
      <c r="M155" s="58"/>
      <c r="N155" s="58"/>
      <c r="O155" s="58"/>
      <c r="P155" s="58"/>
      <c r="Q155" s="58"/>
    </row>
    <row r="156" spans="2:18" x14ac:dyDescent="0.35">
      <c r="F156" s="58"/>
      <c r="G156" s="58"/>
      <c r="H156" s="58"/>
      <c r="I156" s="58"/>
      <c r="J156" s="58"/>
      <c r="K156" s="58"/>
      <c r="L156" s="58"/>
      <c r="M156" s="58"/>
      <c r="N156" s="58"/>
      <c r="O156" s="58"/>
      <c r="P156" s="58"/>
      <c r="Q156" s="58"/>
    </row>
    <row r="157" spans="2:18" x14ac:dyDescent="0.35">
      <c r="F157" s="58"/>
      <c r="G157" s="58"/>
      <c r="H157" s="58"/>
      <c r="I157" s="58"/>
      <c r="J157" s="58"/>
      <c r="K157" s="58"/>
      <c r="L157" s="58"/>
      <c r="M157" s="58"/>
      <c r="N157" s="58"/>
      <c r="O157" s="58"/>
      <c r="P157" s="58"/>
      <c r="Q157" s="58"/>
    </row>
  </sheetData>
  <conditionalFormatting sqref="D67:Q67">
    <cfRule type="colorScale" priority="38">
      <colorScale>
        <cfvo type="min"/>
        <cfvo type="max"/>
        <color rgb="FFFCFCFF"/>
        <color rgb="FF00B050"/>
      </colorScale>
    </cfRule>
  </conditionalFormatting>
  <conditionalFormatting sqref="Q58:Q60">
    <cfRule type="colorScale" priority="36">
      <colorScale>
        <cfvo type="min"/>
        <cfvo type="max"/>
        <color theme="0"/>
        <color rgb="FF00B050"/>
      </colorScale>
    </cfRule>
  </conditionalFormatting>
  <conditionalFormatting sqref="D90:Q92">
    <cfRule type="colorScale" priority="32">
      <colorScale>
        <cfvo type="min"/>
        <cfvo type="max"/>
        <color theme="0"/>
        <color rgb="FF5D9732"/>
      </colorScale>
    </cfRule>
  </conditionalFormatting>
  <conditionalFormatting sqref="D94:Q96">
    <cfRule type="colorScale" priority="31">
      <colorScale>
        <cfvo type="min"/>
        <cfvo type="max"/>
        <color theme="0"/>
        <color rgb="FF5D9732"/>
      </colorScale>
    </cfRule>
  </conditionalFormatting>
  <conditionalFormatting sqref="D98:Q100">
    <cfRule type="colorScale" priority="30">
      <colorScale>
        <cfvo type="min"/>
        <cfvo type="max"/>
        <color theme="0"/>
        <color rgb="FF5D9732"/>
      </colorScale>
    </cfRule>
  </conditionalFormatting>
  <conditionalFormatting sqref="D118:Q121 D123:Q124">
    <cfRule type="colorScale" priority="25">
      <colorScale>
        <cfvo type="min"/>
        <cfvo type="max"/>
        <color rgb="FFFCFCFF"/>
        <color rgb="FF5D9732"/>
      </colorScale>
    </cfRule>
  </conditionalFormatting>
  <conditionalFormatting sqref="D127:Q131 D133:Q133">
    <cfRule type="colorScale" priority="43">
      <colorScale>
        <cfvo type="min"/>
        <cfvo type="max"/>
        <color rgb="FFFCFCFF"/>
        <color rgb="FF5D9732"/>
      </colorScale>
    </cfRule>
  </conditionalFormatting>
  <conditionalFormatting sqref="E134:Q135 E139:Q139 E137:Q137">
    <cfRule type="colorScale" priority="24">
      <colorScale>
        <cfvo type="min"/>
        <cfvo type="max"/>
        <color rgb="FFFCFCFF"/>
        <color rgb="FF5D9732"/>
      </colorScale>
    </cfRule>
  </conditionalFormatting>
  <conditionalFormatting sqref="D77:Q80">
    <cfRule type="colorScale" priority="44">
      <colorScale>
        <cfvo type="min"/>
        <cfvo type="max"/>
        <color rgb="FFFCFCFF"/>
        <color rgb="FF00B050"/>
      </colorScale>
    </cfRule>
  </conditionalFormatting>
  <conditionalFormatting sqref="D122:Q122">
    <cfRule type="colorScale" priority="18">
      <colorScale>
        <cfvo type="min"/>
        <cfvo type="max"/>
        <color rgb="FFFCFCFF"/>
        <color rgb="FF5D9732"/>
      </colorScale>
    </cfRule>
  </conditionalFormatting>
  <conditionalFormatting sqref="D132:Q132">
    <cfRule type="colorScale" priority="17">
      <colorScale>
        <cfvo type="min"/>
        <cfvo type="max"/>
        <color rgb="FFFCFCFF"/>
        <color rgb="FF5D9732"/>
      </colorScale>
    </cfRule>
  </conditionalFormatting>
  <conditionalFormatting sqref="D102:Q108">
    <cfRule type="colorScale" priority="16">
      <colorScale>
        <cfvo type="min"/>
        <cfvo type="max"/>
        <color theme="0"/>
        <color rgb="FF5D9732"/>
      </colorScale>
    </cfRule>
  </conditionalFormatting>
  <conditionalFormatting sqref="D109:Q111">
    <cfRule type="colorScale" priority="45">
      <colorScale>
        <cfvo type="min"/>
        <cfvo type="max"/>
        <color rgb="FFFCFCFF"/>
        <color rgb="FF5D9732"/>
      </colorScale>
    </cfRule>
  </conditionalFormatting>
  <conditionalFormatting sqref="E137:Q137">
    <cfRule type="colorScale" priority="15">
      <colorScale>
        <cfvo type="min"/>
        <cfvo type="max"/>
        <color theme="0"/>
        <color rgb="FF5D9732"/>
      </colorScale>
    </cfRule>
  </conditionalFormatting>
  <conditionalFormatting sqref="D84:Q84">
    <cfRule type="colorScale" priority="13">
      <colorScale>
        <cfvo type="min"/>
        <cfvo type="max"/>
        <color rgb="FFFCFCFF"/>
        <color rgb="FF5D9732"/>
      </colorScale>
    </cfRule>
  </conditionalFormatting>
  <conditionalFormatting sqref="D86:Q88">
    <cfRule type="colorScale" priority="12">
      <colorScale>
        <cfvo type="min"/>
        <cfvo type="max"/>
        <color theme="0"/>
        <color rgb="FF5D9732"/>
      </colorScale>
    </cfRule>
  </conditionalFormatting>
  <conditionalFormatting sqref="D113:Q114">
    <cfRule type="colorScale" priority="11">
      <colorScale>
        <cfvo type="min"/>
        <cfvo type="max"/>
        <color rgb="FFFCFCFF"/>
        <color rgb="FF5D9732"/>
      </colorScale>
    </cfRule>
  </conditionalFormatting>
  <conditionalFormatting sqref="D115:Q116">
    <cfRule type="colorScale" priority="10">
      <colorScale>
        <cfvo type="min"/>
        <cfvo type="max"/>
        <color rgb="FFFCFCFF"/>
        <color rgb="FF5D9732"/>
      </colorScale>
    </cfRule>
  </conditionalFormatting>
  <conditionalFormatting sqref="D125:Q125">
    <cfRule type="colorScale" priority="7">
      <colorScale>
        <cfvo type="min"/>
        <cfvo type="max"/>
        <color rgb="FFFCFCFF"/>
        <color rgb="FF5D9732"/>
      </colorScale>
    </cfRule>
  </conditionalFormatting>
  <conditionalFormatting sqref="D138:Q138">
    <cfRule type="colorScale" priority="8">
      <colorScale>
        <cfvo type="min"/>
        <cfvo type="max"/>
        <color theme="0"/>
        <color rgb="FF5D9732"/>
      </colorScale>
    </cfRule>
  </conditionalFormatting>
  <conditionalFormatting sqref="D142:Q142">
    <cfRule type="colorScale" priority="6">
      <colorScale>
        <cfvo type="min"/>
        <cfvo type="max"/>
        <color theme="0"/>
        <color rgb="FF5D9732"/>
      </colorScale>
    </cfRule>
  </conditionalFormatting>
  <conditionalFormatting sqref="D10:Q12">
    <cfRule type="colorScale" priority="109">
      <colorScale>
        <cfvo type="min"/>
        <cfvo type="max"/>
        <color theme="0"/>
        <color rgb="FF5D9732"/>
      </colorScale>
    </cfRule>
  </conditionalFormatting>
  <conditionalFormatting sqref="D18:Q20">
    <cfRule type="colorScale" priority="110">
      <colorScale>
        <cfvo type="min"/>
        <cfvo type="max"/>
        <color theme="0"/>
        <color rgb="FF5D9732"/>
      </colorScale>
    </cfRule>
  </conditionalFormatting>
  <conditionalFormatting sqref="D30:Q32">
    <cfRule type="colorScale" priority="111">
      <colorScale>
        <cfvo type="min"/>
        <cfvo type="max"/>
        <color theme="0"/>
        <color rgb="FF5D9732"/>
      </colorScale>
    </cfRule>
  </conditionalFormatting>
  <conditionalFormatting sqref="D34:Q35">
    <cfRule type="colorScale" priority="112">
      <colorScale>
        <cfvo type="min"/>
        <cfvo type="max"/>
        <color theme="0"/>
        <color rgb="FF5D9732"/>
      </colorScale>
    </cfRule>
  </conditionalFormatting>
  <conditionalFormatting sqref="D50:Q52">
    <cfRule type="colorScale" priority="113">
      <colorScale>
        <cfvo type="min"/>
        <cfvo type="max"/>
        <color theme="0"/>
        <color rgb="FF5D9732"/>
      </colorScale>
    </cfRule>
  </conditionalFormatting>
  <conditionalFormatting sqref="D68:Q68">
    <cfRule type="colorScale" priority="114">
      <colorScale>
        <cfvo type="min"/>
        <cfvo type="max"/>
        <color theme="0"/>
        <color rgb="FF5D9732"/>
      </colorScale>
    </cfRule>
  </conditionalFormatting>
  <conditionalFormatting sqref="D70:Q71">
    <cfRule type="colorScale" priority="115">
      <colorScale>
        <cfvo type="min"/>
        <cfvo type="max"/>
        <color theme="0"/>
        <color rgb="FF5D9732"/>
      </colorScale>
    </cfRule>
  </conditionalFormatting>
  <conditionalFormatting sqref="D14:Q16">
    <cfRule type="colorScale" priority="116">
      <colorScale>
        <cfvo type="min"/>
        <cfvo type="max"/>
        <color theme="0"/>
        <color rgb="FF5D9732"/>
      </colorScale>
    </cfRule>
  </conditionalFormatting>
  <conditionalFormatting sqref="D46:Q48">
    <cfRule type="colorScale" priority="117">
      <colorScale>
        <cfvo type="min"/>
        <cfvo type="max"/>
        <color theme="0"/>
        <color rgb="FF5D9732"/>
      </colorScale>
    </cfRule>
  </conditionalFormatting>
  <conditionalFormatting sqref="D54:Q60">
    <cfRule type="colorScale" priority="118">
      <colorScale>
        <cfvo type="min"/>
        <cfvo type="max"/>
        <color theme="0"/>
        <color rgb="FF5D9732"/>
      </colorScale>
    </cfRule>
  </conditionalFormatting>
  <conditionalFormatting sqref="D62:Q65">
    <cfRule type="colorScale" priority="122">
      <colorScale>
        <cfvo type="min"/>
        <cfvo type="max"/>
        <color theme="0"/>
        <color rgb="FF5D9732"/>
      </colorScale>
    </cfRule>
  </conditionalFormatting>
  <conditionalFormatting sqref="D22:Q24">
    <cfRule type="colorScale" priority="123">
      <colorScale>
        <cfvo type="min"/>
        <cfvo type="max"/>
        <color theme="0"/>
        <color rgb="FF5D9732"/>
      </colorScale>
    </cfRule>
  </conditionalFormatting>
  <conditionalFormatting sqref="D26:Q29">
    <cfRule type="colorScale" priority="124">
      <colorScale>
        <cfvo type="min"/>
        <cfvo type="max"/>
        <color theme="0"/>
        <color rgb="FF5D9732"/>
      </colorScale>
    </cfRule>
  </conditionalFormatting>
  <conditionalFormatting sqref="D66:P66">
    <cfRule type="colorScale" priority="125">
      <colorScale>
        <cfvo type="min"/>
        <cfvo type="max"/>
        <color rgb="FFFCFCFF"/>
        <color rgb="FF5D9732"/>
      </colorScale>
    </cfRule>
  </conditionalFormatting>
  <conditionalFormatting sqref="C144:Q144">
    <cfRule type="colorScale" priority="4">
      <colorScale>
        <cfvo type="min"/>
        <cfvo type="max"/>
        <color theme="0"/>
        <color rgb="FF5D9732"/>
      </colorScale>
    </cfRule>
  </conditionalFormatting>
  <conditionalFormatting sqref="D143:Q143">
    <cfRule type="colorScale" priority="3">
      <colorScale>
        <cfvo type="min"/>
        <cfvo type="max"/>
        <color theme="0"/>
        <color rgb="FF5D9732"/>
      </colorScale>
    </cfRule>
  </conditionalFormatting>
  <conditionalFormatting sqref="D136:Q136">
    <cfRule type="colorScale" priority="1">
      <colorScale>
        <cfvo type="min"/>
        <cfvo type="max"/>
        <color theme="0"/>
        <color rgb="FF5D9732"/>
      </colorScale>
    </cfRule>
  </conditionalFormatting>
  <pageMargins left="0.7" right="0.7" top="0.75" bottom="0.75" header="0.3" footer="0.3"/>
  <pageSetup orientation="portrait" r:id="rId1"/>
  <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6C5965-51AB-4779-AF77-540D29D7DB49}">
  <sheetPr codeName="Sheet10">
    <tabColor rgb="FFF7A11A"/>
  </sheetPr>
  <dimension ref="A4:CV94"/>
  <sheetViews>
    <sheetView topLeftCell="Y1" workbookViewId="0">
      <pane ySplit="5" topLeftCell="A6" activePane="bottomLeft" state="frozen"/>
      <selection pane="bottomLeft" activeCell="AI32" sqref="AI32"/>
    </sheetView>
  </sheetViews>
  <sheetFormatPr defaultRowHeight="14.5" x14ac:dyDescent="0.35"/>
  <cols>
    <col min="2" max="2" width="17.81640625" hidden="1" customWidth="1"/>
    <col min="3" max="3" width="21.08984375" hidden="1" customWidth="1"/>
    <col min="4" max="4" width="17.90625" hidden="1" customWidth="1"/>
    <col min="5" max="5" width="24.54296875" hidden="1" customWidth="1"/>
    <col min="6" max="8" width="23.453125" hidden="1" customWidth="1"/>
    <col min="9" max="9" width="24.54296875" hidden="1" customWidth="1"/>
    <col min="10" max="10" width="26.1796875" hidden="1" customWidth="1"/>
    <col min="11" max="11" width="26.90625" hidden="1" customWidth="1"/>
    <col min="12" max="12" width="29.453125" hidden="1" customWidth="1"/>
    <col min="13" max="13" width="12.36328125" hidden="1" customWidth="1"/>
    <col min="14" max="14" width="12.453125" hidden="1" customWidth="1"/>
    <col min="15" max="15" width="29.08984375" hidden="1" customWidth="1"/>
    <col min="16" max="16" width="8.08984375" hidden="1" customWidth="1"/>
    <col min="17" max="17" width="30.6328125" hidden="1" customWidth="1"/>
    <col min="18" max="18" width="25.08984375" hidden="1" customWidth="1"/>
    <col min="19" max="19" width="21.6328125" hidden="1" customWidth="1"/>
    <col min="20" max="20" width="16.1796875" hidden="1" customWidth="1"/>
    <col min="21" max="21" width="26.54296875" hidden="1" customWidth="1"/>
    <col min="22" max="23" width="5.81640625" hidden="1" customWidth="1"/>
    <col min="24" max="24" width="9" hidden="1" customWidth="1"/>
    <col min="26" max="26" width="30.453125" customWidth="1"/>
    <col min="27" max="40" width="8.90625" style="60"/>
    <col min="41" max="41" width="31.08984375" style="60" customWidth="1"/>
    <col min="42" max="55" width="8.90625" style="60"/>
    <col min="56" max="56" width="34.08984375" style="15" customWidth="1"/>
    <col min="71" max="71" width="35.08984375" customWidth="1"/>
    <col min="86" max="86" width="30.1796875" customWidth="1"/>
  </cols>
  <sheetData>
    <row r="4" spans="1:100" ht="15" thickBot="1" x14ac:dyDescent="0.4">
      <c r="B4" s="7"/>
      <c r="Z4" t="s">
        <v>97</v>
      </c>
      <c r="AA4" s="13" t="s">
        <v>85</v>
      </c>
    </row>
    <row r="5" spans="1:100" s="2" customFormat="1" ht="36.65" customHeight="1" thickTop="1" thickBot="1" x14ac:dyDescent="0.4">
      <c r="A5" s="18"/>
      <c r="B5" s="24" t="s">
        <v>85</v>
      </c>
      <c r="C5" s="11" t="s">
        <v>92</v>
      </c>
      <c r="D5" s="5" t="s">
        <v>84</v>
      </c>
      <c r="E5" s="5" t="s">
        <v>86</v>
      </c>
      <c r="F5" s="5" t="s">
        <v>93</v>
      </c>
      <c r="G5" s="5" t="s">
        <v>94</v>
      </c>
      <c r="H5" s="5" t="s">
        <v>95</v>
      </c>
      <c r="I5" s="5" t="s">
        <v>87</v>
      </c>
      <c r="J5" s="5" t="s">
        <v>98</v>
      </c>
      <c r="K5" s="5" t="s">
        <v>99</v>
      </c>
      <c r="L5" s="5" t="s">
        <v>88</v>
      </c>
      <c r="M5" s="5" t="s">
        <v>89</v>
      </c>
      <c r="N5" s="5" t="s">
        <v>90</v>
      </c>
      <c r="O5" s="5" t="s">
        <v>102</v>
      </c>
      <c r="P5" s="5" t="s">
        <v>76</v>
      </c>
      <c r="Q5" s="5" t="s">
        <v>77</v>
      </c>
      <c r="R5" s="5" t="s">
        <v>78</v>
      </c>
      <c r="S5" s="5" t="s">
        <v>79</v>
      </c>
      <c r="T5" s="5" t="s">
        <v>80</v>
      </c>
      <c r="U5" s="5" t="s">
        <v>81</v>
      </c>
      <c r="V5" s="5" t="s">
        <v>82</v>
      </c>
      <c r="W5" s="5" t="s">
        <v>83</v>
      </c>
      <c r="X5" s="18"/>
      <c r="Z5" s="37" t="s">
        <v>103</v>
      </c>
      <c r="AA5" s="86">
        <v>2022</v>
      </c>
      <c r="AB5" s="86">
        <v>2023</v>
      </c>
      <c r="AC5" s="86">
        <v>2024</v>
      </c>
      <c r="AD5" s="86">
        <v>2025</v>
      </c>
      <c r="AE5" s="86">
        <v>2026</v>
      </c>
      <c r="AF5" s="86">
        <v>2027</v>
      </c>
      <c r="AG5" s="86">
        <v>2028</v>
      </c>
      <c r="AH5" s="86">
        <v>2029</v>
      </c>
      <c r="AI5" s="86">
        <v>2030</v>
      </c>
      <c r="AJ5" s="86">
        <v>2031</v>
      </c>
      <c r="AK5" s="86">
        <v>2032</v>
      </c>
      <c r="AL5" s="86">
        <v>2033</v>
      </c>
      <c r="AM5" s="86">
        <v>2034</v>
      </c>
      <c r="AN5" s="86">
        <v>2035</v>
      </c>
      <c r="AO5" s="27" t="s">
        <v>265</v>
      </c>
      <c r="AP5" s="86">
        <v>2022</v>
      </c>
      <c r="AQ5" s="86">
        <v>2023</v>
      </c>
      <c r="AR5" s="86">
        <v>2024</v>
      </c>
      <c r="AS5" s="86">
        <v>2025</v>
      </c>
      <c r="AT5" s="86">
        <v>2026</v>
      </c>
      <c r="AU5" s="86">
        <v>2027</v>
      </c>
      <c r="AV5" s="86">
        <v>2028</v>
      </c>
      <c r="AW5" s="86">
        <v>2029</v>
      </c>
      <c r="AX5" s="86">
        <v>2030</v>
      </c>
      <c r="AY5" s="86">
        <v>2031</v>
      </c>
      <c r="AZ5" s="86">
        <v>2032</v>
      </c>
      <c r="BA5" s="86">
        <v>2033</v>
      </c>
      <c r="BB5" s="86">
        <v>2034</v>
      </c>
      <c r="BC5" s="86">
        <v>2035</v>
      </c>
      <c r="BD5" s="38" t="s">
        <v>251</v>
      </c>
      <c r="BE5" s="22">
        <v>2022</v>
      </c>
      <c r="BF5" s="22">
        <v>2023</v>
      </c>
      <c r="BG5" s="22">
        <v>2024</v>
      </c>
      <c r="BH5" s="22">
        <v>2025</v>
      </c>
      <c r="BI5" s="22">
        <v>2026</v>
      </c>
      <c r="BJ5" s="22">
        <v>2027</v>
      </c>
      <c r="BK5" s="22">
        <v>2028</v>
      </c>
      <c r="BL5" s="22">
        <v>2029</v>
      </c>
      <c r="BM5" s="22">
        <v>2030</v>
      </c>
      <c r="BN5" s="22">
        <v>2031</v>
      </c>
      <c r="BO5" s="22">
        <v>2032</v>
      </c>
      <c r="BP5" s="22">
        <v>2033</v>
      </c>
      <c r="BQ5" s="22">
        <v>2034</v>
      </c>
      <c r="BR5" s="22">
        <v>2035</v>
      </c>
      <c r="BS5" s="7" t="s">
        <v>347</v>
      </c>
      <c r="BT5" s="22">
        <v>2022</v>
      </c>
      <c r="BU5" s="22">
        <v>2023</v>
      </c>
      <c r="BV5" s="22">
        <v>2024</v>
      </c>
      <c r="BW5" s="22">
        <v>2025</v>
      </c>
      <c r="BX5" s="22">
        <v>2026</v>
      </c>
      <c r="BY5" s="22">
        <v>2027</v>
      </c>
      <c r="BZ5" s="22">
        <v>2028</v>
      </c>
      <c r="CA5" s="22">
        <v>2029</v>
      </c>
      <c r="CB5" s="22">
        <v>2030</v>
      </c>
      <c r="CC5" s="22">
        <v>2031</v>
      </c>
      <c r="CD5" s="22">
        <v>2032</v>
      </c>
      <c r="CE5" s="22">
        <v>2033</v>
      </c>
      <c r="CF5" s="22">
        <v>2034</v>
      </c>
      <c r="CG5" s="22">
        <v>2035</v>
      </c>
      <c r="CH5" s="7" t="s">
        <v>346</v>
      </c>
      <c r="CI5" s="22">
        <v>2022</v>
      </c>
      <c r="CJ5" s="22">
        <v>2023</v>
      </c>
      <c r="CK5" s="22">
        <v>2024</v>
      </c>
      <c r="CL5" s="22">
        <v>2025</v>
      </c>
      <c r="CM5" s="22">
        <v>2026</v>
      </c>
      <c r="CN5" s="22">
        <v>2027</v>
      </c>
      <c r="CO5" s="22">
        <v>2028</v>
      </c>
      <c r="CP5" s="22">
        <v>2029</v>
      </c>
      <c r="CQ5" s="22">
        <v>2030</v>
      </c>
      <c r="CR5" s="22">
        <v>2031</v>
      </c>
      <c r="CS5" s="22">
        <v>2032</v>
      </c>
      <c r="CT5" s="22">
        <v>2033</v>
      </c>
      <c r="CU5" s="22">
        <v>2034</v>
      </c>
      <c r="CV5" s="22">
        <v>2035</v>
      </c>
    </row>
    <row r="6" spans="1:100" s="12" customFormat="1" ht="15.5" thickTop="1" thickBot="1" x14ac:dyDescent="0.4">
      <c r="A6" s="26"/>
      <c r="B6" s="37" t="s">
        <v>103</v>
      </c>
      <c r="C6" s="40"/>
      <c r="D6" s="41"/>
      <c r="E6" s="41"/>
      <c r="F6" s="41"/>
      <c r="G6" s="41"/>
      <c r="H6" s="42"/>
      <c r="I6" s="41"/>
      <c r="J6" s="41"/>
      <c r="K6" s="41"/>
      <c r="L6" s="41"/>
      <c r="M6" s="41"/>
      <c r="N6" s="41"/>
      <c r="O6" s="41"/>
      <c r="P6" s="41"/>
      <c r="Q6" s="41"/>
      <c r="R6" s="41"/>
      <c r="S6" s="41"/>
      <c r="T6" s="41"/>
      <c r="U6" s="41"/>
      <c r="V6" s="41"/>
      <c r="W6" s="41"/>
      <c r="X6" s="41"/>
      <c r="Z6" s="146" t="s">
        <v>92</v>
      </c>
      <c r="AA6" s="39">
        <v>0</v>
      </c>
      <c r="AB6" s="39">
        <v>55200</v>
      </c>
      <c r="AC6" s="39">
        <v>508588.66666666663</v>
      </c>
      <c r="AD6" s="39">
        <v>310477.66666666663</v>
      </c>
      <c r="AE6" s="39">
        <v>186336.66666666666</v>
      </c>
      <c r="AF6" s="39">
        <v>224046.5</v>
      </c>
      <c r="AG6" s="39">
        <v>314249</v>
      </c>
      <c r="AH6" s="39">
        <v>0</v>
      </c>
      <c r="AI6" s="39">
        <v>159694</v>
      </c>
      <c r="AJ6" s="39">
        <v>0</v>
      </c>
      <c r="AK6" s="39">
        <v>93761.5</v>
      </c>
      <c r="AL6" s="39">
        <v>0</v>
      </c>
      <c r="AM6" s="39">
        <v>0</v>
      </c>
      <c r="AN6" s="39">
        <v>0</v>
      </c>
      <c r="AO6" s="146" t="s">
        <v>92</v>
      </c>
      <c r="AP6" s="39"/>
      <c r="AQ6" s="39"/>
      <c r="AR6" s="39"/>
      <c r="AS6" s="39"/>
      <c r="AT6" s="39"/>
      <c r="AU6" s="39"/>
      <c r="AV6" s="39"/>
      <c r="AW6" s="39"/>
      <c r="AX6" s="39"/>
      <c r="AY6" s="39"/>
      <c r="AZ6" s="39"/>
      <c r="BA6" s="39"/>
      <c r="BB6" s="39"/>
      <c r="BC6" s="39"/>
      <c r="BD6" s="146" t="s">
        <v>92</v>
      </c>
      <c r="BE6" s="39"/>
      <c r="BF6" s="39"/>
      <c r="BG6" s="39"/>
      <c r="BH6" s="39"/>
      <c r="BI6" s="39"/>
      <c r="BJ6" s="39"/>
      <c r="BK6" s="39"/>
      <c r="BL6" s="39"/>
      <c r="BM6" s="39"/>
      <c r="BN6" s="39"/>
      <c r="BO6" s="39"/>
      <c r="BP6" s="39"/>
      <c r="BQ6" s="39"/>
      <c r="BR6" s="39"/>
      <c r="BS6" s="146" t="s">
        <v>92</v>
      </c>
      <c r="BT6" s="60"/>
      <c r="BU6" s="60"/>
      <c r="BV6" s="60"/>
      <c r="BW6" s="60"/>
      <c r="BX6" s="60"/>
      <c r="BY6" s="60"/>
      <c r="BZ6" s="60"/>
      <c r="CA6" s="60"/>
      <c r="CB6" s="60"/>
      <c r="CC6" s="60"/>
      <c r="CD6" s="60"/>
      <c r="CE6" s="60"/>
      <c r="CF6" s="60"/>
      <c r="CG6" s="60"/>
      <c r="CH6" s="146" t="s">
        <v>92</v>
      </c>
      <c r="CI6" s="39"/>
      <c r="CJ6" s="39"/>
      <c r="CK6" s="39"/>
      <c r="CL6" s="39"/>
      <c r="CM6" s="39"/>
      <c r="CN6" s="39"/>
      <c r="CO6" s="39"/>
      <c r="CP6" s="39"/>
      <c r="CQ6" s="39"/>
      <c r="CR6" s="39"/>
      <c r="CS6" s="39"/>
      <c r="CT6" s="39"/>
      <c r="CU6" s="39"/>
      <c r="CV6" s="39"/>
    </row>
    <row r="7" spans="1:100" ht="15.5" thickTop="1" thickBot="1" x14ac:dyDescent="0.4">
      <c r="A7" s="25"/>
      <c r="B7" s="22">
        <v>2022</v>
      </c>
      <c r="C7" s="39">
        <v>0</v>
      </c>
      <c r="D7" s="39">
        <v>0</v>
      </c>
      <c r="E7" s="39">
        <v>0</v>
      </c>
      <c r="F7" s="39">
        <v>0</v>
      </c>
      <c r="G7" s="39">
        <v>0</v>
      </c>
      <c r="H7" s="39">
        <v>0</v>
      </c>
      <c r="I7" s="39">
        <v>0</v>
      </c>
      <c r="J7" s="39">
        <v>0</v>
      </c>
      <c r="K7" s="39">
        <v>0</v>
      </c>
      <c r="L7" s="39">
        <v>0</v>
      </c>
      <c r="M7" s="39">
        <v>0</v>
      </c>
      <c r="N7" s="39">
        <v>0</v>
      </c>
      <c r="O7" s="39">
        <v>0</v>
      </c>
      <c r="P7" s="39">
        <v>0</v>
      </c>
      <c r="Q7" s="39">
        <v>0</v>
      </c>
      <c r="R7" s="39">
        <v>0</v>
      </c>
      <c r="S7" s="39">
        <v>0</v>
      </c>
      <c r="T7" s="39">
        <v>0</v>
      </c>
      <c r="U7" s="39">
        <v>0</v>
      </c>
      <c r="V7" s="39">
        <v>0</v>
      </c>
      <c r="W7" s="39">
        <v>0</v>
      </c>
      <c r="X7" s="39"/>
      <c r="Z7" s="13" t="s">
        <v>84</v>
      </c>
      <c r="AA7" s="39">
        <v>0</v>
      </c>
      <c r="AB7" s="39">
        <v>2</v>
      </c>
      <c r="AC7" s="39">
        <v>6</v>
      </c>
      <c r="AD7" s="39">
        <v>5</v>
      </c>
      <c r="AE7" s="39">
        <v>5</v>
      </c>
      <c r="AF7" s="39">
        <v>2</v>
      </c>
      <c r="AG7" s="39">
        <v>3</v>
      </c>
      <c r="AH7" s="39">
        <v>0</v>
      </c>
      <c r="AI7" s="39">
        <v>2</v>
      </c>
      <c r="AJ7" s="39">
        <v>0</v>
      </c>
      <c r="AK7" s="39">
        <v>1</v>
      </c>
      <c r="AL7" s="39">
        <v>0</v>
      </c>
      <c r="AM7" s="39">
        <v>0</v>
      </c>
      <c r="AN7" s="39">
        <v>0</v>
      </c>
      <c r="AO7" s="13" t="s">
        <v>84</v>
      </c>
      <c r="AP7" s="39">
        <v>0</v>
      </c>
      <c r="AQ7" s="39">
        <v>0</v>
      </c>
      <c r="AR7" s="39">
        <v>0</v>
      </c>
      <c r="AS7" s="39">
        <v>0</v>
      </c>
      <c r="AT7" s="39">
        <v>1</v>
      </c>
      <c r="AU7" s="39">
        <v>1</v>
      </c>
      <c r="AV7" s="39">
        <v>4</v>
      </c>
      <c r="AW7" s="39">
        <v>3</v>
      </c>
      <c r="AX7" s="39">
        <v>4</v>
      </c>
      <c r="AY7" s="39">
        <v>2</v>
      </c>
      <c r="AZ7" s="39">
        <v>2</v>
      </c>
      <c r="BA7" s="39">
        <v>1</v>
      </c>
      <c r="BB7" s="39">
        <v>2</v>
      </c>
      <c r="BC7" s="39">
        <v>1</v>
      </c>
      <c r="BD7" s="13" t="s">
        <v>84</v>
      </c>
      <c r="BE7" s="39">
        <v>0</v>
      </c>
      <c r="BF7" s="39">
        <v>0</v>
      </c>
      <c r="BG7" s="39">
        <v>0</v>
      </c>
      <c r="BH7" s="39">
        <v>0</v>
      </c>
      <c r="BI7" s="39">
        <v>0</v>
      </c>
      <c r="BJ7" s="39">
        <v>0</v>
      </c>
      <c r="BK7" s="39">
        <v>1</v>
      </c>
      <c r="BL7" s="39">
        <v>2</v>
      </c>
      <c r="BM7" s="39">
        <v>2</v>
      </c>
      <c r="BN7" s="39">
        <v>2</v>
      </c>
      <c r="BO7" s="39">
        <v>1</v>
      </c>
      <c r="BP7" s="39">
        <v>1</v>
      </c>
      <c r="BQ7" s="39">
        <v>0</v>
      </c>
      <c r="BR7" s="39">
        <v>0</v>
      </c>
      <c r="BS7" s="13" t="s">
        <v>84</v>
      </c>
      <c r="BT7" s="39">
        <v>0</v>
      </c>
      <c r="BU7" s="39">
        <v>0</v>
      </c>
      <c r="BV7" s="39">
        <v>0</v>
      </c>
      <c r="BW7" s="39">
        <v>0</v>
      </c>
      <c r="BX7" s="39">
        <v>0</v>
      </c>
      <c r="BY7" s="39">
        <v>0</v>
      </c>
      <c r="BZ7" s="39">
        <v>0</v>
      </c>
      <c r="CA7" s="39">
        <v>0</v>
      </c>
      <c r="CB7" s="39">
        <v>0</v>
      </c>
      <c r="CC7" s="39">
        <v>1</v>
      </c>
      <c r="CD7" s="39">
        <v>2</v>
      </c>
      <c r="CE7" s="39">
        <v>2</v>
      </c>
      <c r="CF7" s="39">
        <v>1</v>
      </c>
      <c r="CG7" s="39">
        <v>0</v>
      </c>
      <c r="CH7" s="13" t="s">
        <v>84</v>
      </c>
      <c r="CI7" s="39">
        <v>0</v>
      </c>
      <c r="CJ7" s="39">
        <v>0</v>
      </c>
      <c r="CK7" s="39">
        <v>0</v>
      </c>
      <c r="CL7" s="39">
        <v>0</v>
      </c>
      <c r="CM7" s="39">
        <v>0</v>
      </c>
      <c r="CN7" s="39">
        <v>0</v>
      </c>
      <c r="CO7" s="39">
        <v>0</v>
      </c>
      <c r="CP7" s="39">
        <v>0</v>
      </c>
      <c r="CQ7" s="39">
        <v>0</v>
      </c>
      <c r="CR7" s="39">
        <v>2</v>
      </c>
      <c r="CS7" s="39">
        <v>1</v>
      </c>
      <c r="CT7" s="39">
        <v>3</v>
      </c>
      <c r="CU7" s="39">
        <v>2</v>
      </c>
      <c r="CV7" s="39">
        <v>4</v>
      </c>
    </row>
    <row r="8" spans="1:100" ht="15" thickTop="1" x14ac:dyDescent="0.35">
      <c r="B8" s="22">
        <v>2023</v>
      </c>
      <c r="C8" s="22">
        <v>55200</v>
      </c>
      <c r="D8" s="22">
        <v>2</v>
      </c>
      <c r="E8" s="22">
        <v>532</v>
      </c>
      <c r="F8" s="22">
        <v>42.769230769230774</v>
      </c>
      <c r="G8" s="22">
        <v>0</v>
      </c>
      <c r="H8" s="22">
        <v>0</v>
      </c>
      <c r="I8" s="22">
        <v>12</v>
      </c>
      <c r="J8" s="22">
        <v>36</v>
      </c>
      <c r="K8" s="22">
        <v>44.5</v>
      </c>
      <c r="L8" s="22">
        <v>32.769230769230774</v>
      </c>
      <c r="M8" s="22">
        <v>0</v>
      </c>
      <c r="N8" s="22">
        <v>10</v>
      </c>
      <c r="O8" s="22">
        <v>2</v>
      </c>
      <c r="P8" s="22">
        <v>2</v>
      </c>
      <c r="Q8" s="22">
        <v>2.6876000000000002</v>
      </c>
      <c r="R8" s="22">
        <v>125.50240000000001</v>
      </c>
      <c r="S8" s="22">
        <v>256</v>
      </c>
      <c r="T8" s="22">
        <v>2</v>
      </c>
      <c r="U8" s="22">
        <v>256</v>
      </c>
      <c r="V8" s="22">
        <v>2</v>
      </c>
      <c r="W8" s="22">
        <v>0</v>
      </c>
      <c r="Z8" s="147" t="s">
        <v>86</v>
      </c>
      <c r="AA8" s="86">
        <v>0</v>
      </c>
      <c r="AB8" s="86">
        <v>532</v>
      </c>
      <c r="AC8" s="86">
        <v>4304</v>
      </c>
      <c r="AD8" s="86">
        <v>3802</v>
      </c>
      <c r="AE8" s="86">
        <v>2821</v>
      </c>
      <c r="AF8" s="86">
        <v>2368.6</v>
      </c>
      <c r="AG8" s="86">
        <v>2737</v>
      </c>
      <c r="AH8" s="86">
        <v>0</v>
      </c>
      <c r="AI8" s="86">
        <v>1797</v>
      </c>
      <c r="AJ8" s="86">
        <v>0</v>
      </c>
      <c r="AK8" s="86">
        <v>759</v>
      </c>
      <c r="AL8" s="86">
        <v>0</v>
      </c>
      <c r="AM8" s="86">
        <v>0</v>
      </c>
      <c r="AN8" s="60">
        <v>0</v>
      </c>
      <c r="AO8" s="147" t="s">
        <v>86</v>
      </c>
      <c r="AP8" s="60">
        <v>0</v>
      </c>
      <c r="AQ8" s="60">
        <v>0</v>
      </c>
      <c r="AR8" s="60">
        <v>0</v>
      </c>
      <c r="AS8" s="60">
        <v>0</v>
      </c>
      <c r="AT8" s="60">
        <v>608</v>
      </c>
      <c r="AU8" s="60">
        <v>536</v>
      </c>
      <c r="AV8" s="60">
        <v>2888.9938385582327</v>
      </c>
      <c r="AW8" s="60">
        <v>2294</v>
      </c>
      <c r="AX8" s="60">
        <v>2931.937690175424</v>
      </c>
      <c r="AY8" s="60">
        <v>1502.1378789618996</v>
      </c>
      <c r="AZ8" s="60">
        <v>2652.2678290787071</v>
      </c>
      <c r="BA8" s="60">
        <v>1067</v>
      </c>
      <c r="BB8" s="60">
        <v>1441.4916206515738</v>
      </c>
      <c r="BC8" s="60">
        <v>924</v>
      </c>
      <c r="BD8" s="147" t="s">
        <v>86</v>
      </c>
      <c r="BE8" s="39">
        <v>0</v>
      </c>
      <c r="BF8" s="39">
        <v>0</v>
      </c>
      <c r="BG8" s="39">
        <v>0</v>
      </c>
      <c r="BH8" s="39">
        <v>0</v>
      </c>
      <c r="BI8" s="39">
        <v>0</v>
      </c>
      <c r="BJ8" s="39">
        <v>0</v>
      </c>
      <c r="BK8" s="39">
        <v>500.17521131546539</v>
      </c>
      <c r="BL8" s="39">
        <v>1000.191288944697</v>
      </c>
      <c r="BM8" s="39">
        <v>1000.191288944697</v>
      </c>
      <c r="BN8" s="39">
        <v>1099.5781203542456</v>
      </c>
      <c r="BO8" s="39">
        <v>499.73452830990107</v>
      </c>
      <c r="BP8" s="39">
        <v>399.88395701482398</v>
      </c>
      <c r="BQ8" s="39">
        <v>0</v>
      </c>
      <c r="BR8" s="39">
        <v>0</v>
      </c>
      <c r="BS8" s="147" t="s">
        <v>86</v>
      </c>
      <c r="BT8" s="39">
        <v>0</v>
      </c>
      <c r="BU8" s="39">
        <v>0</v>
      </c>
      <c r="BV8" s="39">
        <v>0</v>
      </c>
      <c r="BW8" s="39">
        <v>0</v>
      </c>
      <c r="BX8" s="39">
        <v>0</v>
      </c>
      <c r="BY8" s="39">
        <v>0</v>
      </c>
      <c r="BZ8" s="39">
        <v>0</v>
      </c>
      <c r="CA8" s="39">
        <v>0</v>
      </c>
      <c r="CB8" s="39">
        <v>0</v>
      </c>
      <c r="CC8" s="39">
        <v>1500</v>
      </c>
      <c r="CD8" s="39">
        <v>2000</v>
      </c>
      <c r="CE8" s="39">
        <v>2500</v>
      </c>
      <c r="CF8" s="39">
        <v>1000</v>
      </c>
      <c r="CG8" s="39">
        <v>0</v>
      </c>
      <c r="CH8" s="147" t="s">
        <v>86</v>
      </c>
      <c r="CI8" s="39">
        <v>0</v>
      </c>
      <c r="CJ8" s="39">
        <v>0</v>
      </c>
      <c r="CK8" s="39">
        <v>0</v>
      </c>
      <c r="CL8" s="39">
        <v>0</v>
      </c>
      <c r="CM8" s="39">
        <v>0</v>
      </c>
      <c r="CN8" s="39">
        <v>0</v>
      </c>
      <c r="CO8" s="39">
        <v>0</v>
      </c>
      <c r="CP8" s="39">
        <v>0</v>
      </c>
      <c r="CQ8" s="39">
        <v>0</v>
      </c>
      <c r="CR8" s="39">
        <v>1644</v>
      </c>
      <c r="CS8" s="39">
        <v>500</v>
      </c>
      <c r="CT8" s="39">
        <v>3200</v>
      </c>
      <c r="CU8" s="39">
        <v>2500</v>
      </c>
      <c r="CV8" s="39">
        <v>4500</v>
      </c>
    </row>
    <row r="9" spans="1:100" x14ac:dyDescent="0.35">
      <c r="B9" s="22">
        <v>2024</v>
      </c>
      <c r="C9" s="22">
        <v>508588.66666666663</v>
      </c>
      <c r="D9" s="22">
        <v>6</v>
      </c>
      <c r="E9" s="22">
        <v>4304</v>
      </c>
      <c r="F9" s="22">
        <v>261.79487179487182</v>
      </c>
      <c r="G9" s="22">
        <v>76.52100840336135</v>
      </c>
      <c r="H9" s="22">
        <v>0</v>
      </c>
      <c r="I9" s="22">
        <v>12.933333333333332</v>
      </c>
      <c r="J9" s="22">
        <v>24.166666666666668</v>
      </c>
      <c r="K9" s="22">
        <v>37.333333333333336</v>
      </c>
      <c r="L9" s="22">
        <v>229.49353587588882</v>
      </c>
      <c r="M9" s="22">
        <v>29.142857142857142</v>
      </c>
      <c r="N9" s="22">
        <v>79.679487179487182</v>
      </c>
      <c r="O9" s="22">
        <v>10</v>
      </c>
      <c r="P9" s="22">
        <v>10</v>
      </c>
      <c r="Q9" s="22">
        <v>2.5085400000000004</v>
      </c>
      <c r="R9" s="22">
        <v>862.25390096961871</v>
      </c>
      <c r="S9" s="22">
        <v>552.66030000000001</v>
      </c>
      <c r="T9" s="22">
        <v>10</v>
      </c>
      <c r="U9" s="22">
        <v>926.41359999999997</v>
      </c>
      <c r="V9" s="22">
        <v>10</v>
      </c>
      <c r="W9" s="22">
        <v>0</v>
      </c>
      <c r="Z9" s="147" t="s">
        <v>93</v>
      </c>
      <c r="AA9" s="86">
        <v>0</v>
      </c>
      <c r="AB9" s="86">
        <v>42.769230769230774</v>
      </c>
      <c r="AC9" s="86">
        <v>261.79487179487182</v>
      </c>
      <c r="AD9" s="86">
        <v>187.5128205128205</v>
      </c>
      <c r="AE9" s="86">
        <v>10</v>
      </c>
      <c r="AF9" s="86">
        <v>0</v>
      </c>
      <c r="AG9" s="86">
        <v>0</v>
      </c>
      <c r="AH9" s="86">
        <v>0</v>
      </c>
      <c r="AI9" s="86">
        <v>0</v>
      </c>
      <c r="AJ9" s="86">
        <v>0</v>
      </c>
      <c r="AK9" s="86">
        <v>0</v>
      </c>
      <c r="AL9" s="86">
        <v>0</v>
      </c>
      <c r="AM9" s="86">
        <v>0</v>
      </c>
      <c r="AN9" s="60">
        <v>0</v>
      </c>
      <c r="AO9" s="147" t="s">
        <v>93</v>
      </c>
      <c r="AP9" s="60">
        <v>0</v>
      </c>
      <c r="AQ9" s="60">
        <v>0</v>
      </c>
      <c r="AR9" s="60">
        <v>0</v>
      </c>
      <c r="AS9" s="60">
        <v>0</v>
      </c>
      <c r="AT9" s="60">
        <v>50.666666666666664</v>
      </c>
      <c r="AU9" s="60">
        <v>0</v>
      </c>
      <c r="AV9" s="60">
        <v>0</v>
      </c>
      <c r="AW9" s="60">
        <v>0</v>
      </c>
      <c r="AX9" s="60">
        <v>0</v>
      </c>
      <c r="AY9" s="60">
        <v>0</v>
      </c>
      <c r="AZ9" s="60">
        <v>0</v>
      </c>
      <c r="BA9" s="60">
        <v>0</v>
      </c>
      <c r="BB9" s="60">
        <v>0</v>
      </c>
      <c r="BC9" s="60">
        <v>0</v>
      </c>
      <c r="BD9" s="147" t="s">
        <v>93</v>
      </c>
      <c r="BE9" s="39">
        <v>0</v>
      </c>
      <c r="BF9" s="39">
        <v>0</v>
      </c>
      <c r="BG9" s="39">
        <v>0</v>
      </c>
      <c r="BH9" s="39">
        <v>0</v>
      </c>
      <c r="BI9" s="39">
        <v>0</v>
      </c>
      <c r="BJ9" s="39">
        <v>0</v>
      </c>
      <c r="BK9" s="39">
        <v>0</v>
      </c>
      <c r="BL9" s="39">
        <v>0</v>
      </c>
      <c r="BM9" s="39">
        <v>0</v>
      </c>
      <c r="BN9" s="39">
        <v>0</v>
      </c>
      <c r="BO9" s="39">
        <v>0</v>
      </c>
      <c r="BP9" s="39">
        <v>0</v>
      </c>
      <c r="BQ9" s="39">
        <v>0</v>
      </c>
      <c r="BR9" s="39">
        <v>0</v>
      </c>
      <c r="BS9" s="147" t="s">
        <v>93</v>
      </c>
      <c r="BT9" s="39">
        <v>0</v>
      </c>
      <c r="BU9" s="39">
        <v>0</v>
      </c>
      <c r="BV9" s="39">
        <v>0</v>
      </c>
      <c r="BW9" s="39">
        <v>0</v>
      </c>
      <c r="BX9" s="39">
        <v>0</v>
      </c>
      <c r="BY9" s="39">
        <v>0</v>
      </c>
      <c r="BZ9" s="39">
        <v>0</v>
      </c>
      <c r="CA9" s="39">
        <v>0</v>
      </c>
      <c r="CB9" s="39">
        <v>0</v>
      </c>
      <c r="CC9" s="39">
        <v>0</v>
      </c>
      <c r="CD9" s="39">
        <v>0</v>
      </c>
      <c r="CE9" s="39">
        <v>0</v>
      </c>
      <c r="CF9" s="39">
        <v>0</v>
      </c>
      <c r="CG9" s="39">
        <v>0</v>
      </c>
      <c r="CH9" s="147" t="s">
        <v>93</v>
      </c>
      <c r="CI9" s="39">
        <v>0</v>
      </c>
      <c r="CJ9" s="39">
        <v>0</v>
      </c>
      <c r="CK9" s="39">
        <v>0</v>
      </c>
      <c r="CL9" s="39">
        <v>0</v>
      </c>
      <c r="CM9" s="39">
        <v>0</v>
      </c>
      <c r="CN9" s="39">
        <v>0</v>
      </c>
      <c r="CO9" s="39">
        <v>0</v>
      </c>
      <c r="CP9" s="39">
        <v>0</v>
      </c>
      <c r="CQ9" s="39">
        <v>0</v>
      </c>
      <c r="CR9" s="39">
        <v>0</v>
      </c>
      <c r="CS9" s="39">
        <v>0</v>
      </c>
      <c r="CT9" s="39">
        <v>0</v>
      </c>
      <c r="CU9" s="39">
        <v>0</v>
      </c>
      <c r="CV9" s="39">
        <v>0</v>
      </c>
    </row>
    <row r="10" spans="1:100" s="47" customFormat="1" ht="15" thickBot="1" x14ac:dyDescent="0.4">
      <c r="A10" s="45"/>
      <c r="B10" s="46">
        <v>2025</v>
      </c>
      <c r="C10" s="46">
        <v>310477.66666666663</v>
      </c>
      <c r="D10" s="46">
        <v>5</v>
      </c>
      <c r="E10" s="46">
        <v>3802</v>
      </c>
      <c r="F10" s="46">
        <v>187.5128205128205</v>
      </c>
      <c r="G10" s="46">
        <v>102.33333333333334</v>
      </c>
      <c r="H10" s="46">
        <v>0</v>
      </c>
      <c r="I10" s="46">
        <v>13.2</v>
      </c>
      <c r="J10" s="46">
        <v>34.82</v>
      </c>
      <c r="K10" s="46">
        <v>47.3</v>
      </c>
      <c r="L10" s="46">
        <v>179.50641025641025</v>
      </c>
      <c r="M10" s="46">
        <v>12</v>
      </c>
      <c r="N10" s="46">
        <v>76.339743589743591</v>
      </c>
      <c r="O10" s="46">
        <v>9</v>
      </c>
      <c r="P10" s="46">
        <v>6</v>
      </c>
      <c r="Q10" s="46">
        <v>2.4521486567164184</v>
      </c>
      <c r="R10" s="46">
        <v>725.58714358974362</v>
      </c>
      <c r="S10" s="46">
        <v>462.5</v>
      </c>
      <c r="T10" s="46">
        <v>6</v>
      </c>
      <c r="U10" s="46">
        <v>505.5</v>
      </c>
      <c r="V10" s="46">
        <v>6</v>
      </c>
      <c r="W10" s="46">
        <v>0</v>
      </c>
      <c r="X10" s="46"/>
      <c r="Z10" s="148" t="s">
        <v>94</v>
      </c>
      <c r="AA10" s="87">
        <v>0</v>
      </c>
      <c r="AB10" s="87">
        <v>0</v>
      </c>
      <c r="AC10" s="87">
        <v>76.52100840336135</v>
      </c>
      <c r="AD10" s="87">
        <v>102.33333333333334</v>
      </c>
      <c r="AE10" s="87">
        <v>183.06666666666666</v>
      </c>
      <c r="AF10" s="87">
        <v>157.90666666666667</v>
      </c>
      <c r="AG10" s="87">
        <v>182.46666666666667</v>
      </c>
      <c r="AH10" s="87">
        <v>0</v>
      </c>
      <c r="AI10" s="87">
        <v>119.8</v>
      </c>
      <c r="AJ10" s="87">
        <v>0</v>
      </c>
      <c r="AK10" s="87">
        <v>0</v>
      </c>
      <c r="AL10" s="87">
        <v>0</v>
      </c>
      <c r="AM10" s="87">
        <v>0</v>
      </c>
      <c r="AN10" s="87">
        <v>0</v>
      </c>
      <c r="AO10" s="148" t="s">
        <v>94</v>
      </c>
      <c r="AP10" s="87">
        <v>0</v>
      </c>
      <c r="AQ10" s="87">
        <v>0</v>
      </c>
      <c r="AR10" s="87">
        <v>0</v>
      </c>
      <c r="AS10" s="87">
        <v>0</v>
      </c>
      <c r="AT10" s="87">
        <v>0</v>
      </c>
      <c r="AU10" s="87">
        <v>35.733333333333334</v>
      </c>
      <c r="AV10" s="87">
        <v>192.59958923721553</v>
      </c>
      <c r="AW10" s="87">
        <v>152.93333333333334</v>
      </c>
      <c r="AX10" s="87">
        <v>195.46251267836158</v>
      </c>
      <c r="AY10" s="87">
        <v>0</v>
      </c>
      <c r="AZ10" s="87">
        <v>0</v>
      </c>
      <c r="BA10" s="87">
        <v>0</v>
      </c>
      <c r="BB10" s="87">
        <v>0</v>
      </c>
      <c r="BC10" s="87">
        <v>0</v>
      </c>
      <c r="BD10" s="148" t="s">
        <v>94</v>
      </c>
      <c r="BE10" s="39">
        <v>0</v>
      </c>
      <c r="BF10" s="39">
        <v>0</v>
      </c>
      <c r="BG10" s="39">
        <v>0</v>
      </c>
      <c r="BH10" s="39">
        <v>0</v>
      </c>
      <c r="BI10" s="39">
        <v>0</v>
      </c>
      <c r="BJ10" s="39">
        <v>0</v>
      </c>
      <c r="BK10" s="39">
        <v>33.345014087697692</v>
      </c>
      <c r="BL10" s="39">
        <v>66.679419262979792</v>
      </c>
      <c r="BM10" s="39">
        <v>66.679419262979792</v>
      </c>
      <c r="BN10" s="39">
        <v>0</v>
      </c>
      <c r="BO10" s="39">
        <v>0</v>
      </c>
      <c r="BP10" s="39">
        <v>0</v>
      </c>
      <c r="BQ10" s="39">
        <v>0</v>
      </c>
      <c r="BR10" s="39">
        <v>0</v>
      </c>
      <c r="BS10" s="148" t="s">
        <v>94</v>
      </c>
      <c r="BT10" s="39">
        <v>0</v>
      </c>
      <c r="BU10" s="39">
        <v>0</v>
      </c>
      <c r="BV10" s="39">
        <v>0</v>
      </c>
      <c r="BW10" s="39">
        <v>0</v>
      </c>
      <c r="BX10" s="39">
        <v>0</v>
      </c>
      <c r="BY10" s="39">
        <v>0</v>
      </c>
      <c r="BZ10" s="39">
        <v>0</v>
      </c>
      <c r="CA10" s="39">
        <v>0</v>
      </c>
      <c r="CB10" s="39">
        <v>0</v>
      </c>
      <c r="CC10" s="39">
        <v>0</v>
      </c>
      <c r="CD10" s="39">
        <v>0</v>
      </c>
      <c r="CE10" s="39">
        <v>0</v>
      </c>
      <c r="CF10" s="39">
        <v>0</v>
      </c>
      <c r="CG10" s="39">
        <v>0</v>
      </c>
      <c r="CH10" s="148" t="s">
        <v>94</v>
      </c>
      <c r="CI10" s="39">
        <v>0</v>
      </c>
      <c r="CJ10" s="39">
        <v>0</v>
      </c>
      <c r="CK10" s="39">
        <v>0</v>
      </c>
      <c r="CL10" s="39">
        <v>0</v>
      </c>
      <c r="CM10" s="39">
        <v>0</v>
      </c>
      <c r="CN10" s="39">
        <v>0</v>
      </c>
      <c r="CO10" s="39">
        <v>0</v>
      </c>
      <c r="CP10" s="39">
        <v>0</v>
      </c>
      <c r="CQ10" s="39">
        <v>0</v>
      </c>
      <c r="CR10" s="39">
        <v>0</v>
      </c>
      <c r="CS10" s="39">
        <v>0</v>
      </c>
      <c r="CT10" s="39">
        <v>0</v>
      </c>
      <c r="CU10" s="39">
        <v>0</v>
      </c>
      <c r="CV10" s="39">
        <v>0</v>
      </c>
    </row>
    <row r="11" spans="1:100" s="50" customFormat="1" ht="15.5" thickTop="1" thickBot="1" x14ac:dyDescent="0.4">
      <c r="A11" s="48"/>
      <c r="B11" s="49">
        <v>2026</v>
      </c>
      <c r="C11" s="49">
        <v>186336.66666666666</v>
      </c>
      <c r="D11" s="49">
        <v>5</v>
      </c>
      <c r="E11" s="49">
        <v>2821</v>
      </c>
      <c r="F11" s="49">
        <v>10</v>
      </c>
      <c r="G11" s="49">
        <v>183.06666666666666</v>
      </c>
      <c r="H11" s="49">
        <v>0</v>
      </c>
      <c r="I11" s="49">
        <v>14.2</v>
      </c>
      <c r="J11" s="49">
        <v>26.6</v>
      </c>
      <c r="K11" s="49">
        <v>35.200000000000003</v>
      </c>
      <c r="L11" s="49">
        <v>110.06666666666666</v>
      </c>
      <c r="M11" s="49">
        <v>11</v>
      </c>
      <c r="N11" s="49">
        <v>50</v>
      </c>
      <c r="O11" s="49">
        <v>6</v>
      </c>
      <c r="P11" s="49">
        <v>6</v>
      </c>
      <c r="Q11" s="49">
        <v>2.1146400000000005</v>
      </c>
      <c r="R11" s="49">
        <v>409.00904000000008</v>
      </c>
      <c r="S11" s="49">
        <v>297.67899999999997</v>
      </c>
      <c r="T11" s="49">
        <v>6</v>
      </c>
      <c r="U11" s="49">
        <v>340.67899999999997</v>
      </c>
      <c r="V11" s="49">
        <v>6</v>
      </c>
      <c r="W11" s="49">
        <v>0</v>
      </c>
      <c r="X11" s="49"/>
      <c r="Z11" s="149" t="s">
        <v>95</v>
      </c>
      <c r="AA11" s="88">
        <v>0</v>
      </c>
      <c r="AB11" s="88">
        <v>0</v>
      </c>
      <c r="AC11" s="88">
        <v>0</v>
      </c>
      <c r="AD11" s="88">
        <v>0</v>
      </c>
      <c r="AE11" s="88">
        <v>0</v>
      </c>
      <c r="AF11" s="88">
        <v>0</v>
      </c>
      <c r="AG11" s="88">
        <v>0</v>
      </c>
      <c r="AH11" s="88">
        <v>0</v>
      </c>
      <c r="AI11" s="88">
        <v>0</v>
      </c>
      <c r="AJ11" s="88">
        <v>0</v>
      </c>
      <c r="AK11" s="88">
        <v>42.166666666666664</v>
      </c>
      <c r="AL11" s="88">
        <v>0</v>
      </c>
      <c r="AM11" s="88">
        <v>0</v>
      </c>
      <c r="AN11" s="88">
        <v>0</v>
      </c>
      <c r="AO11" s="149" t="s">
        <v>95</v>
      </c>
      <c r="AP11" s="88">
        <v>0</v>
      </c>
      <c r="AQ11" s="88">
        <v>0</v>
      </c>
      <c r="AR11" s="88">
        <v>0</v>
      </c>
      <c r="AS11" s="88">
        <v>0</v>
      </c>
      <c r="AT11" s="88">
        <v>0</v>
      </c>
      <c r="AU11" s="88">
        <v>0</v>
      </c>
      <c r="AV11" s="88">
        <v>0</v>
      </c>
      <c r="AW11" s="88">
        <v>0</v>
      </c>
      <c r="AX11" s="88">
        <v>0</v>
      </c>
      <c r="AY11" s="88">
        <v>83.452104386772191</v>
      </c>
      <c r="AZ11" s="88">
        <v>147.34821272659485</v>
      </c>
      <c r="BA11" s="88">
        <v>59.277777777777779</v>
      </c>
      <c r="BB11" s="88">
        <v>80.082867813976321</v>
      </c>
      <c r="BC11" s="88">
        <v>51.333333333333336</v>
      </c>
      <c r="BD11" s="149" t="s">
        <v>95</v>
      </c>
      <c r="BE11" s="39">
        <v>0</v>
      </c>
      <c r="BF11" s="39">
        <v>0</v>
      </c>
      <c r="BG11" s="39">
        <v>0</v>
      </c>
      <c r="BH11" s="39">
        <v>0</v>
      </c>
      <c r="BI11" s="39">
        <v>0</v>
      </c>
      <c r="BJ11" s="39">
        <v>0</v>
      </c>
      <c r="BK11" s="39">
        <v>0</v>
      </c>
      <c r="BL11" s="39">
        <v>0</v>
      </c>
      <c r="BM11" s="39">
        <v>0</v>
      </c>
      <c r="BN11" s="39">
        <v>61.087673353013642</v>
      </c>
      <c r="BO11" s="39">
        <v>27.76302935055006</v>
      </c>
      <c r="BP11" s="39">
        <v>22.215775389712444</v>
      </c>
      <c r="BQ11" s="39">
        <v>0</v>
      </c>
      <c r="BR11" s="39">
        <v>0</v>
      </c>
      <c r="BS11" s="149" t="s">
        <v>95</v>
      </c>
      <c r="BT11" s="39">
        <v>0</v>
      </c>
      <c r="BU11" s="39">
        <v>0</v>
      </c>
      <c r="BV11" s="39">
        <v>0</v>
      </c>
      <c r="BW11" s="39">
        <v>0</v>
      </c>
      <c r="BX11" s="39">
        <v>0</v>
      </c>
      <c r="BY11" s="39">
        <v>0</v>
      </c>
      <c r="BZ11" s="39">
        <v>0</v>
      </c>
      <c r="CA11" s="39">
        <v>0</v>
      </c>
      <c r="CB11" s="39">
        <v>0</v>
      </c>
      <c r="CC11" s="39">
        <v>83.333333333333329</v>
      </c>
      <c r="CD11" s="39">
        <v>111.11111111111111</v>
      </c>
      <c r="CE11" s="39">
        <v>138.88888888888889</v>
      </c>
      <c r="CF11" s="39">
        <v>55.555555555555557</v>
      </c>
      <c r="CG11" s="39">
        <v>0</v>
      </c>
      <c r="CH11" s="149" t="s">
        <v>95</v>
      </c>
      <c r="CI11" s="39">
        <v>0</v>
      </c>
      <c r="CJ11" s="39">
        <v>0</v>
      </c>
      <c r="CK11" s="39">
        <v>0</v>
      </c>
      <c r="CL11" s="39">
        <v>0</v>
      </c>
      <c r="CM11" s="39">
        <v>0</v>
      </c>
      <c r="CN11" s="39">
        <v>0</v>
      </c>
      <c r="CO11" s="39">
        <v>0</v>
      </c>
      <c r="CP11" s="39">
        <v>0</v>
      </c>
      <c r="CQ11" s="39">
        <v>0</v>
      </c>
      <c r="CR11" s="39">
        <v>91.333333333333329</v>
      </c>
      <c r="CS11" s="39">
        <v>27.777777777777779</v>
      </c>
      <c r="CT11" s="39">
        <v>177.77777777777777</v>
      </c>
      <c r="CU11" s="39">
        <v>138.88888888888889</v>
      </c>
      <c r="CV11" s="39">
        <v>250</v>
      </c>
    </row>
    <row r="12" spans="1:100" s="50" customFormat="1" ht="15.5" thickTop="1" thickBot="1" x14ac:dyDescent="0.4">
      <c r="A12" s="48"/>
      <c r="B12" s="49">
        <v>2027</v>
      </c>
      <c r="C12" s="49">
        <v>224046.5</v>
      </c>
      <c r="D12" s="49">
        <v>2</v>
      </c>
      <c r="E12" s="49">
        <v>2368.6</v>
      </c>
      <c r="F12" s="49">
        <v>0</v>
      </c>
      <c r="G12" s="49">
        <v>157.90666666666667</v>
      </c>
      <c r="H12" s="49">
        <v>0</v>
      </c>
      <c r="I12" s="49">
        <v>15</v>
      </c>
      <c r="J12" s="49">
        <v>32.5</v>
      </c>
      <c r="K12" s="49">
        <v>45</v>
      </c>
      <c r="L12" s="49">
        <v>72.2</v>
      </c>
      <c r="M12" s="49">
        <v>0</v>
      </c>
      <c r="N12" s="49">
        <v>85.706666666666678</v>
      </c>
      <c r="O12" s="49">
        <v>4</v>
      </c>
      <c r="P12" s="49">
        <v>4</v>
      </c>
      <c r="Q12" s="49">
        <v>2.1362000000000001</v>
      </c>
      <c r="R12" s="49">
        <v>339.18010133333337</v>
      </c>
      <c r="S12" s="49">
        <v>173</v>
      </c>
      <c r="T12" s="49">
        <v>4</v>
      </c>
      <c r="U12" s="49">
        <v>393</v>
      </c>
      <c r="V12" s="49">
        <v>4</v>
      </c>
      <c r="W12" s="49">
        <v>0</v>
      </c>
      <c r="X12" s="49"/>
      <c r="Z12" s="149" t="s">
        <v>87</v>
      </c>
      <c r="AA12" s="88">
        <v>0</v>
      </c>
      <c r="AB12" s="88">
        <v>12</v>
      </c>
      <c r="AC12" s="88">
        <v>12.933333333333332</v>
      </c>
      <c r="AD12" s="88">
        <v>13.2</v>
      </c>
      <c r="AE12" s="88">
        <v>14.2</v>
      </c>
      <c r="AF12" s="88">
        <v>15</v>
      </c>
      <c r="AG12" s="88">
        <v>15</v>
      </c>
      <c r="AH12" s="88">
        <v>0</v>
      </c>
      <c r="AI12" s="88">
        <v>15</v>
      </c>
      <c r="AJ12" s="88">
        <v>0</v>
      </c>
      <c r="AK12" s="88">
        <v>18</v>
      </c>
      <c r="AL12" s="88">
        <v>0</v>
      </c>
      <c r="AM12" s="88">
        <v>0</v>
      </c>
      <c r="AN12" s="88">
        <v>0</v>
      </c>
      <c r="AO12" s="149" t="s">
        <v>87</v>
      </c>
      <c r="AP12" s="88">
        <v>0</v>
      </c>
      <c r="AQ12" s="88">
        <v>0</v>
      </c>
      <c r="AR12" s="88">
        <v>0</v>
      </c>
      <c r="AS12" s="88">
        <v>0</v>
      </c>
      <c r="AT12" s="88">
        <v>12</v>
      </c>
      <c r="AU12" s="88">
        <v>15</v>
      </c>
      <c r="AV12" s="88">
        <v>15</v>
      </c>
      <c r="AW12" s="88">
        <v>15</v>
      </c>
      <c r="AX12" s="88">
        <v>15</v>
      </c>
      <c r="AY12" s="88">
        <v>18</v>
      </c>
      <c r="AZ12" s="88">
        <v>18</v>
      </c>
      <c r="BA12" s="88">
        <v>18</v>
      </c>
      <c r="BB12" s="88">
        <v>18</v>
      </c>
      <c r="BC12" s="88">
        <v>18</v>
      </c>
      <c r="BD12" s="149" t="s">
        <v>87</v>
      </c>
      <c r="BE12" s="39">
        <v>0</v>
      </c>
      <c r="BF12" s="39">
        <v>0</v>
      </c>
      <c r="BG12" s="39">
        <v>0</v>
      </c>
      <c r="BH12" s="39">
        <v>0</v>
      </c>
      <c r="BI12" s="39">
        <v>0</v>
      </c>
      <c r="BJ12" s="39">
        <v>0</v>
      </c>
      <c r="BK12" s="39">
        <v>15</v>
      </c>
      <c r="BL12" s="39">
        <v>15</v>
      </c>
      <c r="BM12" s="39">
        <v>15</v>
      </c>
      <c r="BN12" s="39">
        <v>18</v>
      </c>
      <c r="BO12" s="39">
        <v>18</v>
      </c>
      <c r="BP12" s="39">
        <v>18</v>
      </c>
      <c r="BQ12" s="39">
        <v>0</v>
      </c>
      <c r="BR12" s="39">
        <v>0</v>
      </c>
      <c r="BS12" s="149" t="s">
        <v>87</v>
      </c>
      <c r="BT12" s="39">
        <v>0</v>
      </c>
      <c r="BU12" s="39">
        <v>0</v>
      </c>
      <c r="BV12" s="39">
        <v>0</v>
      </c>
      <c r="BW12" s="39">
        <v>0</v>
      </c>
      <c r="BX12" s="39">
        <v>0</v>
      </c>
      <c r="BY12" s="39">
        <v>0</v>
      </c>
      <c r="BZ12" s="39">
        <v>0</v>
      </c>
      <c r="CA12" s="39">
        <v>0</v>
      </c>
      <c r="CB12" s="39">
        <v>0</v>
      </c>
      <c r="CC12" s="39">
        <v>18</v>
      </c>
      <c r="CD12" s="39">
        <v>18</v>
      </c>
      <c r="CE12" s="39">
        <v>18</v>
      </c>
      <c r="CF12" s="39">
        <v>18</v>
      </c>
      <c r="CG12" s="39">
        <v>0</v>
      </c>
      <c r="CH12" s="149" t="s">
        <v>87</v>
      </c>
      <c r="CI12" s="39">
        <v>0</v>
      </c>
      <c r="CJ12" s="39">
        <v>0</v>
      </c>
      <c r="CK12" s="39">
        <v>0</v>
      </c>
      <c r="CL12" s="39">
        <v>0</v>
      </c>
      <c r="CM12" s="39">
        <v>0</v>
      </c>
      <c r="CN12" s="39">
        <v>0</v>
      </c>
      <c r="CO12" s="39">
        <v>0</v>
      </c>
      <c r="CP12" s="39">
        <v>0</v>
      </c>
      <c r="CQ12" s="39">
        <v>0</v>
      </c>
      <c r="CR12" s="39">
        <v>18</v>
      </c>
      <c r="CS12" s="39">
        <v>18</v>
      </c>
      <c r="CT12" s="39">
        <v>18</v>
      </c>
      <c r="CU12" s="39">
        <v>18</v>
      </c>
      <c r="CV12" s="39">
        <v>18</v>
      </c>
    </row>
    <row r="13" spans="1:100" s="53" customFormat="1" ht="15.5" thickTop="1" thickBot="1" x14ac:dyDescent="0.4">
      <c r="A13" s="51"/>
      <c r="B13" s="52">
        <v>2028</v>
      </c>
      <c r="C13" s="52">
        <v>314249</v>
      </c>
      <c r="D13" s="52">
        <v>3</v>
      </c>
      <c r="E13" s="52">
        <v>2737</v>
      </c>
      <c r="F13" s="52">
        <v>0</v>
      </c>
      <c r="G13" s="52">
        <v>182.46666666666667</v>
      </c>
      <c r="H13" s="52">
        <v>0</v>
      </c>
      <c r="I13" s="52">
        <v>15</v>
      </c>
      <c r="J13" s="52">
        <v>39.333333333333336</v>
      </c>
      <c r="K13" s="52">
        <v>50</v>
      </c>
      <c r="L13" s="52">
        <v>65.046666666666667</v>
      </c>
      <c r="M13" s="52">
        <v>41</v>
      </c>
      <c r="N13" s="52">
        <v>76.42</v>
      </c>
      <c r="O13" s="52">
        <v>4</v>
      </c>
      <c r="P13" s="52">
        <v>4</v>
      </c>
      <c r="Q13" s="52">
        <v>3.3956353096179179</v>
      </c>
      <c r="R13" s="52">
        <v>582.02797333333331</v>
      </c>
      <c r="S13" s="52">
        <v>235.405</v>
      </c>
      <c r="T13" s="52">
        <v>4</v>
      </c>
      <c r="U13" s="52">
        <v>335.40499999999997</v>
      </c>
      <c r="V13" s="52">
        <v>4</v>
      </c>
      <c r="W13" s="52">
        <v>0</v>
      </c>
      <c r="X13" s="52"/>
      <c r="Z13" s="150" t="s">
        <v>98</v>
      </c>
      <c r="AA13" s="89">
        <v>0</v>
      </c>
      <c r="AB13" s="89">
        <v>36</v>
      </c>
      <c r="AC13" s="89">
        <v>24.166666666666668</v>
      </c>
      <c r="AD13" s="89">
        <v>34.82</v>
      </c>
      <c r="AE13" s="89">
        <v>26.6</v>
      </c>
      <c r="AF13" s="89">
        <v>32.5</v>
      </c>
      <c r="AG13" s="89">
        <v>39.333333333333336</v>
      </c>
      <c r="AH13" s="89">
        <v>0</v>
      </c>
      <c r="AI13" s="89">
        <v>29.55</v>
      </c>
      <c r="AJ13" s="89">
        <v>0</v>
      </c>
      <c r="AK13" s="89">
        <v>38</v>
      </c>
      <c r="AL13" s="89">
        <v>0</v>
      </c>
      <c r="AM13" s="89">
        <v>0</v>
      </c>
      <c r="AN13" s="89">
        <v>0</v>
      </c>
      <c r="AO13" s="150" t="s">
        <v>98</v>
      </c>
      <c r="AP13" s="89">
        <v>0</v>
      </c>
      <c r="AQ13" s="89">
        <v>0</v>
      </c>
      <c r="AR13" s="89">
        <v>0</v>
      </c>
      <c r="AS13" s="89">
        <v>0</v>
      </c>
      <c r="AT13" s="89">
        <v>27.4</v>
      </c>
      <c r="AU13" s="89">
        <v>50</v>
      </c>
      <c r="AV13" s="89">
        <v>26.98076923076923</v>
      </c>
      <c r="AW13" s="89">
        <v>29.615384615384613</v>
      </c>
      <c r="AX13" s="89">
        <v>34.5</v>
      </c>
      <c r="AY13" s="89">
        <v>26</v>
      </c>
      <c r="AZ13" s="89">
        <v>25.5</v>
      </c>
      <c r="BA13" s="89">
        <v>38</v>
      </c>
      <c r="BB13" s="89">
        <v>38</v>
      </c>
      <c r="BC13" s="89">
        <v>31</v>
      </c>
      <c r="BD13" s="150" t="s">
        <v>98</v>
      </c>
      <c r="BE13" s="39">
        <v>0</v>
      </c>
      <c r="BF13" s="39">
        <v>0</v>
      </c>
      <c r="BG13" s="39">
        <v>0</v>
      </c>
      <c r="BH13" s="39">
        <v>0</v>
      </c>
      <c r="BI13" s="39">
        <v>0</v>
      </c>
      <c r="BJ13" s="39">
        <v>0</v>
      </c>
      <c r="BK13" s="39">
        <v>900</v>
      </c>
      <c r="BL13" s="39">
        <v>722</v>
      </c>
      <c r="BM13" s="39">
        <v>722</v>
      </c>
      <c r="BN13" s="39">
        <v>722</v>
      </c>
      <c r="BO13" s="39">
        <v>900</v>
      </c>
      <c r="BP13" s="39">
        <v>900</v>
      </c>
      <c r="BQ13" s="39">
        <v>0</v>
      </c>
      <c r="BR13" s="39">
        <v>0</v>
      </c>
      <c r="BS13" s="150" t="s">
        <v>98</v>
      </c>
      <c r="BT13" s="39">
        <v>0</v>
      </c>
      <c r="BU13" s="39">
        <v>0</v>
      </c>
      <c r="BV13" s="39">
        <v>0</v>
      </c>
      <c r="BW13" s="39">
        <v>0</v>
      </c>
      <c r="BX13" s="39">
        <v>0</v>
      </c>
      <c r="BY13" s="39">
        <v>0</v>
      </c>
      <c r="BZ13" s="39">
        <v>0</v>
      </c>
      <c r="CA13" s="39">
        <v>0</v>
      </c>
      <c r="CB13" s="39">
        <v>0</v>
      </c>
      <c r="CC13" s="39">
        <v>20</v>
      </c>
      <c r="CD13" s="39">
        <v>20</v>
      </c>
      <c r="CE13" s="39">
        <v>20</v>
      </c>
      <c r="CF13" s="39">
        <v>20</v>
      </c>
      <c r="CG13" s="39">
        <v>0</v>
      </c>
      <c r="CH13" s="150" t="s">
        <v>98</v>
      </c>
      <c r="CI13" s="39">
        <v>0</v>
      </c>
      <c r="CJ13" s="39">
        <v>0</v>
      </c>
      <c r="CK13" s="39">
        <v>0</v>
      </c>
      <c r="CL13" s="39">
        <v>0</v>
      </c>
      <c r="CM13" s="39">
        <v>0</v>
      </c>
      <c r="CN13" s="39">
        <v>0</v>
      </c>
      <c r="CO13" s="39">
        <v>0</v>
      </c>
      <c r="CP13" s="39">
        <v>0</v>
      </c>
      <c r="CQ13" s="39">
        <v>0</v>
      </c>
      <c r="CR13" s="39">
        <v>300</v>
      </c>
      <c r="CS13" s="39">
        <v>600</v>
      </c>
      <c r="CT13" s="39">
        <v>366.66666666666669</v>
      </c>
      <c r="CU13" s="39">
        <v>60</v>
      </c>
      <c r="CV13" s="39">
        <v>400</v>
      </c>
    </row>
    <row r="14" spans="1:100" s="50" customFormat="1" ht="15.5" thickTop="1" thickBot="1" x14ac:dyDescent="0.4">
      <c r="A14" s="48"/>
      <c r="B14" s="49">
        <v>2029</v>
      </c>
      <c r="C14" s="49">
        <v>0</v>
      </c>
      <c r="D14" s="49">
        <v>0</v>
      </c>
      <c r="E14" s="49">
        <v>0</v>
      </c>
      <c r="F14" s="49">
        <v>0</v>
      </c>
      <c r="G14" s="49">
        <v>0</v>
      </c>
      <c r="H14" s="49">
        <v>0</v>
      </c>
      <c r="I14" s="49">
        <v>0</v>
      </c>
      <c r="J14" s="49">
        <v>0</v>
      </c>
      <c r="K14" s="49">
        <v>0</v>
      </c>
      <c r="L14" s="49">
        <v>0</v>
      </c>
      <c r="M14" s="49">
        <v>0</v>
      </c>
      <c r="N14" s="49">
        <v>0</v>
      </c>
      <c r="O14" s="49">
        <v>0</v>
      </c>
      <c r="P14" s="49">
        <v>0</v>
      </c>
      <c r="Q14" s="49">
        <v>0</v>
      </c>
      <c r="R14" s="49">
        <v>0</v>
      </c>
      <c r="S14" s="49">
        <v>0</v>
      </c>
      <c r="T14" s="49">
        <v>0</v>
      </c>
      <c r="U14" s="49">
        <v>0</v>
      </c>
      <c r="V14" s="49">
        <v>0</v>
      </c>
      <c r="W14" s="49">
        <v>0</v>
      </c>
      <c r="X14" s="49"/>
      <c r="Z14" s="149" t="s">
        <v>99</v>
      </c>
      <c r="AA14" s="88">
        <v>0</v>
      </c>
      <c r="AB14" s="88">
        <v>44.5</v>
      </c>
      <c r="AC14" s="88">
        <v>37.333333333333336</v>
      </c>
      <c r="AD14" s="88">
        <v>47.3</v>
      </c>
      <c r="AE14" s="88">
        <v>35.200000000000003</v>
      </c>
      <c r="AF14" s="88">
        <v>45</v>
      </c>
      <c r="AG14" s="88">
        <v>50</v>
      </c>
      <c r="AH14" s="88">
        <v>0</v>
      </c>
      <c r="AI14" s="88">
        <v>42.75</v>
      </c>
      <c r="AJ14" s="88">
        <v>0</v>
      </c>
      <c r="AK14" s="88">
        <v>60</v>
      </c>
      <c r="AL14" s="88">
        <v>0</v>
      </c>
      <c r="AM14" s="88">
        <v>0</v>
      </c>
      <c r="AN14" s="88">
        <v>0</v>
      </c>
      <c r="AO14" s="149" t="s">
        <v>99</v>
      </c>
      <c r="AP14" s="88">
        <v>0</v>
      </c>
      <c r="AQ14" s="88">
        <v>0</v>
      </c>
      <c r="AR14" s="88">
        <v>0</v>
      </c>
      <c r="AS14" s="88">
        <v>0</v>
      </c>
      <c r="AT14" s="88">
        <v>0</v>
      </c>
      <c r="AU14" s="88">
        <v>60</v>
      </c>
      <c r="AV14" s="88">
        <v>39.980769230769226</v>
      </c>
      <c r="AW14" s="88">
        <v>38.948717948717949</v>
      </c>
      <c r="AX14" s="88">
        <v>48.75</v>
      </c>
      <c r="AY14" s="88">
        <v>26</v>
      </c>
      <c r="AZ14" s="88">
        <v>38.5</v>
      </c>
      <c r="BA14" s="88">
        <v>50</v>
      </c>
      <c r="BB14" s="88">
        <v>52.5</v>
      </c>
      <c r="BC14" s="88">
        <v>43</v>
      </c>
      <c r="BD14" s="149" t="s">
        <v>99</v>
      </c>
      <c r="BE14" s="39">
        <v>0</v>
      </c>
      <c r="BF14" s="39">
        <v>0</v>
      </c>
      <c r="BG14" s="39">
        <v>0</v>
      </c>
      <c r="BH14" s="39">
        <v>0</v>
      </c>
      <c r="BI14" s="39">
        <v>0</v>
      </c>
      <c r="BJ14" s="39">
        <v>0</v>
      </c>
      <c r="BK14" s="39">
        <v>1200</v>
      </c>
      <c r="BL14" s="39">
        <v>1050</v>
      </c>
      <c r="BM14" s="39">
        <v>1050</v>
      </c>
      <c r="BN14" s="39">
        <v>1050</v>
      </c>
      <c r="BO14" s="39">
        <v>0</v>
      </c>
      <c r="BP14" s="39">
        <v>0</v>
      </c>
      <c r="BQ14" s="39">
        <v>0</v>
      </c>
      <c r="BR14" s="39">
        <v>0</v>
      </c>
      <c r="BS14" s="149" t="s">
        <v>99</v>
      </c>
      <c r="BT14" s="39">
        <v>0</v>
      </c>
      <c r="BU14" s="39">
        <v>0</v>
      </c>
      <c r="BV14" s="39">
        <v>0</v>
      </c>
      <c r="BW14" s="39">
        <v>0</v>
      </c>
      <c r="BX14" s="39">
        <v>0</v>
      </c>
      <c r="BY14" s="39">
        <v>0</v>
      </c>
      <c r="BZ14" s="39">
        <v>0</v>
      </c>
      <c r="CA14" s="39">
        <v>0</v>
      </c>
      <c r="CB14" s="39">
        <v>0</v>
      </c>
      <c r="CC14" s="39">
        <v>34</v>
      </c>
      <c r="CD14" s="39">
        <v>34</v>
      </c>
      <c r="CE14" s="39">
        <v>34</v>
      </c>
      <c r="CF14" s="39">
        <v>34</v>
      </c>
      <c r="CG14" s="39">
        <v>0</v>
      </c>
      <c r="CH14" s="149" t="s">
        <v>99</v>
      </c>
      <c r="CI14" s="39">
        <v>0</v>
      </c>
      <c r="CJ14" s="39">
        <v>0</v>
      </c>
      <c r="CK14" s="39">
        <v>0</v>
      </c>
      <c r="CL14" s="39">
        <v>0</v>
      </c>
      <c r="CM14" s="39">
        <v>0</v>
      </c>
      <c r="CN14" s="39">
        <v>0</v>
      </c>
      <c r="CO14" s="39">
        <v>0</v>
      </c>
      <c r="CP14" s="39">
        <v>0</v>
      </c>
      <c r="CQ14" s="39">
        <v>0</v>
      </c>
      <c r="CR14" s="39">
        <v>750</v>
      </c>
      <c r="CS14" s="39">
        <v>1000</v>
      </c>
      <c r="CT14" s="39">
        <v>900</v>
      </c>
      <c r="CU14" s="39">
        <v>350</v>
      </c>
      <c r="CV14" s="39">
        <v>1275</v>
      </c>
    </row>
    <row r="15" spans="1:100" s="50" customFormat="1" ht="15.5" thickTop="1" thickBot="1" x14ac:dyDescent="0.4">
      <c r="A15" s="48"/>
      <c r="B15" s="49">
        <v>2030</v>
      </c>
      <c r="C15" s="49">
        <v>159694</v>
      </c>
      <c r="D15" s="49">
        <v>2</v>
      </c>
      <c r="E15" s="49">
        <v>1797</v>
      </c>
      <c r="F15" s="49">
        <v>0</v>
      </c>
      <c r="G15" s="49">
        <v>119.8</v>
      </c>
      <c r="H15" s="49">
        <v>0</v>
      </c>
      <c r="I15" s="49">
        <v>15</v>
      </c>
      <c r="J15" s="49">
        <v>29.55</v>
      </c>
      <c r="K15" s="49">
        <v>42.75</v>
      </c>
      <c r="L15" s="49">
        <v>107.35</v>
      </c>
      <c r="M15" s="49">
        <v>0</v>
      </c>
      <c r="N15" s="49">
        <v>12.450000000000003</v>
      </c>
      <c r="O15" s="49">
        <v>6</v>
      </c>
      <c r="P15" s="49">
        <v>3</v>
      </c>
      <c r="Q15" s="49">
        <v>4.4743258749282848</v>
      </c>
      <c r="R15" s="49">
        <v>525</v>
      </c>
      <c r="S15" s="49">
        <v>154.5</v>
      </c>
      <c r="T15" s="49">
        <v>3</v>
      </c>
      <c r="U15" s="49">
        <v>197.5</v>
      </c>
      <c r="V15" s="49">
        <v>2</v>
      </c>
      <c r="W15" s="49">
        <v>1</v>
      </c>
      <c r="X15" s="49"/>
      <c r="Z15" s="149" t="s">
        <v>88</v>
      </c>
      <c r="AA15" s="88">
        <v>0</v>
      </c>
      <c r="AB15" s="88">
        <v>32.769230769230774</v>
      </c>
      <c r="AC15" s="88">
        <v>229.49353587588882</v>
      </c>
      <c r="AD15" s="88">
        <v>179.50641025641025</v>
      </c>
      <c r="AE15" s="88">
        <v>110.06666666666666</v>
      </c>
      <c r="AF15" s="88">
        <v>72.2</v>
      </c>
      <c r="AG15" s="88">
        <v>65.046666666666667</v>
      </c>
      <c r="AH15" s="88">
        <v>0</v>
      </c>
      <c r="AI15" s="88">
        <v>107.35</v>
      </c>
      <c r="AJ15" s="88">
        <v>0</v>
      </c>
      <c r="AK15" s="88">
        <v>12.649999999999999</v>
      </c>
      <c r="AL15" s="88">
        <v>0</v>
      </c>
      <c r="AM15" s="88">
        <v>0</v>
      </c>
      <c r="AN15" s="88">
        <v>0</v>
      </c>
      <c r="AO15" s="149" t="s">
        <v>88</v>
      </c>
      <c r="AP15" s="88">
        <v>0</v>
      </c>
      <c r="AQ15" s="88">
        <v>0</v>
      </c>
      <c r="AR15" s="88">
        <v>0</v>
      </c>
      <c r="AS15" s="88">
        <v>0</v>
      </c>
      <c r="AT15" s="88">
        <v>50.666666666666664</v>
      </c>
      <c r="AU15" s="88">
        <v>25.013333333333332</v>
      </c>
      <c r="AV15" s="88">
        <v>161.72933282695911</v>
      </c>
      <c r="AW15" s="88">
        <v>150.25333333333333</v>
      </c>
      <c r="AX15" s="88">
        <v>154.68917934502824</v>
      </c>
      <c r="AY15" s="88">
        <v>38.886145644612462</v>
      </c>
      <c r="AZ15" s="88">
        <v>103.14374890861639</v>
      </c>
      <c r="BA15" s="88">
        <v>41.49444444444444</v>
      </c>
      <c r="BB15" s="88">
        <v>62.732867813976327</v>
      </c>
      <c r="BC15" s="88">
        <v>35.93333333333333</v>
      </c>
      <c r="BD15" s="149" t="s">
        <v>260</v>
      </c>
      <c r="BE15" s="39">
        <v>0</v>
      </c>
      <c r="BF15" s="39">
        <v>0</v>
      </c>
      <c r="BG15" s="39">
        <v>0</v>
      </c>
      <c r="BH15" s="39">
        <v>0</v>
      </c>
      <c r="BI15" s="39">
        <v>0</v>
      </c>
      <c r="BJ15" s="39">
        <v>0</v>
      </c>
      <c r="BK15" s="39">
        <v>0</v>
      </c>
      <c r="BL15" s="39">
        <v>0</v>
      </c>
      <c r="BM15" s="39">
        <v>0</v>
      </c>
      <c r="BN15" s="39">
        <v>0</v>
      </c>
      <c r="BO15" s="39">
        <v>0</v>
      </c>
      <c r="BP15" s="39">
        <v>0</v>
      </c>
      <c r="BQ15" s="39">
        <v>0</v>
      </c>
      <c r="BR15" s="39">
        <v>0</v>
      </c>
      <c r="BS15" s="149" t="s">
        <v>88</v>
      </c>
      <c r="BT15" s="39">
        <v>0</v>
      </c>
      <c r="BU15" s="39">
        <v>0</v>
      </c>
      <c r="BV15" s="39">
        <v>0</v>
      </c>
      <c r="BW15" s="39">
        <v>0</v>
      </c>
      <c r="BX15" s="39">
        <v>0</v>
      </c>
      <c r="BY15" s="39">
        <v>0</v>
      </c>
      <c r="BZ15" s="39">
        <v>0</v>
      </c>
      <c r="CA15" s="39">
        <v>0</v>
      </c>
      <c r="CB15" s="39">
        <v>0</v>
      </c>
      <c r="CC15" s="39">
        <v>58.333333333333329</v>
      </c>
      <c r="CD15" s="39">
        <v>77.777777777777771</v>
      </c>
      <c r="CE15" s="39">
        <v>97.222222222222214</v>
      </c>
      <c r="CF15" s="39">
        <v>38.888888888888886</v>
      </c>
      <c r="CG15" s="39">
        <v>0</v>
      </c>
      <c r="CH15" s="149" t="s">
        <v>260</v>
      </c>
      <c r="CI15" s="39">
        <v>0</v>
      </c>
      <c r="CJ15" s="39">
        <v>0</v>
      </c>
      <c r="CK15" s="39">
        <v>0</v>
      </c>
      <c r="CL15" s="39">
        <v>0</v>
      </c>
      <c r="CM15" s="39">
        <v>0</v>
      </c>
      <c r="CN15" s="39">
        <v>0</v>
      </c>
      <c r="CO15" s="39">
        <v>0</v>
      </c>
      <c r="CP15" s="39">
        <v>0</v>
      </c>
      <c r="CQ15" s="39">
        <v>0</v>
      </c>
      <c r="CR15" s="39">
        <v>0</v>
      </c>
      <c r="CS15" s="39">
        <v>0</v>
      </c>
      <c r="CT15" s="39">
        <v>0</v>
      </c>
      <c r="CU15" s="39">
        <v>0</v>
      </c>
      <c r="CV15" s="39">
        <v>0</v>
      </c>
    </row>
    <row r="16" spans="1:100" s="50" customFormat="1" ht="17.399999999999999" customHeight="1" thickTop="1" thickBot="1" x14ac:dyDescent="0.4">
      <c r="A16" s="48"/>
      <c r="B16" s="49">
        <v>2031</v>
      </c>
      <c r="C16" s="49">
        <v>0</v>
      </c>
      <c r="D16" s="49">
        <v>0</v>
      </c>
      <c r="E16" s="49">
        <v>0</v>
      </c>
      <c r="F16" s="49">
        <v>0</v>
      </c>
      <c r="G16" s="49">
        <v>0</v>
      </c>
      <c r="H16" s="49">
        <v>0</v>
      </c>
      <c r="I16" s="49">
        <v>0</v>
      </c>
      <c r="J16" s="49">
        <v>0</v>
      </c>
      <c r="K16" s="49">
        <v>0</v>
      </c>
      <c r="L16" s="49">
        <v>0</v>
      </c>
      <c r="M16" s="49">
        <v>0</v>
      </c>
      <c r="N16" s="49">
        <v>0</v>
      </c>
      <c r="O16" s="49">
        <v>0</v>
      </c>
      <c r="P16" s="49">
        <v>0</v>
      </c>
      <c r="Q16" s="49">
        <v>0</v>
      </c>
      <c r="R16" s="49">
        <v>0</v>
      </c>
      <c r="S16" s="49">
        <v>0</v>
      </c>
      <c r="T16" s="49">
        <v>0</v>
      </c>
      <c r="U16" s="49">
        <v>0</v>
      </c>
      <c r="V16" s="49">
        <v>0</v>
      </c>
      <c r="W16" s="49">
        <v>0</v>
      </c>
      <c r="X16" s="49"/>
      <c r="Z16" s="149" t="s">
        <v>100</v>
      </c>
      <c r="AA16" s="88">
        <v>0</v>
      </c>
      <c r="AB16" s="88">
        <v>0</v>
      </c>
      <c r="AC16" s="88">
        <v>29.142857142857142</v>
      </c>
      <c r="AD16" s="88">
        <v>12</v>
      </c>
      <c r="AE16" s="88">
        <v>11</v>
      </c>
      <c r="AF16" s="88">
        <v>0</v>
      </c>
      <c r="AG16" s="88">
        <v>41</v>
      </c>
      <c r="AH16" s="88">
        <v>0</v>
      </c>
      <c r="AI16" s="88">
        <v>0</v>
      </c>
      <c r="AJ16" s="88">
        <v>0</v>
      </c>
      <c r="AK16" s="88">
        <v>0</v>
      </c>
      <c r="AL16" s="88">
        <v>0</v>
      </c>
      <c r="AM16" s="88">
        <v>0</v>
      </c>
      <c r="AN16" s="88">
        <v>0</v>
      </c>
      <c r="AO16" s="149" t="s">
        <v>100</v>
      </c>
      <c r="AP16" s="88">
        <v>0</v>
      </c>
      <c r="AQ16" s="88">
        <v>0</v>
      </c>
      <c r="AR16" s="88">
        <v>0</v>
      </c>
      <c r="AS16" s="88">
        <v>0</v>
      </c>
      <c r="AT16" s="88">
        <v>0</v>
      </c>
      <c r="AU16" s="88">
        <v>5.36</v>
      </c>
      <c r="AV16" s="88">
        <v>5.2299999999999995</v>
      </c>
      <c r="AW16" s="88">
        <v>10.24</v>
      </c>
      <c r="AX16" s="88">
        <v>9.7199999999999989</v>
      </c>
      <c r="AY16" s="88">
        <v>0</v>
      </c>
      <c r="AZ16" s="88">
        <v>22.102231908989225</v>
      </c>
      <c r="BA16" s="88">
        <v>8.8916666666666657</v>
      </c>
      <c r="BB16" s="88">
        <v>8.6750000000000007</v>
      </c>
      <c r="BC16" s="88">
        <v>7.7</v>
      </c>
      <c r="BD16" s="149" t="s">
        <v>261</v>
      </c>
      <c r="BE16" s="39">
        <v>0</v>
      </c>
      <c r="BF16" s="39">
        <v>0</v>
      </c>
      <c r="BG16" s="39">
        <v>0</v>
      </c>
      <c r="BH16" s="39">
        <v>0</v>
      </c>
      <c r="BI16" s="39">
        <v>0</v>
      </c>
      <c r="BJ16" s="39">
        <v>0</v>
      </c>
      <c r="BK16" s="39">
        <v>33.345014087697692</v>
      </c>
      <c r="BL16" s="39">
        <v>66.679419262979792</v>
      </c>
      <c r="BM16" s="39">
        <v>66.679419262979792</v>
      </c>
      <c r="BN16" s="39">
        <v>61.087673353013642</v>
      </c>
      <c r="BO16" s="39">
        <v>27.76302935055006</v>
      </c>
      <c r="BP16" s="39">
        <v>22.215775389712444</v>
      </c>
      <c r="BQ16" s="39">
        <v>0</v>
      </c>
      <c r="BR16" s="39">
        <v>0</v>
      </c>
      <c r="BS16" s="149" t="s">
        <v>100</v>
      </c>
      <c r="BT16" s="39">
        <v>0</v>
      </c>
      <c r="BU16" s="39">
        <v>0</v>
      </c>
      <c r="BV16" s="39">
        <v>0</v>
      </c>
      <c r="BW16" s="39">
        <v>0</v>
      </c>
      <c r="BX16" s="39">
        <v>0</v>
      </c>
      <c r="BY16" s="39">
        <v>0</v>
      </c>
      <c r="BZ16" s="39">
        <v>0</v>
      </c>
      <c r="CA16" s="39">
        <v>0</v>
      </c>
      <c r="CB16" s="39">
        <v>0</v>
      </c>
      <c r="CC16" s="39">
        <v>12.499999999999998</v>
      </c>
      <c r="CD16" s="39">
        <v>16.666666666666668</v>
      </c>
      <c r="CE16" s="39">
        <v>20.833333333333332</v>
      </c>
      <c r="CF16" s="39">
        <v>8.3333333333333339</v>
      </c>
      <c r="CG16" s="39">
        <v>0</v>
      </c>
      <c r="CH16" s="149" t="s">
        <v>261</v>
      </c>
      <c r="CI16" s="39">
        <v>0</v>
      </c>
      <c r="CJ16" s="39">
        <v>0</v>
      </c>
      <c r="CK16" s="39">
        <v>0</v>
      </c>
      <c r="CL16" s="39">
        <v>0</v>
      </c>
      <c r="CM16" s="39">
        <v>0</v>
      </c>
      <c r="CN16" s="39">
        <v>0</v>
      </c>
      <c r="CO16" s="39">
        <v>0</v>
      </c>
      <c r="CP16" s="39">
        <v>0</v>
      </c>
      <c r="CQ16" s="39">
        <v>0</v>
      </c>
      <c r="CR16" s="39">
        <v>91.333333333333329</v>
      </c>
      <c r="CS16" s="39">
        <v>27.777777777777779</v>
      </c>
      <c r="CT16" s="39">
        <v>177.77777777777777</v>
      </c>
      <c r="CU16" s="39">
        <v>138.88888888888889</v>
      </c>
      <c r="CV16" s="39">
        <v>250</v>
      </c>
    </row>
    <row r="17" spans="1:100" s="50" customFormat="1" ht="17.399999999999999" customHeight="1" thickTop="1" thickBot="1" x14ac:dyDescent="0.4">
      <c r="A17" s="48"/>
      <c r="B17" s="49">
        <v>2032</v>
      </c>
      <c r="C17" s="49">
        <v>93761.5</v>
      </c>
      <c r="D17" s="49">
        <v>1</v>
      </c>
      <c r="E17" s="49">
        <v>759</v>
      </c>
      <c r="F17" s="49">
        <v>0</v>
      </c>
      <c r="G17" s="49">
        <v>0</v>
      </c>
      <c r="H17" s="49">
        <v>42.166666666666664</v>
      </c>
      <c r="I17" s="49">
        <v>18</v>
      </c>
      <c r="J17" s="49">
        <v>38</v>
      </c>
      <c r="K17" s="49">
        <v>60</v>
      </c>
      <c r="L17" s="49">
        <v>12.649999999999999</v>
      </c>
      <c r="M17" s="49">
        <v>0</v>
      </c>
      <c r="N17" s="49">
        <v>29.516666666666662</v>
      </c>
      <c r="O17" s="49">
        <v>1</v>
      </c>
      <c r="P17" s="49">
        <v>1</v>
      </c>
      <c r="Q17" s="49">
        <v>7.0974071146245059</v>
      </c>
      <c r="R17" s="49">
        <v>299.274</v>
      </c>
      <c r="S17" s="49">
        <v>72.405000000000001</v>
      </c>
      <c r="T17" s="49">
        <v>1</v>
      </c>
      <c r="U17" s="49">
        <v>72.405000000000001</v>
      </c>
      <c r="V17" s="49">
        <v>1</v>
      </c>
      <c r="W17" s="49">
        <v>0</v>
      </c>
      <c r="X17" s="49"/>
      <c r="Z17" s="149" t="s">
        <v>101</v>
      </c>
      <c r="AA17" s="88">
        <v>0</v>
      </c>
      <c r="AB17" s="88">
        <v>10</v>
      </c>
      <c r="AC17" s="88">
        <v>79.679487179487182</v>
      </c>
      <c r="AD17" s="88">
        <v>76.339743589743591</v>
      </c>
      <c r="AE17" s="88">
        <v>50</v>
      </c>
      <c r="AF17" s="88">
        <v>85.706666666666678</v>
      </c>
      <c r="AG17" s="88">
        <v>76.42</v>
      </c>
      <c r="AH17" s="88">
        <v>0</v>
      </c>
      <c r="AI17" s="88">
        <v>12.450000000000003</v>
      </c>
      <c r="AJ17" s="88">
        <v>0</v>
      </c>
      <c r="AK17" s="88">
        <v>29.516666666666662</v>
      </c>
      <c r="AL17" s="88">
        <v>0</v>
      </c>
      <c r="AM17" s="88">
        <v>0</v>
      </c>
      <c r="AN17" s="88">
        <v>0</v>
      </c>
      <c r="AO17" s="149" t="s">
        <v>101</v>
      </c>
      <c r="AP17" s="88">
        <v>0</v>
      </c>
      <c r="AQ17" s="88">
        <v>0</v>
      </c>
      <c r="AR17" s="88">
        <v>0</v>
      </c>
      <c r="AS17" s="88">
        <v>0</v>
      </c>
      <c r="AT17" s="88">
        <v>0</v>
      </c>
      <c r="AU17" s="88">
        <v>5.36</v>
      </c>
      <c r="AV17" s="88">
        <v>5.2299999999999995</v>
      </c>
      <c r="AW17" s="88">
        <v>10.24</v>
      </c>
      <c r="AX17" s="88">
        <v>9.7199999999999989</v>
      </c>
      <c r="AY17" s="88">
        <v>0</v>
      </c>
      <c r="AZ17" s="88">
        <v>22.102231908989225</v>
      </c>
      <c r="BA17" s="88">
        <v>8.8916666666666657</v>
      </c>
      <c r="BB17" s="88">
        <v>8.6750000000000007</v>
      </c>
      <c r="BC17" s="88">
        <v>7.7</v>
      </c>
      <c r="BD17" s="149" t="s">
        <v>262</v>
      </c>
      <c r="BE17" s="39">
        <v>0</v>
      </c>
      <c r="BF17" s="39">
        <v>0</v>
      </c>
      <c r="BG17" s="39">
        <v>0</v>
      </c>
      <c r="BH17" s="39">
        <v>0</v>
      </c>
      <c r="BI17" s="39">
        <v>0</v>
      </c>
      <c r="BJ17" s="39">
        <v>0</v>
      </c>
      <c r="BK17" s="39">
        <v>0</v>
      </c>
      <c r="BL17" s="39">
        <v>0</v>
      </c>
      <c r="BM17" s="39">
        <v>0</v>
      </c>
      <c r="BN17" s="39">
        <v>0</v>
      </c>
      <c r="BO17" s="39">
        <v>0</v>
      </c>
      <c r="BP17" s="39">
        <v>0</v>
      </c>
      <c r="BQ17" s="39">
        <v>0</v>
      </c>
      <c r="BR17" s="39">
        <v>0</v>
      </c>
      <c r="BS17" s="149" t="s">
        <v>101</v>
      </c>
      <c r="BT17" s="39">
        <v>0</v>
      </c>
      <c r="BU17" s="39">
        <v>0</v>
      </c>
      <c r="BV17" s="39">
        <v>0</v>
      </c>
      <c r="BW17" s="39">
        <v>0</v>
      </c>
      <c r="BX17" s="39">
        <v>0</v>
      </c>
      <c r="BY17" s="39">
        <v>0</v>
      </c>
      <c r="BZ17" s="39">
        <v>0</v>
      </c>
      <c r="CA17" s="39">
        <v>0</v>
      </c>
      <c r="CB17" s="39">
        <v>0</v>
      </c>
      <c r="CC17" s="39">
        <v>12.499999999999998</v>
      </c>
      <c r="CD17" s="39">
        <v>16.666666666666668</v>
      </c>
      <c r="CE17" s="39">
        <v>20.833333333333332</v>
      </c>
      <c r="CF17" s="39">
        <v>8.3333333333333339</v>
      </c>
      <c r="CG17" s="39">
        <v>0</v>
      </c>
      <c r="CH17" s="149" t="s">
        <v>262</v>
      </c>
      <c r="CI17" s="39">
        <v>0</v>
      </c>
      <c r="CJ17" s="39">
        <v>0</v>
      </c>
      <c r="CK17" s="39">
        <v>0</v>
      </c>
      <c r="CL17" s="39">
        <v>0</v>
      </c>
      <c r="CM17" s="39">
        <v>0</v>
      </c>
      <c r="CN17" s="39">
        <v>0</v>
      </c>
      <c r="CO17" s="39">
        <v>0</v>
      </c>
      <c r="CP17" s="39">
        <v>0</v>
      </c>
      <c r="CQ17" s="39">
        <v>0</v>
      </c>
      <c r="CR17" s="39">
        <v>0</v>
      </c>
      <c r="CS17" s="39">
        <v>0</v>
      </c>
      <c r="CT17" s="39">
        <v>0</v>
      </c>
      <c r="CU17" s="39">
        <v>0</v>
      </c>
      <c r="CV17" s="39">
        <v>0</v>
      </c>
    </row>
    <row r="18" spans="1:100" s="50" customFormat="1" ht="15.5" thickTop="1" thickBot="1" x14ac:dyDescent="0.4">
      <c r="A18" s="48"/>
      <c r="B18" s="49">
        <v>2033</v>
      </c>
      <c r="C18" s="49">
        <v>0</v>
      </c>
      <c r="D18" s="49">
        <v>0</v>
      </c>
      <c r="E18" s="49">
        <v>0</v>
      </c>
      <c r="F18" s="49">
        <v>0</v>
      </c>
      <c r="G18" s="49">
        <v>0</v>
      </c>
      <c r="H18" s="49">
        <v>0</v>
      </c>
      <c r="I18" s="49">
        <v>0</v>
      </c>
      <c r="J18" s="49">
        <v>0</v>
      </c>
      <c r="K18" s="49">
        <v>0</v>
      </c>
      <c r="L18" s="49">
        <v>0</v>
      </c>
      <c r="M18" s="49">
        <v>0</v>
      </c>
      <c r="N18" s="49">
        <v>0</v>
      </c>
      <c r="O18" s="49">
        <v>0</v>
      </c>
      <c r="P18" s="49">
        <v>0</v>
      </c>
      <c r="Q18" s="49">
        <v>0</v>
      </c>
      <c r="R18" s="49">
        <v>0</v>
      </c>
      <c r="S18" s="49">
        <v>0</v>
      </c>
      <c r="T18" s="49">
        <v>0</v>
      </c>
      <c r="U18" s="49">
        <v>0</v>
      </c>
      <c r="V18" s="49">
        <v>0</v>
      </c>
      <c r="W18" s="49">
        <v>0</v>
      </c>
      <c r="X18" s="49"/>
      <c r="Z18" s="149" t="s">
        <v>102</v>
      </c>
      <c r="AA18" s="88">
        <v>0</v>
      </c>
      <c r="AB18" s="88">
        <v>2</v>
      </c>
      <c r="AC18" s="88">
        <v>10</v>
      </c>
      <c r="AD18" s="88">
        <v>9</v>
      </c>
      <c r="AE18" s="88">
        <v>6</v>
      </c>
      <c r="AF18" s="88">
        <v>4</v>
      </c>
      <c r="AG18" s="88">
        <v>4</v>
      </c>
      <c r="AH18" s="88">
        <v>0</v>
      </c>
      <c r="AI18" s="88">
        <v>6</v>
      </c>
      <c r="AJ18" s="88">
        <v>0</v>
      </c>
      <c r="AK18" s="88">
        <v>1</v>
      </c>
      <c r="AL18" s="88">
        <v>0</v>
      </c>
      <c r="AM18" s="88">
        <v>0</v>
      </c>
      <c r="AN18" s="88">
        <v>0</v>
      </c>
      <c r="AO18" s="149" t="s">
        <v>102</v>
      </c>
      <c r="AP18" s="88">
        <v>0</v>
      </c>
      <c r="AQ18" s="88">
        <v>0</v>
      </c>
      <c r="AR18" s="88">
        <v>0</v>
      </c>
      <c r="AS18" s="88">
        <v>0</v>
      </c>
      <c r="AT18" s="88">
        <v>1</v>
      </c>
      <c r="AU18" s="88">
        <v>1</v>
      </c>
      <c r="AV18" s="88">
        <v>4</v>
      </c>
      <c r="AW18" s="88">
        <v>5</v>
      </c>
      <c r="AX18" s="88">
        <v>5</v>
      </c>
      <c r="AY18" s="88">
        <v>1</v>
      </c>
      <c r="AZ18" s="88">
        <v>5</v>
      </c>
      <c r="BA18" s="88">
        <v>2</v>
      </c>
      <c r="BB18" s="88">
        <v>3</v>
      </c>
      <c r="BC18" s="88">
        <v>2</v>
      </c>
      <c r="BD18" s="149" t="s">
        <v>263</v>
      </c>
      <c r="BE18" s="39">
        <v>0</v>
      </c>
      <c r="BF18" s="39">
        <v>0</v>
      </c>
      <c r="BG18" s="39">
        <v>0</v>
      </c>
      <c r="BH18" s="39">
        <v>0</v>
      </c>
      <c r="BI18" s="39">
        <v>0</v>
      </c>
      <c r="BJ18" s="39">
        <v>0</v>
      </c>
      <c r="BK18" s="39">
        <v>1</v>
      </c>
      <c r="BL18" s="39">
        <v>2</v>
      </c>
      <c r="BM18" s="39">
        <v>2</v>
      </c>
      <c r="BN18" s="39">
        <v>2</v>
      </c>
      <c r="BO18" s="39">
        <v>1</v>
      </c>
      <c r="BP18" s="39">
        <v>1</v>
      </c>
      <c r="BQ18" s="39">
        <v>0</v>
      </c>
      <c r="BR18" s="39">
        <v>0</v>
      </c>
      <c r="BS18" s="149" t="s">
        <v>102</v>
      </c>
      <c r="BT18" s="39">
        <v>0</v>
      </c>
      <c r="BU18" s="39">
        <v>0</v>
      </c>
      <c r="BV18" s="39">
        <v>0</v>
      </c>
      <c r="BW18" s="39">
        <v>0</v>
      </c>
      <c r="BX18" s="39">
        <v>0</v>
      </c>
      <c r="BY18" s="39">
        <v>0</v>
      </c>
      <c r="BZ18" s="39">
        <v>0</v>
      </c>
      <c r="CA18" s="39">
        <v>0</v>
      </c>
      <c r="CB18" s="39">
        <v>0</v>
      </c>
      <c r="CC18" s="39">
        <v>2</v>
      </c>
      <c r="CD18" s="39">
        <v>4</v>
      </c>
      <c r="CE18" s="39">
        <v>4</v>
      </c>
      <c r="CF18" s="39">
        <v>2</v>
      </c>
      <c r="CG18" s="39">
        <v>0</v>
      </c>
      <c r="CH18" s="149" t="s">
        <v>263</v>
      </c>
      <c r="CI18" s="39">
        <v>0</v>
      </c>
      <c r="CJ18" s="39">
        <v>0</v>
      </c>
      <c r="CK18" s="39">
        <v>0</v>
      </c>
      <c r="CL18" s="39">
        <v>0</v>
      </c>
      <c r="CM18" s="39">
        <v>0</v>
      </c>
      <c r="CN18" s="39">
        <v>0</v>
      </c>
      <c r="CO18" s="39">
        <v>0</v>
      </c>
      <c r="CP18" s="39">
        <v>0</v>
      </c>
      <c r="CQ18" s="39">
        <v>0</v>
      </c>
      <c r="CR18" s="39">
        <v>3</v>
      </c>
      <c r="CS18" s="39">
        <v>1</v>
      </c>
      <c r="CT18" s="39">
        <v>6</v>
      </c>
      <c r="CU18" s="39">
        <v>4</v>
      </c>
      <c r="CV18" s="39">
        <v>8</v>
      </c>
    </row>
    <row r="19" spans="1:100" s="50" customFormat="1" ht="15.5" thickTop="1" thickBot="1" x14ac:dyDescent="0.4">
      <c r="A19" s="48"/>
      <c r="B19" s="49">
        <v>2034</v>
      </c>
      <c r="C19" s="49">
        <v>0</v>
      </c>
      <c r="D19" s="49">
        <v>0</v>
      </c>
      <c r="E19" s="49">
        <v>0</v>
      </c>
      <c r="F19" s="49">
        <v>0</v>
      </c>
      <c r="G19" s="49">
        <v>0</v>
      </c>
      <c r="H19" s="49">
        <v>0</v>
      </c>
      <c r="I19" s="49">
        <v>0</v>
      </c>
      <c r="J19" s="49">
        <v>0</v>
      </c>
      <c r="K19" s="49">
        <v>0</v>
      </c>
      <c r="L19" s="49">
        <v>0</v>
      </c>
      <c r="M19" s="49">
        <v>0</v>
      </c>
      <c r="N19" s="49">
        <v>0</v>
      </c>
      <c r="O19" s="49">
        <v>0</v>
      </c>
      <c r="P19" s="49">
        <v>0</v>
      </c>
      <c r="Q19" s="49">
        <v>0</v>
      </c>
      <c r="R19" s="49">
        <v>0</v>
      </c>
      <c r="S19" s="49">
        <v>0</v>
      </c>
      <c r="T19" s="49">
        <v>0</v>
      </c>
      <c r="U19" s="49">
        <v>0</v>
      </c>
      <c r="V19" s="49">
        <v>0</v>
      </c>
      <c r="W19" s="49">
        <v>0</v>
      </c>
      <c r="X19" s="49"/>
      <c r="Z19" s="149" t="s">
        <v>76</v>
      </c>
      <c r="AA19" s="88">
        <v>0</v>
      </c>
      <c r="AB19" s="88">
        <v>2</v>
      </c>
      <c r="AC19" s="88">
        <v>10</v>
      </c>
      <c r="AD19" s="88">
        <v>6</v>
      </c>
      <c r="AE19" s="88">
        <v>6</v>
      </c>
      <c r="AF19" s="88">
        <v>4</v>
      </c>
      <c r="AG19" s="88">
        <v>4</v>
      </c>
      <c r="AH19" s="88">
        <v>0</v>
      </c>
      <c r="AI19" s="88">
        <v>3</v>
      </c>
      <c r="AJ19" s="88">
        <v>0</v>
      </c>
      <c r="AK19" s="88">
        <v>1</v>
      </c>
      <c r="AL19" s="88">
        <v>0</v>
      </c>
      <c r="AM19" s="88">
        <v>0</v>
      </c>
      <c r="AN19" s="88">
        <v>0</v>
      </c>
      <c r="AO19" s="149" t="s">
        <v>76</v>
      </c>
      <c r="AP19" s="88">
        <v>0</v>
      </c>
      <c r="AQ19" s="88">
        <v>0</v>
      </c>
      <c r="AR19" s="88">
        <v>0</v>
      </c>
      <c r="AS19" s="88">
        <v>0</v>
      </c>
      <c r="AT19" s="88">
        <v>1</v>
      </c>
      <c r="AU19" s="88">
        <v>1</v>
      </c>
      <c r="AV19" s="88">
        <v>4</v>
      </c>
      <c r="AW19" s="88">
        <v>5</v>
      </c>
      <c r="AX19" s="88">
        <v>5</v>
      </c>
      <c r="AY19" s="88">
        <v>1</v>
      </c>
      <c r="AZ19" s="88">
        <v>5</v>
      </c>
      <c r="BA19" s="88">
        <v>2</v>
      </c>
      <c r="BB19" s="88">
        <v>3</v>
      </c>
      <c r="BC19" s="88">
        <v>2</v>
      </c>
      <c r="BD19" s="149" t="s">
        <v>264</v>
      </c>
      <c r="BE19" s="39">
        <v>0</v>
      </c>
      <c r="BF19" s="39">
        <v>0</v>
      </c>
      <c r="BG19" s="39">
        <v>0</v>
      </c>
      <c r="BH19" s="39">
        <v>0</v>
      </c>
      <c r="BI19" s="39">
        <v>0</v>
      </c>
      <c r="BJ19" s="39">
        <v>0</v>
      </c>
      <c r="BK19" s="39">
        <v>1</v>
      </c>
      <c r="BL19" s="39">
        <v>2</v>
      </c>
      <c r="BM19" s="39">
        <v>2</v>
      </c>
      <c r="BN19" s="39">
        <v>2</v>
      </c>
      <c r="BO19" s="39">
        <v>1</v>
      </c>
      <c r="BP19" s="39">
        <v>1</v>
      </c>
      <c r="BQ19" s="39">
        <v>0</v>
      </c>
      <c r="BR19" s="39">
        <v>0</v>
      </c>
      <c r="BS19" s="149" t="s">
        <v>76</v>
      </c>
      <c r="BT19" s="39">
        <v>0</v>
      </c>
      <c r="BU19" s="39">
        <v>0</v>
      </c>
      <c r="BV19" s="39">
        <v>0</v>
      </c>
      <c r="BW19" s="39">
        <v>0</v>
      </c>
      <c r="BX19" s="39">
        <v>0</v>
      </c>
      <c r="BY19" s="39">
        <v>0</v>
      </c>
      <c r="BZ19" s="39">
        <v>0</v>
      </c>
      <c r="CA19" s="39">
        <v>0</v>
      </c>
      <c r="CB19" s="39">
        <v>0</v>
      </c>
      <c r="CC19" s="39">
        <v>2</v>
      </c>
      <c r="CD19" s="39">
        <v>4</v>
      </c>
      <c r="CE19" s="39">
        <v>4</v>
      </c>
      <c r="CF19" s="39">
        <v>2</v>
      </c>
      <c r="CG19" s="39">
        <v>0</v>
      </c>
      <c r="CH19" s="149" t="s">
        <v>264</v>
      </c>
      <c r="CI19" s="39">
        <v>0</v>
      </c>
      <c r="CJ19" s="39">
        <v>0</v>
      </c>
      <c r="CK19" s="39">
        <v>0</v>
      </c>
      <c r="CL19" s="39">
        <v>0</v>
      </c>
      <c r="CM19" s="39">
        <v>0</v>
      </c>
      <c r="CN19" s="39">
        <v>0</v>
      </c>
      <c r="CO19" s="39">
        <v>0</v>
      </c>
      <c r="CP19" s="39">
        <v>0</v>
      </c>
      <c r="CQ19" s="39">
        <v>0</v>
      </c>
      <c r="CR19" s="39">
        <v>3</v>
      </c>
      <c r="CS19" s="39">
        <v>1</v>
      </c>
      <c r="CT19" s="39">
        <v>6</v>
      </c>
      <c r="CU19" s="39">
        <v>4</v>
      </c>
      <c r="CV19" s="39">
        <v>8</v>
      </c>
    </row>
    <row r="20" spans="1:100" s="50" customFormat="1" ht="15.5" thickTop="1" thickBot="1" x14ac:dyDescent="0.4">
      <c r="A20" s="48"/>
      <c r="B20" s="49">
        <v>2035</v>
      </c>
      <c r="C20" s="49">
        <v>0</v>
      </c>
      <c r="D20" s="49">
        <v>0</v>
      </c>
      <c r="E20" s="49">
        <v>0</v>
      </c>
      <c r="F20" s="49">
        <v>0</v>
      </c>
      <c r="G20" s="49">
        <v>0</v>
      </c>
      <c r="H20" s="49">
        <v>0</v>
      </c>
      <c r="I20" s="49">
        <v>0</v>
      </c>
      <c r="J20" s="49">
        <v>0</v>
      </c>
      <c r="K20" s="49">
        <v>0</v>
      </c>
      <c r="L20" s="49">
        <v>0</v>
      </c>
      <c r="M20" s="49">
        <v>0</v>
      </c>
      <c r="N20" s="49">
        <v>0</v>
      </c>
      <c r="O20" s="49">
        <v>0</v>
      </c>
      <c r="P20" s="49">
        <v>0</v>
      </c>
      <c r="Q20" s="49">
        <v>0</v>
      </c>
      <c r="R20" s="49">
        <v>0</v>
      </c>
      <c r="S20" s="49">
        <v>0</v>
      </c>
      <c r="T20" s="49">
        <v>0</v>
      </c>
      <c r="U20" s="49">
        <v>0</v>
      </c>
      <c r="V20" s="49">
        <v>0</v>
      </c>
      <c r="W20" s="49">
        <v>0</v>
      </c>
      <c r="X20" s="49"/>
      <c r="Z20" s="149" t="s">
        <v>286</v>
      </c>
      <c r="AA20" s="88">
        <v>0</v>
      </c>
      <c r="AB20" s="88">
        <v>2.6876000000000002</v>
      </c>
      <c r="AC20" s="88">
        <v>2.5085400000000004</v>
      </c>
      <c r="AD20" s="88">
        <v>2.4521486567164184</v>
      </c>
      <c r="AE20" s="88">
        <v>2.1146400000000005</v>
      </c>
      <c r="AF20" s="88">
        <v>2.1362000000000001</v>
      </c>
      <c r="AG20" s="88">
        <v>3.3956353096179179</v>
      </c>
      <c r="AH20" s="88">
        <v>0</v>
      </c>
      <c r="AI20" s="88">
        <v>4.4743258749282848</v>
      </c>
      <c r="AJ20" s="88">
        <v>0</v>
      </c>
      <c r="AK20" s="88">
        <v>7.0974071146245059</v>
      </c>
      <c r="AL20" s="88">
        <v>0</v>
      </c>
      <c r="AM20" s="88">
        <v>0</v>
      </c>
      <c r="AN20" s="88">
        <v>0</v>
      </c>
      <c r="AO20" s="149" t="s">
        <v>286</v>
      </c>
      <c r="AP20" s="88">
        <v>0</v>
      </c>
      <c r="AQ20" s="88">
        <v>0</v>
      </c>
      <c r="AR20" s="88">
        <v>0</v>
      </c>
      <c r="AS20" s="88">
        <v>0</v>
      </c>
      <c r="AT20" s="88">
        <v>2.1960000000000002</v>
      </c>
      <c r="AU20" s="88">
        <v>2.1960000000000002</v>
      </c>
      <c r="AV20" s="88">
        <v>2.1960000000000002</v>
      </c>
      <c r="AW20" s="88">
        <v>2.1960000000000002</v>
      </c>
      <c r="AX20" s="88">
        <v>2.1960000000000002</v>
      </c>
      <c r="AY20" s="88">
        <v>2.1960000000000002</v>
      </c>
      <c r="AZ20" s="88">
        <v>2.1960000000000002</v>
      </c>
      <c r="BA20" s="88">
        <v>2.1960000000000002</v>
      </c>
      <c r="BB20" s="88">
        <v>2.1960000000000002</v>
      </c>
      <c r="BC20" s="88">
        <v>2.1960000000000002</v>
      </c>
      <c r="BD20" s="149" t="s">
        <v>279</v>
      </c>
      <c r="BE20" s="39">
        <v>0</v>
      </c>
      <c r="BF20" s="39">
        <v>0</v>
      </c>
      <c r="BG20" s="39">
        <v>0</v>
      </c>
      <c r="BH20" s="39">
        <v>0</v>
      </c>
      <c r="BI20" s="39">
        <v>0</v>
      </c>
      <c r="BJ20" s="39">
        <v>0</v>
      </c>
      <c r="BK20" s="39">
        <v>3.66</v>
      </c>
      <c r="BL20" s="39">
        <v>3.66</v>
      </c>
      <c r="BM20" s="39">
        <v>3.66</v>
      </c>
      <c r="BN20" s="39">
        <v>3.66</v>
      </c>
      <c r="BO20" s="39">
        <v>3.66</v>
      </c>
      <c r="BP20" s="39">
        <v>3.66</v>
      </c>
      <c r="BQ20" s="39">
        <v>0</v>
      </c>
      <c r="BR20" s="39">
        <v>0</v>
      </c>
      <c r="BS20" s="149" t="s">
        <v>286</v>
      </c>
      <c r="BT20" s="39">
        <v>0</v>
      </c>
      <c r="BU20" s="39">
        <v>0</v>
      </c>
      <c r="BV20" s="39">
        <v>0</v>
      </c>
      <c r="BW20" s="39">
        <v>0</v>
      </c>
      <c r="BX20" s="39">
        <v>0</v>
      </c>
      <c r="BY20" s="39">
        <v>0</v>
      </c>
      <c r="BZ20" s="39">
        <v>0</v>
      </c>
      <c r="CA20" s="39">
        <v>0</v>
      </c>
      <c r="CB20" s="39">
        <v>0</v>
      </c>
      <c r="CC20" s="39">
        <v>2.1960000000000002</v>
      </c>
      <c r="CD20" s="39">
        <v>2.1960000000000002</v>
      </c>
      <c r="CE20" s="39">
        <v>2.1960000000000002</v>
      </c>
      <c r="CF20" s="39">
        <v>2.1960000000000002</v>
      </c>
      <c r="CG20" s="39">
        <v>0</v>
      </c>
      <c r="CH20" s="149" t="s">
        <v>279</v>
      </c>
      <c r="CI20" s="39">
        <v>0</v>
      </c>
      <c r="CJ20" s="39">
        <v>0</v>
      </c>
      <c r="CK20" s="39">
        <v>0</v>
      </c>
      <c r="CL20" s="39">
        <v>0</v>
      </c>
      <c r="CM20" s="39">
        <v>0</v>
      </c>
      <c r="CN20" s="39">
        <v>0</v>
      </c>
      <c r="CO20" s="39">
        <v>0</v>
      </c>
      <c r="CP20" s="39">
        <v>0</v>
      </c>
      <c r="CQ20" s="39">
        <v>0</v>
      </c>
      <c r="CR20" s="39">
        <v>3.66</v>
      </c>
      <c r="CS20" s="39">
        <v>3.66</v>
      </c>
      <c r="CT20" s="39">
        <v>3.66</v>
      </c>
      <c r="CU20" s="39">
        <v>3.66</v>
      </c>
      <c r="CV20" s="39">
        <v>3.66</v>
      </c>
    </row>
    <row r="21" spans="1:100" ht="15.5" thickTop="1" thickBot="1" x14ac:dyDescent="0.4">
      <c r="A21" s="25"/>
      <c r="B21" s="27" t="s">
        <v>250</v>
      </c>
      <c r="C21" s="39"/>
      <c r="D21" s="39"/>
      <c r="E21" s="39"/>
      <c r="F21" s="39"/>
      <c r="G21" s="39"/>
      <c r="H21" s="39"/>
      <c r="I21" s="39"/>
      <c r="J21" s="39"/>
      <c r="K21" s="39"/>
      <c r="L21" s="39"/>
      <c r="M21" s="39"/>
      <c r="N21" s="39"/>
      <c r="O21" s="39"/>
      <c r="P21" s="39"/>
      <c r="Q21" s="39"/>
      <c r="R21" s="39"/>
      <c r="S21" s="39"/>
      <c r="T21" s="39"/>
      <c r="U21" s="39"/>
      <c r="V21" s="39"/>
      <c r="W21" s="39"/>
      <c r="X21" s="39"/>
      <c r="Z21" s="13" t="s">
        <v>282</v>
      </c>
      <c r="AA21" s="39">
        <v>0</v>
      </c>
      <c r="AB21" s="39">
        <v>125.50240000000001</v>
      </c>
      <c r="AC21" s="39">
        <v>862.25390096961871</v>
      </c>
      <c r="AD21" s="39">
        <v>725.58714358974362</v>
      </c>
      <c r="AE21" s="39">
        <v>409.00904000000008</v>
      </c>
      <c r="AF21" s="39">
        <v>339.18010133333337</v>
      </c>
      <c r="AG21" s="39">
        <v>582.02797333333331</v>
      </c>
      <c r="AH21" s="39">
        <v>0</v>
      </c>
      <c r="AI21" s="39">
        <v>525</v>
      </c>
      <c r="AJ21" s="39">
        <v>0</v>
      </c>
      <c r="AK21" s="39">
        <v>299.274</v>
      </c>
      <c r="AL21" s="39">
        <v>0</v>
      </c>
      <c r="AM21" s="39">
        <v>0</v>
      </c>
      <c r="AN21" s="39">
        <v>0</v>
      </c>
      <c r="AO21" s="13" t="s">
        <v>282</v>
      </c>
      <c r="AP21" s="39">
        <v>0</v>
      </c>
      <c r="AQ21" s="39">
        <v>0</v>
      </c>
      <c r="AR21" s="39">
        <v>0</v>
      </c>
      <c r="AS21" s="39">
        <v>0</v>
      </c>
      <c r="AT21" s="39">
        <v>111.26400000000001</v>
      </c>
      <c r="AU21" s="39">
        <v>78.470400000000012</v>
      </c>
      <c r="AV21" s="39">
        <v>422.94869796492532</v>
      </c>
      <c r="AW21" s="39">
        <v>335.84160000000003</v>
      </c>
      <c r="AX21" s="39">
        <v>429.2356778416821</v>
      </c>
      <c r="AY21" s="39">
        <v>85.39397583556898</v>
      </c>
      <c r="AZ21" s="39">
        <v>323.57667514760232</v>
      </c>
      <c r="BA21" s="39">
        <v>130.17400000000001</v>
      </c>
      <c r="BB21" s="39">
        <v>175.86197771949202</v>
      </c>
      <c r="BC21" s="39">
        <v>112.72800000000001</v>
      </c>
      <c r="BD21" s="13" t="s">
        <v>277</v>
      </c>
      <c r="BE21" s="39">
        <v>0</v>
      </c>
      <c r="BF21" s="39">
        <v>0</v>
      </c>
      <c r="BG21" s="39">
        <v>0</v>
      </c>
      <c r="BH21" s="39">
        <v>0</v>
      </c>
      <c r="BI21" s="39">
        <v>0</v>
      </c>
      <c r="BJ21" s="39">
        <v>0</v>
      </c>
      <c r="BK21" s="39">
        <v>122.04275156097356</v>
      </c>
      <c r="BL21" s="39">
        <v>244.04667450250608</v>
      </c>
      <c r="BM21" s="39">
        <v>244.04667450250608</v>
      </c>
      <c r="BN21" s="39">
        <v>223.58088447202994</v>
      </c>
      <c r="BO21" s="39">
        <v>101.61268742301323</v>
      </c>
      <c r="BP21" s="39">
        <v>81.309737926347552</v>
      </c>
      <c r="BQ21" s="39">
        <v>0</v>
      </c>
      <c r="BR21" s="39">
        <v>0</v>
      </c>
      <c r="BS21" s="13" t="s">
        <v>282</v>
      </c>
      <c r="BT21" s="39">
        <v>0</v>
      </c>
      <c r="BU21" s="39">
        <v>0</v>
      </c>
      <c r="BV21" s="39">
        <v>0</v>
      </c>
      <c r="BW21" s="39">
        <v>0</v>
      </c>
      <c r="BX21" s="39">
        <v>0</v>
      </c>
      <c r="BY21" s="39">
        <v>0</v>
      </c>
      <c r="BZ21" s="39">
        <v>0</v>
      </c>
      <c r="CA21" s="39">
        <v>0</v>
      </c>
      <c r="CB21" s="39">
        <v>0</v>
      </c>
      <c r="CC21" s="39">
        <v>183</v>
      </c>
      <c r="CD21" s="39">
        <v>244.00000000000003</v>
      </c>
      <c r="CE21" s="39">
        <v>305</v>
      </c>
      <c r="CF21" s="39">
        <v>122.00000000000001</v>
      </c>
      <c r="CG21" s="39">
        <v>0</v>
      </c>
      <c r="CH21" s="13" t="s">
        <v>277</v>
      </c>
      <c r="CI21" s="39">
        <v>0</v>
      </c>
      <c r="CJ21" s="39">
        <v>0</v>
      </c>
      <c r="CK21" s="39">
        <v>0</v>
      </c>
      <c r="CL21" s="39">
        <v>0</v>
      </c>
      <c r="CM21" s="39">
        <v>0</v>
      </c>
      <c r="CN21" s="39">
        <v>0</v>
      </c>
      <c r="CO21" s="39">
        <v>0</v>
      </c>
      <c r="CP21" s="39">
        <v>0</v>
      </c>
      <c r="CQ21" s="39">
        <v>0</v>
      </c>
      <c r="CR21" s="39">
        <v>334.28</v>
      </c>
      <c r="CS21" s="39">
        <v>101.66666666666667</v>
      </c>
      <c r="CT21" s="39">
        <v>650.66666666666674</v>
      </c>
      <c r="CU21" s="39">
        <v>508.33333333333337</v>
      </c>
      <c r="CV21" s="39">
        <v>915.00000000000011</v>
      </c>
    </row>
    <row r="22" spans="1:100" ht="15.5" thickTop="1" thickBot="1" x14ac:dyDescent="0.4">
      <c r="A22" s="25"/>
      <c r="B22" s="22">
        <v>2022</v>
      </c>
      <c r="C22" s="39"/>
      <c r="D22" s="39">
        <v>0</v>
      </c>
      <c r="E22" s="39">
        <v>0</v>
      </c>
      <c r="F22" s="39">
        <v>0</v>
      </c>
      <c r="G22" s="39">
        <v>0</v>
      </c>
      <c r="H22" s="39">
        <v>0</v>
      </c>
      <c r="I22" s="39">
        <v>0</v>
      </c>
      <c r="J22" s="39">
        <v>0</v>
      </c>
      <c r="K22" s="39">
        <v>0</v>
      </c>
      <c r="L22" s="39">
        <v>0</v>
      </c>
      <c r="M22" s="39">
        <v>0</v>
      </c>
      <c r="N22" s="39">
        <v>0</v>
      </c>
      <c r="O22" s="39">
        <v>0</v>
      </c>
      <c r="P22" s="39">
        <v>0</v>
      </c>
      <c r="Q22" s="39">
        <v>0</v>
      </c>
      <c r="R22" s="39">
        <v>0</v>
      </c>
      <c r="S22" s="39">
        <v>0</v>
      </c>
      <c r="T22" s="39">
        <v>0</v>
      </c>
      <c r="U22" s="39">
        <v>0</v>
      </c>
      <c r="V22" s="39">
        <v>0</v>
      </c>
      <c r="W22" s="39">
        <v>0</v>
      </c>
      <c r="X22" s="39"/>
      <c r="Y22" s="22"/>
      <c r="Z22" s="13" t="s">
        <v>283</v>
      </c>
      <c r="AA22" s="39">
        <v>0</v>
      </c>
      <c r="AB22" s="39">
        <v>256</v>
      </c>
      <c r="AC22" s="39">
        <v>552.66030000000001</v>
      </c>
      <c r="AD22" s="39">
        <v>462.5</v>
      </c>
      <c r="AE22" s="39">
        <v>297.67899999999997</v>
      </c>
      <c r="AF22" s="39">
        <v>173</v>
      </c>
      <c r="AG22" s="39">
        <v>235.405</v>
      </c>
      <c r="AH22" s="39">
        <v>0</v>
      </c>
      <c r="AI22" s="39">
        <v>154.5</v>
      </c>
      <c r="AJ22" s="39">
        <v>0</v>
      </c>
      <c r="AK22" s="39">
        <v>72.405000000000001</v>
      </c>
      <c r="AL22" s="39">
        <v>0</v>
      </c>
      <c r="AM22" s="39">
        <v>0</v>
      </c>
      <c r="AN22" s="39">
        <v>0</v>
      </c>
      <c r="AO22" s="13" t="s">
        <v>283</v>
      </c>
      <c r="AP22" s="39">
        <v>0</v>
      </c>
      <c r="AQ22" s="39">
        <v>0</v>
      </c>
      <c r="AR22" s="39">
        <v>0</v>
      </c>
      <c r="AS22" s="39">
        <v>0</v>
      </c>
      <c r="AT22" s="39">
        <v>158</v>
      </c>
      <c r="AU22" s="39">
        <v>133</v>
      </c>
      <c r="AV22" s="39">
        <v>323.26030000000003</v>
      </c>
      <c r="AW22" s="39">
        <v>402.26030000000003</v>
      </c>
      <c r="AX22" s="39">
        <v>352.40499999999997</v>
      </c>
      <c r="AY22" s="39">
        <v>63</v>
      </c>
      <c r="AZ22" s="39">
        <v>290</v>
      </c>
      <c r="BA22" s="39">
        <v>150</v>
      </c>
      <c r="BB22" s="39">
        <v>222.405</v>
      </c>
      <c r="BC22" s="39">
        <v>140</v>
      </c>
      <c r="BD22" s="13" t="s">
        <v>278</v>
      </c>
      <c r="BE22" s="39">
        <v>0</v>
      </c>
      <c r="BF22" s="39">
        <v>0</v>
      </c>
      <c r="BG22" s="39">
        <v>0</v>
      </c>
      <c r="BH22" s="39">
        <v>0</v>
      </c>
      <c r="BI22" s="39">
        <v>0</v>
      </c>
      <c r="BJ22" s="39">
        <v>0</v>
      </c>
      <c r="BK22" s="39">
        <v>120</v>
      </c>
      <c r="BL22" s="39">
        <v>210</v>
      </c>
      <c r="BM22" s="39">
        <v>210</v>
      </c>
      <c r="BN22" s="39">
        <v>205</v>
      </c>
      <c r="BO22" s="39">
        <v>105</v>
      </c>
      <c r="BP22" s="39">
        <v>105</v>
      </c>
      <c r="BQ22" s="39">
        <v>0</v>
      </c>
      <c r="BR22" s="39">
        <v>0</v>
      </c>
      <c r="BS22" s="13" t="s">
        <v>283</v>
      </c>
      <c r="BT22" s="39">
        <v>0</v>
      </c>
      <c r="BU22" s="39">
        <v>0</v>
      </c>
      <c r="BV22" s="39">
        <v>0</v>
      </c>
      <c r="BW22" s="39">
        <v>0</v>
      </c>
      <c r="BX22" s="39">
        <v>0</v>
      </c>
      <c r="BY22" s="39">
        <v>0</v>
      </c>
      <c r="BZ22" s="39">
        <v>0</v>
      </c>
      <c r="CA22" s="39">
        <v>0</v>
      </c>
      <c r="CB22" s="39">
        <v>0</v>
      </c>
      <c r="CC22" s="39">
        <v>150</v>
      </c>
      <c r="CD22" s="39">
        <v>300</v>
      </c>
      <c r="CE22" s="39">
        <v>300</v>
      </c>
      <c r="CF22" s="39">
        <v>150</v>
      </c>
      <c r="CG22" s="39">
        <v>0</v>
      </c>
      <c r="CH22" s="13" t="s">
        <v>278</v>
      </c>
      <c r="CI22" s="39">
        <v>0</v>
      </c>
      <c r="CJ22" s="39">
        <v>0</v>
      </c>
      <c r="CK22" s="39">
        <v>0</v>
      </c>
      <c r="CL22" s="39">
        <v>0</v>
      </c>
      <c r="CM22" s="39">
        <v>0</v>
      </c>
      <c r="CN22" s="39">
        <v>0</v>
      </c>
      <c r="CO22" s="39">
        <v>0</v>
      </c>
      <c r="CP22" s="39">
        <v>0</v>
      </c>
      <c r="CQ22" s="39">
        <v>0</v>
      </c>
      <c r="CR22" s="39">
        <v>210</v>
      </c>
      <c r="CS22" s="39">
        <v>105</v>
      </c>
      <c r="CT22" s="39">
        <v>320</v>
      </c>
      <c r="CU22" s="39">
        <v>220</v>
      </c>
      <c r="CV22" s="39">
        <v>415</v>
      </c>
    </row>
    <row r="23" spans="1:100" ht="15.5" thickTop="1" thickBot="1" x14ac:dyDescent="0.4">
      <c r="A23" s="25"/>
      <c r="B23" s="22">
        <v>2023</v>
      </c>
      <c r="C23" s="39"/>
      <c r="D23" s="39">
        <v>0</v>
      </c>
      <c r="E23" s="39">
        <v>0</v>
      </c>
      <c r="F23" s="39">
        <v>0</v>
      </c>
      <c r="G23" s="39">
        <v>0</v>
      </c>
      <c r="H23" s="39">
        <v>0</v>
      </c>
      <c r="I23" s="39">
        <v>0</v>
      </c>
      <c r="J23" s="39">
        <v>0</v>
      </c>
      <c r="K23" s="39">
        <v>0</v>
      </c>
      <c r="L23" s="39">
        <v>0</v>
      </c>
      <c r="M23" s="39">
        <v>0</v>
      </c>
      <c r="N23" s="39">
        <v>0</v>
      </c>
      <c r="O23" s="39">
        <v>0</v>
      </c>
      <c r="P23" s="39">
        <v>0</v>
      </c>
      <c r="Q23" s="39">
        <v>0</v>
      </c>
      <c r="R23" s="39">
        <v>0</v>
      </c>
      <c r="S23" s="39">
        <v>0</v>
      </c>
      <c r="T23" s="39">
        <v>0</v>
      </c>
      <c r="U23" s="39">
        <v>0</v>
      </c>
      <c r="V23" s="39">
        <v>0</v>
      </c>
      <c r="W23" s="39">
        <v>0</v>
      </c>
      <c r="X23" s="39"/>
      <c r="Y23" s="22"/>
      <c r="Z23" s="13" t="s">
        <v>284</v>
      </c>
      <c r="AA23" s="39">
        <v>0</v>
      </c>
      <c r="AB23" s="39">
        <v>2</v>
      </c>
      <c r="AC23" s="39">
        <v>10</v>
      </c>
      <c r="AD23" s="39">
        <v>6</v>
      </c>
      <c r="AE23" s="39">
        <v>6</v>
      </c>
      <c r="AF23" s="39">
        <v>4</v>
      </c>
      <c r="AG23" s="39">
        <v>4</v>
      </c>
      <c r="AH23" s="39">
        <v>0</v>
      </c>
      <c r="AI23" s="39">
        <v>3</v>
      </c>
      <c r="AJ23" s="39">
        <v>0</v>
      </c>
      <c r="AK23" s="39">
        <v>1</v>
      </c>
      <c r="AL23" s="39">
        <v>0</v>
      </c>
      <c r="AM23" s="39">
        <v>0</v>
      </c>
      <c r="AN23" s="39">
        <v>0</v>
      </c>
      <c r="AO23" s="13" t="s">
        <v>284</v>
      </c>
      <c r="AP23" s="39">
        <v>0</v>
      </c>
      <c r="AQ23" s="39">
        <v>0</v>
      </c>
      <c r="AR23" s="39">
        <v>0</v>
      </c>
      <c r="AS23" s="39">
        <v>0</v>
      </c>
      <c r="AT23" s="39">
        <v>1</v>
      </c>
      <c r="AU23" s="39">
        <v>1</v>
      </c>
      <c r="AV23" s="39">
        <v>4</v>
      </c>
      <c r="AW23" s="39">
        <v>5</v>
      </c>
      <c r="AX23" s="39">
        <v>5</v>
      </c>
      <c r="AY23" s="39">
        <v>1</v>
      </c>
      <c r="AZ23" s="39">
        <v>5</v>
      </c>
      <c r="BA23" s="39">
        <v>2</v>
      </c>
      <c r="BB23" s="39">
        <v>3</v>
      </c>
      <c r="BC23" s="39">
        <v>2</v>
      </c>
      <c r="BD23" s="13" t="s">
        <v>280</v>
      </c>
      <c r="BE23" s="39">
        <v>0</v>
      </c>
      <c r="BF23" s="39">
        <v>0</v>
      </c>
      <c r="BG23" s="39">
        <v>0</v>
      </c>
      <c r="BH23" s="39">
        <v>0</v>
      </c>
      <c r="BI23" s="39">
        <v>0</v>
      </c>
      <c r="BJ23" s="39">
        <v>0</v>
      </c>
      <c r="BK23" s="39">
        <v>1</v>
      </c>
      <c r="BL23" s="39">
        <v>2</v>
      </c>
      <c r="BM23" s="39">
        <v>2</v>
      </c>
      <c r="BN23" s="39">
        <v>2</v>
      </c>
      <c r="BO23" s="39">
        <v>1</v>
      </c>
      <c r="BP23" s="39">
        <v>1</v>
      </c>
      <c r="BQ23" s="39">
        <v>0</v>
      </c>
      <c r="BR23" s="39">
        <v>0</v>
      </c>
      <c r="BS23" s="13" t="s">
        <v>284</v>
      </c>
      <c r="BT23" s="39">
        <v>0</v>
      </c>
      <c r="BU23" s="39">
        <v>0</v>
      </c>
      <c r="BV23" s="39">
        <v>0</v>
      </c>
      <c r="BW23" s="39">
        <v>0</v>
      </c>
      <c r="BX23" s="39">
        <v>0</v>
      </c>
      <c r="BY23" s="39">
        <v>0</v>
      </c>
      <c r="BZ23" s="39">
        <v>0</v>
      </c>
      <c r="CA23" s="39">
        <v>0</v>
      </c>
      <c r="CB23" s="39">
        <v>0</v>
      </c>
      <c r="CC23" s="39">
        <v>2</v>
      </c>
      <c r="CD23" s="39">
        <v>4</v>
      </c>
      <c r="CE23" s="39">
        <v>4</v>
      </c>
      <c r="CF23" s="39">
        <v>2</v>
      </c>
      <c r="CG23" s="39">
        <v>0</v>
      </c>
      <c r="CH23" s="13" t="s">
        <v>280</v>
      </c>
      <c r="CI23" s="39">
        <v>0</v>
      </c>
      <c r="CJ23" s="39">
        <v>0</v>
      </c>
      <c r="CK23" s="39">
        <v>0</v>
      </c>
      <c r="CL23" s="39">
        <v>0</v>
      </c>
      <c r="CM23" s="39">
        <v>0</v>
      </c>
      <c r="CN23" s="39">
        <v>0</v>
      </c>
      <c r="CO23" s="39">
        <v>0</v>
      </c>
      <c r="CP23" s="39">
        <v>0</v>
      </c>
      <c r="CQ23" s="39">
        <v>0</v>
      </c>
      <c r="CR23" s="39">
        <v>3</v>
      </c>
      <c r="CS23" s="39">
        <v>1</v>
      </c>
      <c r="CT23" s="39">
        <v>6</v>
      </c>
      <c r="CU23" s="39">
        <v>4</v>
      </c>
      <c r="CV23" s="39">
        <v>8</v>
      </c>
    </row>
    <row r="24" spans="1:100" ht="15.5" thickTop="1" thickBot="1" x14ac:dyDescent="0.4">
      <c r="A24" s="25"/>
      <c r="B24" s="22">
        <v>2024</v>
      </c>
      <c r="C24" s="39"/>
      <c r="D24" s="39">
        <v>0</v>
      </c>
      <c r="E24" s="39">
        <v>0</v>
      </c>
      <c r="F24" s="39">
        <v>0</v>
      </c>
      <c r="G24" s="39">
        <v>0</v>
      </c>
      <c r="H24" s="39">
        <v>0</v>
      </c>
      <c r="I24" s="39">
        <v>0</v>
      </c>
      <c r="J24" s="39">
        <v>0</v>
      </c>
      <c r="K24" s="39">
        <v>0</v>
      </c>
      <c r="L24" s="39">
        <v>0</v>
      </c>
      <c r="M24" s="39">
        <v>0</v>
      </c>
      <c r="N24" s="39">
        <v>0</v>
      </c>
      <c r="O24" s="39">
        <v>0</v>
      </c>
      <c r="P24" s="39">
        <v>0</v>
      </c>
      <c r="Q24" s="39">
        <v>0</v>
      </c>
      <c r="R24" s="39">
        <v>0</v>
      </c>
      <c r="S24" s="39">
        <v>0</v>
      </c>
      <c r="T24" s="39">
        <v>0</v>
      </c>
      <c r="U24" s="39">
        <v>0</v>
      </c>
      <c r="V24" s="39">
        <v>0</v>
      </c>
      <c r="W24" s="39">
        <v>0</v>
      </c>
      <c r="X24" s="39"/>
      <c r="Y24" s="22"/>
      <c r="Z24" s="13" t="s">
        <v>285</v>
      </c>
      <c r="AA24" s="39">
        <v>0</v>
      </c>
      <c r="AB24" s="39">
        <v>256</v>
      </c>
      <c r="AC24" s="39">
        <v>926.41359999999997</v>
      </c>
      <c r="AD24" s="39">
        <v>505.5</v>
      </c>
      <c r="AE24" s="39">
        <v>340.67899999999997</v>
      </c>
      <c r="AF24" s="39">
        <v>393</v>
      </c>
      <c r="AG24" s="39">
        <v>335.40499999999997</v>
      </c>
      <c r="AH24" s="39">
        <v>0</v>
      </c>
      <c r="AI24" s="39">
        <v>197.5</v>
      </c>
      <c r="AJ24" s="39">
        <v>0</v>
      </c>
      <c r="AK24" s="39">
        <v>72.405000000000001</v>
      </c>
      <c r="AL24" s="39">
        <v>0</v>
      </c>
      <c r="AM24" s="39">
        <v>0</v>
      </c>
      <c r="AN24" s="39">
        <v>0</v>
      </c>
      <c r="AO24" s="13" t="s">
        <v>285</v>
      </c>
      <c r="AP24" s="39">
        <v>0</v>
      </c>
      <c r="AQ24" s="39">
        <v>0</v>
      </c>
      <c r="AR24" s="39">
        <v>0</v>
      </c>
      <c r="AS24" s="39">
        <v>0</v>
      </c>
      <c r="AT24" s="39">
        <v>158</v>
      </c>
      <c r="AU24" s="39">
        <v>133</v>
      </c>
      <c r="AV24" s="39">
        <v>323.26030000000003</v>
      </c>
      <c r="AW24" s="39">
        <v>690.26030000000003</v>
      </c>
      <c r="AX24" s="39">
        <v>482.40499999999997</v>
      </c>
      <c r="AY24" s="39">
        <v>63</v>
      </c>
      <c r="AZ24" s="39">
        <v>730</v>
      </c>
      <c r="BA24" s="39">
        <v>300</v>
      </c>
      <c r="BB24" s="39">
        <v>372.40499999999997</v>
      </c>
      <c r="BC24" s="39">
        <v>280</v>
      </c>
      <c r="BD24" s="13" t="s">
        <v>281</v>
      </c>
      <c r="BE24" s="39">
        <v>0</v>
      </c>
      <c r="BF24" s="39">
        <v>0</v>
      </c>
      <c r="BG24" s="39">
        <v>0</v>
      </c>
      <c r="BH24" s="39">
        <v>0</v>
      </c>
      <c r="BI24" s="39">
        <v>0</v>
      </c>
      <c r="BJ24" s="39">
        <v>0</v>
      </c>
      <c r="BK24" s="39">
        <v>120</v>
      </c>
      <c r="BL24" s="39">
        <v>210</v>
      </c>
      <c r="BM24" s="39">
        <v>210</v>
      </c>
      <c r="BN24" s="39">
        <v>205</v>
      </c>
      <c r="BO24" s="39">
        <v>105</v>
      </c>
      <c r="BP24" s="39">
        <v>105</v>
      </c>
      <c r="BQ24" s="39">
        <v>0</v>
      </c>
      <c r="BR24" s="39">
        <v>0</v>
      </c>
      <c r="BS24" s="13" t="s">
        <v>285</v>
      </c>
      <c r="BT24" s="39">
        <v>0</v>
      </c>
      <c r="BU24" s="39">
        <v>0</v>
      </c>
      <c r="BV24" s="39">
        <v>0</v>
      </c>
      <c r="BW24" s="39">
        <v>0</v>
      </c>
      <c r="BX24" s="39">
        <v>0</v>
      </c>
      <c r="BY24" s="39">
        <v>0</v>
      </c>
      <c r="BZ24" s="39">
        <v>0</v>
      </c>
      <c r="CA24" s="39">
        <v>0</v>
      </c>
      <c r="CB24" s="39">
        <v>0</v>
      </c>
      <c r="CC24" s="39">
        <v>300</v>
      </c>
      <c r="CD24" s="39">
        <v>600</v>
      </c>
      <c r="CE24" s="39">
        <v>600</v>
      </c>
      <c r="CF24" s="39">
        <v>300</v>
      </c>
      <c r="CG24" s="39">
        <v>0</v>
      </c>
      <c r="CH24" s="13" t="s">
        <v>281</v>
      </c>
      <c r="CI24" s="39">
        <v>0</v>
      </c>
      <c r="CJ24" s="39">
        <v>0</v>
      </c>
      <c r="CK24" s="39">
        <v>0</v>
      </c>
      <c r="CL24" s="39">
        <v>0</v>
      </c>
      <c r="CM24" s="39">
        <v>0</v>
      </c>
      <c r="CN24" s="39">
        <v>0</v>
      </c>
      <c r="CO24" s="39">
        <v>0</v>
      </c>
      <c r="CP24" s="39">
        <v>0</v>
      </c>
      <c r="CQ24" s="39">
        <v>0</v>
      </c>
      <c r="CR24" s="39">
        <v>320</v>
      </c>
      <c r="CS24" s="39">
        <v>105</v>
      </c>
      <c r="CT24" s="39">
        <v>640</v>
      </c>
      <c r="CU24" s="39">
        <v>440</v>
      </c>
      <c r="CV24" s="39">
        <v>830</v>
      </c>
    </row>
    <row r="25" spans="1:100" ht="15.5" thickTop="1" thickBot="1" x14ac:dyDescent="0.4">
      <c r="A25" s="25"/>
      <c r="B25" s="22">
        <v>2025</v>
      </c>
      <c r="C25" s="39"/>
      <c r="D25" s="39">
        <v>0</v>
      </c>
      <c r="E25" s="39">
        <v>0</v>
      </c>
      <c r="F25" s="39">
        <v>0</v>
      </c>
      <c r="G25" s="39">
        <v>0</v>
      </c>
      <c r="H25" s="39">
        <v>0</v>
      </c>
      <c r="I25" s="39">
        <v>0</v>
      </c>
      <c r="J25" s="39">
        <v>0</v>
      </c>
      <c r="K25" s="39">
        <v>0</v>
      </c>
      <c r="L25" s="39">
        <v>0</v>
      </c>
      <c r="M25" s="39">
        <v>0</v>
      </c>
      <c r="N25" s="39">
        <v>0</v>
      </c>
      <c r="O25" s="39">
        <v>0</v>
      </c>
      <c r="P25" s="39">
        <v>0</v>
      </c>
      <c r="Q25" s="39">
        <v>0</v>
      </c>
      <c r="R25" s="39">
        <v>0</v>
      </c>
      <c r="S25" s="39">
        <v>0</v>
      </c>
      <c r="T25" s="39">
        <v>0</v>
      </c>
      <c r="U25" s="39">
        <v>0</v>
      </c>
      <c r="V25" s="39">
        <v>0</v>
      </c>
      <c r="W25" s="39">
        <v>0</v>
      </c>
      <c r="X25" s="39"/>
      <c r="Y25" s="22"/>
      <c r="Z25" s="13" t="s">
        <v>82</v>
      </c>
      <c r="AA25" s="39">
        <v>0</v>
      </c>
      <c r="AB25" s="39">
        <v>2</v>
      </c>
      <c r="AC25" s="39">
        <v>10</v>
      </c>
      <c r="AD25" s="39">
        <v>6</v>
      </c>
      <c r="AE25" s="39">
        <v>6</v>
      </c>
      <c r="AF25" s="39">
        <v>4</v>
      </c>
      <c r="AG25" s="39">
        <v>4</v>
      </c>
      <c r="AH25" s="39">
        <v>0</v>
      </c>
      <c r="AI25" s="39">
        <v>2</v>
      </c>
      <c r="AJ25" s="39">
        <v>0</v>
      </c>
      <c r="AK25" s="39">
        <v>1</v>
      </c>
      <c r="AL25" s="39">
        <v>0</v>
      </c>
      <c r="AM25" s="39">
        <v>0</v>
      </c>
      <c r="AN25" s="39">
        <v>0</v>
      </c>
      <c r="AO25" s="13" t="s">
        <v>82</v>
      </c>
      <c r="AP25" s="39">
        <v>0</v>
      </c>
      <c r="AQ25" s="39">
        <v>0</v>
      </c>
      <c r="AR25" s="39">
        <v>0</v>
      </c>
      <c r="AS25" s="39">
        <v>0</v>
      </c>
      <c r="AT25" s="39">
        <v>0</v>
      </c>
      <c r="AU25" s="39">
        <v>0</v>
      </c>
      <c r="AV25" s="39">
        <v>3</v>
      </c>
      <c r="AW25" s="39">
        <v>0</v>
      </c>
      <c r="AX25" s="39">
        <v>3</v>
      </c>
      <c r="AY25" s="39">
        <v>1</v>
      </c>
      <c r="AZ25" s="39">
        <v>0</v>
      </c>
      <c r="BA25" s="39">
        <v>0</v>
      </c>
      <c r="BB25" s="39">
        <v>1</v>
      </c>
      <c r="BC25" s="39">
        <v>0</v>
      </c>
      <c r="BD25" s="13" t="s">
        <v>82</v>
      </c>
      <c r="BE25" s="39">
        <v>0</v>
      </c>
      <c r="BF25" s="39">
        <v>0</v>
      </c>
      <c r="BG25" s="39">
        <v>0</v>
      </c>
      <c r="BH25" s="39">
        <v>0</v>
      </c>
      <c r="BI25" s="39">
        <v>0</v>
      </c>
      <c r="BJ25" s="39">
        <v>0</v>
      </c>
      <c r="BK25" s="39">
        <v>0</v>
      </c>
      <c r="BL25" s="39">
        <v>0</v>
      </c>
      <c r="BM25" s="39">
        <v>0</v>
      </c>
      <c r="BN25" s="39">
        <v>0</v>
      </c>
      <c r="BO25" s="39">
        <v>0</v>
      </c>
      <c r="BP25" s="39">
        <v>0</v>
      </c>
      <c r="BQ25" s="39">
        <v>0</v>
      </c>
      <c r="BR25" s="39">
        <v>0</v>
      </c>
      <c r="BS25" s="13" t="s">
        <v>82</v>
      </c>
      <c r="BT25" s="39">
        <v>0</v>
      </c>
      <c r="BU25" s="39">
        <v>0</v>
      </c>
      <c r="BV25" s="39">
        <v>0</v>
      </c>
      <c r="BW25" s="39">
        <v>0</v>
      </c>
      <c r="BX25" s="39">
        <v>0</v>
      </c>
      <c r="BY25" s="39">
        <v>0</v>
      </c>
      <c r="BZ25" s="39">
        <v>0</v>
      </c>
      <c r="CA25" s="39">
        <v>0</v>
      </c>
      <c r="CB25" s="39">
        <v>0</v>
      </c>
      <c r="CC25" s="39">
        <v>0</v>
      </c>
      <c r="CD25" s="39">
        <v>0</v>
      </c>
      <c r="CE25" s="39">
        <v>0</v>
      </c>
      <c r="CF25" s="39">
        <v>0</v>
      </c>
      <c r="CG25" s="39">
        <v>0</v>
      </c>
      <c r="CH25" s="13" t="s">
        <v>82</v>
      </c>
      <c r="CI25" s="39">
        <v>0</v>
      </c>
      <c r="CJ25" s="39">
        <v>0</v>
      </c>
      <c r="CK25" s="39">
        <v>0</v>
      </c>
      <c r="CL25" s="39">
        <v>0</v>
      </c>
      <c r="CM25" s="39">
        <v>0</v>
      </c>
      <c r="CN25" s="39">
        <v>0</v>
      </c>
      <c r="CO25" s="39">
        <v>0</v>
      </c>
      <c r="CP25" s="39">
        <v>0</v>
      </c>
      <c r="CQ25" s="39">
        <v>0</v>
      </c>
      <c r="CR25" s="39">
        <v>0</v>
      </c>
      <c r="CS25" s="39">
        <v>0</v>
      </c>
      <c r="CT25" s="39">
        <v>0</v>
      </c>
      <c r="CU25" s="39">
        <v>0</v>
      </c>
      <c r="CV25" s="39">
        <v>0</v>
      </c>
    </row>
    <row r="26" spans="1:100" ht="15" thickTop="1" x14ac:dyDescent="0.35">
      <c r="A26" s="25"/>
      <c r="B26" s="22">
        <v>2026</v>
      </c>
      <c r="C26" s="39"/>
      <c r="D26" s="39">
        <v>1</v>
      </c>
      <c r="E26" s="39">
        <v>608</v>
      </c>
      <c r="F26" s="39">
        <v>50.666666666666664</v>
      </c>
      <c r="G26" s="39">
        <v>0</v>
      </c>
      <c r="H26" s="39">
        <v>0</v>
      </c>
      <c r="I26" s="39">
        <v>12</v>
      </c>
      <c r="J26" s="39">
        <v>27.4</v>
      </c>
      <c r="K26" s="39">
        <v>0</v>
      </c>
      <c r="L26" s="39">
        <v>50.666666666666664</v>
      </c>
      <c r="M26" s="39">
        <v>0</v>
      </c>
      <c r="N26" s="39">
        <v>0</v>
      </c>
      <c r="O26" s="39">
        <v>1</v>
      </c>
      <c r="P26" s="39">
        <v>1</v>
      </c>
      <c r="Q26" s="39">
        <v>2.1960000000000002</v>
      </c>
      <c r="R26" s="39">
        <v>111.26400000000001</v>
      </c>
      <c r="S26" s="39">
        <v>158</v>
      </c>
      <c r="T26" s="39">
        <v>1</v>
      </c>
      <c r="U26" s="39">
        <v>158</v>
      </c>
      <c r="V26" s="39">
        <v>0</v>
      </c>
      <c r="W26" s="39">
        <v>1</v>
      </c>
      <c r="X26" s="39"/>
      <c r="Y26" s="22"/>
      <c r="Z26" s="16" t="s">
        <v>83</v>
      </c>
      <c r="AA26" s="39">
        <v>0</v>
      </c>
      <c r="AB26" s="39">
        <v>0</v>
      </c>
      <c r="AC26" s="39">
        <v>0</v>
      </c>
      <c r="AD26" s="39">
        <v>0</v>
      </c>
      <c r="AE26" s="39">
        <v>0</v>
      </c>
      <c r="AF26" s="39">
        <v>0</v>
      </c>
      <c r="AG26" s="39">
        <v>0</v>
      </c>
      <c r="AH26" s="39">
        <v>0</v>
      </c>
      <c r="AI26" s="39">
        <v>1</v>
      </c>
      <c r="AJ26" s="39">
        <v>0</v>
      </c>
      <c r="AK26" s="39">
        <v>0</v>
      </c>
      <c r="AL26" s="39">
        <v>0</v>
      </c>
      <c r="AM26" s="39">
        <v>0</v>
      </c>
      <c r="AN26" s="39">
        <v>0</v>
      </c>
      <c r="AO26" s="16" t="s">
        <v>83</v>
      </c>
      <c r="AP26" s="39">
        <v>0</v>
      </c>
      <c r="AQ26" s="39">
        <v>0</v>
      </c>
      <c r="AR26" s="39">
        <v>0</v>
      </c>
      <c r="AS26" s="39">
        <v>0</v>
      </c>
      <c r="AT26" s="39">
        <v>1</v>
      </c>
      <c r="AU26" s="39">
        <v>1</v>
      </c>
      <c r="AV26" s="39">
        <v>1</v>
      </c>
      <c r="AW26" s="39">
        <v>5</v>
      </c>
      <c r="AX26" s="39">
        <v>2</v>
      </c>
      <c r="AY26" s="39">
        <v>0</v>
      </c>
      <c r="AZ26" s="39">
        <v>5</v>
      </c>
      <c r="BA26" s="39">
        <v>2</v>
      </c>
      <c r="BB26" s="39">
        <v>2</v>
      </c>
      <c r="BC26" s="39">
        <v>2</v>
      </c>
      <c r="BD26" s="16" t="s">
        <v>83</v>
      </c>
      <c r="BE26" s="39">
        <v>0</v>
      </c>
      <c r="BF26" s="39">
        <v>0</v>
      </c>
      <c r="BG26" s="39">
        <v>0</v>
      </c>
      <c r="BH26" s="39">
        <v>0</v>
      </c>
      <c r="BI26" s="39">
        <v>0</v>
      </c>
      <c r="BJ26" s="39">
        <v>0</v>
      </c>
      <c r="BK26" s="39">
        <v>1</v>
      </c>
      <c r="BL26" s="39">
        <v>2</v>
      </c>
      <c r="BM26" s="39">
        <v>2</v>
      </c>
      <c r="BN26" s="39">
        <v>2</v>
      </c>
      <c r="BO26" s="39">
        <v>1</v>
      </c>
      <c r="BP26" s="39">
        <v>1</v>
      </c>
      <c r="BQ26" s="39">
        <v>0</v>
      </c>
      <c r="BR26" s="39">
        <v>0</v>
      </c>
      <c r="BS26" s="16" t="s">
        <v>83</v>
      </c>
      <c r="BT26" s="39">
        <v>0</v>
      </c>
      <c r="BU26" s="39">
        <v>0</v>
      </c>
      <c r="BV26" s="39">
        <v>0</v>
      </c>
      <c r="BW26" s="39">
        <v>0</v>
      </c>
      <c r="BX26" s="39">
        <v>0</v>
      </c>
      <c r="BY26" s="39">
        <v>0</v>
      </c>
      <c r="BZ26" s="39">
        <v>0</v>
      </c>
      <c r="CA26" s="39">
        <v>0</v>
      </c>
      <c r="CB26" s="39">
        <v>0</v>
      </c>
      <c r="CC26" s="39">
        <v>2</v>
      </c>
      <c r="CD26" s="39">
        <v>4</v>
      </c>
      <c r="CE26" s="39">
        <v>4</v>
      </c>
      <c r="CF26" s="39">
        <v>2</v>
      </c>
      <c r="CG26" s="39">
        <v>0</v>
      </c>
      <c r="CH26" s="16" t="s">
        <v>83</v>
      </c>
      <c r="CI26" s="39">
        <v>0</v>
      </c>
      <c r="CJ26" s="39">
        <v>0</v>
      </c>
      <c r="CK26" s="39">
        <v>0</v>
      </c>
      <c r="CL26" s="39">
        <v>0</v>
      </c>
      <c r="CM26" s="39">
        <v>0</v>
      </c>
      <c r="CN26" s="39">
        <v>0</v>
      </c>
      <c r="CO26" s="39">
        <v>0</v>
      </c>
      <c r="CP26" s="39">
        <v>0</v>
      </c>
      <c r="CQ26" s="39">
        <v>0</v>
      </c>
      <c r="CR26" s="39">
        <v>3</v>
      </c>
      <c r="CS26" s="39">
        <v>1</v>
      </c>
      <c r="CT26" s="39">
        <v>6</v>
      </c>
      <c r="CU26" s="39">
        <v>4</v>
      </c>
      <c r="CV26" s="39">
        <v>8</v>
      </c>
    </row>
    <row r="27" spans="1:100" x14ac:dyDescent="0.35">
      <c r="A27" s="25"/>
      <c r="B27" s="22">
        <v>2027</v>
      </c>
      <c r="C27" s="39"/>
      <c r="D27" s="39">
        <v>1</v>
      </c>
      <c r="E27" s="39">
        <v>536</v>
      </c>
      <c r="F27" s="39">
        <v>0</v>
      </c>
      <c r="G27" s="39">
        <v>35.733333333333334</v>
      </c>
      <c r="H27" s="39">
        <v>0</v>
      </c>
      <c r="I27" s="39">
        <v>15</v>
      </c>
      <c r="J27" s="39">
        <v>50</v>
      </c>
      <c r="K27" s="39">
        <v>60</v>
      </c>
      <c r="L27" s="39">
        <v>25.013333333333332</v>
      </c>
      <c r="M27" s="39">
        <v>5.36</v>
      </c>
      <c r="N27" s="39">
        <v>5.36</v>
      </c>
      <c r="O27" s="39">
        <v>1</v>
      </c>
      <c r="P27" s="39">
        <v>1</v>
      </c>
      <c r="Q27" s="39">
        <v>2.1960000000000002</v>
      </c>
      <c r="R27" s="39">
        <v>78.470400000000012</v>
      </c>
      <c r="S27" s="39">
        <v>133</v>
      </c>
      <c r="T27" s="39">
        <v>1</v>
      </c>
      <c r="U27" s="39">
        <v>133</v>
      </c>
      <c r="V27" s="39">
        <v>0</v>
      </c>
      <c r="W27" s="39">
        <v>1</v>
      </c>
      <c r="X27" s="39"/>
      <c r="Y27" s="22"/>
    </row>
    <row r="28" spans="1:100" x14ac:dyDescent="0.35">
      <c r="A28" s="25"/>
      <c r="B28" s="22">
        <v>2028</v>
      </c>
      <c r="C28" s="39"/>
      <c r="D28" s="39">
        <v>4</v>
      </c>
      <c r="E28" s="39">
        <v>2888.9938385582327</v>
      </c>
      <c r="F28" s="39">
        <v>0</v>
      </c>
      <c r="G28" s="39">
        <v>192.59958923721553</v>
      </c>
      <c r="H28" s="39">
        <v>0</v>
      </c>
      <c r="I28" s="39">
        <v>15</v>
      </c>
      <c r="J28" s="39">
        <v>26.98076923076923</v>
      </c>
      <c r="K28" s="39">
        <v>39.980769230769226</v>
      </c>
      <c r="L28" s="39">
        <v>161.72933282695911</v>
      </c>
      <c r="M28" s="39">
        <v>5.2299999999999995</v>
      </c>
      <c r="N28" s="39">
        <v>5.2299999999999995</v>
      </c>
      <c r="O28" s="39">
        <v>4</v>
      </c>
      <c r="P28" s="39">
        <v>4</v>
      </c>
      <c r="Q28" s="39">
        <v>2.1960000000000002</v>
      </c>
      <c r="R28" s="39">
        <v>422.94869796492532</v>
      </c>
      <c r="S28" s="39">
        <v>323.26030000000003</v>
      </c>
      <c r="T28" s="39">
        <v>4</v>
      </c>
      <c r="U28" s="39">
        <v>323.26030000000003</v>
      </c>
      <c r="V28" s="39">
        <v>3</v>
      </c>
      <c r="W28" s="39">
        <v>1</v>
      </c>
      <c r="X28" s="39"/>
      <c r="Y28" s="22"/>
    </row>
    <row r="29" spans="1:100" x14ac:dyDescent="0.35">
      <c r="A29" s="25"/>
      <c r="B29" s="22">
        <v>2029</v>
      </c>
      <c r="C29" s="39"/>
      <c r="D29" s="39">
        <v>3</v>
      </c>
      <c r="E29" s="39">
        <v>2294</v>
      </c>
      <c r="F29" s="39">
        <v>0</v>
      </c>
      <c r="G29" s="39">
        <v>152.93333333333334</v>
      </c>
      <c r="H29" s="39">
        <v>0</v>
      </c>
      <c r="I29" s="39">
        <v>15</v>
      </c>
      <c r="J29" s="39">
        <v>29.615384615384613</v>
      </c>
      <c r="K29" s="39">
        <v>38.948717948717949</v>
      </c>
      <c r="L29" s="39">
        <v>150.25333333333333</v>
      </c>
      <c r="M29" s="39">
        <v>10.24</v>
      </c>
      <c r="N29" s="39">
        <v>10.24</v>
      </c>
      <c r="O29" s="39">
        <v>5</v>
      </c>
      <c r="P29" s="39">
        <v>5</v>
      </c>
      <c r="Q29" s="39">
        <v>2.1960000000000002</v>
      </c>
      <c r="R29" s="39">
        <v>335.84160000000003</v>
      </c>
      <c r="S29" s="39">
        <v>402.26030000000003</v>
      </c>
      <c r="T29" s="39">
        <v>5</v>
      </c>
      <c r="U29" s="39">
        <v>690.26030000000003</v>
      </c>
      <c r="V29" s="39">
        <v>0</v>
      </c>
      <c r="W29" s="39">
        <v>5</v>
      </c>
      <c r="X29" s="39"/>
      <c r="Y29" s="22"/>
      <c r="BC29" s="15"/>
      <c r="BD29"/>
    </row>
    <row r="30" spans="1:100" x14ac:dyDescent="0.35">
      <c r="A30" s="25"/>
      <c r="B30" s="22">
        <v>2030</v>
      </c>
      <c r="C30" s="39"/>
      <c r="D30" s="39">
        <v>4</v>
      </c>
      <c r="E30" s="39">
        <v>2931.937690175424</v>
      </c>
      <c r="F30" s="39">
        <v>0</v>
      </c>
      <c r="G30" s="39">
        <v>195.46251267836158</v>
      </c>
      <c r="H30" s="39">
        <v>0</v>
      </c>
      <c r="I30" s="39">
        <v>15</v>
      </c>
      <c r="J30" s="39">
        <v>34.5</v>
      </c>
      <c r="K30" s="39">
        <v>48.75</v>
      </c>
      <c r="L30" s="39">
        <v>154.68917934502824</v>
      </c>
      <c r="M30" s="39">
        <v>9.7199999999999989</v>
      </c>
      <c r="N30" s="39">
        <v>9.7199999999999989</v>
      </c>
      <c r="O30" s="39">
        <v>5</v>
      </c>
      <c r="P30" s="39">
        <v>5</v>
      </c>
      <c r="Q30" s="39">
        <v>2.1960000000000002</v>
      </c>
      <c r="R30" s="39">
        <v>429.2356778416821</v>
      </c>
      <c r="S30" s="39">
        <v>352.40499999999997</v>
      </c>
      <c r="T30" s="39">
        <v>5</v>
      </c>
      <c r="U30" s="39">
        <v>482.40499999999997</v>
      </c>
      <c r="V30" s="39">
        <v>3</v>
      </c>
      <c r="W30" s="39">
        <v>2</v>
      </c>
      <c r="X30" s="39"/>
      <c r="Y30" s="22"/>
      <c r="BC30" s="15"/>
      <c r="BD30"/>
    </row>
    <row r="31" spans="1:100" x14ac:dyDescent="0.35">
      <c r="A31" s="25"/>
      <c r="B31" s="22">
        <v>2031</v>
      </c>
      <c r="C31" s="39"/>
      <c r="D31" s="39">
        <v>2</v>
      </c>
      <c r="E31" s="39">
        <v>1502.1378789618996</v>
      </c>
      <c r="F31" s="39">
        <v>0</v>
      </c>
      <c r="G31" s="39">
        <v>0</v>
      </c>
      <c r="H31" s="39">
        <v>83.452104386772191</v>
      </c>
      <c r="I31" s="39">
        <v>18</v>
      </c>
      <c r="J31" s="39">
        <v>26</v>
      </c>
      <c r="K31" s="39">
        <v>26</v>
      </c>
      <c r="L31" s="39">
        <v>38.886145644612462</v>
      </c>
      <c r="M31" s="39">
        <v>0</v>
      </c>
      <c r="N31" s="39">
        <v>0</v>
      </c>
      <c r="O31" s="39">
        <v>1</v>
      </c>
      <c r="P31" s="39">
        <v>1</v>
      </c>
      <c r="Q31" s="39">
        <v>2.1960000000000002</v>
      </c>
      <c r="R31" s="39">
        <v>85.39397583556898</v>
      </c>
      <c r="S31" s="39">
        <v>63</v>
      </c>
      <c r="T31" s="39">
        <v>1</v>
      </c>
      <c r="U31" s="39">
        <v>63</v>
      </c>
      <c r="V31" s="39">
        <v>1</v>
      </c>
      <c r="W31" s="39">
        <v>0</v>
      </c>
      <c r="X31" s="39"/>
      <c r="Y31" s="22"/>
      <c r="Z31" s="38" t="s">
        <v>287</v>
      </c>
      <c r="AA31" s="22">
        <v>2022</v>
      </c>
      <c r="AB31" s="22">
        <v>2023</v>
      </c>
      <c r="AC31" s="22">
        <v>2024</v>
      </c>
      <c r="AD31" s="22">
        <v>2025</v>
      </c>
      <c r="AE31" s="22">
        <v>2026</v>
      </c>
      <c r="AF31" s="22">
        <v>2027</v>
      </c>
      <c r="AG31" s="22">
        <v>2028</v>
      </c>
      <c r="AH31" s="22">
        <v>2029</v>
      </c>
      <c r="AI31" s="22">
        <v>2030</v>
      </c>
      <c r="AJ31" s="22">
        <v>2031</v>
      </c>
      <c r="AK31" s="22">
        <v>2032</v>
      </c>
      <c r="AL31" s="22">
        <v>2033</v>
      </c>
      <c r="AM31" s="22">
        <v>2034</v>
      </c>
      <c r="AN31" s="22">
        <v>2035</v>
      </c>
      <c r="AO31" s="147" t="s">
        <v>93</v>
      </c>
      <c r="AP31" s="86">
        <v>0</v>
      </c>
      <c r="AQ31" s="86">
        <v>42.769230769230774</v>
      </c>
      <c r="AR31" s="86">
        <v>261.79487179487182</v>
      </c>
      <c r="AS31" s="86">
        <v>187.5128205128205</v>
      </c>
      <c r="AT31" s="86">
        <v>60.666666666666664</v>
      </c>
      <c r="AU31" s="86">
        <v>0</v>
      </c>
      <c r="AV31" s="86">
        <v>0</v>
      </c>
      <c r="AW31" s="86">
        <v>0</v>
      </c>
      <c r="AX31" s="86">
        <v>0</v>
      </c>
      <c r="AY31" s="86">
        <v>0</v>
      </c>
      <c r="AZ31" s="86">
        <v>0</v>
      </c>
      <c r="BA31" s="86">
        <v>0</v>
      </c>
      <c r="BB31" s="86">
        <v>0</v>
      </c>
      <c r="BC31" s="86">
        <v>0</v>
      </c>
    </row>
    <row r="32" spans="1:100" ht="15" thickBot="1" x14ac:dyDescent="0.4">
      <c r="A32" s="25"/>
      <c r="B32" s="22">
        <v>2032</v>
      </c>
      <c r="C32" s="39"/>
      <c r="D32" s="39">
        <v>2</v>
      </c>
      <c r="E32" s="39">
        <v>2652.2678290787071</v>
      </c>
      <c r="F32" s="39">
        <v>0</v>
      </c>
      <c r="G32" s="39">
        <v>0</v>
      </c>
      <c r="H32" s="39">
        <v>147.34821272659485</v>
      </c>
      <c r="I32" s="39">
        <v>18</v>
      </c>
      <c r="J32" s="39">
        <v>25.5</v>
      </c>
      <c r="K32" s="39">
        <v>38.5</v>
      </c>
      <c r="L32" s="39">
        <v>103.14374890861639</v>
      </c>
      <c r="M32" s="39">
        <v>22.102231908989225</v>
      </c>
      <c r="N32" s="39">
        <v>22.102231908989225</v>
      </c>
      <c r="O32" s="39">
        <v>5</v>
      </c>
      <c r="P32" s="39">
        <v>5</v>
      </c>
      <c r="Q32" s="39">
        <v>2.1960000000000002</v>
      </c>
      <c r="R32" s="39">
        <v>323.57667514760232</v>
      </c>
      <c r="S32" s="39">
        <v>290</v>
      </c>
      <c r="T32" s="39">
        <v>5</v>
      </c>
      <c r="U32" s="39">
        <v>730</v>
      </c>
      <c r="V32" s="39">
        <v>0</v>
      </c>
      <c r="W32" s="39">
        <v>5</v>
      </c>
      <c r="X32" s="39"/>
      <c r="Y32" s="22"/>
      <c r="Z32" s="146" t="s">
        <v>92</v>
      </c>
      <c r="AA32" s="39">
        <v>0</v>
      </c>
      <c r="AB32" s="39">
        <v>55200</v>
      </c>
      <c r="AC32" s="39">
        <v>508588.66666666663</v>
      </c>
      <c r="AD32" s="39">
        <v>310477.66666666663</v>
      </c>
      <c r="AE32" s="39">
        <v>186336.66666666666</v>
      </c>
      <c r="AF32" s="39">
        <v>224046.5</v>
      </c>
      <c r="AG32" s="39">
        <v>314249</v>
      </c>
      <c r="AH32" s="39">
        <v>0</v>
      </c>
      <c r="AI32" s="39">
        <v>159694</v>
      </c>
      <c r="AJ32" s="39">
        <v>0</v>
      </c>
      <c r="AK32" s="39">
        <v>93761.5</v>
      </c>
      <c r="AL32" s="39">
        <v>0</v>
      </c>
      <c r="AM32" s="39">
        <v>0</v>
      </c>
      <c r="AN32" s="39">
        <v>0</v>
      </c>
      <c r="AO32" s="148" t="s">
        <v>94</v>
      </c>
      <c r="AP32" s="86">
        <v>0</v>
      </c>
      <c r="AQ32" s="86">
        <v>0</v>
      </c>
      <c r="AR32" s="86">
        <v>76.52100840336135</v>
      </c>
      <c r="AS32" s="86">
        <v>102.33333333333334</v>
      </c>
      <c r="AT32" s="86">
        <v>183.06666666666666</v>
      </c>
      <c r="AU32" s="86">
        <v>193.64</v>
      </c>
      <c r="AV32" s="86">
        <v>408.41126999157984</v>
      </c>
      <c r="AW32" s="86">
        <v>219.61275259631313</v>
      </c>
      <c r="AX32" s="86">
        <v>381.94193194134141</v>
      </c>
      <c r="AY32" s="86">
        <v>0</v>
      </c>
      <c r="AZ32" s="86">
        <v>0</v>
      </c>
      <c r="BA32" s="86">
        <v>0</v>
      </c>
      <c r="BB32" s="86">
        <v>0</v>
      </c>
      <c r="BC32" s="86">
        <v>0</v>
      </c>
    </row>
    <row r="33" spans="1:55" ht="15.5" thickTop="1" thickBot="1" x14ac:dyDescent="0.4">
      <c r="A33" s="25"/>
      <c r="B33" s="22">
        <v>2033</v>
      </c>
      <c r="C33" s="39"/>
      <c r="D33" s="39">
        <v>1</v>
      </c>
      <c r="E33" s="39">
        <v>1067</v>
      </c>
      <c r="F33" s="39">
        <v>0</v>
      </c>
      <c r="G33" s="39">
        <v>0</v>
      </c>
      <c r="H33" s="39">
        <v>59.277777777777779</v>
      </c>
      <c r="I33" s="39">
        <v>18</v>
      </c>
      <c r="J33" s="39">
        <v>38</v>
      </c>
      <c r="K33" s="39">
        <v>50</v>
      </c>
      <c r="L33" s="39">
        <v>41.49444444444444</v>
      </c>
      <c r="M33" s="39">
        <v>8.8916666666666657</v>
      </c>
      <c r="N33" s="39">
        <v>8.8916666666666657</v>
      </c>
      <c r="O33" s="39">
        <v>2</v>
      </c>
      <c r="P33" s="39">
        <v>2</v>
      </c>
      <c r="Q33" s="39">
        <v>2.1960000000000002</v>
      </c>
      <c r="R33" s="39">
        <v>130.17400000000001</v>
      </c>
      <c r="S33" s="39">
        <v>150</v>
      </c>
      <c r="T33" s="39">
        <v>2</v>
      </c>
      <c r="U33" s="39">
        <v>300</v>
      </c>
      <c r="V33" s="39">
        <v>0</v>
      </c>
      <c r="W33" s="39">
        <v>2</v>
      </c>
      <c r="X33" s="39"/>
      <c r="Y33" s="22"/>
      <c r="Z33" s="13" t="s">
        <v>84</v>
      </c>
      <c r="AA33" s="39">
        <v>0</v>
      </c>
      <c r="AB33" s="39">
        <v>2</v>
      </c>
      <c r="AC33" s="39">
        <v>6</v>
      </c>
      <c r="AD33" s="39">
        <v>5</v>
      </c>
      <c r="AE33" s="39">
        <v>6</v>
      </c>
      <c r="AF33" s="39">
        <v>3</v>
      </c>
      <c r="AG33" s="39">
        <v>8</v>
      </c>
      <c r="AH33" s="39">
        <v>8</v>
      </c>
      <c r="AI33" s="39">
        <v>8</v>
      </c>
      <c r="AJ33" s="39">
        <v>8</v>
      </c>
      <c r="AK33" s="39">
        <v>8</v>
      </c>
      <c r="AL33" s="39">
        <v>8</v>
      </c>
      <c r="AM33" s="39">
        <v>8</v>
      </c>
      <c r="AN33" s="39">
        <v>8</v>
      </c>
      <c r="AO33" s="149" t="s">
        <v>95</v>
      </c>
      <c r="AP33" s="86">
        <v>0</v>
      </c>
      <c r="AQ33" s="86">
        <v>0</v>
      </c>
      <c r="AR33" s="86">
        <v>0</v>
      </c>
      <c r="AS33" s="86">
        <v>0</v>
      </c>
      <c r="AT33" s="86">
        <v>0</v>
      </c>
      <c r="AU33" s="86">
        <v>0</v>
      </c>
      <c r="AV33" s="86">
        <v>0</v>
      </c>
      <c r="AW33" s="86">
        <v>0</v>
      </c>
      <c r="AX33" s="86">
        <v>0</v>
      </c>
      <c r="AY33" s="86">
        <v>319.20644440645248</v>
      </c>
      <c r="AZ33" s="86">
        <v>356.16679763270048</v>
      </c>
      <c r="BA33" s="86">
        <v>398.16021983415686</v>
      </c>
      <c r="BB33" s="86">
        <v>274.52731225842081</v>
      </c>
      <c r="BC33" s="86">
        <v>301.33333333333331</v>
      </c>
    </row>
    <row r="34" spans="1:55" ht="15" thickTop="1" x14ac:dyDescent="0.35">
      <c r="A34" s="25"/>
      <c r="B34" s="22">
        <v>2034</v>
      </c>
      <c r="C34" s="39"/>
      <c r="D34" s="39">
        <v>2</v>
      </c>
      <c r="E34" s="39">
        <v>1441.4916206515738</v>
      </c>
      <c r="F34" s="39">
        <v>0</v>
      </c>
      <c r="G34" s="39">
        <v>0</v>
      </c>
      <c r="H34" s="39">
        <v>80.082867813976321</v>
      </c>
      <c r="I34" s="39">
        <v>18</v>
      </c>
      <c r="J34" s="39">
        <v>38</v>
      </c>
      <c r="K34" s="39">
        <v>52.5</v>
      </c>
      <c r="L34" s="39">
        <v>62.732867813976327</v>
      </c>
      <c r="M34" s="39">
        <v>8.6750000000000007</v>
      </c>
      <c r="N34" s="39">
        <v>8.6750000000000007</v>
      </c>
      <c r="O34" s="39">
        <v>3</v>
      </c>
      <c r="P34" s="39">
        <v>3</v>
      </c>
      <c r="Q34" s="39">
        <v>2.1960000000000002</v>
      </c>
      <c r="R34" s="39">
        <v>175.86197771949202</v>
      </c>
      <c r="S34" s="39">
        <v>222.405</v>
      </c>
      <c r="T34" s="39">
        <v>3</v>
      </c>
      <c r="U34" s="39">
        <v>372.40499999999997</v>
      </c>
      <c r="V34" s="39">
        <v>1</v>
      </c>
      <c r="W34" s="39">
        <v>2</v>
      </c>
      <c r="X34" s="39"/>
      <c r="Y34" s="22"/>
      <c r="Z34" s="147" t="s">
        <v>86</v>
      </c>
      <c r="AA34" s="39">
        <v>0</v>
      </c>
      <c r="AB34" s="39">
        <v>532</v>
      </c>
      <c r="AC34" s="39">
        <v>4304</v>
      </c>
      <c r="AD34" s="39">
        <v>3802</v>
      </c>
      <c r="AE34" s="39">
        <v>3429</v>
      </c>
      <c r="AF34" s="39">
        <v>2904.6</v>
      </c>
      <c r="AG34" s="39">
        <v>6126.169049873698</v>
      </c>
      <c r="AH34" s="39">
        <v>6626.169049873698</v>
      </c>
      <c r="AI34" s="39">
        <v>6626.169049873698</v>
      </c>
      <c r="AJ34" s="39">
        <v>6626.169049873698</v>
      </c>
      <c r="AK34" s="39">
        <v>6626.169049873698</v>
      </c>
      <c r="AL34" s="39">
        <v>6626.169049873698</v>
      </c>
      <c r="AM34" s="39">
        <v>6626.169049873698</v>
      </c>
      <c r="AN34" s="39">
        <v>6626.169049873698</v>
      </c>
    </row>
    <row r="35" spans="1:55" x14ac:dyDescent="0.35">
      <c r="A35" s="25"/>
      <c r="B35" s="22">
        <v>2035</v>
      </c>
      <c r="C35" s="39"/>
      <c r="D35" s="39">
        <v>1</v>
      </c>
      <c r="E35" s="39">
        <v>924</v>
      </c>
      <c r="F35" s="39">
        <v>0</v>
      </c>
      <c r="G35" s="39">
        <v>0</v>
      </c>
      <c r="H35" s="39">
        <v>51.333333333333336</v>
      </c>
      <c r="I35" s="39">
        <v>18</v>
      </c>
      <c r="J35" s="39">
        <v>31</v>
      </c>
      <c r="K35" s="39">
        <v>43</v>
      </c>
      <c r="L35" s="39">
        <v>35.93333333333333</v>
      </c>
      <c r="M35" s="39">
        <v>7.7</v>
      </c>
      <c r="N35" s="39">
        <v>7.7</v>
      </c>
      <c r="O35" s="39">
        <v>2</v>
      </c>
      <c r="P35" s="39">
        <v>2</v>
      </c>
      <c r="Q35" s="39">
        <v>2.1960000000000002</v>
      </c>
      <c r="R35" s="39">
        <v>112.72800000000001</v>
      </c>
      <c r="S35" s="39">
        <v>140</v>
      </c>
      <c r="T35" s="39">
        <v>2</v>
      </c>
      <c r="U35" s="39">
        <v>280</v>
      </c>
      <c r="V35" s="39">
        <v>0</v>
      </c>
      <c r="W35" s="39">
        <v>2</v>
      </c>
      <c r="X35" s="39"/>
      <c r="Y35" s="22"/>
      <c r="Z35" s="147" t="s">
        <v>93</v>
      </c>
      <c r="AA35" s="39">
        <v>0</v>
      </c>
      <c r="AB35" s="39">
        <v>42.769230769230774</v>
      </c>
      <c r="AC35" s="39">
        <v>261.79487179487182</v>
      </c>
      <c r="AD35" s="39">
        <v>187.5128205128205</v>
      </c>
      <c r="AE35" s="39">
        <v>60.666666666666664</v>
      </c>
      <c r="AF35" s="39">
        <v>0</v>
      </c>
      <c r="AG35" s="39">
        <v>0</v>
      </c>
      <c r="AH35" s="39">
        <v>0</v>
      </c>
      <c r="AI35" s="39">
        <v>0</v>
      </c>
      <c r="AJ35" s="39">
        <v>0</v>
      </c>
      <c r="AK35" s="39">
        <v>0</v>
      </c>
      <c r="AL35" s="39">
        <v>0</v>
      </c>
      <c r="AM35" s="39">
        <v>0</v>
      </c>
      <c r="AN35" s="39">
        <v>0</v>
      </c>
    </row>
    <row r="36" spans="1:55" ht="15" thickBot="1" x14ac:dyDescent="0.4">
      <c r="A36" s="25"/>
      <c r="B36" s="27" t="s">
        <v>251</v>
      </c>
      <c r="C36" s="39"/>
      <c r="D36" s="39"/>
      <c r="E36" s="39"/>
      <c r="F36" s="39"/>
      <c r="G36" s="39"/>
      <c r="H36" s="39"/>
      <c r="I36" s="39"/>
      <c r="J36" s="39"/>
      <c r="K36" s="39"/>
      <c r="L36" s="39"/>
      <c r="M36" s="39"/>
      <c r="N36" s="39"/>
      <c r="O36" s="39"/>
      <c r="P36" s="39"/>
      <c r="Q36" s="39"/>
      <c r="R36" s="39"/>
      <c r="S36" s="39"/>
      <c r="T36" s="39"/>
      <c r="U36" s="39"/>
      <c r="V36" s="39"/>
      <c r="W36" s="39"/>
      <c r="X36" s="39"/>
      <c r="Z36" s="148" t="s">
        <v>94</v>
      </c>
      <c r="AA36" s="39">
        <v>0</v>
      </c>
      <c r="AB36" s="39">
        <v>0</v>
      </c>
      <c r="AC36" s="39">
        <v>76.52100840336135</v>
      </c>
      <c r="AD36" s="39">
        <v>102.33333333333334</v>
      </c>
      <c r="AE36" s="39">
        <v>183.06666666666666</v>
      </c>
      <c r="AF36" s="39">
        <v>193.64</v>
      </c>
      <c r="AG36" s="39">
        <v>408.41126999157984</v>
      </c>
      <c r="AH36" s="39">
        <v>441.74460332491321</v>
      </c>
      <c r="AI36" s="39">
        <v>441.74460332491321</v>
      </c>
      <c r="AJ36" s="39">
        <v>0</v>
      </c>
      <c r="AK36" s="39">
        <v>0</v>
      </c>
      <c r="AL36" s="39">
        <v>0</v>
      </c>
      <c r="AM36" s="39">
        <v>0</v>
      </c>
      <c r="AN36" s="39">
        <v>0</v>
      </c>
    </row>
    <row r="37" spans="1:55" ht="15.5" thickTop="1" thickBot="1" x14ac:dyDescent="0.4">
      <c r="A37" s="25"/>
      <c r="B37" s="22">
        <v>2022</v>
      </c>
      <c r="C37" s="39"/>
      <c r="D37" s="39">
        <v>0</v>
      </c>
      <c r="E37" s="39">
        <v>0</v>
      </c>
      <c r="F37" s="39">
        <v>0</v>
      </c>
      <c r="G37" s="39">
        <v>0</v>
      </c>
      <c r="H37" s="39">
        <v>0</v>
      </c>
      <c r="I37" s="39">
        <v>0</v>
      </c>
      <c r="J37" s="39">
        <v>0</v>
      </c>
      <c r="K37" s="39">
        <v>0</v>
      </c>
      <c r="L37" s="39">
        <v>0</v>
      </c>
      <c r="M37" s="39">
        <v>0</v>
      </c>
      <c r="N37" s="39">
        <v>0</v>
      </c>
      <c r="O37" s="39">
        <v>0</v>
      </c>
      <c r="P37" s="39">
        <v>0</v>
      </c>
      <c r="Q37" s="39">
        <v>0</v>
      </c>
      <c r="R37" s="39">
        <v>0</v>
      </c>
      <c r="S37" s="39">
        <v>0</v>
      </c>
      <c r="T37" s="39">
        <v>0</v>
      </c>
      <c r="U37" s="39">
        <v>0</v>
      </c>
      <c r="V37" s="39">
        <v>0</v>
      </c>
      <c r="W37" s="39">
        <v>0</v>
      </c>
      <c r="X37" s="39"/>
      <c r="Z37" s="149" t="s">
        <v>95</v>
      </c>
      <c r="AA37" s="39">
        <v>0</v>
      </c>
      <c r="AB37" s="39">
        <v>0</v>
      </c>
      <c r="AC37" s="39">
        <v>0</v>
      </c>
      <c r="AD37" s="39">
        <v>0</v>
      </c>
      <c r="AE37" s="39">
        <v>0</v>
      </c>
      <c r="AF37" s="39">
        <v>0</v>
      </c>
      <c r="AG37" s="39">
        <v>0</v>
      </c>
      <c r="AH37" s="39">
        <v>0</v>
      </c>
      <c r="AI37" s="39">
        <v>0</v>
      </c>
      <c r="AJ37" s="39">
        <v>368.12050277076099</v>
      </c>
      <c r="AK37" s="39">
        <v>368.12050277076099</v>
      </c>
      <c r="AL37" s="39">
        <v>368.12050277076099</v>
      </c>
      <c r="AM37" s="39">
        <v>368.12050277076099</v>
      </c>
      <c r="AN37" s="39">
        <v>368.12050277076099</v>
      </c>
    </row>
    <row r="38" spans="1:55" ht="15.5" thickTop="1" thickBot="1" x14ac:dyDescent="0.4">
      <c r="A38" s="25"/>
      <c r="B38" s="22">
        <v>2023</v>
      </c>
      <c r="C38" s="39"/>
      <c r="D38" s="39">
        <v>0</v>
      </c>
      <c r="E38" s="39">
        <v>0</v>
      </c>
      <c r="F38" s="39">
        <v>0</v>
      </c>
      <c r="G38" s="39">
        <v>0</v>
      </c>
      <c r="H38" s="39">
        <v>0</v>
      </c>
      <c r="I38" s="39">
        <v>0</v>
      </c>
      <c r="J38" s="39">
        <v>0</v>
      </c>
      <c r="K38" s="39">
        <v>0</v>
      </c>
      <c r="L38" s="39">
        <v>0</v>
      </c>
      <c r="M38" s="39">
        <v>0</v>
      </c>
      <c r="N38" s="39">
        <v>0</v>
      </c>
      <c r="O38" s="39">
        <v>0</v>
      </c>
      <c r="P38" s="39">
        <v>0</v>
      </c>
      <c r="Q38" s="39">
        <v>0</v>
      </c>
      <c r="R38" s="39">
        <v>0</v>
      </c>
      <c r="S38" s="39">
        <v>0</v>
      </c>
      <c r="T38" s="39">
        <v>0</v>
      </c>
      <c r="U38" s="39">
        <v>0</v>
      </c>
      <c r="V38" s="39">
        <v>0</v>
      </c>
      <c r="W38" s="39">
        <v>0</v>
      </c>
      <c r="X38" s="39"/>
      <c r="Z38" s="149" t="s">
        <v>87</v>
      </c>
      <c r="AA38" s="39">
        <v>0</v>
      </c>
      <c r="AB38" s="39">
        <v>12.438848920863308</v>
      </c>
      <c r="AC38" s="39">
        <v>12.933333333333332</v>
      </c>
      <c r="AD38" s="39">
        <v>13.2</v>
      </c>
      <c r="AE38" s="39">
        <v>14.2</v>
      </c>
      <c r="AF38" s="39">
        <v>15</v>
      </c>
      <c r="AG38" s="39">
        <v>15</v>
      </c>
      <c r="AH38" s="39">
        <v>15</v>
      </c>
      <c r="AI38" s="39">
        <v>15</v>
      </c>
      <c r="AJ38" s="39">
        <v>18</v>
      </c>
      <c r="AK38" s="39">
        <v>18</v>
      </c>
      <c r="AL38" s="39">
        <v>18</v>
      </c>
      <c r="AM38" s="39">
        <v>18</v>
      </c>
      <c r="AN38" s="39">
        <v>18</v>
      </c>
    </row>
    <row r="39" spans="1:55" ht="15.5" thickTop="1" thickBot="1" x14ac:dyDescent="0.4">
      <c r="A39" s="25"/>
      <c r="B39" s="22">
        <v>2024</v>
      </c>
      <c r="C39" s="39"/>
      <c r="D39" s="39">
        <v>0</v>
      </c>
      <c r="E39" s="39">
        <v>0</v>
      </c>
      <c r="F39" s="39">
        <v>0</v>
      </c>
      <c r="G39" s="39">
        <v>0</v>
      </c>
      <c r="H39" s="39">
        <v>0</v>
      </c>
      <c r="I39" s="39">
        <v>0</v>
      </c>
      <c r="J39" s="39">
        <v>0</v>
      </c>
      <c r="K39" s="39">
        <v>0</v>
      </c>
      <c r="L39" s="39">
        <v>0</v>
      </c>
      <c r="M39" s="39">
        <v>0</v>
      </c>
      <c r="N39" s="39">
        <v>0</v>
      </c>
      <c r="O39" s="39">
        <v>0</v>
      </c>
      <c r="P39" s="39">
        <v>0</v>
      </c>
      <c r="Q39" s="39">
        <v>0</v>
      </c>
      <c r="R39" s="39">
        <v>0</v>
      </c>
      <c r="S39" s="39">
        <v>0</v>
      </c>
      <c r="T39" s="39">
        <v>0</v>
      </c>
      <c r="U39" s="39">
        <v>0</v>
      </c>
      <c r="V39" s="39">
        <v>0</v>
      </c>
      <c r="W39" s="39">
        <v>0</v>
      </c>
      <c r="X39" s="39"/>
      <c r="Z39" s="150" t="s">
        <v>98</v>
      </c>
      <c r="AA39" s="39"/>
      <c r="AB39" s="39"/>
      <c r="AC39" s="39"/>
      <c r="AD39" s="39"/>
      <c r="AE39" s="39"/>
      <c r="AF39" s="39"/>
      <c r="AG39" s="39"/>
      <c r="AH39" s="39"/>
      <c r="AI39" s="39"/>
      <c r="AJ39" s="39"/>
      <c r="AK39" s="39"/>
      <c r="AL39" s="39"/>
      <c r="AM39" s="39"/>
      <c r="AN39" s="39"/>
    </row>
    <row r="40" spans="1:55" ht="15.5" thickTop="1" thickBot="1" x14ac:dyDescent="0.4">
      <c r="A40" s="25"/>
      <c r="B40" s="22">
        <v>2025</v>
      </c>
      <c r="C40" s="39"/>
      <c r="D40" s="39">
        <v>0</v>
      </c>
      <c r="E40" s="39">
        <v>0</v>
      </c>
      <c r="F40" s="39">
        <v>0</v>
      </c>
      <c r="G40" s="39">
        <v>0</v>
      </c>
      <c r="H40" s="39">
        <v>0</v>
      </c>
      <c r="I40" s="39">
        <v>0</v>
      </c>
      <c r="J40" s="39">
        <v>0</v>
      </c>
      <c r="K40" s="39">
        <v>0</v>
      </c>
      <c r="L40" s="39">
        <v>0</v>
      </c>
      <c r="M40" s="39">
        <v>0</v>
      </c>
      <c r="N40" s="39">
        <v>0</v>
      </c>
      <c r="O40" s="39">
        <v>0</v>
      </c>
      <c r="P40" s="39">
        <v>0</v>
      </c>
      <c r="Q40" s="39">
        <v>0</v>
      </c>
      <c r="R40" s="39">
        <v>0</v>
      </c>
      <c r="S40" s="39">
        <v>0</v>
      </c>
      <c r="T40" s="39">
        <v>0</v>
      </c>
      <c r="U40" s="39">
        <v>0</v>
      </c>
      <c r="V40" s="39">
        <v>0</v>
      </c>
      <c r="W40" s="39">
        <v>0</v>
      </c>
      <c r="X40" s="39"/>
      <c r="Z40" s="149" t="s">
        <v>99</v>
      </c>
      <c r="AA40" s="39"/>
      <c r="AB40" s="39"/>
      <c r="AC40" s="39"/>
      <c r="AD40" s="39"/>
      <c r="AE40" s="39"/>
      <c r="AF40" s="39"/>
      <c r="AG40" s="39"/>
      <c r="AH40" s="39"/>
      <c r="AI40" s="39"/>
      <c r="AJ40" s="39"/>
      <c r="AK40" s="39"/>
      <c r="AL40" s="39"/>
      <c r="AM40" s="39"/>
      <c r="AN40" s="39"/>
    </row>
    <row r="41" spans="1:55" ht="15.5" thickTop="1" thickBot="1" x14ac:dyDescent="0.4">
      <c r="A41" s="25"/>
      <c r="B41" s="22"/>
      <c r="C41" s="39"/>
      <c r="D41" s="39"/>
      <c r="E41" s="39"/>
      <c r="F41" s="39"/>
      <c r="G41" s="39"/>
      <c r="H41" s="39"/>
      <c r="I41" s="39"/>
      <c r="J41" s="39"/>
      <c r="K41" s="39"/>
      <c r="L41" s="39"/>
      <c r="M41" s="39"/>
      <c r="N41" s="39"/>
      <c r="O41" s="39"/>
      <c r="P41" s="39"/>
      <c r="Q41" s="39"/>
      <c r="R41" s="39"/>
      <c r="S41" s="39"/>
      <c r="T41" s="39"/>
      <c r="U41" s="39"/>
      <c r="V41" s="39"/>
      <c r="W41" s="39"/>
      <c r="X41" s="39"/>
      <c r="Z41" s="149" t="s">
        <v>88</v>
      </c>
      <c r="AA41" s="39">
        <v>0</v>
      </c>
      <c r="AB41" s="39">
        <v>32.769230769230774</v>
      </c>
      <c r="AC41" s="39">
        <v>229.49353587588882</v>
      </c>
      <c r="AD41" s="39">
        <v>179.50641025641025</v>
      </c>
      <c r="AE41" s="39">
        <v>160.73333333333332</v>
      </c>
      <c r="AF41" s="39">
        <v>97.213333333333338</v>
      </c>
      <c r="AG41" s="39">
        <v>226.77599949362576</v>
      </c>
      <c r="AH41" s="39">
        <v>226.77599949362576</v>
      </c>
      <c r="AI41" s="39">
        <v>226.77599949362576</v>
      </c>
      <c r="AJ41" s="39">
        <v>226.77599949362576</v>
      </c>
      <c r="AK41" s="39">
        <v>226.77599949362576</v>
      </c>
      <c r="AL41" s="39">
        <v>226.77599949362576</v>
      </c>
      <c r="AM41" s="39">
        <v>226.77599949362576</v>
      </c>
      <c r="AN41" s="39">
        <v>226.77599949362576</v>
      </c>
    </row>
    <row r="42" spans="1:55" ht="15.5" thickTop="1" thickBot="1" x14ac:dyDescent="0.4">
      <c r="A42" s="25"/>
      <c r="B42" s="22"/>
      <c r="C42" s="39"/>
      <c r="D42" s="39"/>
      <c r="E42" s="39"/>
      <c r="F42" s="39"/>
      <c r="G42" s="39"/>
      <c r="H42" s="39"/>
      <c r="I42" s="39"/>
      <c r="J42" s="39"/>
      <c r="K42" s="39"/>
      <c r="L42" s="39"/>
      <c r="M42" s="39"/>
      <c r="N42" s="39"/>
      <c r="O42" s="39"/>
      <c r="P42" s="39"/>
      <c r="Q42" s="39"/>
      <c r="R42" s="39"/>
      <c r="S42" s="39"/>
      <c r="T42" s="39"/>
      <c r="U42" s="39"/>
      <c r="V42" s="39"/>
      <c r="W42" s="39"/>
      <c r="X42" s="39"/>
      <c r="Z42" s="149" t="s">
        <v>100</v>
      </c>
      <c r="AA42" s="39">
        <v>0</v>
      </c>
      <c r="AB42" s="39">
        <v>0</v>
      </c>
      <c r="AC42" s="39">
        <v>29.142857142857142</v>
      </c>
      <c r="AD42" s="39">
        <v>12</v>
      </c>
      <c r="AE42" s="39">
        <v>11</v>
      </c>
      <c r="AF42" s="39">
        <v>5.36</v>
      </c>
      <c r="AG42" s="39">
        <v>46.23</v>
      </c>
      <c r="AH42" s="39">
        <v>46.23</v>
      </c>
      <c r="AI42" s="39">
        <v>46.23</v>
      </c>
      <c r="AJ42" s="39">
        <v>46.23</v>
      </c>
      <c r="AK42" s="39">
        <v>46.23</v>
      </c>
      <c r="AL42" s="39">
        <v>46.23</v>
      </c>
      <c r="AM42" s="39">
        <v>46.23</v>
      </c>
      <c r="AN42" s="39">
        <v>46.23</v>
      </c>
    </row>
    <row r="43" spans="1:55" ht="15.5" thickTop="1" thickBot="1" x14ac:dyDescent="0.4">
      <c r="A43" s="25"/>
      <c r="B43" s="22"/>
      <c r="C43" s="39"/>
      <c r="D43" s="39"/>
      <c r="E43" s="39"/>
      <c r="F43" s="39"/>
      <c r="G43" s="39"/>
      <c r="H43" s="39"/>
      <c r="I43" s="39"/>
      <c r="J43" s="39"/>
      <c r="K43" s="39"/>
      <c r="L43" s="39"/>
      <c r="M43" s="39"/>
      <c r="N43" s="39"/>
      <c r="O43" s="39"/>
      <c r="P43" s="39"/>
      <c r="Q43" s="39"/>
      <c r="R43" s="39"/>
      <c r="S43" s="39"/>
      <c r="T43" s="39"/>
      <c r="U43" s="39"/>
      <c r="V43" s="39"/>
      <c r="W43" s="39"/>
      <c r="X43" s="39"/>
      <c r="Z43" s="149" t="s">
        <v>101</v>
      </c>
      <c r="AA43" s="39">
        <v>0</v>
      </c>
      <c r="AB43" s="39">
        <v>10</v>
      </c>
      <c r="AC43" s="39">
        <v>79.679487179487182</v>
      </c>
      <c r="AD43" s="39">
        <v>76.339743589743591</v>
      </c>
      <c r="AE43" s="39">
        <v>50</v>
      </c>
      <c r="AF43" s="39">
        <v>91.066666666666677</v>
      </c>
      <c r="AG43" s="39">
        <v>81.650000000000006</v>
      </c>
      <c r="AH43" s="39">
        <v>81.650000000000006</v>
      </c>
      <c r="AI43" s="39">
        <v>81.650000000000006</v>
      </c>
      <c r="AJ43" s="39">
        <v>81.650000000000006</v>
      </c>
      <c r="AK43" s="39">
        <v>81.650000000000006</v>
      </c>
      <c r="AL43" s="39">
        <v>81.650000000000006</v>
      </c>
      <c r="AM43" s="39">
        <v>81.650000000000006</v>
      </c>
      <c r="AN43" s="39">
        <v>81.650000000000006</v>
      </c>
    </row>
    <row r="44" spans="1:55" ht="15.5" thickTop="1" thickBot="1" x14ac:dyDescent="0.4">
      <c r="A44" s="25"/>
      <c r="B44" s="22">
        <v>2027</v>
      </c>
      <c r="C44" s="39"/>
      <c r="D44" s="39">
        <v>0</v>
      </c>
      <c r="E44" s="39">
        <v>0</v>
      </c>
      <c r="F44" s="39">
        <v>0</v>
      </c>
      <c r="G44" s="39">
        <v>0</v>
      </c>
      <c r="H44" s="39">
        <v>0</v>
      </c>
      <c r="I44" s="39">
        <v>0</v>
      </c>
      <c r="J44" s="39">
        <v>0</v>
      </c>
      <c r="K44" s="39">
        <v>0</v>
      </c>
      <c r="L44" s="39">
        <v>0</v>
      </c>
      <c r="M44" s="39">
        <v>0</v>
      </c>
      <c r="N44" s="39">
        <v>0</v>
      </c>
      <c r="O44" s="39">
        <v>0</v>
      </c>
      <c r="P44" s="39">
        <v>0</v>
      </c>
      <c r="Q44" s="39">
        <v>0</v>
      </c>
      <c r="R44" s="39">
        <v>0</v>
      </c>
      <c r="S44" s="39">
        <v>0</v>
      </c>
      <c r="T44" s="39">
        <v>0</v>
      </c>
      <c r="U44" s="39">
        <v>0</v>
      </c>
      <c r="V44" s="39">
        <v>0</v>
      </c>
      <c r="W44" s="39">
        <v>0</v>
      </c>
      <c r="X44" s="39"/>
      <c r="Z44" s="161" t="s">
        <v>261</v>
      </c>
      <c r="AA44" s="39">
        <v>0</v>
      </c>
      <c r="AB44" s="39">
        <v>0</v>
      </c>
      <c r="AC44" s="39">
        <v>0</v>
      </c>
      <c r="AD44" s="39">
        <v>0</v>
      </c>
      <c r="AE44" s="39">
        <v>0</v>
      </c>
      <c r="AF44" s="39">
        <v>0</v>
      </c>
      <c r="AG44" s="39">
        <v>33.345014087697692</v>
      </c>
      <c r="AH44" s="39">
        <v>66.679419262979792</v>
      </c>
      <c r="AI44" s="39">
        <v>66.679419262979792</v>
      </c>
      <c r="AJ44" s="39">
        <v>66.679419262979792</v>
      </c>
      <c r="AK44" s="39">
        <v>66.679419262979792</v>
      </c>
      <c r="AL44" s="39">
        <v>66.679419262979792</v>
      </c>
      <c r="AM44" s="39">
        <v>66.679419262979792</v>
      </c>
      <c r="AN44" s="39">
        <v>66.679419262979792</v>
      </c>
    </row>
    <row r="45" spans="1:55" ht="15.5" thickTop="1" thickBot="1" x14ac:dyDescent="0.4">
      <c r="A45" s="25"/>
      <c r="B45" s="22"/>
      <c r="C45" s="39"/>
      <c r="D45" s="39"/>
      <c r="E45" s="39"/>
      <c r="F45" s="39"/>
      <c r="G45" s="39"/>
      <c r="H45" s="39"/>
      <c r="I45" s="39"/>
      <c r="J45" s="39"/>
      <c r="K45" s="39"/>
      <c r="L45" s="39"/>
      <c r="M45" s="39"/>
      <c r="N45" s="39"/>
      <c r="O45" s="39"/>
      <c r="P45" s="39"/>
      <c r="Q45" s="39"/>
      <c r="R45" s="39"/>
      <c r="S45" s="39"/>
      <c r="T45" s="39"/>
      <c r="U45" s="39"/>
      <c r="V45" s="39"/>
      <c r="W45" s="39"/>
      <c r="X45" s="39"/>
      <c r="Z45" s="149" t="s">
        <v>102</v>
      </c>
      <c r="AA45" s="39">
        <v>0</v>
      </c>
      <c r="AB45" s="39">
        <v>2</v>
      </c>
      <c r="AC45" s="39">
        <v>10</v>
      </c>
      <c r="AD45" s="39">
        <v>9</v>
      </c>
      <c r="AE45" s="39">
        <v>7</v>
      </c>
      <c r="AF45" s="39">
        <v>5</v>
      </c>
      <c r="AG45" s="39">
        <v>8</v>
      </c>
      <c r="AH45" s="39">
        <v>8</v>
      </c>
      <c r="AI45" s="39">
        <v>8</v>
      </c>
      <c r="AJ45" s="39">
        <v>8</v>
      </c>
      <c r="AK45" s="39">
        <v>8</v>
      </c>
      <c r="AL45" s="39">
        <v>8</v>
      </c>
      <c r="AM45" s="39">
        <v>8</v>
      </c>
      <c r="AN45" s="39">
        <v>8</v>
      </c>
    </row>
    <row r="46" spans="1:55" ht="15.5" thickTop="1" thickBot="1" x14ac:dyDescent="0.4">
      <c r="A46" s="25"/>
      <c r="B46" s="22">
        <v>2029</v>
      </c>
      <c r="C46" s="39"/>
      <c r="D46" s="39">
        <v>2</v>
      </c>
      <c r="E46" s="39">
        <v>1000.191288944697</v>
      </c>
      <c r="F46" s="39">
        <v>0</v>
      </c>
      <c r="G46" s="39">
        <v>66.679419262979792</v>
      </c>
      <c r="H46" s="39">
        <v>0</v>
      </c>
      <c r="I46" s="39">
        <v>15</v>
      </c>
      <c r="J46" s="39">
        <v>722</v>
      </c>
      <c r="K46" s="39">
        <v>1050</v>
      </c>
      <c r="L46" s="39">
        <v>0</v>
      </c>
      <c r="M46" s="39">
        <v>66.679419262979792</v>
      </c>
      <c r="N46" s="39">
        <v>0</v>
      </c>
      <c r="O46" s="39">
        <v>2</v>
      </c>
      <c r="P46" s="39">
        <v>2</v>
      </c>
      <c r="Q46" s="39">
        <v>3.66</v>
      </c>
      <c r="R46" s="39">
        <v>244.04667450250608</v>
      </c>
      <c r="S46" s="39">
        <v>210</v>
      </c>
      <c r="T46" s="39">
        <v>2</v>
      </c>
      <c r="U46" s="39">
        <v>210</v>
      </c>
      <c r="V46" s="39">
        <v>0</v>
      </c>
      <c r="W46" s="39">
        <v>2</v>
      </c>
      <c r="X46" s="39"/>
      <c r="Z46" s="161" t="s">
        <v>292</v>
      </c>
      <c r="AA46" s="39">
        <v>0</v>
      </c>
      <c r="AB46" s="39">
        <v>0</v>
      </c>
      <c r="AC46" s="39">
        <v>0</v>
      </c>
      <c r="AD46" s="39">
        <v>0</v>
      </c>
      <c r="AE46" s="39">
        <v>0</v>
      </c>
      <c r="AF46" s="39">
        <v>0</v>
      </c>
      <c r="AG46" s="39">
        <v>1</v>
      </c>
      <c r="AH46" s="39">
        <v>2</v>
      </c>
      <c r="AI46" s="39">
        <v>2</v>
      </c>
      <c r="AJ46" s="39">
        <v>2</v>
      </c>
      <c r="AK46" s="39">
        <v>2</v>
      </c>
      <c r="AL46" s="39">
        <v>2</v>
      </c>
      <c r="AM46" s="39">
        <v>2</v>
      </c>
      <c r="AN46" s="39">
        <v>2</v>
      </c>
    </row>
    <row r="47" spans="1:55" ht="15.5" thickTop="1" thickBot="1" x14ac:dyDescent="0.4">
      <c r="A47" s="25"/>
      <c r="B47" s="22"/>
      <c r="C47" s="39"/>
      <c r="D47" s="39"/>
      <c r="E47" s="39"/>
      <c r="F47" s="39"/>
      <c r="G47" s="39"/>
      <c r="H47" s="39"/>
      <c r="I47" s="39"/>
      <c r="J47" s="39"/>
      <c r="K47" s="39"/>
      <c r="L47" s="39"/>
      <c r="M47" s="39"/>
      <c r="N47" s="39"/>
      <c r="O47" s="39"/>
      <c r="P47" s="39"/>
      <c r="Q47" s="39"/>
      <c r="R47" s="39"/>
      <c r="S47" s="39"/>
      <c r="T47" s="39"/>
      <c r="U47" s="39"/>
      <c r="V47" s="39"/>
      <c r="W47" s="39"/>
      <c r="X47" s="39"/>
      <c r="Z47" s="149" t="s">
        <v>291</v>
      </c>
      <c r="AA47" s="39">
        <v>0</v>
      </c>
      <c r="AB47" s="39">
        <v>2</v>
      </c>
      <c r="AC47" s="39">
        <v>10</v>
      </c>
      <c r="AD47" s="39">
        <v>6</v>
      </c>
      <c r="AE47" s="39">
        <v>7</v>
      </c>
      <c r="AF47" s="39">
        <v>5</v>
      </c>
      <c r="AG47" s="39">
        <v>8</v>
      </c>
      <c r="AH47" s="39">
        <v>8</v>
      </c>
      <c r="AI47" s="39">
        <v>8</v>
      </c>
      <c r="AJ47" s="39">
        <v>8</v>
      </c>
      <c r="AK47" s="39">
        <v>8</v>
      </c>
      <c r="AL47" s="39">
        <v>8</v>
      </c>
      <c r="AM47" s="39">
        <v>8</v>
      </c>
      <c r="AN47" s="39">
        <v>8</v>
      </c>
    </row>
    <row r="48" spans="1:55" ht="15.5" thickTop="1" thickBot="1" x14ac:dyDescent="0.4">
      <c r="A48" s="25"/>
      <c r="B48" s="22">
        <v>2030</v>
      </c>
      <c r="C48" s="39"/>
      <c r="D48" s="39">
        <v>2</v>
      </c>
      <c r="E48" s="39">
        <v>1000.191288944697</v>
      </c>
      <c r="F48" s="39">
        <v>0</v>
      </c>
      <c r="G48" s="39">
        <v>66.679419262979792</v>
      </c>
      <c r="H48" s="39">
        <v>0</v>
      </c>
      <c r="I48" s="39">
        <v>15</v>
      </c>
      <c r="J48" s="39">
        <v>722</v>
      </c>
      <c r="K48" s="39">
        <v>1050</v>
      </c>
      <c r="L48" s="39">
        <v>0</v>
      </c>
      <c r="M48" s="39">
        <v>66.679419262979792</v>
      </c>
      <c r="N48" s="39">
        <v>0</v>
      </c>
      <c r="O48" s="39">
        <v>2</v>
      </c>
      <c r="P48" s="39">
        <v>2</v>
      </c>
      <c r="Q48" s="39">
        <v>3.66</v>
      </c>
      <c r="R48" s="39">
        <v>244.04667450250608</v>
      </c>
      <c r="S48" s="39">
        <v>210</v>
      </c>
      <c r="T48" s="39">
        <v>2</v>
      </c>
      <c r="U48" s="39">
        <v>210</v>
      </c>
      <c r="V48" s="39">
        <v>0</v>
      </c>
      <c r="W48" s="39">
        <v>2</v>
      </c>
      <c r="X48" s="39"/>
      <c r="Z48" s="161" t="s">
        <v>264</v>
      </c>
      <c r="AA48" s="39">
        <v>0</v>
      </c>
      <c r="AB48" s="39">
        <v>0</v>
      </c>
      <c r="AC48" s="39">
        <v>0</v>
      </c>
      <c r="AD48" s="39">
        <v>0</v>
      </c>
      <c r="AE48" s="39">
        <v>0</v>
      </c>
      <c r="AF48" s="39">
        <v>0</v>
      </c>
      <c r="AG48" s="39">
        <v>1</v>
      </c>
      <c r="AH48" s="39">
        <v>2</v>
      </c>
      <c r="AI48" s="39">
        <v>2</v>
      </c>
      <c r="AJ48" s="39">
        <v>2</v>
      </c>
      <c r="AK48" s="39">
        <v>2</v>
      </c>
      <c r="AL48" s="39">
        <v>2</v>
      </c>
      <c r="AM48" s="39">
        <v>2</v>
      </c>
      <c r="AN48" s="39">
        <v>2</v>
      </c>
    </row>
    <row r="49" spans="1:56" ht="15.5" thickTop="1" thickBot="1" x14ac:dyDescent="0.4">
      <c r="A49" s="25"/>
      <c r="B49" s="22"/>
      <c r="C49" s="39"/>
      <c r="D49" s="39"/>
      <c r="E49" s="39"/>
      <c r="F49" s="39"/>
      <c r="G49" s="39"/>
      <c r="H49" s="39"/>
      <c r="I49" s="39"/>
      <c r="J49" s="39"/>
      <c r="K49" s="39"/>
      <c r="L49" s="39"/>
      <c r="M49" s="39"/>
      <c r="N49" s="39"/>
      <c r="O49" s="39"/>
      <c r="P49" s="39"/>
      <c r="Q49" s="39"/>
      <c r="R49" s="39"/>
      <c r="S49" s="39"/>
      <c r="T49" s="39"/>
      <c r="U49" s="39"/>
      <c r="V49" s="39"/>
      <c r="W49" s="39"/>
      <c r="X49" s="39"/>
      <c r="Z49" s="149" t="s">
        <v>286</v>
      </c>
      <c r="AA49" s="39">
        <v>0</v>
      </c>
      <c r="AB49" s="163">
        <v>1.3438000000000001</v>
      </c>
      <c r="AC49" s="163">
        <v>1.2542700000000002</v>
      </c>
      <c r="AD49" s="163">
        <v>1.2260743283582092</v>
      </c>
      <c r="AE49" s="163">
        <v>2.1553200000000006</v>
      </c>
      <c r="AF49" s="163">
        <v>2.1661000000000001</v>
      </c>
      <c r="AG49" s="163">
        <v>2.7958176548089591</v>
      </c>
      <c r="AH49" s="163">
        <v>1.0980000000000001</v>
      </c>
      <c r="AI49" s="163">
        <v>3.3351629374641423</v>
      </c>
      <c r="AJ49" s="163">
        <v>1.0980000000000001</v>
      </c>
      <c r="AK49" s="163">
        <v>4.6467035573122528</v>
      </c>
      <c r="AL49" s="163">
        <v>1.0980000000000001</v>
      </c>
      <c r="AM49" s="163">
        <v>1.0980000000000001</v>
      </c>
      <c r="AN49" s="163">
        <v>1.0980000000000001</v>
      </c>
    </row>
    <row r="50" spans="1:56" ht="15.5" thickTop="1" thickBot="1" x14ac:dyDescent="0.4">
      <c r="A50" s="25"/>
      <c r="B50" s="22"/>
      <c r="C50" s="39"/>
      <c r="D50" s="39"/>
      <c r="E50" s="39"/>
      <c r="F50" s="39"/>
      <c r="G50" s="39"/>
      <c r="H50" s="39"/>
      <c r="I50" s="39"/>
      <c r="J50" s="39"/>
      <c r="K50" s="39"/>
      <c r="L50" s="39"/>
      <c r="M50" s="39"/>
      <c r="N50" s="39"/>
      <c r="O50" s="39"/>
      <c r="P50" s="39"/>
      <c r="Q50" s="39"/>
      <c r="R50" s="39"/>
      <c r="S50" s="39"/>
      <c r="T50" s="39"/>
      <c r="U50" s="39"/>
      <c r="V50" s="39"/>
      <c r="W50" s="39"/>
      <c r="X50" s="39"/>
      <c r="Z50" s="13" t="s">
        <v>282</v>
      </c>
      <c r="AA50" s="39">
        <v>0</v>
      </c>
      <c r="AB50" s="39">
        <v>125.50240000000001</v>
      </c>
      <c r="AC50" s="39">
        <v>862.25390096961871</v>
      </c>
      <c r="AD50" s="39">
        <v>725.58714358974362</v>
      </c>
      <c r="AE50" s="39">
        <v>520.27304000000004</v>
      </c>
      <c r="AF50" s="39">
        <v>417.65050133333341</v>
      </c>
      <c r="AG50" s="39">
        <v>1004.9766712982587</v>
      </c>
      <c r="AH50" s="39">
        <v>1004.9766712982587</v>
      </c>
      <c r="AI50" s="39">
        <v>1004.9766712982587</v>
      </c>
      <c r="AJ50" s="39">
        <v>1004.9766712982587</v>
      </c>
      <c r="AK50" s="39">
        <v>1004.9766712982587</v>
      </c>
      <c r="AL50" s="39">
        <v>1004.9766712982587</v>
      </c>
      <c r="AM50" s="39">
        <v>1004.9766712982587</v>
      </c>
      <c r="AN50" s="39">
        <v>1004.9766712982587</v>
      </c>
    </row>
    <row r="51" spans="1:56" ht="15.5" thickTop="1" thickBot="1" x14ac:dyDescent="0.4">
      <c r="A51" s="25"/>
      <c r="B51" s="22"/>
      <c r="C51" s="39"/>
      <c r="D51" s="39"/>
      <c r="E51" s="39"/>
      <c r="F51" s="39"/>
      <c r="G51" s="39"/>
      <c r="H51" s="39"/>
      <c r="I51" s="39"/>
      <c r="J51" s="39"/>
      <c r="K51" s="39"/>
      <c r="L51" s="39"/>
      <c r="M51" s="39"/>
      <c r="N51" s="39"/>
      <c r="O51" s="39"/>
      <c r="P51" s="39"/>
      <c r="Q51" s="39"/>
      <c r="R51" s="39"/>
      <c r="S51" s="39"/>
      <c r="T51" s="39"/>
      <c r="U51" s="39"/>
      <c r="V51" s="39"/>
      <c r="W51" s="39"/>
      <c r="X51" s="39"/>
      <c r="Z51" s="13" t="s">
        <v>283</v>
      </c>
      <c r="AA51" s="39">
        <v>0</v>
      </c>
      <c r="AB51" s="39">
        <v>256</v>
      </c>
      <c r="AC51" s="39">
        <v>552.66030000000001</v>
      </c>
      <c r="AD51" s="39">
        <v>462.5</v>
      </c>
      <c r="AE51" s="39">
        <v>455.67899999999997</v>
      </c>
      <c r="AF51" s="39">
        <v>306</v>
      </c>
      <c r="AG51" s="39">
        <v>558.6653</v>
      </c>
      <c r="AH51" s="39">
        <v>558.6653</v>
      </c>
      <c r="AI51" s="39">
        <v>558.6653</v>
      </c>
      <c r="AJ51" s="39">
        <v>558.6653</v>
      </c>
      <c r="AK51" s="39">
        <v>558.6653</v>
      </c>
      <c r="AL51" s="39">
        <v>558.6653</v>
      </c>
      <c r="AM51" s="39">
        <v>558.6653</v>
      </c>
      <c r="AN51" s="39">
        <v>558.6653</v>
      </c>
    </row>
    <row r="52" spans="1:56" ht="15.5" thickTop="1" thickBot="1" x14ac:dyDescent="0.4">
      <c r="A52" s="25"/>
      <c r="B52" s="22"/>
      <c r="C52" s="39"/>
      <c r="D52" s="39"/>
      <c r="E52" s="39"/>
      <c r="F52" s="39"/>
      <c r="G52" s="39"/>
      <c r="H52" s="39"/>
      <c r="I52" s="39"/>
      <c r="J52" s="39"/>
      <c r="K52" s="39"/>
      <c r="L52" s="39"/>
      <c r="M52" s="39"/>
      <c r="N52" s="39"/>
      <c r="O52" s="39"/>
      <c r="P52" s="39"/>
      <c r="Q52" s="39"/>
      <c r="R52" s="39"/>
      <c r="S52" s="39"/>
      <c r="T52" s="39"/>
      <c r="U52" s="39"/>
      <c r="V52" s="39"/>
      <c r="W52" s="39"/>
      <c r="X52" s="39"/>
      <c r="Z52" s="13" t="s">
        <v>284</v>
      </c>
      <c r="AA52" s="39">
        <v>0</v>
      </c>
      <c r="AB52" s="39">
        <v>2</v>
      </c>
      <c r="AC52" s="39">
        <v>10</v>
      </c>
      <c r="AD52" s="39">
        <v>6</v>
      </c>
      <c r="AE52" s="39">
        <v>7</v>
      </c>
      <c r="AF52" s="39">
        <v>5</v>
      </c>
      <c r="AG52" s="39">
        <v>8</v>
      </c>
      <c r="AH52" s="39">
        <v>8</v>
      </c>
      <c r="AI52" s="39">
        <v>8</v>
      </c>
      <c r="AJ52" s="39">
        <v>8</v>
      </c>
      <c r="AK52" s="39">
        <v>8</v>
      </c>
      <c r="AL52" s="39">
        <v>8</v>
      </c>
      <c r="AM52" s="39">
        <v>8</v>
      </c>
      <c r="AN52" s="39">
        <v>8</v>
      </c>
    </row>
    <row r="53" spans="1:56" ht="15.5" thickTop="1" thickBot="1" x14ac:dyDescent="0.4">
      <c r="A53" s="25"/>
      <c r="B53" s="22"/>
      <c r="C53" s="39"/>
      <c r="D53" s="39"/>
      <c r="E53" s="39"/>
      <c r="F53" s="39"/>
      <c r="G53" s="39"/>
      <c r="H53" s="39"/>
      <c r="I53" s="39"/>
      <c r="J53" s="39"/>
      <c r="K53" s="39"/>
      <c r="L53" s="39"/>
      <c r="M53" s="39"/>
      <c r="N53" s="39"/>
      <c r="O53" s="39"/>
      <c r="P53" s="39"/>
      <c r="Q53" s="39"/>
      <c r="R53" s="39"/>
      <c r="S53" s="39"/>
      <c r="T53" s="39"/>
      <c r="U53" s="39"/>
      <c r="V53" s="39"/>
      <c r="W53" s="39"/>
      <c r="X53" s="39"/>
      <c r="Z53" s="13" t="s">
        <v>285</v>
      </c>
      <c r="AA53" s="39">
        <v>0</v>
      </c>
      <c r="AB53" s="39">
        <v>256</v>
      </c>
      <c r="AC53" s="39">
        <v>926.41359999999997</v>
      </c>
      <c r="AD53" s="39">
        <v>505.5</v>
      </c>
      <c r="AE53" s="39">
        <v>498.67899999999997</v>
      </c>
      <c r="AF53" s="39">
        <v>526</v>
      </c>
      <c r="AG53" s="39">
        <v>658.6653</v>
      </c>
      <c r="AH53" s="39">
        <v>658.6653</v>
      </c>
      <c r="AI53" s="39">
        <v>658.6653</v>
      </c>
      <c r="AJ53" s="39">
        <v>658.6653</v>
      </c>
      <c r="AK53" s="39">
        <v>658.6653</v>
      </c>
      <c r="AL53" s="39">
        <v>658.6653</v>
      </c>
      <c r="AM53" s="39">
        <v>658.6653</v>
      </c>
      <c r="AN53" s="39">
        <v>658.6653</v>
      </c>
      <c r="AO53" s="39"/>
      <c r="AP53" s="39"/>
      <c r="AQ53" s="39"/>
      <c r="AR53" s="39"/>
      <c r="AS53" s="39"/>
      <c r="AT53" s="39"/>
      <c r="AU53" s="39"/>
      <c r="AV53" s="39"/>
      <c r="AW53" s="39"/>
      <c r="AX53" s="39"/>
      <c r="AY53" s="39"/>
      <c r="AZ53" s="39"/>
      <c r="BA53" s="39"/>
      <c r="BB53" s="39"/>
      <c r="BC53" s="15"/>
      <c r="BD53"/>
    </row>
    <row r="54" spans="1:56" ht="15.5" thickTop="1" thickBot="1" x14ac:dyDescent="0.4">
      <c r="A54" s="25"/>
      <c r="B54" s="22">
        <v>2031</v>
      </c>
      <c r="C54" s="39"/>
      <c r="D54" s="39">
        <v>2</v>
      </c>
      <c r="E54" s="39">
        <v>1099.5781203542456</v>
      </c>
      <c r="F54" s="39">
        <v>0</v>
      </c>
      <c r="G54" s="39">
        <v>0</v>
      </c>
      <c r="H54" s="39">
        <v>61.087673353013642</v>
      </c>
      <c r="I54" s="39">
        <v>18</v>
      </c>
      <c r="J54" s="39">
        <v>722</v>
      </c>
      <c r="K54" s="39">
        <v>1050</v>
      </c>
      <c r="L54" s="39">
        <v>0</v>
      </c>
      <c r="M54" s="39">
        <v>61.087673353013642</v>
      </c>
      <c r="N54" s="39">
        <v>0</v>
      </c>
      <c r="O54" s="39">
        <v>2</v>
      </c>
      <c r="P54" s="39">
        <v>2</v>
      </c>
      <c r="Q54" s="39">
        <v>3.66</v>
      </c>
      <c r="R54" s="39">
        <v>223.58088447202994</v>
      </c>
      <c r="S54" s="39">
        <v>205</v>
      </c>
      <c r="T54" s="39">
        <v>2</v>
      </c>
      <c r="U54" s="39">
        <v>205</v>
      </c>
      <c r="V54" s="39">
        <v>0</v>
      </c>
      <c r="W54" s="39">
        <v>2</v>
      </c>
      <c r="X54" s="39"/>
      <c r="Z54" s="161" t="s">
        <v>279</v>
      </c>
      <c r="AA54" s="39">
        <v>0</v>
      </c>
      <c r="AB54" s="39">
        <v>0</v>
      </c>
      <c r="AC54" s="39">
        <v>0</v>
      </c>
      <c r="AD54" s="39">
        <v>0</v>
      </c>
      <c r="AE54" s="39">
        <v>0</v>
      </c>
      <c r="AF54" s="39">
        <v>0</v>
      </c>
      <c r="AG54" s="39">
        <v>3.66</v>
      </c>
      <c r="AH54" s="39">
        <v>3.66</v>
      </c>
      <c r="AI54" s="39">
        <v>3.66</v>
      </c>
      <c r="AJ54" s="39">
        <v>3.66</v>
      </c>
      <c r="AK54" s="39">
        <v>3.66</v>
      </c>
      <c r="AL54" s="39">
        <v>3.66</v>
      </c>
      <c r="AM54" s="39">
        <v>3.66</v>
      </c>
      <c r="AN54" s="39">
        <v>3.66</v>
      </c>
      <c r="AO54" s="39"/>
      <c r="AP54" s="39"/>
      <c r="AQ54" s="39"/>
      <c r="AR54" s="39"/>
      <c r="AS54" s="39"/>
      <c r="AT54" s="39"/>
      <c r="AU54" s="39"/>
      <c r="AV54" s="39"/>
      <c r="AW54" s="39"/>
      <c r="AX54" s="39"/>
      <c r="AY54" s="39"/>
      <c r="AZ54" s="39"/>
      <c r="BA54" s="39"/>
      <c r="BB54" s="39"/>
      <c r="BC54" s="15"/>
      <c r="BD54"/>
    </row>
    <row r="55" spans="1:56" ht="15.5" thickTop="1" thickBot="1" x14ac:dyDescent="0.4">
      <c r="A55" s="25"/>
      <c r="B55" s="22">
        <v>2032</v>
      </c>
      <c r="C55" s="39"/>
      <c r="D55" s="39">
        <v>1</v>
      </c>
      <c r="E55" s="39">
        <v>499.73452830990107</v>
      </c>
      <c r="F55" s="39">
        <v>0</v>
      </c>
      <c r="G55" s="39">
        <v>0</v>
      </c>
      <c r="H55" s="39">
        <v>27.76302935055006</v>
      </c>
      <c r="I55" s="39">
        <v>18</v>
      </c>
      <c r="J55" s="39">
        <v>900</v>
      </c>
      <c r="K55" s="39">
        <v>0</v>
      </c>
      <c r="L55" s="39">
        <v>0</v>
      </c>
      <c r="M55" s="39">
        <v>27.76302935055006</v>
      </c>
      <c r="N55" s="39">
        <v>0</v>
      </c>
      <c r="O55" s="39">
        <v>1</v>
      </c>
      <c r="P55" s="39">
        <v>1</v>
      </c>
      <c r="Q55" s="39">
        <v>3.66</v>
      </c>
      <c r="R55" s="39">
        <v>101.61268742301323</v>
      </c>
      <c r="S55" s="39">
        <v>105</v>
      </c>
      <c r="T55" s="39">
        <v>1</v>
      </c>
      <c r="U55" s="39">
        <v>105</v>
      </c>
      <c r="V55" s="39">
        <v>0</v>
      </c>
      <c r="W55" s="39">
        <v>1</v>
      </c>
      <c r="X55" s="39"/>
      <c r="Z55" s="162" t="s">
        <v>277</v>
      </c>
      <c r="AA55" s="39">
        <v>0</v>
      </c>
      <c r="AB55" s="39">
        <v>0</v>
      </c>
      <c r="AC55" s="39">
        <v>0</v>
      </c>
      <c r="AD55" s="39">
        <v>0</v>
      </c>
      <c r="AE55" s="39">
        <v>0</v>
      </c>
      <c r="AF55" s="39">
        <v>0</v>
      </c>
      <c r="AG55" s="39">
        <v>122.04275156097356</v>
      </c>
      <c r="AH55" s="39">
        <v>244.04667450250608</v>
      </c>
      <c r="AI55" s="39">
        <v>244.04667450250608</v>
      </c>
      <c r="AJ55" s="39">
        <v>244.04667450250608</v>
      </c>
      <c r="AK55" s="39">
        <v>244.04667450250608</v>
      </c>
      <c r="AL55" s="39">
        <v>244.04667450250608</v>
      </c>
      <c r="AM55" s="39">
        <v>244.04667450250608</v>
      </c>
      <c r="AN55" s="39">
        <v>244.04667450250608</v>
      </c>
      <c r="AO55" s="39"/>
      <c r="AP55" s="39"/>
      <c r="AQ55" s="39"/>
      <c r="AR55" s="39"/>
      <c r="AS55" s="39"/>
      <c r="AT55" s="39"/>
      <c r="AU55" s="39"/>
      <c r="AV55" s="39"/>
      <c r="AW55" s="39"/>
      <c r="AX55" s="39"/>
      <c r="AY55" s="39"/>
      <c r="AZ55" s="39"/>
      <c r="BA55" s="39"/>
      <c r="BB55" s="39"/>
      <c r="BC55" s="15"/>
      <c r="BD55"/>
    </row>
    <row r="56" spans="1:56" ht="15.5" thickTop="1" thickBot="1" x14ac:dyDescent="0.4">
      <c r="A56" s="25"/>
      <c r="B56" s="22">
        <v>2033</v>
      </c>
      <c r="C56" s="39"/>
      <c r="D56" s="39">
        <v>1</v>
      </c>
      <c r="E56" s="39">
        <v>399.88395701482398</v>
      </c>
      <c r="F56" s="39">
        <v>0</v>
      </c>
      <c r="G56" s="39">
        <v>0</v>
      </c>
      <c r="H56" s="39">
        <v>22.215775389712444</v>
      </c>
      <c r="I56" s="39">
        <v>18</v>
      </c>
      <c r="J56" s="39">
        <v>900</v>
      </c>
      <c r="K56" s="39">
        <v>0</v>
      </c>
      <c r="L56" s="39">
        <v>0</v>
      </c>
      <c r="M56" s="39">
        <v>22.215775389712444</v>
      </c>
      <c r="N56" s="39">
        <v>0</v>
      </c>
      <c r="O56" s="39">
        <v>1</v>
      </c>
      <c r="P56" s="39">
        <v>1</v>
      </c>
      <c r="Q56" s="39">
        <v>3.66</v>
      </c>
      <c r="R56" s="39">
        <v>81.309737926347552</v>
      </c>
      <c r="S56" s="39">
        <v>105</v>
      </c>
      <c r="T56" s="39">
        <v>1</v>
      </c>
      <c r="U56" s="39">
        <v>105</v>
      </c>
      <c r="V56" s="39">
        <v>0</v>
      </c>
      <c r="W56" s="39">
        <v>1</v>
      </c>
      <c r="X56" s="39"/>
      <c r="Z56" s="162" t="s">
        <v>278</v>
      </c>
      <c r="AA56" s="39">
        <v>0</v>
      </c>
      <c r="AB56" s="39">
        <v>0</v>
      </c>
      <c r="AC56" s="39">
        <v>0</v>
      </c>
      <c r="AD56" s="39">
        <v>0</v>
      </c>
      <c r="AE56" s="39">
        <v>0</v>
      </c>
      <c r="AF56" s="39">
        <v>0</v>
      </c>
      <c r="AG56" s="39">
        <v>120</v>
      </c>
      <c r="AH56" s="39">
        <v>210</v>
      </c>
      <c r="AI56" s="39">
        <v>210</v>
      </c>
      <c r="AJ56" s="39">
        <v>210</v>
      </c>
      <c r="AK56" s="39">
        <v>210</v>
      </c>
      <c r="AL56" s="39">
        <v>210</v>
      </c>
      <c r="AM56" s="39">
        <v>210</v>
      </c>
      <c r="AN56" s="39">
        <v>210</v>
      </c>
      <c r="AO56" s="39"/>
      <c r="AP56" s="39"/>
      <c r="AQ56" s="39"/>
      <c r="AR56" s="39"/>
      <c r="AS56" s="39"/>
      <c r="AT56" s="39"/>
      <c r="AU56" s="39"/>
      <c r="AV56" s="39"/>
      <c r="AW56" s="39"/>
      <c r="AX56" s="39"/>
      <c r="AY56" s="39"/>
      <c r="AZ56" s="39"/>
      <c r="BA56" s="39"/>
      <c r="BB56" s="39"/>
      <c r="BC56" s="15"/>
      <c r="BD56"/>
    </row>
    <row r="57" spans="1:56" ht="15.5" thickTop="1" thickBot="1" x14ac:dyDescent="0.4">
      <c r="A57" s="25"/>
      <c r="B57" s="22">
        <v>2034</v>
      </c>
      <c r="C57" s="39"/>
      <c r="D57" s="39">
        <v>0</v>
      </c>
      <c r="E57" s="39">
        <v>0</v>
      </c>
      <c r="F57" s="39">
        <v>0</v>
      </c>
      <c r="G57" s="39">
        <v>0</v>
      </c>
      <c r="H57" s="39">
        <v>0</v>
      </c>
      <c r="I57" s="39">
        <v>0</v>
      </c>
      <c r="J57" s="39">
        <v>0</v>
      </c>
      <c r="K57" s="39">
        <v>0</v>
      </c>
      <c r="L57" s="39">
        <v>0</v>
      </c>
      <c r="M57" s="39">
        <v>0</v>
      </c>
      <c r="N57" s="39">
        <v>0</v>
      </c>
      <c r="O57" s="39">
        <v>0</v>
      </c>
      <c r="P57" s="39">
        <v>0</v>
      </c>
      <c r="Q57" s="39">
        <v>0</v>
      </c>
      <c r="R57" s="39">
        <v>0</v>
      </c>
      <c r="S57" s="39">
        <v>0</v>
      </c>
      <c r="T57" s="39">
        <v>0</v>
      </c>
      <c r="U57" s="39">
        <v>0</v>
      </c>
      <c r="V57" s="39">
        <v>0</v>
      </c>
      <c r="W57" s="39">
        <v>0</v>
      </c>
      <c r="X57" s="39"/>
      <c r="Z57" s="162" t="s">
        <v>280</v>
      </c>
      <c r="AA57" s="39">
        <v>0</v>
      </c>
      <c r="AB57" s="39">
        <v>0</v>
      </c>
      <c r="AC57" s="39">
        <v>0</v>
      </c>
      <c r="AD57" s="39">
        <v>0</v>
      </c>
      <c r="AE57" s="39">
        <v>0</v>
      </c>
      <c r="AF57" s="39">
        <v>0</v>
      </c>
      <c r="AG57" s="39">
        <v>1</v>
      </c>
      <c r="AH57" s="39">
        <v>2</v>
      </c>
      <c r="AI57" s="39">
        <v>2</v>
      </c>
      <c r="AJ57" s="39">
        <v>2</v>
      </c>
      <c r="AK57" s="39">
        <v>2</v>
      </c>
      <c r="AL57" s="39">
        <v>2</v>
      </c>
      <c r="AM57" s="39">
        <v>2</v>
      </c>
      <c r="AN57" s="39">
        <v>2</v>
      </c>
      <c r="AO57" s="39"/>
      <c r="AP57" s="39"/>
      <c r="AQ57" s="39"/>
      <c r="AR57" s="39"/>
      <c r="AS57" s="39"/>
      <c r="AT57" s="39"/>
      <c r="AU57" s="39"/>
      <c r="AV57" s="39"/>
      <c r="AW57" s="39"/>
      <c r="AX57" s="39"/>
      <c r="AY57" s="39"/>
      <c r="AZ57" s="39"/>
      <c r="BA57" s="39"/>
      <c r="BB57" s="39"/>
      <c r="BC57" s="15"/>
      <c r="BD57"/>
    </row>
    <row r="58" spans="1:56" ht="15.5" thickTop="1" thickBot="1" x14ac:dyDescent="0.4">
      <c r="A58" s="25"/>
      <c r="B58" s="22">
        <v>2035</v>
      </c>
      <c r="C58" s="39"/>
      <c r="D58" s="39">
        <v>0</v>
      </c>
      <c r="E58" s="39">
        <v>0</v>
      </c>
      <c r="F58" s="39">
        <v>0</v>
      </c>
      <c r="G58" s="39">
        <v>0</v>
      </c>
      <c r="H58" s="39">
        <v>0</v>
      </c>
      <c r="I58" s="39">
        <v>0</v>
      </c>
      <c r="J58" s="39">
        <v>0</v>
      </c>
      <c r="K58" s="39">
        <v>0</v>
      </c>
      <c r="L58" s="39">
        <v>0</v>
      </c>
      <c r="M58" s="39">
        <v>0</v>
      </c>
      <c r="N58" s="39">
        <v>0</v>
      </c>
      <c r="O58" s="39">
        <v>0</v>
      </c>
      <c r="P58" s="39">
        <v>0</v>
      </c>
      <c r="Q58" s="39">
        <v>0</v>
      </c>
      <c r="R58" s="39">
        <v>0</v>
      </c>
      <c r="S58" s="39">
        <v>0</v>
      </c>
      <c r="T58" s="39">
        <v>0</v>
      </c>
      <c r="U58" s="39">
        <v>0</v>
      </c>
      <c r="V58" s="39">
        <v>0</v>
      </c>
      <c r="W58" s="39">
        <v>0</v>
      </c>
      <c r="X58" s="39"/>
      <c r="Z58" s="162" t="s">
        <v>281</v>
      </c>
      <c r="AA58" s="39">
        <v>0</v>
      </c>
      <c r="AB58" s="39">
        <v>0</v>
      </c>
      <c r="AC58" s="39">
        <v>0</v>
      </c>
      <c r="AD58" s="39">
        <v>0</v>
      </c>
      <c r="AE58" s="39">
        <v>0</v>
      </c>
      <c r="AF58" s="39">
        <v>0</v>
      </c>
      <c r="AG58" s="39">
        <v>120</v>
      </c>
      <c r="AH58" s="39">
        <v>210</v>
      </c>
      <c r="AI58" s="39">
        <v>210</v>
      </c>
      <c r="AJ58" s="39">
        <v>210</v>
      </c>
      <c r="AK58" s="39">
        <v>210</v>
      </c>
      <c r="AL58" s="39">
        <v>210</v>
      </c>
      <c r="AM58" s="39">
        <v>210</v>
      </c>
      <c r="AN58" s="39">
        <v>210</v>
      </c>
      <c r="AO58" s="39"/>
      <c r="AP58" s="39"/>
      <c r="AQ58" s="39"/>
      <c r="AR58" s="39"/>
      <c r="AS58" s="39"/>
      <c r="AT58" s="39"/>
      <c r="AU58" s="39"/>
      <c r="AV58" s="39"/>
      <c r="AW58" s="39"/>
      <c r="AX58" s="39"/>
      <c r="AY58" s="39"/>
      <c r="AZ58" s="39"/>
      <c r="BA58" s="39"/>
      <c r="BB58" s="39"/>
      <c r="BC58" s="15"/>
      <c r="BD58"/>
    </row>
    <row r="59" spans="1:56" ht="15.5" thickTop="1" thickBot="1" x14ac:dyDescent="0.4">
      <c r="A59" s="25"/>
      <c r="B59" s="22"/>
      <c r="C59" s="39"/>
      <c r="D59" s="39"/>
      <c r="E59" s="39"/>
      <c r="F59" s="39"/>
      <c r="G59" s="39"/>
      <c r="H59" s="39"/>
      <c r="I59" s="39"/>
      <c r="J59" s="39"/>
      <c r="K59" s="39"/>
      <c r="L59" s="39"/>
      <c r="M59" s="39"/>
      <c r="N59" s="39"/>
      <c r="O59" s="39"/>
      <c r="P59" s="39"/>
      <c r="Q59" s="39"/>
      <c r="R59" s="39"/>
      <c r="S59" s="39"/>
      <c r="T59" s="39"/>
      <c r="U59" s="39"/>
      <c r="V59" s="39"/>
      <c r="W59" s="39"/>
      <c r="X59" s="39"/>
      <c r="Z59" s="13" t="s">
        <v>82</v>
      </c>
      <c r="AA59" s="39">
        <v>0</v>
      </c>
      <c r="AB59" s="39">
        <v>2</v>
      </c>
      <c r="AC59" s="39">
        <v>10</v>
      </c>
      <c r="AD59" s="39">
        <v>6</v>
      </c>
      <c r="AE59" s="39">
        <v>6</v>
      </c>
      <c r="AF59" s="39">
        <v>4</v>
      </c>
      <c r="AG59" s="164">
        <v>7</v>
      </c>
      <c r="AH59" s="164">
        <v>0</v>
      </c>
      <c r="AI59" s="164">
        <v>5</v>
      </c>
      <c r="AJ59" s="164">
        <v>1</v>
      </c>
      <c r="AK59" s="164">
        <v>1</v>
      </c>
      <c r="AL59" s="164">
        <v>0</v>
      </c>
      <c r="AM59" s="164">
        <v>1</v>
      </c>
      <c r="AN59" s="164">
        <v>0</v>
      </c>
      <c r="AO59" s="39"/>
      <c r="AP59" s="39"/>
      <c r="AQ59" s="39"/>
      <c r="AR59" s="39"/>
      <c r="AS59" s="39"/>
      <c r="AT59" s="39"/>
      <c r="AU59" s="39"/>
      <c r="AV59" s="39"/>
      <c r="AW59" s="39"/>
      <c r="AX59" s="39"/>
      <c r="AY59" s="39"/>
      <c r="AZ59" s="39"/>
      <c r="BA59" s="39"/>
      <c r="BB59" s="39"/>
      <c r="BC59" s="15"/>
      <c r="BD59"/>
    </row>
    <row r="60" spans="1:56" ht="15" thickTop="1" x14ac:dyDescent="0.35">
      <c r="A60" s="25"/>
      <c r="B60" s="22"/>
      <c r="C60" s="39"/>
      <c r="D60" s="39"/>
      <c r="E60" s="39"/>
      <c r="F60" s="39"/>
      <c r="G60" s="39"/>
      <c r="H60" s="39"/>
      <c r="I60" s="39"/>
      <c r="J60" s="39"/>
      <c r="K60" s="39"/>
      <c r="L60" s="39"/>
      <c r="M60" s="39"/>
      <c r="N60" s="39"/>
      <c r="O60" s="39"/>
      <c r="P60" s="39"/>
      <c r="Q60" s="39"/>
      <c r="R60" s="39"/>
      <c r="S60" s="39"/>
      <c r="T60" s="39"/>
      <c r="U60" s="39"/>
      <c r="V60" s="39"/>
      <c r="W60" s="39"/>
      <c r="X60" s="39"/>
      <c r="Z60" s="16" t="s">
        <v>83</v>
      </c>
      <c r="AA60" s="39">
        <v>0</v>
      </c>
      <c r="AB60" s="39">
        <v>0</v>
      </c>
      <c r="AC60" s="39">
        <v>0</v>
      </c>
      <c r="AD60" s="39">
        <v>0</v>
      </c>
      <c r="AE60" s="39">
        <v>1</v>
      </c>
      <c r="AF60" s="39">
        <v>1</v>
      </c>
      <c r="AG60" s="164">
        <v>2</v>
      </c>
      <c r="AH60" s="164">
        <v>7</v>
      </c>
      <c r="AI60" s="164">
        <v>5</v>
      </c>
      <c r="AJ60" s="164">
        <v>7</v>
      </c>
      <c r="AK60" s="164">
        <v>7</v>
      </c>
      <c r="AL60" s="164">
        <v>7</v>
      </c>
      <c r="AM60" s="164">
        <v>7</v>
      </c>
      <c r="AN60" s="164">
        <v>7</v>
      </c>
      <c r="AO60" s="39"/>
      <c r="AP60" s="39"/>
      <c r="AQ60" s="39"/>
      <c r="AR60" s="39"/>
      <c r="AS60" s="39"/>
      <c r="AT60" s="39"/>
      <c r="AU60" s="39"/>
      <c r="AV60" s="39"/>
      <c r="AW60" s="39"/>
      <c r="AX60" s="39"/>
      <c r="AY60" s="39"/>
      <c r="AZ60" s="39"/>
      <c r="BA60" s="39"/>
      <c r="BB60" s="39"/>
      <c r="BC60" s="15"/>
      <c r="BD60"/>
    </row>
    <row r="61" spans="1:56" s="7" customFormat="1" x14ac:dyDescent="0.35">
      <c r="A61" s="18"/>
      <c r="B61" s="27"/>
      <c r="C61" s="43">
        <v>1598898.5</v>
      </c>
      <c r="D61" s="27">
        <v>47</v>
      </c>
      <c r="E61" s="27">
        <v>35966.428857425839</v>
      </c>
      <c r="F61" s="27">
        <v>552.74358974358972</v>
      </c>
      <c r="G61" s="27">
        <v>1398.8231103189387</v>
      </c>
      <c r="H61" s="27">
        <v>463.66096270512111</v>
      </c>
      <c r="I61" s="27">
        <v>9.9047619047619033</v>
      </c>
      <c r="J61" s="27">
        <v>20.998791208791207</v>
      </c>
      <c r="K61" s="27">
        <v>27.134386446886449</v>
      </c>
      <c r="L61" s="27">
        <v>1633.6248958851668</v>
      </c>
      <c r="M61" s="27">
        <v>171.06175571851304</v>
      </c>
      <c r="N61" s="27">
        <v>498.03146267822001</v>
      </c>
      <c r="O61" s="27">
        <v>71</v>
      </c>
      <c r="P61" s="27">
        <v>65</v>
      </c>
      <c r="Q61" s="27">
        <v>1.7438034627102541</v>
      </c>
      <c r="R61" s="27">
        <v>6073.3295637352994</v>
      </c>
      <c r="S61" s="27">
        <v>4438.4799000000003</v>
      </c>
      <c r="T61" s="27">
        <v>65</v>
      </c>
      <c r="U61" s="27">
        <v>6559.2331999999997</v>
      </c>
      <c r="V61" s="27">
        <v>43</v>
      </c>
      <c r="W61" s="27">
        <v>22</v>
      </c>
      <c r="X61" s="27"/>
      <c r="AM61" s="60"/>
      <c r="AN61" s="60"/>
      <c r="BC61" s="12"/>
    </row>
    <row r="62" spans="1:56" x14ac:dyDescent="0.35">
      <c r="A62" s="25"/>
      <c r="B62" s="22"/>
      <c r="C62" s="22"/>
      <c r="D62" s="22"/>
      <c r="E62" s="22"/>
      <c r="F62" s="22"/>
      <c r="G62" s="35"/>
      <c r="H62" s="22"/>
      <c r="I62" s="22"/>
      <c r="J62" s="22"/>
      <c r="K62" s="22"/>
      <c r="L62" s="22"/>
      <c r="M62" s="22"/>
      <c r="N62" s="22"/>
      <c r="O62" s="22"/>
      <c r="P62" s="22"/>
      <c r="Q62" s="22"/>
      <c r="R62" s="22"/>
      <c r="S62" s="22"/>
      <c r="T62" s="22"/>
      <c r="U62" s="22"/>
      <c r="V62" s="22"/>
      <c r="W62" s="22"/>
      <c r="X62" s="22"/>
      <c r="Y62" s="60"/>
      <c r="AA62"/>
      <c r="AB62"/>
      <c r="AC62"/>
      <c r="AD62"/>
      <c r="AE62"/>
      <c r="AF62"/>
      <c r="AG62"/>
      <c r="AH62"/>
      <c r="AI62"/>
      <c r="AJ62"/>
      <c r="AK62"/>
      <c r="AL62"/>
      <c r="AM62"/>
      <c r="AN62"/>
      <c r="AO62"/>
      <c r="AP62"/>
      <c r="AQ62"/>
      <c r="AR62"/>
      <c r="AS62"/>
      <c r="AT62"/>
      <c r="AU62"/>
      <c r="AV62"/>
      <c r="AW62"/>
      <c r="AX62"/>
      <c r="AY62"/>
      <c r="AZ62"/>
      <c r="BA62"/>
      <c r="BB62"/>
      <c r="BC62"/>
      <c r="BD62"/>
    </row>
    <row r="63" spans="1:56" x14ac:dyDescent="0.35">
      <c r="B63" s="7" t="s">
        <v>344</v>
      </c>
      <c r="Y63" s="60"/>
      <c r="AA63"/>
      <c r="AB63"/>
      <c r="AC63"/>
      <c r="AD63"/>
      <c r="AE63"/>
      <c r="AF63"/>
      <c r="AG63"/>
      <c r="AH63"/>
      <c r="AI63"/>
      <c r="AJ63"/>
      <c r="AK63"/>
      <c r="AL63"/>
      <c r="AM63"/>
      <c r="AN63"/>
      <c r="AO63"/>
      <c r="AP63"/>
      <c r="AQ63"/>
      <c r="AR63"/>
      <c r="AS63"/>
      <c r="AT63"/>
      <c r="AU63"/>
      <c r="AV63"/>
      <c r="AW63"/>
      <c r="AX63"/>
      <c r="AY63"/>
      <c r="AZ63"/>
      <c r="BA63"/>
      <c r="BB63"/>
      <c r="BC63"/>
      <c r="BD63"/>
    </row>
    <row r="64" spans="1:56" x14ac:dyDescent="0.35">
      <c r="A64" s="25"/>
      <c r="B64" s="22">
        <v>2022</v>
      </c>
      <c r="C64" s="39"/>
      <c r="D64" s="39">
        <v>0</v>
      </c>
      <c r="E64" s="39">
        <v>0</v>
      </c>
      <c r="F64" s="39">
        <v>0</v>
      </c>
      <c r="G64" s="39">
        <v>0</v>
      </c>
      <c r="H64" s="39">
        <v>0</v>
      </c>
      <c r="I64" s="39">
        <v>0</v>
      </c>
      <c r="J64" s="39">
        <v>0</v>
      </c>
      <c r="K64" s="39">
        <v>0</v>
      </c>
      <c r="L64" s="39">
        <v>0</v>
      </c>
      <c r="M64" s="39">
        <v>0</v>
      </c>
      <c r="N64" s="39">
        <v>0</v>
      </c>
      <c r="O64" s="39">
        <v>0</v>
      </c>
      <c r="P64" s="39">
        <v>0</v>
      </c>
      <c r="Q64" s="39">
        <v>0</v>
      </c>
      <c r="R64" s="39">
        <v>0</v>
      </c>
      <c r="S64" s="39">
        <v>0</v>
      </c>
      <c r="T64" s="39">
        <v>0</v>
      </c>
      <c r="U64" s="39">
        <v>0</v>
      </c>
      <c r="V64" s="39">
        <v>0</v>
      </c>
      <c r="W64" s="39">
        <v>0</v>
      </c>
      <c r="X64" s="39"/>
      <c r="Y64" s="22"/>
      <c r="Z64" s="39"/>
      <c r="AA64" s="39"/>
      <c r="AB64" s="39"/>
      <c r="AC64" s="39"/>
      <c r="AD64" s="39"/>
      <c r="AE64" s="39"/>
      <c r="AF64" s="39"/>
      <c r="AG64" s="39"/>
      <c r="AH64" s="39"/>
      <c r="AI64" s="39"/>
      <c r="AJ64" s="39"/>
      <c r="AK64"/>
      <c r="AL64"/>
      <c r="AM64"/>
      <c r="AN64"/>
      <c r="AO64"/>
      <c r="AP64"/>
      <c r="AQ64"/>
      <c r="AR64"/>
      <c r="AS64"/>
      <c r="AT64"/>
      <c r="AU64"/>
      <c r="AV64"/>
      <c r="AW64"/>
      <c r="AX64"/>
      <c r="AY64"/>
      <c r="AZ64"/>
      <c r="BA64"/>
      <c r="BB64"/>
      <c r="BC64"/>
      <c r="BD64"/>
    </row>
    <row r="65" spans="1:56" x14ac:dyDescent="0.35">
      <c r="A65" s="25"/>
      <c r="B65" s="22">
        <v>2023</v>
      </c>
      <c r="C65" s="39"/>
      <c r="D65" s="39">
        <v>0</v>
      </c>
      <c r="E65" s="39">
        <v>0</v>
      </c>
      <c r="F65" s="39">
        <v>0</v>
      </c>
      <c r="G65" s="39">
        <v>0</v>
      </c>
      <c r="H65" s="39">
        <v>0</v>
      </c>
      <c r="I65" s="39">
        <v>0</v>
      </c>
      <c r="J65" s="39">
        <v>0</v>
      </c>
      <c r="K65" s="39">
        <v>0</v>
      </c>
      <c r="L65" s="39">
        <v>0</v>
      </c>
      <c r="M65" s="39">
        <v>0</v>
      </c>
      <c r="N65" s="39">
        <v>0</v>
      </c>
      <c r="O65" s="39">
        <v>0</v>
      </c>
      <c r="P65" s="39">
        <v>0</v>
      </c>
      <c r="Q65" s="39">
        <v>0</v>
      </c>
      <c r="R65" s="39">
        <v>0</v>
      </c>
      <c r="S65" s="39">
        <v>0</v>
      </c>
      <c r="T65" s="39">
        <v>0</v>
      </c>
      <c r="U65" s="39">
        <v>0</v>
      </c>
      <c r="V65" s="39">
        <v>0</v>
      </c>
      <c r="W65" s="39">
        <v>0</v>
      </c>
      <c r="X65" s="39"/>
      <c r="Y65" s="22"/>
      <c r="Z65" s="39"/>
      <c r="AA65" s="39"/>
      <c r="AB65" s="39"/>
      <c r="AC65" s="39"/>
      <c r="AD65" s="39"/>
      <c r="AE65" s="39"/>
      <c r="AF65" s="39"/>
      <c r="AG65" s="39"/>
      <c r="AH65" s="39"/>
      <c r="AI65" s="39"/>
      <c r="AJ65" s="39"/>
      <c r="AK65"/>
      <c r="AL65"/>
      <c r="AM65"/>
      <c r="AN65"/>
      <c r="AO65"/>
      <c r="AP65"/>
      <c r="AQ65"/>
      <c r="AR65"/>
      <c r="AS65"/>
      <c r="AT65"/>
      <c r="AU65"/>
      <c r="AV65"/>
      <c r="AW65"/>
      <c r="AX65"/>
      <c r="AY65"/>
      <c r="AZ65"/>
      <c r="BA65"/>
      <c r="BB65"/>
      <c r="BC65"/>
      <c r="BD65"/>
    </row>
    <row r="66" spans="1:56" x14ac:dyDescent="0.35">
      <c r="A66" s="25"/>
      <c r="B66" s="22">
        <v>2024</v>
      </c>
      <c r="C66" s="39"/>
      <c r="D66" s="39">
        <v>0</v>
      </c>
      <c r="E66" s="39">
        <v>0</v>
      </c>
      <c r="F66" s="39">
        <v>0</v>
      </c>
      <c r="G66" s="39">
        <v>0</v>
      </c>
      <c r="H66" s="39">
        <v>0</v>
      </c>
      <c r="I66" s="39">
        <v>0</v>
      </c>
      <c r="J66" s="39">
        <v>0</v>
      </c>
      <c r="K66" s="39">
        <v>0</v>
      </c>
      <c r="L66" s="39">
        <v>0</v>
      </c>
      <c r="M66" s="39">
        <v>0</v>
      </c>
      <c r="N66" s="39">
        <v>0</v>
      </c>
      <c r="O66" s="39">
        <v>0</v>
      </c>
      <c r="P66" s="39">
        <v>0</v>
      </c>
      <c r="Q66" s="39">
        <v>0</v>
      </c>
      <c r="R66" s="39">
        <v>0</v>
      </c>
      <c r="S66" s="39">
        <v>0</v>
      </c>
      <c r="T66" s="39">
        <v>0</v>
      </c>
      <c r="U66" s="39">
        <v>0</v>
      </c>
      <c r="V66" s="39">
        <v>0</v>
      </c>
      <c r="W66" s="39">
        <v>0</v>
      </c>
      <c r="X66" s="39"/>
      <c r="Y66" s="22"/>
      <c r="Z66" s="39"/>
      <c r="AA66" s="39"/>
      <c r="AB66" s="39"/>
      <c r="AC66" s="39"/>
      <c r="AD66" s="39"/>
      <c r="AE66" s="39"/>
      <c r="AF66" s="39"/>
      <c r="AG66" s="39"/>
      <c r="AH66" s="39"/>
      <c r="AI66" s="39"/>
      <c r="AJ66" s="39"/>
      <c r="AK66"/>
      <c r="AL66"/>
      <c r="AM66"/>
      <c r="AN66"/>
      <c r="AO66"/>
      <c r="AP66"/>
      <c r="AQ66"/>
      <c r="AR66"/>
      <c r="AS66"/>
      <c r="AT66"/>
      <c r="AU66"/>
      <c r="AV66"/>
      <c r="AW66"/>
      <c r="AX66"/>
      <c r="AY66"/>
      <c r="AZ66"/>
      <c r="BA66"/>
      <c r="BB66"/>
      <c r="BC66"/>
      <c r="BD66"/>
    </row>
    <row r="67" spans="1:56" x14ac:dyDescent="0.35">
      <c r="A67" s="25"/>
      <c r="B67" s="22">
        <v>2025</v>
      </c>
      <c r="C67" s="39"/>
      <c r="D67" s="39">
        <v>0</v>
      </c>
      <c r="E67" s="39">
        <v>0</v>
      </c>
      <c r="F67" s="39">
        <v>0</v>
      </c>
      <c r="G67" s="39">
        <v>0</v>
      </c>
      <c r="H67" s="39">
        <v>0</v>
      </c>
      <c r="I67" s="39">
        <v>0</v>
      </c>
      <c r="J67" s="39">
        <v>0</v>
      </c>
      <c r="K67" s="39">
        <v>0</v>
      </c>
      <c r="L67" s="39">
        <v>0</v>
      </c>
      <c r="M67" s="39">
        <v>0</v>
      </c>
      <c r="N67" s="39">
        <v>0</v>
      </c>
      <c r="O67" s="39">
        <v>0</v>
      </c>
      <c r="P67" s="39">
        <v>0</v>
      </c>
      <c r="Q67" s="39">
        <v>0</v>
      </c>
      <c r="R67" s="39">
        <v>0</v>
      </c>
      <c r="S67" s="39">
        <v>0</v>
      </c>
      <c r="T67" s="39">
        <v>0</v>
      </c>
      <c r="U67" s="39">
        <v>0</v>
      </c>
      <c r="V67" s="39">
        <v>0</v>
      </c>
      <c r="W67" s="39">
        <v>0</v>
      </c>
      <c r="X67" s="39"/>
      <c r="Y67" s="22"/>
      <c r="Z67" s="39"/>
      <c r="AA67" s="39"/>
      <c r="AB67" s="39"/>
      <c r="AC67" s="39"/>
      <c r="AD67" s="39"/>
      <c r="AE67" s="39"/>
      <c r="AF67" s="39"/>
      <c r="AG67" s="39"/>
      <c r="AH67" s="39"/>
      <c r="AI67" s="39"/>
      <c r="AJ67" s="39"/>
      <c r="AK67"/>
      <c r="AL67"/>
      <c r="AM67"/>
      <c r="AN67"/>
      <c r="AO67"/>
      <c r="AP67"/>
      <c r="AQ67"/>
      <c r="AR67"/>
      <c r="AS67"/>
      <c r="AT67"/>
      <c r="AU67"/>
      <c r="AV67"/>
      <c r="AW67"/>
      <c r="AX67"/>
      <c r="AY67"/>
      <c r="AZ67"/>
      <c r="BA67"/>
      <c r="BB67"/>
      <c r="BC67"/>
      <c r="BD67"/>
    </row>
    <row r="68" spans="1:56" x14ac:dyDescent="0.35">
      <c r="A68" s="25"/>
      <c r="B68" s="22">
        <v>2026</v>
      </c>
      <c r="C68" s="39"/>
      <c r="D68" s="39">
        <v>0</v>
      </c>
      <c r="E68" s="39">
        <v>0</v>
      </c>
      <c r="F68" s="39">
        <v>0</v>
      </c>
      <c r="G68" s="39">
        <v>0</v>
      </c>
      <c r="H68" s="39">
        <v>0</v>
      </c>
      <c r="I68" s="39">
        <v>0</v>
      </c>
      <c r="J68" s="39">
        <v>0</v>
      </c>
      <c r="K68" s="39">
        <v>0</v>
      </c>
      <c r="L68" s="39">
        <v>0</v>
      </c>
      <c r="M68" s="39">
        <v>0</v>
      </c>
      <c r="N68" s="39">
        <v>0</v>
      </c>
      <c r="O68" s="39">
        <v>0</v>
      </c>
      <c r="P68" s="39">
        <v>0</v>
      </c>
      <c r="Q68" s="39">
        <v>0</v>
      </c>
      <c r="R68" s="39">
        <v>0</v>
      </c>
      <c r="S68" s="39">
        <v>0</v>
      </c>
      <c r="T68" s="39">
        <v>0</v>
      </c>
      <c r="U68" s="39">
        <v>0</v>
      </c>
      <c r="V68" s="39">
        <v>0</v>
      </c>
      <c r="W68" s="39">
        <v>0</v>
      </c>
      <c r="X68" s="39"/>
      <c r="Y68" s="22"/>
      <c r="Z68" s="39"/>
      <c r="AA68" s="39"/>
      <c r="AB68" s="39"/>
      <c r="AC68" s="39"/>
      <c r="AD68" s="39"/>
      <c r="AE68" s="39"/>
      <c r="AF68" s="39"/>
      <c r="AG68" s="39"/>
      <c r="AH68" s="39"/>
      <c r="AI68" s="39"/>
      <c r="AJ68" s="39"/>
      <c r="AK68"/>
      <c r="AL68"/>
      <c r="AM68"/>
      <c r="AN68"/>
      <c r="AO68"/>
      <c r="AP68"/>
      <c r="AQ68"/>
      <c r="AR68"/>
      <c r="AS68"/>
      <c r="AT68"/>
      <c r="AU68"/>
      <c r="AV68"/>
      <c r="AW68"/>
      <c r="AX68"/>
      <c r="AY68"/>
      <c r="AZ68"/>
      <c r="BA68"/>
      <c r="BB68"/>
      <c r="BC68"/>
      <c r="BD68"/>
    </row>
    <row r="69" spans="1:56" x14ac:dyDescent="0.35">
      <c r="A69" s="25"/>
      <c r="B69" s="22">
        <v>2027</v>
      </c>
      <c r="C69" s="39"/>
      <c r="D69" s="39">
        <v>0</v>
      </c>
      <c r="E69" s="39">
        <v>0</v>
      </c>
      <c r="F69" s="39">
        <v>0</v>
      </c>
      <c r="G69" s="39">
        <v>0</v>
      </c>
      <c r="H69" s="39">
        <v>0</v>
      </c>
      <c r="I69" s="39">
        <v>0</v>
      </c>
      <c r="J69" s="39">
        <v>0</v>
      </c>
      <c r="K69" s="39">
        <v>0</v>
      </c>
      <c r="L69" s="39">
        <v>0</v>
      </c>
      <c r="M69" s="39">
        <v>0</v>
      </c>
      <c r="N69" s="39">
        <v>0</v>
      </c>
      <c r="O69" s="39">
        <v>0</v>
      </c>
      <c r="P69" s="39">
        <v>0</v>
      </c>
      <c r="Q69" s="39">
        <v>0</v>
      </c>
      <c r="R69" s="39">
        <v>0</v>
      </c>
      <c r="S69" s="39">
        <v>0</v>
      </c>
      <c r="T69" s="39">
        <v>0</v>
      </c>
      <c r="U69" s="39">
        <v>0</v>
      </c>
      <c r="V69" s="39">
        <v>0</v>
      </c>
      <c r="W69" s="39">
        <v>0</v>
      </c>
      <c r="X69" s="39"/>
      <c r="Y69" s="22"/>
      <c r="Z69" s="39"/>
      <c r="AA69" s="39"/>
      <c r="AB69" s="39"/>
      <c r="AC69" s="39"/>
      <c r="AD69" s="39"/>
      <c r="AE69" s="39"/>
      <c r="AF69" s="39"/>
      <c r="AG69" s="39"/>
      <c r="AH69" s="39"/>
      <c r="AI69" s="39"/>
      <c r="AJ69" s="39"/>
      <c r="AK69"/>
      <c r="AL69"/>
      <c r="AM69"/>
      <c r="AN69"/>
      <c r="AO69"/>
      <c r="AP69"/>
      <c r="AQ69"/>
      <c r="AR69"/>
      <c r="AS69"/>
      <c r="AT69"/>
      <c r="AU69"/>
      <c r="AV69"/>
      <c r="AW69"/>
      <c r="AX69"/>
      <c r="AY69"/>
      <c r="AZ69"/>
      <c r="BA69"/>
      <c r="BB69"/>
      <c r="BC69"/>
      <c r="BD69"/>
    </row>
    <row r="70" spans="1:56" x14ac:dyDescent="0.35">
      <c r="A70" s="25"/>
      <c r="B70" s="22">
        <v>2028</v>
      </c>
      <c r="C70" s="39"/>
      <c r="D70" s="39">
        <v>0</v>
      </c>
      <c r="E70" s="39">
        <v>0</v>
      </c>
      <c r="F70" s="39">
        <v>0</v>
      </c>
      <c r="G70" s="39">
        <v>0</v>
      </c>
      <c r="H70" s="39">
        <v>0</v>
      </c>
      <c r="I70" s="39">
        <v>0</v>
      </c>
      <c r="J70" s="39">
        <v>0</v>
      </c>
      <c r="K70" s="39">
        <v>0</v>
      </c>
      <c r="L70" s="39">
        <v>0</v>
      </c>
      <c r="M70" s="39">
        <v>0</v>
      </c>
      <c r="N70" s="39">
        <v>0</v>
      </c>
      <c r="O70" s="39">
        <v>0</v>
      </c>
      <c r="P70" s="39">
        <v>0</v>
      </c>
      <c r="Q70" s="39">
        <v>0</v>
      </c>
      <c r="R70" s="39">
        <v>0</v>
      </c>
      <c r="S70" s="39">
        <v>0</v>
      </c>
      <c r="T70" s="39">
        <v>0</v>
      </c>
      <c r="U70" s="39">
        <v>0</v>
      </c>
      <c r="V70" s="39">
        <v>0</v>
      </c>
      <c r="W70" s="39">
        <v>0</v>
      </c>
      <c r="X70" s="39"/>
      <c r="Y70" s="22"/>
      <c r="Z70" s="39"/>
      <c r="AA70" s="39"/>
      <c r="AB70" s="39"/>
      <c r="AC70" s="39"/>
      <c r="AD70" s="39"/>
      <c r="AE70" s="39"/>
      <c r="AF70" s="39"/>
      <c r="AG70" s="39"/>
      <c r="AH70" s="39"/>
      <c r="AI70" s="39"/>
      <c r="AJ70" s="39"/>
      <c r="AK70"/>
      <c r="AL70"/>
      <c r="AM70"/>
      <c r="AN70"/>
      <c r="AO70"/>
      <c r="AP70"/>
      <c r="AQ70"/>
      <c r="AR70"/>
      <c r="AS70"/>
      <c r="AT70"/>
      <c r="AU70"/>
      <c r="AV70"/>
      <c r="AW70"/>
      <c r="AX70"/>
      <c r="AY70"/>
      <c r="AZ70"/>
      <c r="BA70"/>
      <c r="BB70"/>
      <c r="BC70"/>
      <c r="BD70"/>
    </row>
    <row r="71" spans="1:56" x14ac:dyDescent="0.35">
      <c r="A71" s="25"/>
      <c r="B71" s="22">
        <v>2029</v>
      </c>
      <c r="C71" s="39"/>
      <c r="D71" s="39">
        <v>0</v>
      </c>
      <c r="E71" s="39">
        <v>0</v>
      </c>
      <c r="F71" s="39">
        <v>0</v>
      </c>
      <c r="G71" s="39">
        <v>0</v>
      </c>
      <c r="H71" s="39">
        <v>0</v>
      </c>
      <c r="I71" s="39">
        <v>0</v>
      </c>
      <c r="J71" s="39">
        <v>0</v>
      </c>
      <c r="K71" s="39">
        <v>0</v>
      </c>
      <c r="L71" s="39">
        <v>0</v>
      </c>
      <c r="M71" s="39">
        <v>0</v>
      </c>
      <c r="N71" s="39">
        <v>0</v>
      </c>
      <c r="O71" s="39">
        <v>0</v>
      </c>
      <c r="P71" s="39">
        <v>0</v>
      </c>
      <c r="Q71" s="39">
        <v>0</v>
      </c>
      <c r="R71" s="39">
        <v>0</v>
      </c>
      <c r="S71" s="39">
        <v>0</v>
      </c>
      <c r="T71" s="39">
        <v>0</v>
      </c>
      <c r="U71" s="39">
        <v>0</v>
      </c>
      <c r="V71" s="39">
        <v>0</v>
      </c>
      <c r="W71" s="39">
        <v>0</v>
      </c>
      <c r="X71" s="39"/>
      <c r="Y71" s="22"/>
      <c r="Z71" s="39"/>
      <c r="AA71" s="39"/>
      <c r="AB71" s="39"/>
      <c r="AC71" s="39"/>
      <c r="AD71" s="39"/>
      <c r="AE71" s="39"/>
      <c r="AF71" s="39"/>
      <c r="AG71" s="39"/>
      <c r="AH71" s="39"/>
      <c r="AI71" s="39"/>
      <c r="AJ71" s="39"/>
      <c r="AK71"/>
      <c r="AL71"/>
      <c r="AM71"/>
      <c r="AN71"/>
      <c r="AO71"/>
      <c r="AP71"/>
      <c r="AQ71"/>
      <c r="AR71"/>
      <c r="AS71"/>
      <c r="AT71"/>
      <c r="AU71"/>
      <c r="AV71"/>
      <c r="AW71"/>
      <c r="AX71"/>
      <c r="AY71"/>
      <c r="AZ71"/>
      <c r="BA71"/>
      <c r="BB71"/>
      <c r="BC71"/>
      <c r="BD71"/>
    </row>
    <row r="72" spans="1:56" x14ac:dyDescent="0.35">
      <c r="A72" s="25"/>
      <c r="B72" s="22">
        <v>2030</v>
      </c>
      <c r="C72" s="39"/>
      <c r="D72" s="39">
        <v>0</v>
      </c>
      <c r="E72" s="39">
        <v>0</v>
      </c>
      <c r="F72" s="39">
        <v>0</v>
      </c>
      <c r="G72" s="39">
        <v>0</v>
      </c>
      <c r="H72" s="39">
        <v>0</v>
      </c>
      <c r="I72" s="39">
        <v>0</v>
      </c>
      <c r="J72" s="39">
        <v>0</v>
      </c>
      <c r="K72" s="39">
        <v>0</v>
      </c>
      <c r="L72" s="39">
        <v>0</v>
      </c>
      <c r="M72" s="39">
        <v>0</v>
      </c>
      <c r="N72" s="39">
        <v>0</v>
      </c>
      <c r="O72" s="39">
        <v>0</v>
      </c>
      <c r="P72" s="39">
        <v>0</v>
      </c>
      <c r="Q72" s="39">
        <v>0</v>
      </c>
      <c r="R72" s="39">
        <v>0</v>
      </c>
      <c r="S72" s="39">
        <v>0</v>
      </c>
      <c r="T72" s="39">
        <v>0</v>
      </c>
      <c r="U72" s="39">
        <v>0</v>
      </c>
      <c r="V72" s="39">
        <v>0</v>
      </c>
      <c r="W72" s="39">
        <v>0</v>
      </c>
      <c r="X72" s="39"/>
      <c r="Y72" s="22"/>
      <c r="Z72" s="39"/>
      <c r="AA72" s="39"/>
      <c r="AB72" s="39"/>
      <c r="AC72" s="39"/>
      <c r="AD72" s="39"/>
      <c r="AE72" s="39"/>
      <c r="AF72" s="39"/>
      <c r="AG72" s="39"/>
      <c r="AH72" s="39"/>
      <c r="AI72" s="39"/>
      <c r="AJ72" s="39"/>
      <c r="AK72"/>
      <c r="AL72"/>
      <c r="AM72"/>
      <c r="AN72"/>
      <c r="AO72"/>
      <c r="AP72"/>
      <c r="AQ72"/>
      <c r="AR72"/>
      <c r="AS72"/>
      <c r="AT72"/>
      <c r="AU72"/>
      <c r="AV72"/>
      <c r="AW72"/>
      <c r="AX72"/>
      <c r="AY72"/>
      <c r="AZ72"/>
      <c r="BA72"/>
      <c r="BB72"/>
      <c r="BC72"/>
      <c r="BD72"/>
    </row>
    <row r="73" spans="1:56" x14ac:dyDescent="0.35">
      <c r="A73" s="25"/>
      <c r="B73" s="22">
        <v>2031</v>
      </c>
      <c r="C73" s="39"/>
      <c r="D73" s="39">
        <v>1</v>
      </c>
      <c r="E73" s="39">
        <v>1500</v>
      </c>
      <c r="F73" s="39">
        <v>0</v>
      </c>
      <c r="G73" s="39">
        <v>0</v>
      </c>
      <c r="H73" s="39">
        <v>83.333333333333329</v>
      </c>
      <c r="I73" s="39">
        <v>18</v>
      </c>
      <c r="J73" s="39">
        <v>20</v>
      </c>
      <c r="K73" s="39">
        <v>34</v>
      </c>
      <c r="L73" s="39">
        <v>58.333333333333329</v>
      </c>
      <c r="M73" s="39">
        <v>12.499999999999998</v>
      </c>
      <c r="N73" s="39">
        <v>12.499999999999998</v>
      </c>
      <c r="O73" s="39">
        <v>2</v>
      </c>
      <c r="P73" s="39">
        <v>2</v>
      </c>
      <c r="Q73" s="39">
        <v>2.1960000000000002</v>
      </c>
      <c r="R73" s="39">
        <v>183</v>
      </c>
      <c r="S73" s="39">
        <v>150</v>
      </c>
      <c r="T73" s="39">
        <v>2</v>
      </c>
      <c r="U73" s="39">
        <v>300</v>
      </c>
      <c r="V73" s="39">
        <v>0</v>
      </c>
      <c r="W73" s="39">
        <v>2</v>
      </c>
      <c r="X73" s="39"/>
      <c r="Y73" s="22"/>
      <c r="Z73" s="39"/>
      <c r="AA73" s="39"/>
      <c r="AB73" s="39"/>
      <c r="AC73" s="39"/>
      <c r="AD73" s="39"/>
      <c r="AE73" s="39"/>
      <c r="AF73" s="39"/>
      <c r="AG73" s="39"/>
      <c r="AH73" s="39"/>
      <c r="AI73" s="39"/>
      <c r="AJ73" s="39"/>
      <c r="AK73"/>
      <c r="AL73"/>
      <c r="AM73"/>
      <c r="AN73"/>
      <c r="AO73"/>
      <c r="AP73"/>
      <c r="AQ73"/>
      <c r="AR73"/>
      <c r="AS73"/>
      <c r="AT73"/>
      <c r="AU73"/>
      <c r="AV73"/>
      <c r="AW73"/>
      <c r="AX73"/>
      <c r="AY73"/>
      <c r="AZ73"/>
      <c r="BA73"/>
      <c r="BB73"/>
      <c r="BC73"/>
      <c r="BD73"/>
    </row>
    <row r="74" spans="1:56" x14ac:dyDescent="0.35">
      <c r="A74" s="25"/>
      <c r="B74" s="22">
        <v>2032</v>
      </c>
      <c r="C74" s="39"/>
      <c r="D74" s="39">
        <v>2</v>
      </c>
      <c r="E74" s="39">
        <v>2000</v>
      </c>
      <c r="F74" s="39">
        <v>0</v>
      </c>
      <c r="G74" s="39">
        <v>0</v>
      </c>
      <c r="H74" s="39">
        <v>111.11111111111111</v>
      </c>
      <c r="I74" s="39">
        <v>18</v>
      </c>
      <c r="J74" s="39">
        <v>20</v>
      </c>
      <c r="K74" s="39">
        <v>34</v>
      </c>
      <c r="L74" s="39">
        <v>77.777777777777771</v>
      </c>
      <c r="M74" s="39">
        <v>16.666666666666668</v>
      </c>
      <c r="N74" s="39">
        <v>16.666666666666668</v>
      </c>
      <c r="O74" s="39">
        <v>4</v>
      </c>
      <c r="P74" s="39">
        <v>4</v>
      </c>
      <c r="Q74" s="39">
        <v>2.1960000000000002</v>
      </c>
      <c r="R74" s="39">
        <v>244.00000000000003</v>
      </c>
      <c r="S74" s="39">
        <v>300</v>
      </c>
      <c r="T74" s="39">
        <v>4</v>
      </c>
      <c r="U74" s="39">
        <v>600</v>
      </c>
      <c r="V74" s="39">
        <v>0</v>
      </c>
      <c r="W74" s="39">
        <v>4</v>
      </c>
      <c r="X74" s="39"/>
      <c r="Y74" s="22"/>
      <c r="Z74" s="39"/>
      <c r="AA74" s="39"/>
      <c r="AB74" s="39"/>
      <c r="AC74" s="39"/>
      <c r="AD74" s="39"/>
      <c r="AE74" s="39"/>
      <c r="AF74" s="39"/>
      <c r="AG74" s="39"/>
      <c r="AH74" s="39"/>
      <c r="AI74" s="39"/>
      <c r="AJ74" s="39"/>
      <c r="AK74"/>
      <c r="AL74"/>
      <c r="AM74"/>
      <c r="AN74"/>
      <c r="AO74"/>
      <c r="AP74"/>
      <c r="AQ74"/>
      <c r="AR74"/>
      <c r="AS74"/>
      <c r="AT74"/>
      <c r="AU74"/>
      <c r="AV74"/>
      <c r="AW74"/>
      <c r="AX74"/>
      <c r="AY74"/>
      <c r="AZ74"/>
      <c r="BA74"/>
      <c r="BB74"/>
      <c r="BC74"/>
      <c r="BD74"/>
    </row>
    <row r="75" spans="1:56" x14ac:dyDescent="0.35">
      <c r="A75" s="25"/>
      <c r="B75" s="22">
        <v>2033</v>
      </c>
      <c r="C75" s="39"/>
      <c r="D75" s="39">
        <v>2</v>
      </c>
      <c r="E75" s="39">
        <v>2500</v>
      </c>
      <c r="F75" s="39">
        <v>0</v>
      </c>
      <c r="G75" s="39">
        <v>0</v>
      </c>
      <c r="H75" s="39">
        <v>138.88888888888889</v>
      </c>
      <c r="I75" s="39">
        <v>18</v>
      </c>
      <c r="J75" s="39">
        <v>20</v>
      </c>
      <c r="K75" s="39">
        <v>34</v>
      </c>
      <c r="L75" s="39">
        <v>97.222222222222214</v>
      </c>
      <c r="M75" s="39">
        <v>20.833333333333332</v>
      </c>
      <c r="N75" s="39">
        <v>20.833333333333332</v>
      </c>
      <c r="O75" s="39">
        <v>4</v>
      </c>
      <c r="P75" s="39">
        <v>4</v>
      </c>
      <c r="Q75" s="39">
        <v>2.1960000000000002</v>
      </c>
      <c r="R75" s="39">
        <v>305</v>
      </c>
      <c r="S75" s="39">
        <v>300</v>
      </c>
      <c r="T75" s="39">
        <v>4</v>
      </c>
      <c r="U75" s="39">
        <v>600</v>
      </c>
      <c r="V75" s="39">
        <v>0</v>
      </c>
      <c r="W75" s="39">
        <v>4</v>
      </c>
      <c r="X75" s="39"/>
      <c r="Y75" s="22"/>
      <c r="Z75" s="39"/>
      <c r="AA75" s="39"/>
      <c r="AB75" s="39"/>
      <c r="AC75" s="39"/>
      <c r="AD75" s="39"/>
      <c r="AE75" s="39"/>
      <c r="AF75" s="39"/>
      <c r="AG75" s="39"/>
      <c r="AH75" s="39"/>
      <c r="AI75" s="39"/>
      <c r="AJ75" s="39"/>
      <c r="AK75"/>
      <c r="AL75"/>
      <c r="AM75"/>
      <c r="AN75"/>
      <c r="AO75"/>
      <c r="AP75"/>
      <c r="AQ75"/>
      <c r="AR75"/>
      <c r="AS75"/>
      <c r="AT75"/>
      <c r="AU75"/>
      <c r="AV75"/>
      <c r="AW75"/>
      <c r="AX75"/>
      <c r="AY75"/>
      <c r="AZ75"/>
      <c r="BA75"/>
      <c r="BB75"/>
      <c r="BC75"/>
      <c r="BD75"/>
    </row>
    <row r="76" spans="1:56" x14ac:dyDescent="0.35">
      <c r="A76" s="25"/>
      <c r="B76" s="22">
        <v>2034</v>
      </c>
      <c r="C76" s="39"/>
      <c r="D76" s="39">
        <v>1</v>
      </c>
      <c r="E76" s="39">
        <v>1000</v>
      </c>
      <c r="F76" s="39">
        <v>0</v>
      </c>
      <c r="G76" s="39">
        <v>0</v>
      </c>
      <c r="H76" s="39">
        <v>55.555555555555557</v>
      </c>
      <c r="I76" s="39">
        <v>18</v>
      </c>
      <c r="J76" s="39">
        <v>20</v>
      </c>
      <c r="K76" s="39">
        <v>34</v>
      </c>
      <c r="L76" s="39">
        <v>38.888888888888886</v>
      </c>
      <c r="M76" s="39">
        <v>8.3333333333333339</v>
      </c>
      <c r="N76" s="39">
        <v>8.3333333333333339</v>
      </c>
      <c r="O76" s="39">
        <v>2</v>
      </c>
      <c r="P76" s="39">
        <v>2</v>
      </c>
      <c r="Q76" s="39">
        <v>2.1960000000000002</v>
      </c>
      <c r="R76" s="39">
        <v>122.00000000000001</v>
      </c>
      <c r="S76" s="39">
        <v>150</v>
      </c>
      <c r="T76" s="39">
        <v>2</v>
      </c>
      <c r="U76" s="39">
        <v>300</v>
      </c>
      <c r="V76" s="39">
        <v>0</v>
      </c>
      <c r="W76" s="39">
        <v>2</v>
      </c>
      <c r="X76" s="39"/>
      <c r="Y76" s="22"/>
      <c r="Z76" s="39"/>
      <c r="AA76" s="39"/>
      <c r="AB76" s="39"/>
      <c r="AC76" s="39"/>
      <c r="AD76" s="39"/>
      <c r="AE76" s="39"/>
      <c r="AF76" s="39"/>
      <c r="AG76" s="39"/>
      <c r="AH76" s="39"/>
      <c r="AI76" s="39"/>
      <c r="AJ76" s="39"/>
      <c r="AK76"/>
      <c r="AL76"/>
      <c r="AM76"/>
      <c r="AN76"/>
      <c r="AO76"/>
      <c r="AP76"/>
      <c r="AQ76"/>
      <c r="AR76"/>
      <c r="AS76"/>
      <c r="AT76"/>
      <c r="AU76"/>
      <c r="AV76"/>
      <c r="AW76"/>
      <c r="AX76"/>
      <c r="AY76"/>
      <c r="AZ76"/>
      <c r="BA76"/>
      <c r="BB76"/>
      <c r="BC76"/>
      <c r="BD76"/>
    </row>
    <row r="77" spans="1:56" x14ac:dyDescent="0.35">
      <c r="A77" s="25"/>
      <c r="B77" s="22">
        <v>2035</v>
      </c>
      <c r="C77" s="39"/>
      <c r="D77" s="39">
        <v>0</v>
      </c>
      <c r="E77" s="39">
        <v>0</v>
      </c>
      <c r="F77" s="39">
        <v>0</v>
      </c>
      <c r="G77" s="39">
        <v>0</v>
      </c>
      <c r="H77" s="39">
        <v>0</v>
      </c>
      <c r="I77" s="39">
        <v>0</v>
      </c>
      <c r="J77" s="39">
        <v>0</v>
      </c>
      <c r="K77" s="39">
        <v>0</v>
      </c>
      <c r="L77" s="39">
        <v>0</v>
      </c>
      <c r="M77" s="39">
        <v>0</v>
      </c>
      <c r="N77" s="39">
        <v>0</v>
      </c>
      <c r="O77" s="39">
        <v>0</v>
      </c>
      <c r="P77" s="39">
        <v>0</v>
      </c>
      <c r="Q77" s="39">
        <v>0</v>
      </c>
      <c r="R77" s="39">
        <v>0</v>
      </c>
      <c r="S77" s="39">
        <v>0</v>
      </c>
      <c r="T77" s="39">
        <v>0</v>
      </c>
      <c r="U77" s="39">
        <v>0</v>
      </c>
      <c r="V77" s="39">
        <v>0</v>
      </c>
      <c r="W77" s="39">
        <v>0</v>
      </c>
      <c r="X77" s="39"/>
      <c r="Y77" s="22"/>
      <c r="Z77" s="39"/>
      <c r="AA77" s="39"/>
      <c r="AB77" s="39"/>
      <c r="AC77" s="39"/>
      <c r="AD77" s="39"/>
      <c r="AE77" s="39"/>
      <c r="AF77" s="39"/>
      <c r="AG77" s="39"/>
      <c r="AH77" s="39"/>
      <c r="AI77" s="39"/>
      <c r="AJ77" s="39"/>
      <c r="AK77"/>
      <c r="AL77"/>
      <c r="AM77"/>
      <c r="AN77"/>
      <c r="AO77"/>
      <c r="AP77"/>
      <c r="AQ77"/>
      <c r="AR77"/>
      <c r="AS77"/>
      <c r="AT77"/>
      <c r="AU77"/>
      <c r="AV77"/>
      <c r="AW77"/>
      <c r="AX77"/>
      <c r="AY77"/>
      <c r="AZ77"/>
      <c r="BA77"/>
      <c r="BB77"/>
      <c r="BC77"/>
      <c r="BD77"/>
    </row>
    <row r="78" spans="1:56" x14ac:dyDescent="0.35">
      <c r="B78" s="27" t="s">
        <v>345</v>
      </c>
      <c r="Y78" s="60"/>
      <c r="AA78"/>
      <c r="AB78"/>
      <c r="AC78"/>
      <c r="AD78"/>
      <c r="AE78"/>
      <c r="AF78"/>
      <c r="AG78"/>
      <c r="AH78"/>
      <c r="AI78"/>
      <c r="AJ78"/>
      <c r="AK78"/>
      <c r="AL78"/>
      <c r="AM78"/>
      <c r="AN78"/>
      <c r="AO78"/>
      <c r="AP78"/>
      <c r="AQ78"/>
      <c r="AR78"/>
      <c r="AS78"/>
      <c r="AT78"/>
      <c r="AU78"/>
      <c r="AV78"/>
      <c r="AW78"/>
      <c r="AX78"/>
      <c r="AY78"/>
      <c r="AZ78"/>
      <c r="BA78"/>
      <c r="BB78"/>
      <c r="BC78"/>
      <c r="BD78"/>
    </row>
    <row r="79" spans="1:56" x14ac:dyDescent="0.35">
      <c r="A79" s="25"/>
      <c r="B79" s="22">
        <v>2022</v>
      </c>
      <c r="C79" s="39"/>
      <c r="D79" s="39">
        <v>0</v>
      </c>
      <c r="E79" s="39">
        <v>0</v>
      </c>
      <c r="F79" s="39">
        <v>0</v>
      </c>
      <c r="G79" s="39">
        <v>0</v>
      </c>
      <c r="H79" s="39">
        <v>0</v>
      </c>
      <c r="I79" s="39">
        <v>0</v>
      </c>
      <c r="J79" s="39">
        <v>0</v>
      </c>
      <c r="K79" s="39">
        <v>0</v>
      </c>
      <c r="L79" s="39">
        <v>0</v>
      </c>
      <c r="M79" s="39">
        <v>0</v>
      </c>
      <c r="N79" s="39">
        <v>0</v>
      </c>
      <c r="O79" s="39">
        <v>0</v>
      </c>
      <c r="P79" s="39">
        <v>0</v>
      </c>
      <c r="Q79" s="39">
        <v>0</v>
      </c>
      <c r="R79" s="39">
        <v>0</v>
      </c>
      <c r="S79" s="39">
        <v>0</v>
      </c>
      <c r="T79" s="39">
        <v>0</v>
      </c>
      <c r="U79" s="39">
        <v>0</v>
      </c>
      <c r="V79" s="39">
        <v>0</v>
      </c>
      <c r="W79" s="39">
        <v>0</v>
      </c>
      <c r="Y79" s="60"/>
      <c r="Z79" s="60"/>
      <c r="AY79" s="15"/>
      <c r="AZ79"/>
      <c r="BA79"/>
      <c r="BB79"/>
      <c r="BC79"/>
      <c r="BD79"/>
    </row>
    <row r="80" spans="1:56" x14ac:dyDescent="0.35">
      <c r="A80" s="25"/>
      <c r="B80" s="22">
        <v>2023</v>
      </c>
      <c r="C80" s="39"/>
      <c r="D80" s="39">
        <v>0</v>
      </c>
      <c r="E80" s="39">
        <v>0</v>
      </c>
      <c r="F80" s="39">
        <v>0</v>
      </c>
      <c r="G80" s="39">
        <v>0</v>
      </c>
      <c r="H80" s="39">
        <v>0</v>
      </c>
      <c r="I80" s="39">
        <v>0</v>
      </c>
      <c r="J80" s="39">
        <v>0</v>
      </c>
      <c r="K80" s="39">
        <v>0</v>
      </c>
      <c r="L80" s="39">
        <v>0</v>
      </c>
      <c r="M80" s="39">
        <v>0</v>
      </c>
      <c r="N80" s="39">
        <v>0</v>
      </c>
      <c r="O80" s="39">
        <v>0</v>
      </c>
      <c r="P80" s="39">
        <v>0</v>
      </c>
      <c r="Q80" s="39">
        <v>0</v>
      </c>
      <c r="R80" s="39">
        <v>0</v>
      </c>
      <c r="S80" s="39">
        <v>0</v>
      </c>
      <c r="T80" s="39">
        <v>0</v>
      </c>
      <c r="U80" s="39">
        <v>0</v>
      </c>
      <c r="V80" s="39">
        <v>0</v>
      </c>
      <c r="W80" s="39">
        <v>0</v>
      </c>
      <c r="Y80" s="60"/>
      <c r="Z80" s="60"/>
      <c r="AY80" s="15"/>
      <c r="AZ80"/>
      <c r="BA80"/>
      <c r="BB80"/>
      <c r="BC80"/>
      <c r="BD80"/>
    </row>
    <row r="81" spans="1:23" x14ac:dyDescent="0.35">
      <c r="A81" s="25"/>
      <c r="B81" s="22">
        <v>2024</v>
      </c>
      <c r="C81" s="39"/>
      <c r="D81" s="39">
        <v>0</v>
      </c>
      <c r="E81" s="39">
        <v>0</v>
      </c>
      <c r="F81" s="39">
        <v>0</v>
      </c>
      <c r="G81" s="39">
        <v>0</v>
      </c>
      <c r="H81" s="39">
        <v>0</v>
      </c>
      <c r="I81" s="39">
        <v>0</v>
      </c>
      <c r="J81" s="39">
        <v>0</v>
      </c>
      <c r="K81" s="39">
        <v>0</v>
      </c>
      <c r="L81" s="39">
        <v>0</v>
      </c>
      <c r="M81" s="39">
        <v>0</v>
      </c>
      <c r="N81" s="39">
        <v>0</v>
      </c>
      <c r="O81" s="39">
        <v>0</v>
      </c>
      <c r="P81" s="39">
        <v>0</v>
      </c>
      <c r="Q81" s="39">
        <v>0</v>
      </c>
      <c r="R81" s="39">
        <v>0</v>
      </c>
      <c r="S81" s="39">
        <v>0</v>
      </c>
      <c r="T81" s="39">
        <v>0</v>
      </c>
      <c r="U81" s="39">
        <v>0</v>
      </c>
      <c r="V81" s="39">
        <v>0</v>
      </c>
      <c r="W81" s="39">
        <v>0</v>
      </c>
    </row>
    <row r="82" spans="1:23" x14ac:dyDescent="0.35">
      <c r="A82" s="25"/>
      <c r="B82" s="22">
        <v>2025</v>
      </c>
      <c r="C82" s="39"/>
      <c r="D82" s="39">
        <v>0</v>
      </c>
      <c r="E82" s="39">
        <v>0</v>
      </c>
      <c r="F82" s="39">
        <v>0</v>
      </c>
      <c r="G82" s="39">
        <v>0</v>
      </c>
      <c r="H82" s="39">
        <v>0</v>
      </c>
      <c r="I82" s="39">
        <v>0</v>
      </c>
      <c r="J82" s="39">
        <v>0</v>
      </c>
      <c r="K82" s="39">
        <v>0</v>
      </c>
      <c r="L82" s="39">
        <v>0</v>
      </c>
      <c r="M82" s="39">
        <v>0</v>
      </c>
      <c r="N82" s="39">
        <v>0</v>
      </c>
      <c r="O82" s="39">
        <v>0</v>
      </c>
      <c r="P82" s="39">
        <v>0</v>
      </c>
      <c r="Q82" s="39">
        <v>0</v>
      </c>
      <c r="R82" s="39">
        <v>0</v>
      </c>
      <c r="S82" s="39">
        <v>0</v>
      </c>
      <c r="T82" s="39">
        <v>0</v>
      </c>
      <c r="U82" s="39">
        <v>0</v>
      </c>
      <c r="V82" s="39">
        <v>0</v>
      </c>
      <c r="W82" s="39">
        <v>0</v>
      </c>
    </row>
    <row r="83" spans="1:23" x14ac:dyDescent="0.35">
      <c r="A83" s="25"/>
      <c r="B83" s="22">
        <v>2026</v>
      </c>
      <c r="C83" s="39"/>
      <c r="D83" s="39">
        <v>0</v>
      </c>
      <c r="E83" s="39">
        <v>0</v>
      </c>
      <c r="F83" s="39">
        <v>0</v>
      </c>
      <c r="G83" s="39">
        <v>0</v>
      </c>
      <c r="H83" s="39">
        <v>0</v>
      </c>
      <c r="I83" s="39">
        <v>0</v>
      </c>
      <c r="J83" s="39">
        <v>0</v>
      </c>
      <c r="K83" s="39">
        <v>0</v>
      </c>
      <c r="L83" s="39">
        <v>0</v>
      </c>
      <c r="M83" s="39">
        <v>0</v>
      </c>
      <c r="N83" s="39">
        <v>0</v>
      </c>
      <c r="O83" s="39">
        <v>0</v>
      </c>
      <c r="P83" s="39">
        <v>0</v>
      </c>
      <c r="Q83" s="39">
        <v>0</v>
      </c>
      <c r="R83" s="39">
        <v>0</v>
      </c>
      <c r="S83" s="39">
        <v>0</v>
      </c>
      <c r="T83" s="39">
        <v>0</v>
      </c>
      <c r="U83" s="39">
        <v>0</v>
      </c>
      <c r="V83" s="39">
        <v>0</v>
      </c>
      <c r="W83" s="39">
        <v>0</v>
      </c>
    </row>
    <row r="84" spans="1:23" x14ac:dyDescent="0.35">
      <c r="A84" s="25"/>
      <c r="B84" s="22">
        <v>2027</v>
      </c>
      <c r="C84" s="39"/>
      <c r="D84" s="39">
        <v>0</v>
      </c>
      <c r="E84" s="39">
        <v>0</v>
      </c>
      <c r="F84" s="39">
        <v>0</v>
      </c>
      <c r="G84" s="39">
        <v>0</v>
      </c>
      <c r="H84" s="39">
        <v>0</v>
      </c>
      <c r="I84" s="39">
        <v>0</v>
      </c>
      <c r="J84" s="39">
        <v>0</v>
      </c>
      <c r="K84" s="39">
        <v>0</v>
      </c>
      <c r="L84" s="39">
        <v>0</v>
      </c>
      <c r="M84" s="39">
        <v>0</v>
      </c>
      <c r="N84" s="39">
        <v>0</v>
      </c>
      <c r="O84" s="39">
        <v>0</v>
      </c>
      <c r="P84" s="39">
        <v>0</v>
      </c>
      <c r="Q84" s="39">
        <v>0</v>
      </c>
      <c r="R84" s="39">
        <v>0</v>
      </c>
      <c r="S84" s="39">
        <v>0</v>
      </c>
      <c r="T84" s="39">
        <v>0</v>
      </c>
      <c r="U84" s="39">
        <v>0</v>
      </c>
      <c r="V84" s="39">
        <v>0</v>
      </c>
      <c r="W84" s="39">
        <v>0</v>
      </c>
    </row>
    <row r="85" spans="1:23" x14ac:dyDescent="0.35">
      <c r="A85" s="25"/>
      <c r="B85" s="22">
        <v>2028</v>
      </c>
      <c r="C85" s="39"/>
      <c r="D85" s="39">
        <v>0</v>
      </c>
      <c r="E85" s="39">
        <v>0</v>
      </c>
      <c r="F85" s="39">
        <v>0</v>
      </c>
      <c r="G85" s="39">
        <v>0</v>
      </c>
      <c r="H85" s="39">
        <v>0</v>
      </c>
      <c r="I85" s="39">
        <v>0</v>
      </c>
      <c r="J85" s="39">
        <v>0</v>
      </c>
      <c r="K85" s="39">
        <v>0</v>
      </c>
      <c r="L85" s="39">
        <v>0</v>
      </c>
      <c r="M85" s="39">
        <v>0</v>
      </c>
      <c r="N85" s="39">
        <v>0</v>
      </c>
      <c r="O85" s="39">
        <v>0</v>
      </c>
      <c r="P85" s="39">
        <v>0</v>
      </c>
      <c r="Q85" s="39">
        <v>0</v>
      </c>
      <c r="R85" s="39">
        <v>0</v>
      </c>
      <c r="S85" s="39">
        <v>0</v>
      </c>
      <c r="T85" s="39">
        <v>0</v>
      </c>
      <c r="U85" s="39">
        <v>0</v>
      </c>
      <c r="V85" s="39">
        <v>0</v>
      </c>
      <c r="W85" s="39">
        <v>0</v>
      </c>
    </row>
    <row r="86" spans="1:23" x14ac:dyDescent="0.35">
      <c r="A86" s="25"/>
      <c r="B86" s="22">
        <v>2029</v>
      </c>
      <c r="C86" s="39"/>
      <c r="D86" s="39">
        <v>0</v>
      </c>
      <c r="E86" s="39">
        <v>0</v>
      </c>
      <c r="F86" s="39">
        <v>0</v>
      </c>
      <c r="G86" s="39">
        <v>0</v>
      </c>
      <c r="H86" s="39">
        <v>0</v>
      </c>
      <c r="I86" s="39">
        <v>0</v>
      </c>
      <c r="J86" s="39">
        <v>0</v>
      </c>
      <c r="K86" s="39">
        <v>0</v>
      </c>
      <c r="L86" s="39">
        <v>0</v>
      </c>
      <c r="M86" s="39">
        <v>0</v>
      </c>
      <c r="N86" s="39">
        <v>0</v>
      </c>
      <c r="O86" s="39">
        <v>0</v>
      </c>
      <c r="P86" s="39">
        <v>0</v>
      </c>
      <c r="Q86" s="39">
        <v>0</v>
      </c>
      <c r="R86" s="39">
        <v>0</v>
      </c>
      <c r="S86" s="39">
        <v>0</v>
      </c>
      <c r="T86" s="39">
        <v>0</v>
      </c>
      <c r="U86" s="39">
        <v>0</v>
      </c>
      <c r="V86" s="39">
        <v>0</v>
      </c>
      <c r="W86" s="39">
        <v>0</v>
      </c>
    </row>
    <row r="87" spans="1:23" x14ac:dyDescent="0.35">
      <c r="A87" s="25"/>
      <c r="B87" s="22">
        <v>2030</v>
      </c>
      <c r="C87" s="39"/>
      <c r="D87" s="39">
        <v>0</v>
      </c>
      <c r="E87" s="39">
        <v>0</v>
      </c>
      <c r="F87" s="39">
        <v>0</v>
      </c>
      <c r="G87" s="39">
        <v>0</v>
      </c>
      <c r="H87" s="39">
        <v>0</v>
      </c>
      <c r="I87" s="39">
        <v>0</v>
      </c>
      <c r="J87" s="39">
        <v>0</v>
      </c>
      <c r="K87" s="39">
        <v>0</v>
      </c>
      <c r="L87" s="39">
        <v>0</v>
      </c>
      <c r="M87" s="39">
        <v>0</v>
      </c>
      <c r="N87" s="39">
        <v>0</v>
      </c>
      <c r="O87" s="39">
        <v>0</v>
      </c>
      <c r="P87" s="39">
        <v>0</v>
      </c>
      <c r="Q87" s="39">
        <v>0</v>
      </c>
      <c r="R87" s="39">
        <v>0</v>
      </c>
      <c r="S87" s="39">
        <v>0</v>
      </c>
      <c r="T87" s="39">
        <v>0</v>
      </c>
      <c r="U87" s="39">
        <v>0</v>
      </c>
      <c r="V87" s="39">
        <v>0</v>
      </c>
      <c r="W87" s="39">
        <v>0</v>
      </c>
    </row>
    <row r="88" spans="1:23" x14ac:dyDescent="0.35">
      <c r="A88" s="25"/>
      <c r="B88" s="22">
        <v>2031</v>
      </c>
      <c r="C88" s="39"/>
      <c r="D88" s="39">
        <v>2</v>
      </c>
      <c r="E88" s="39">
        <v>1644</v>
      </c>
      <c r="F88" s="39">
        <v>0</v>
      </c>
      <c r="G88" s="39">
        <v>0</v>
      </c>
      <c r="H88" s="39">
        <v>91.333333333333329</v>
      </c>
      <c r="I88" s="39">
        <v>18</v>
      </c>
      <c r="J88" s="39">
        <v>300</v>
      </c>
      <c r="K88" s="39">
        <v>750</v>
      </c>
      <c r="L88" s="39">
        <v>0</v>
      </c>
      <c r="M88" s="39">
        <v>91.333333333333329</v>
      </c>
      <c r="N88" s="39">
        <v>0</v>
      </c>
      <c r="O88" s="39">
        <v>3</v>
      </c>
      <c r="P88" s="39">
        <v>3</v>
      </c>
      <c r="Q88" s="39">
        <v>3.66</v>
      </c>
      <c r="R88" s="39">
        <v>334.28</v>
      </c>
      <c r="S88" s="39">
        <v>210</v>
      </c>
      <c r="T88" s="39">
        <v>3</v>
      </c>
      <c r="U88" s="39">
        <v>320</v>
      </c>
      <c r="V88" s="39">
        <v>0</v>
      </c>
      <c r="W88" s="39">
        <v>3</v>
      </c>
    </row>
    <row r="89" spans="1:23" x14ac:dyDescent="0.35">
      <c r="A89" s="25"/>
      <c r="B89" s="22">
        <v>2032</v>
      </c>
      <c r="C89" s="39"/>
      <c r="D89" s="39">
        <v>1</v>
      </c>
      <c r="E89" s="39">
        <v>500</v>
      </c>
      <c r="F89" s="39">
        <v>0</v>
      </c>
      <c r="G89" s="39">
        <v>0</v>
      </c>
      <c r="H89" s="39">
        <v>27.777777777777779</v>
      </c>
      <c r="I89" s="39">
        <v>18</v>
      </c>
      <c r="J89" s="39">
        <v>600</v>
      </c>
      <c r="K89" s="39">
        <v>1000</v>
      </c>
      <c r="L89" s="39">
        <v>0</v>
      </c>
      <c r="M89" s="39">
        <v>27.777777777777779</v>
      </c>
      <c r="N89" s="39">
        <v>0</v>
      </c>
      <c r="O89" s="39">
        <v>1</v>
      </c>
      <c r="P89" s="39">
        <v>1</v>
      </c>
      <c r="Q89" s="39">
        <v>3.66</v>
      </c>
      <c r="R89" s="39">
        <v>101.66666666666667</v>
      </c>
      <c r="S89" s="39">
        <v>105</v>
      </c>
      <c r="T89" s="39">
        <v>1</v>
      </c>
      <c r="U89" s="39">
        <v>105</v>
      </c>
      <c r="V89" s="39">
        <v>0</v>
      </c>
      <c r="W89" s="39">
        <v>1</v>
      </c>
    </row>
    <row r="90" spans="1:23" x14ac:dyDescent="0.35">
      <c r="A90" s="25"/>
      <c r="B90" s="22">
        <v>2033</v>
      </c>
      <c r="C90" s="39"/>
      <c r="D90" s="39">
        <v>3</v>
      </c>
      <c r="E90" s="39">
        <v>3200</v>
      </c>
      <c r="F90" s="39">
        <v>0</v>
      </c>
      <c r="G90" s="39">
        <v>0</v>
      </c>
      <c r="H90" s="39">
        <v>177.77777777777777</v>
      </c>
      <c r="I90" s="39">
        <v>18</v>
      </c>
      <c r="J90" s="39">
        <v>366.66666666666669</v>
      </c>
      <c r="K90" s="39">
        <v>900</v>
      </c>
      <c r="L90" s="39">
        <v>0</v>
      </c>
      <c r="M90" s="39">
        <v>177.77777777777777</v>
      </c>
      <c r="N90" s="39">
        <v>0</v>
      </c>
      <c r="O90" s="39">
        <v>6</v>
      </c>
      <c r="P90" s="39">
        <v>6</v>
      </c>
      <c r="Q90" s="39">
        <v>3.66</v>
      </c>
      <c r="R90" s="39">
        <v>650.66666666666674</v>
      </c>
      <c r="S90" s="39">
        <v>320</v>
      </c>
      <c r="T90" s="39">
        <v>6</v>
      </c>
      <c r="U90" s="39">
        <v>640</v>
      </c>
      <c r="V90" s="39">
        <v>0</v>
      </c>
      <c r="W90" s="39">
        <v>6</v>
      </c>
    </row>
    <row r="91" spans="1:23" x14ac:dyDescent="0.35">
      <c r="A91" s="25"/>
      <c r="B91" s="22">
        <v>2034</v>
      </c>
      <c r="C91" s="39"/>
      <c r="D91" s="39">
        <v>2</v>
      </c>
      <c r="E91" s="39">
        <v>2500</v>
      </c>
      <c r="F91" s="39">
        <v>0</v>
      </c>
      <c r="G91" s="39">
        <v>0</v>
      </c>
      <c r="H91" s="39">
        <v>138.88888888888889</v>
      </c>
      <c r="I91" s="39">
        <v>18</v>
      </c>
      <c r="J91" s="39">
        <v>60</v>
      </c>
      <c r="K91" s="39">
        <v>350</v>
      </c>
      <c r="L91" s="39">
        <v>0</v>
      </c>
      <c r="M91" s="39">
        <v>138.88888888888889</v>
      </c>
      <c r="N91" s="39">
        <v>0</v>
      </c>
      <c r="O91" s="39">
        <v>4</v>
      </c>
      <c r="P91" s="39">
        <v>4</v>
      </c>
      <c r="Q91" s="39">
        <v>3.66</v>
      </c>
      <c r="R91" s="39">
        <v>508.33333333333337</v>
      </c>
      <c r="S91" s="39">
        <v>220</v>
      </c>
      <c r="T91" s="39">
        <v>4</v>
      </c>
      <c r="U91" s="39">
        <v>440</v>
      </c>
      <c r="V91" s="39">
        <v>0</v>
      </c>
      <c r="W91" s="39">
        <v>4</v>
      </c>
    </row>
    <row r="92" spans="1:23" x14ac:dyDescent="0.35">
      <c r="A92" s="25"/>
      <c r="B92" s="22">
        <v>2035</v>
      </c>
      <c r="C92" s="39"/>
      <c r="D92" s="39">
        <v>4</v>
      </c>
      <c r="E92" s="39">
        <v>4500</v>
      </c>
      <c r="F92" s="39">
        <v>0</v>
      </c>
      <c r="G92" s="39">
        <v>0</v>
      </c>
      <c r="H92" s="39">
        <v>250</v>
      </c>
      <c r="I92" s="39">
        <v>18</v>
      </c>
      <c r="J92" s="39">
        <v>400</v>
      </c>
      <c r="K92" s="39">
        <v>1275</v>
      </c>
      <c r="L92" s="39">
        <v>0</v>
      </c>
      <c r="M92" s="39">
        <v>250</v>
      </c>
      <c r="N92" s="39">
        <v>0</v>
      </c>
      <c r="O92" s="39">
        <v>8</v>
      </c>
      <c r="P92" s="39">
        <v>8</v>
      </c>
      <c r="Q92" s="39">
        <v>3.66</v>
      </c>
      <c r="R92" s="39">
        <v>915.00000000000011</v>
      </c>
      <c r="S92" s="39">
        <v>415</v>
      </c>
      <c r="T92" s="39">
        <v>8</v>
      </c>
      <c r="U92" s="39">
        <v>830</v>
      </c>
      <c r="V92" s="39">
        <v>0</v>
      </c>
      <c r="W92" s="39">
        <v>8</v>
      </c>
    </row>
    <row r="93" spans="1:23" x14ac:dyDescent="0.35">
      <c r="B93" s="22"/>
    </row>
    <row r="94" spans="1:23" x14ac:dyDescent="0.35">
      <c r="B94" s="22"/>
    </row>
  </sheetData>
  <pageMargins left="0.7" right="0.7" top="0.75" bottom="0.75" header="0.3" footer="0.3"/>
  <pageSetup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CBA15FE2795E1B44946BAD84615BE1F7" ma:contentTypeVersion="6" ma:contentTypeDescription="Create a new document." ma:contentTypeScope="" ma:versionID="7e0afbd17f09c5202ea6f1f09ad23317">
  <xsd:schema xmlns:xsd="http://www.w3.org/2001/XMLSchema" xmlns:xs="http://www.w3.org/2001/XMLSchema" xmlns:p="http://schemas.microsoft.com/office/2006/metadata/properties" xmlns:ns2="89913648-3e63-4a40-9545-1990623a6245" xmlns:ns3="bc4375be-1bd8-496a-b3ba-a969da69c0da" targetNamespace="http://schemas.microsoft.com/office/2006/metadata/properties" ma:root="true" ma:fieldsID="f150abf7d67ee4df60db472ae0a7ac04" ns2:_="" ns3:_="">
    <xsd:import namespace="89913648-3e63-4a40-9545-1990623a6245"/>
    <xsd:import namespace="bc4375be-1bd8-496a-b3ba-a969da69c0da"/>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9913648-3e63-4a40-9545-1990623a624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bc4375be-1bd8-496a-b3ba-a969da69c0da"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2734BE05-5F7F-431E-A8A4-5D131C15184D}">
  <ds:schemaRefs>
    <ds:schemaRef ds:uri="http://schemas.microsoft.com/sharepoint/v3/contenttype/forms"/>
  </ds:schemaRefs>
</ds:datastoreItem>
</file>

<file path=customXml/itemProps2.xml><?xml version="1.0" encoding="utf-8"?>
<ds:datastoreItem xmlns:ds="http://schemas.openxmlformats.org/officeDocument/2006/customXml" ds:itemID="{E83E7D85-B466-4A03-8860-41E9C54F5FE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9913648-3e63-4a40-9545-1990623a6245"/>
    <ds:schemaRef ds:uri="bc4375be-1bd8-496a-b3ba-a969da69c0d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606E6F5-7DFA-42B3-8497-7279A8A16485}">
  <ds:schemaRefs>
    <ds:schemaRef ds:uri="http://purl.org/dc/elements/1.1/"/>
    <ds:schemaRef ds:uri="http://schemas.microsoft.com/office/2006/metadata/properties"/>
    <ds:schemaRef ds:uri="bc4375be-1bd8-496a-b3ba-a969da69c0da"/>
    <ds:schemaRef ds:uri="89913648-3e63-4a40-9545-1990623a6245"/>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Introduction</vt:lpstr>
      <vt:lpstr>Assumptions</vt:lpstr>
      <vt:lpstr>TOTAL-UNC</vt:lpstr>
      <vt:lpstr>TOTAL-Expand</vt:lpstr>
      <vt:lpstr>EC-known</vt:lpstr>
      <vt:lpstr>WC-known</vt:lpstr>
      <vt:lpstr>FIX-EX</vt:lpstr>
      <vt:lpstr>FLOAT-EX</vt:lpstr>
      <vt:lpstr>EC-UNC</vt:lpstr>
      <vt:lpstr>EC-LOW</vt:lpstr>
      <vt:lpstr>EC-MED</vt:lpstr>
      <vt:lpstr>EC-HIGH</vt:lpstr>
      <vt:lpstr>GBF-UNC</vt:lpstr>
      <vt:lpstr>ALL-MONO</vt:lpstr>
      <vt:lpstr>ACCEL</vt:lpstr>
      <vt:lpstr>Aggregated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Marsh, Ruth</dc:creator>
  <cp:keywords/>
  <dc:description/>
  <cp:lastModifiedBy>Shields, Matt</cp:lastModifiedBy>
  <cp:revision/>
  <dcterms:created xsi:type="dcterms:W3CDTF">2021-03-30T19:34:50Z</dcterms:created>
  <dcterms:modified xsi:type="dcterms:W3CDTF">2022-02-16T20:11:37Z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0x010100CBA15FE2795E1B44946BAD84615BE1F7</vt:lpwstr>
  </property>
  <property fmtid="{D5CDD505-2E9C-101B-9397-08002B2CF9AE}" pid="3" name="MSIP_Label_8f8f0e32-92f1-43cc-a4c8-df58e4a88148_Enabled">
    <vt:lpwstr>true</vt:lpwstr>
  </property>
  <property fmtid="{D5CDD505-2E9C-101B-9397-08002B2CF9AE}" pid="4" name="MSIP_Label_8f8f0e32-92f1-43cc-a4c8-df58e4a88148_SetDate">
    <vt:lpwstr>2021-05-06T12:42:22Z</vt:lpwstr>
  </property>
  <property fmtid="{D5CDD505-2E9C-101B-9397-08002B2CF9AE}" pid="5" name="MSIP_Label_8f8f0e32-92f1-43cc-a4c8-df58e4a88148_Method">
    <vt:lpwstr>Privileged</vt:lpwstr>
  </property>
  <property fmtid="{D5CDD505-2E9C-101B-9397-08002B2CF9AE}" pid="6" name="MSIP_Label_8f8f0e32-92f1-43cc-a4c8-df58e4a88148_Name">
    <vt:lpwstr>8f8f0e32-92f1-43cc-a4c8-df58e4a88148</vt:lpwstr>
  </property>
  <property fmtid="{D5CDD505-2E9C-101B-9397-08002B2CF9AE}" pid="7" name="MSIP_Label_8f8f0e32-92f1-43cc-a4c8-df58e4a88148_SiteId">
    <vt:lpwstr>adf10e2b-b6e9-41d6-be2f-c12bb566019c</vt:lpwstr>
  </property>
  <property fmtid="{D5CDD505-2E9C-101B-9397-08002B2CF9AE}" pid="8" name="MSIP_Label_8f8f0e32-92f1-43cc-a4c8-df58e4a88148_ActionId">
    <vt:lpwstr>18211635-7134-4746-8407-f7d112ee63dc</vt:lpwstr>
  </property>
  <property fmtid="{D5CDD505-2E9C-101B-9397-08002B2CF9AE}" pid="9" name="MSIP_Label_8f8f0e32-92f1-43cc-a4c8-df58e4a88148_ContentBits">
    <vt:lpwstr>0</vt:lpwstr>
  </property>
</Properties>
</file>